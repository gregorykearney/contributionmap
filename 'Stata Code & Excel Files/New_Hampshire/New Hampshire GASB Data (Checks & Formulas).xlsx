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New Hampshire/"/>
    </mc:Choice>
  </mc:AlternateContent>
  <xr:revisionPtr revIDLastSave="0" documentId="13_ncr:1_{F16EB2A6-8E4D-294E-947F-A7ABC3819FEC}" xr6:coauthVersionLast="47" xr6:coauthVersionMax="47" xr10:uidLastSave="{00000000-0000-0000-0000-000000000000}"/>
  <bookViews>
    <workbookView xWindow="3480" yWindow="980" windowWidth="27240" windowHeight="16440" xr2:uid="{06714B92-50E6-9744-8FBB-E97E01FF7261}"/>
  </bookViews>
  <sheets>
    <sheet name="Summary" sheetId="7" r:id="rId1"/>
    <sheet name="GASB 68 Data --&gt;" sheetId="2" r:id="rId2"/>
    <sheet name="2022 &amp; 2023" sheetId="1" r:id="rId3"/>
    <sheet name="2020 &amp; 2021" sheetId="3" r:id="rId4"/>
    <sheet name="2018 &amp; 2019" sheetId="4" r:id="rId5"/>
    <sheet name="2016 &amp; 2017" sheetId="5" r:id="rId6"/>
    <sheet name="2015" sheetId="6" r:id="rId7"/>
    <sheet name="NCES Match --&gt;" sheetId="10" r:id="rId8"/>
    <sheet name="LEAID Match" sheetId="9" r:id="rId9"/>
  </sheets>
  <definedNames>
    <definedName name="_xlnm._FilterDatabase" localSheetId="8" hidden="1">'LEAID Match'!$A$1:$A$168</definedName>
    <definedName name="_xlnm._FilterDatabase" localSheetId="0" hidden="1">Summary!$A$1:$G$1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7" l="1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2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55" i="7"/>
  <c r="J756" i="7"/>
  <c r="J757" i="7"/>
  <c r="J758" i="7"/>
  <c r="J759" i="7"/>
  <c r="J760" i="7"/>
  <c r="J761" i="7"/>
  <c r="J762" i="7"/>
  <c r="J763" i="7"/>
  <c r="J764" i="7"/>
  <c r="J765" i="7"/>
  <c r="J766" i="7"/>
  <c r="J767" i="7"/>
  <c r="J768" i="7"/>
  <c r="J769" i="7"/>
  <c r="J770" i="7"/>
  <c r="J771" i="7"/>
  <c r="J772" i="7"/>
  <c r="J773" i="7"/>
  <c r="J774" i="7"/>
  <c r="J775" i="7"/>
  <c r="J776" i="7"/>
  <c r="J777" i="7"/>
  <c r="J778" i="7"/>
  <c r="J779" i="7"/>
  <c r="J780" i="7"/>
  <c r="J781" i="7"/>
  <c r="J782" i="7"/>
  <c r="J783" i="7"/>
  <c r="J784" i="7"/>
  <c r="J785" i="7"/>
  <c r="J786" i="7"/>
  <c r="J787" i="7"/>
  <c r="J788" i="7"/>
  <c r="J789" i="7"/>
  <c r="J790" i="7"/>
  <c r="J791" i="7"/>
  <c r="J792" i="7"/>
  <c r="J793" i="7"/>
  <c r="J794" i="7"/>
  <c r="J795" i="7"/>
  <c r="J796" i="7"/>
  <c r="J797" i="7"/>
  <c r="J798" i="7"/>
  <c r="J799" i="7"/>
  <c r="J800" i="7"/>
  <c r="J801" i="7"/>
  <c r="J802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817" i="7"/>
  <c r="J818" i="7"/>
  <c r="J819" i="7"/>
  <c r="J820" i="7"/>
  <c r="J821" i="7"/>
  <c r="J822" i="7"/>
  <c r="J823" i="7"/>
  <c r="J824" i="7"/>
  <c r="J825" i="7"/>
  <c r="J826" i="7"/>
  <c r="J827" i="7"/>
  <c r="J828" i="7"/>
  <c r="J829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2" i="7"/>
  <c r="J843" i="7"/>
  <c r="J844" i="7"/>
  <c r="J845" i="7"/>
  <c r="J846" i="7"/>
  <c r="J847" i="7"/>
  <c r="J848" i="7"/>
  <c r="J849" i="7"/>
  <c r="J850" i="7"/>
  <c r="J851" i="7"/>
  <c r="J852" i="7"/>
  <c r="J853" i="7"/>
  <c r="J854" i="7"/>
  <c r="J855" i="7"/>
  <c r="J856" i="7"/>
  <c r="J857" i="7"/>
  <c r="J858" i="7"/>
  <c r="J859" i="7"/>
  <c r="J860" i="7"/>
  <c r="J861" i="7"/>
  <c r="J862" i="7"/>
  <c r="J863" i="7"/>
  <c r="J864" i="7"/>
  <c r="J865" i="7"/>
  <c r="J866" i="7"/>
  <c r="J867" i="7"/>
  <c r="J868" i="7"/>
  <c r="J869" i="7"/>
  <c r="J870" i="7"/>
  <c r="J871" i="7"/>
  <c r="J872" i="7"/>
  <c r="J873" i="7"/>
  <c r="J874" i="7"/>
  <c r="J875" i="7"/>
  <c r="J876" i="7"/>
  <c r="J877" i="7"/>
  <c r="J878" i="7"/>
  <c r="J879" i="7"/>
  <c r="J880" i="7"/>
  <c r="J881" i="7"/>
  <c r="J882" i="7"/>
  <c r="J883" i="7"/>
  <c r="J884" i="7"/>
  <c r="J885" i="7"/>
  <c r="J886" i="7"/>
  <c r="J887" i="7"/>
  <c r="J888" i="7"/>
  <c r="J889" i="7"/>
  <c r="J890" i="7"/>
  <c r="J891" i="7"/>
  <c r="J892" i="7"/>
  <c r="J893" i="7"/>
  <c r="J894" i="7"/>
  <c r="J895" i="7"/>
  <c r="J896" i="7"/>
  <c r="J897" i="7"/>
  <c r="J898" i="7"/>
  <c r="J899" i="7"/>
  <c r="J900" i="7"/>
  <c r="J901" i="7"/>
  <c r="J902" i="7"/>
  <c r="J903" i="7"/>
  <c r="J904" i="7"/>
  <c r="J905" i="7"/>
  <c r="J906" i="7"/>
  <c r="J907" i="7"/>
  <c r="J908" i="7"/>
  <c r="J909" i="7"/>
  <c r="J910" i="7"/>
  <c r="J911" i="7"/>
  <c r="J912" i="7"/>
  <c r="J913" i="7"/>
  <c r="J914" i="7"/>
  <c r="J915" i="7"/>
  <c r="J916" i="7"/>
  <c r="J917" i="7"/>
  <c r="J918" i="7"/>
  <c r="J919" i="7"/>
  <c r="J920" i="7"/>
  <c r="J921" i="7"/>
  <c r="J922" i="7"/>
  <c r="J923" i="7"/>
  <c r="J924" i="7"/>
  <c r="J925" i="7"/>
  <c r="J926" i="7"/>
  <c r="J927" i="7"/>
  <c r="J928" i="7"/>
  <c r="J929" i="7"/>
  <c r="J930" i="7"/>
  <c r="J931" i="7"/>
  <c r="J932" i="7"/>
  <c r="J933" i="7"/>
  <c r="J934" i="7"/>
  <c r="J935" i="7"/>
  <c r="J936" i="7"/>
  <c r="J937" i="7"/>
  <c r="J938" i="7"/>
  <c r="J939" i="7"/>
  <c r="J940" i="7"/>
  <c r="J941" i="7"/>
  <c r="J942" i="7"/>
  <c r="J943" i="7"/>
  <c r="J944" i="7"/>
  <c r="J945" i="7"/>
  <c r="J946" i="7"/>
  <c r="J947" i="7"/>
  <c r="J948" i="7"/>
  <c r="J949" i="7"/>
  <c r="J950" i="7"/>
  <c r="J951" i="7"/>
  <c r="J952" i="7"/>
  <c r="J953" i="7"/>
  <c r="J954" i="7"/>
  <c r="J955" i="7"/>
  <c r="J956" i="7"/>
  <c r="J957" i="7"/>
  <c r="J958" i="7"/>
  <c r="J959" i="7"/>
  <c r="J960" i="7"/>
  <c r="J961" i="7"/>
  <c r="J962" i="7"/>
  <c r="J963" i="7"/>
  <c r="J964" i="7"/>
  <c r="J965" i="7"/>
  <c r="J966" i="7"/>
  <c r="J967" i="7"/>
  <c r="J968" i="7"/>
  <c r="J969" i="7"/>
  <c r="J970" i="7"/>
  <c r="J971" i="7"/>
  <c r="J972" i="7"/>
  <c r="J973" i="7"/>
  <c r="J974" i="7"/>
  <c r="J975" i="7"/>
  <c r="J976" i="7"/>
  <c r="J977" i="7"/>
  <c r="J978" i="7"/>
  <c r="J979" i="7"/>
  <c r="J980" i="7"/>
  <c r="J981" i="7"/>
  <c r="J982" i="7"/>
  <c r="J983" i="7"/>
  <c r="J984" i="7"/>
  <c r="J985" i="7"/>
  <c r="J986" i="7"/>
  <c r="J987" i="7"/>
  <c r="J988" i="7"/>
  <c r="J989" i="7"/>
  <c r="J990" i="7"/>
  <c r="J991" i="7"/>
  <c r="J992" i="7"/>
  <c r="J993" i="7"/>
  <c r="J994" i="7"/>
  <c r="J995" i="7"/>
  <c r="J996" i="7"/>
  <c r="J997" i="7"/>
  <c r="J998" i="7"/>
  <c r="J999" i="7"/>
  <c r="J1000" i="7"/>
  <c r="J1001" i="7"/>
  <c r="J1002" i="7"/>
  <c r="J1003" i="7"/>
  <c r="J1004" i="7"/>
  <c r="J1005" i="7"/>
  <c r="J1006" i="7"/>
  <c r="J1007" i="7"/>
  <c r="J1008" i="7"/>
  <c r="J1009" i="7"/>
  <c r="J1010" i="7"/>
  <c r="J1011" i="7"/>
  <c r="J1012" i="7"/>
  <c r="J1013" i="7"/>
  <c r="J1014" i="7"/>
  <c r="J1015" i="7"/>
  <c r="J1016" i="7"/>
  <c r="J1017" i="7"/>
  <c r="J1018" i="7"/>
  <c r="J1019" i="7"/>
  <c r="J1020" i="7"/>
  <c r="J1021" i="7"/>
  <c r="J1022" i="7"/>
  <c r="J1023" i="7"/>
  <c r="J1024" i="7"/>
  <c r="J1025" i="7"/>
  <c r="J1026" i="7"/>
  <c r="J1027" i="7"/>
  <c r="J1028" i="7"/>
  <c r="J1029" i="7"/>
  <c r="J1030" i="7"/>
  <c r="J1031" i="7"/>
  <c r="J1032" i="7"/>
  <c r="J1033" i="7"/>
  <c r="J1034" i="7"/>
  <c r="J1035" i="7"/>
  <c r="J1036" i="7"/>
  <c r="J1037" i="7"/>
  <c r="J1038" i="7"/>
  <c r="J1039" i="7"/>
  <c r="J1040" i="7"/>
  <c r="J1041" i="7"/>
  <c r="J1042" i="7"/>
  <c r="J1043" i="7"/>
  <c r="J1044" i="7"/>
  <c r="J1045" i="7"/>
  <c r="J1046" i="7"/>
  <c r="J1047" i="7"/>
  <c r="J1048" i="7"/>
  <c r="J1049" i="7"/>
  <c r="J1050" i="7"/>
  <c r="J1051" i="7"/>
  <c r="J1052" i="7"/>
  <c r="J1053" i="7"/>
  <c r="J1054" i="7"/>
  <c r="J1055" i="7"/>
  <c r="J1056" i="7"/>
  <c r="J1057" i="7"/>
  <c r="J1058" i="7"/>
  <c r="J1059" i="7"/>
  <c r="J1060" i="7"/>
  <c r="J1061" i="7"/>
  <c r="J1062" i="7"/>
  <c r="J1063" i="7"/>
  <c r="J1064" i="7"/>
  <c r="J1065" i="7"/>
  <c r="J1066" i="7"/>
  <c r="J1067" i="7"/>
  <c r="J1068" i="7"/>
  <c r="J1069" i="7"/>
  <c r="J1070" i="7"/>
  <c r="J1071" i="7"/>
  <c r="J1072" i="7"/>
  <c r="J1073" i="7"/>
  <c r="J1074" i="7"/>
  <c r="J1075" i="7"/>
  <c r="J1076" i="7"/>
  <c r="J1077" i="7"/>
  <c r="J1078" i="7"/>
  <c r="J1079" i="7"/>
  <c r="J1080" i="7"/>
  <c r="J1081" i="7"/>
  <c r="J1082" i="7"/>
  <c r="J1083" i="7"/>
  <c r="J1084" i="7"/>
  <c r="J1085" i="7"/>
  <c r="J1086" i="7"/>
  <c r="J1087" i="7"/>
  <c r="J1088" i="7"/>
  <c r="J1089" i="7"/>
  <c r="J1090" i="7"/>
  <c r="J1091" i="7"/>
  <c r="J1092" i="7"/>
  <c r="J1093" i="7"/>
  <c r="J1094" i="7"/>
  <c r="J1095" i="7"/>
  <c r="J1096" i="7"/>
  <c r="J1097" i="7"/>
  <c r="J1098" i="7"/>
  <c r="J1099" i="7"/>
  <c r="J1100" i="7"/>
  <c r="J1101" i="7"/>
  <c r="J1102" i="7"/>
  <c r="J1103" i="7"/>
  <c r="J1104" i="7"/>
  <c r="J1105" i="7"/>
  <c r="J1106" i="7"/>
  <c r="J1107" i="7"/>
  <c r="J1108" i="7"/>
  <c r="J1109" i="7"/>
  <c r="J1110" i="7"/>
  <c r="J1111" i="7"/>
  <c r="J1112" i="7"/>
  <c r="J1113" i="7"/>
  <c r="J1114" i="7"/>
  <c r="J1115" i="7"/>
  <c r="J1116" i="7"/>
  <c r="J1117" i="7"/>
  <c r="J1118" i="7"/>
  <c r="J1119" i="7"/>
  <c r="J1120" i="7"/>
  <c r="J1121" i="7"/>
  <c r="J1122" i="7"/>
  <c r="J1123" i="7"/>
  <c r="J1124" i="7"/>
  <c r="J1125" i="7"/>
  <c r="J1126" i="7"/>
  <c r="J1127" i="7"/>
  <c r="J1128" i="7"/>
  <c r="J1129" i="7"/>
  <c r="J1130" i="7"/>
  <c r="J1131" i="7"/>
  <c r="J1132" i="7"/>
  <c r="J1133" i="7"/>
  <c r="J1134" i="7"/>
  <c r="J1135" i="7"/>
  <c r="J1136" i="7"/>
  <c r="J1137" i="7"/>
  <c r="J1138" i="7"/>
  <c r="J1139" i="7"/>
  <c r="J1140" i="7"/>
  <c r="J1141" i="7"/>
  <c r="J1142" i="7"/>
  <c r="J1143" i="7"/>
  <c r="J1144" i="7"/>
  <c r="J1145" i="7"/>
  <c r="J1146" i="7"/>
  <c r="J1147" i="7"/>
  <c r="J1148" i="7"/>
  <c r="J1149" i="7"/>
  <c r="J1150" i="7"/>
  <c r="J1151" i="7"/>
  <c r="J1152" i="7"/>
  <c r="J1153" i="7"/>
  <c r="J1154" i="7"/>
  <c r="J1155" i="7"/>
  <c r="J1156" i="7"/>
  <c r="J1157" i="7"/>
  <c r="J1158" i="7"/>
  <c r="J1159" i="7"/>
  <c r="J1160" i="7"/>
  <c r="J1161" i="7"/>
  <c r="J1162" i="7"/>
  <c r="J1163" i="7"/>
  <c r="J1164" i="7"/>
  <c r="J1165" i="7"/>
  <c r="J1166" i="7"/>
  <c r="J1167" i="7"/>
  <c r="J1168" i="7"/>
  <c r="J1169" i="7"/>
  <c r="J1170" i="7"/>
  <c r="J1171" i="7"/>
  <c r="J1172" i="7"/>
  <c r="J1173" i="7"/>
  <c r="J1174" i="7"/>
  <c r="J1175" i="7"/>
  <c r="J1176" i="7"/>
  <c r="J1177" i="7"/>
  <c r="J1178" i="7"/>
  <c r="J1179" i="7"/>
  <c r="J1180" i="7"/>
  <c r="J1181" i="7"/>
  <c r="J1182" i="7"/>
  <c r="J1183" i="7"/>
  <c r="J1184" i="7"/>
  <c r="J1185" i="7"/>
  <c r="J1186" i="7"/>
  <c r="J1187" i="7"/>
  <c r="J1188" i="7"/>
  <c r="J1189" i="7"/>
  <c r="J1190" i="7"/>
  <c r="J1191" i="7"/>
  <c r="J1192" i="7"/>
  <c r="J1193" i="7"/>
  <c r="J1194" i="7"/>
  <c r="J1195" i="7"/>
  <c r="J1196" i="7"/>
  <c r="J1197" i="7"/>
  <c r="J1198" i="7"/>
  <c r="J1199" i="7"/>
  <c r="J1200" i="7"/>
  <c r="J1201" i="7"/>
  <c r="J1202" i="7"/>
  <c r="J1203" i="7"/>
  <c r="J1204" i="7"/>
  <c r="J1205" i="7"/>
  <c r="J1206" i="7"/>
  <c r="J1207" i="7"/>
  <c r="J1208" i="7"/>
  <c r="J1209" i="7"/>
  <c r="J1210" i="7"/>
  <c r="J1211" i="7"/>
  <c r="J1212" i="7"/>
  <c r="J1213" i="7"/>
  <c r="J1214" i="7"/>
  <c r="J1215" i="7"/>
  <c r="J1216" i="7"/>
  <c r="J1217" i="7"/>
  <c r="J1218" i="7"/>
  <c r="J1219" i="7"/>
  <c r="J1220" i="7"/>
  <c r="J1221" i="7"/>
  <c r="J1222" i="7"/>
  <c r="J1223" i="7"/>
  <c r="J1224" i="7"/>
  <c r="J1225" i="7"/>
  <c r="J1226" i="7"/>
  <c r="J1227" i="7"/>
  <c r="J1228" i="7"/>
  <c r="J1229" i="7"/>
  <c r="J1230" i="7"/>
  <c r="J1231" i="7"/>
  <c r="J1232" i="7"/>
  <c r="J1233" i="7"/>
  <c r="J1234" i="7"/>
  <c r="J1235" i="7"/>
  <c r="J1236" i="7"/>
  <c r="J1237" i="7"/>
  <c r="J1238" i="7"/>
  <c r="J1239" i="7"/>
  <c r="J1240" i="7"/>
  <c r="J1241" i="7"/>
  <c r="J1242" i="7"/>
  <c r="J1243" i="7"/>
  <c r="J1244" i="7"/>
  <c r="J1245" i="7"/>
  <c r="J1246" i="7"/>
  <c r="J1247" i="7"/>
  <c r="J1248" i="7"/>
  <c r="J1249" i="7"/>
  <c r="J1250" i="7"/>
  <c r="J1251" i="7"/>
  <c r="J1252" i="7"/>
  <c r="J1253" i="7"/>
  <c r="J1254" i="7"/>
  <c r="J1255" i="7"/>
  <c r="J1256" i="7"/>
  <c r="J1257" i="7"/>
  <c r="J1258" i="7"/>
  <c r="J1259" i="7"/>
  <c r="J1260" i="7"/>
  <c r="J1261" i="7"/>
  <c r="J1262" i="7"/>
  <c r="J1263" i="7"/>
  <c r="J1264" i="7"/>
  <c r="J1265" i="7"/>
  <c r="J1266" i="7"/>
  <c r="J1267" i="7"/>
  <c r="J1268" i="7"/>
  <c r="J1269" i="7"/>
  <c r="J1270" i="7"/>
  <c r="J1271" i="7"/>
  <c r="J1272" i="7"/>
  <c r="J1273" i="7"/>
  <c r="J1274" i="7"/>
  <c r="J1275" i="7"/>
  <c r="J1276" i="7"/>
  <c r="J1277" i="7"/>
  <c r="J1278" i="7"/>
  <c r="J1279" i="7"/>
  <c r="J1280" i="7"/>
  <c r="J1281" i="7"/>
  <c r="J1282" i="7"/>
  <c r="J1283" i="7"/>
  <c r="J1284" i="7"/>
  <c r="J1285" i="7"/>
  <c r="J1286" i="7"/>
  <c r="J1287" i="7"/>
  <c r="J1288" i="7"/>
  <c r="J1289" i="7"/>
  <c r="J1290" i="7"/>
  <c r="J1291" i="7"/>
  <c r="J1292" i="7"/>
  <c r="J1293" i="7"/>
  <c r="J1294" i="7"/>
  <c r="J1295" i="7"/>
  <c r="J1296" i="7"/>
  <c r="J1297" i="7"/>
  <c r="J1298" i="7"/>
  <c r="J1299" i="7"/>
  <c r="J1300" i="7"/>
  <c r="J1301" i="7"/>
  <c r="J1302" i="7"/>
  <c r="J1303" i="7"/>
  <c r="J1304" i="7"/>
  <c r="J1305" i="7"/>
  <c r="J1306" i="7"/>
  <c r="J1307" i="7"/>
  <c r="J1308" i="7"/>
  <c r="J1309" i="7"/>
  <c r="J1310" i="7"/>
  <c r="J1311" i="7"/>
  <c r="J1312" i="7"/>
  <c r="J1313" i="7"/>
  <c r="J1314" i="7"/>
  <c r="J1315" i="7"/>
  <c r="J1316" i="7"/>
  <c r="J1317" i="7"/>
  <c r="J1318" i="7"/>
  <c r="J1319" i="7"/>
  <c r="J1320" i="7"/>
  <c r="J1321" i="7"/>
  <c r="J1322" i="7"/>
  <c r="J1323" i="7"/>
  <c r="J1324" i="7"/>
  <c r="J1325" i="7"/>
  <c r="J1326" i="7"/>
  <c r="J1327" i="7"/>
  <c r="J1328" i="7"/>
  <c r="J1329" i="7"/>
  <c r="J1330" i="7"/>
  <c r="J1331" i="7"/>
  <c r="J1332" i="7"/>
  <c r="J1333" i="7"/>
  <c r="J1334" i="7"/>
  <c r="J1335" i="7"/>
  <c r="J1336" i="7"/>
  <c r="J1337" i="7"/>
  <c r="J1338" i="7"/>
  <c r="J1339" i="7"/>
  <c r="J1340" i="7"/>
  <c r="J1341" i="7"/>
  <c r="J1342" i="7"/>
  <c r="J1343" i="7"/>
  <c r="J1344" i="7"/>
  <c r="J1345" i="7"/>
  <c r="J1346" i="7"/>
  <c r="J1347" i="7"/>
  <c r="J1348" i="7"/>
  <c r="J1349" i="7"/>
  <c r="J1350" i="7"/>
  <c r="J1351" i="7"/>
  <c r="J1352" i="7"/>
  <c r="J1353" i="7"/>
  <c r="J1354" i="7"/>
  <c r="J1355" i="7"/>
  <c r="J1356" i="7"/>
  <c r="J1357" i="7"/>
  <c r="J1358" i="7"/>
  <c r="J1359" i="7"/>
  <c r="J1360" i="7"/>
  <c r="J1361" i="7"/>
  <c r="J1362" i="7"/>
  <c r="J1363" i="7"/>
  <c r="J1364" i="7"/>
  <c r="J1365" i="7"/>
  <c r="J1366" i="7"/>
  <c r="J1367" i="7"/>
  <c r="J1368" i="7"/>
  <c r="J1369" i="7"/>
  <c r="J1370" i="7"/>
  <c r="J1371" i="7"/>
  <c r="J1372" i="7"/>
  <c r="J1373" i="7"/>
  <c r="J1374" i="7"/>
  <c r="J1375" i="7"/>
  <c r="J1376" i="7"/>
  <c r="J1377" i="7"/>
  <c r="J1378" i="7"/>
  <c r="J1379" i="7"/>
  <c r="J1380" i="7"/>
  <c r="J1381" i="7"/>
  <c r="J1382" i="7"/>
  <c r="J1383" i="7"/>
  <c r="J1384" i="7"/>
  <c r="J1385" i="7"/>
  <c r="J1386" i="7"/>
  <c r="J1387" i="7"/>
  <c r="J1388" i="7"/>
  <c r="J1389" i="7"/>
  <c r="J1390" i="7"/>
  <c r="J1391" i="7"/>
  <c r="J1392" i="7"/>
  <c r="J1393" i="7"/>
  <c r="J1394" i="7"/>
  <c r="J1395" i="7"/>
  <c r="J1396" i="7"/>
  <c r="J1397" i="7"/>
  <c r="J1398" i="7"/>
  <c r="J1399" i="7"/>
  <c r="J1400" i="7"/>
  <c r="J1401" i="7"/>
  <c r="J1402" i="7"/>
  <c r="J1403" i="7"/>
  <c r="J1404" i="7"/>
  <c r="J1405" i="7"/>
  <c r="J1406" i="7"/>
  <c r="J1407" i="7"/>
  <c r="J1408" i="7"/>
  <c r="J1409" i="7"/>
  <c r="J1410" i="7"/>
  <c r="J1411" i="7"/>
  <c r="J1412" i="7"/>
  <c r="J1413" i="7"/>
  <c r="J1414" i="7"/>
  <c r="J1415" i="7"/>
  <c r="J1416" i="7"/>
  <c r="J1417" i="7"/>
  <c r="J1418" i="7"/>
  <c r="J1419" i="7"/>
  <c r="J1420" i="7"/>
  <c r="J1421" i="7"/>
  <c r="J1422" i="7"/>
  <c r="J1423" i="7"/>
  <c r="J1424" i="7"/>
  <c r="J1425" i="7"/>
  <c r="J1426" i="7"/>
  <c r="J1427" i="7"/>
  <c r="J1428" i="7"/>
  <c r="J1429" i="7"/>
  <c r="J1430" i="7"/>
  <c r="J1431" i="7"/>
  <c r="J1432" i="7"/>
  <c r="J1433" i="7"/>
  <c r="J1434" i="7"/>
  <c r="J1435" i="7"/>
  <c r="J1436" i="7"/>
  <c r="J1437" i="7"/>
  <c r="J1438" i="7"/>
  <c r="J1439" i="7"/>
  <c r="J1440" i="7"/>
  <c r="J1441" i="7"/>
  <c r="J1442" i="7"/>
  <c r="J1443" i="7"/>
  <c r="J1444" i="7"/>
  <c r="J1445" i="7"/>
  <c r="J1446" i="7"/>
  <c r="J1447" i="7"/>
  <c r="J1448" i="7"/>
  <c r="J1449" i="7"/>
  <c r="J1450" i="7"/>
  <c r="J1451" i="7"/>
  <c r="J1452" i="7"/>
  <c r="J1453" i="7"/>
  <c r="J1454" i="7"/>
  <c r="J1455" i="7"/>
  <c r="J1456" i="7"/>
  <c r="J1457" i="7"/>
  <c r="J1458" i="7"/>
  <c r="J1459" i="7"/>
  <c r="J1460" i="7"/>
  <c r="J1461" i="7"/>
  <c r="J1462" i="7"/>
  <c r="J1463" i="7"/>
  <c r="J1464" i="7"/>
  <c r="J1465" i="7"/>
  <c r="J1466" i="7"/>
  <c r="J1467" i="7"/>
  <c r="J1468" i="7"/>
  <c r="J1469" i="7"/>
  <c r="J1470" i="7"/>
  <c r="J1471" i="7"/>
  <c r="J1472" i="7"/>
  <c r="J1473" i="7"/>
  <c r="J1474" i="7"/>
  <c r="J1475" i="7"/>
  <c r="J1476" i="7"/>
  <c r="J1477" i="7"/>
  <c r="J1478" i="7"/>
  <c r="J1479" i="7"/>
  <c r="J1480" i="7"/>
  <c r="J1481" i="7"/>
  <c r="J1482" i="7"/>
  <c r="J1483" i="7"/>
  <c r="J1484" i="7"/>
  <c r="J1485" i="7"/>
  <c r="J1486" i="7"/>
  <c r="J1487" i="7"/>
  <c r="J1488" i="7"/>
  <c r="J1489" i="7"/>
  <c r="J1490" i="7"/>
  <c r="J1491" i="7"/>
  <c r="J1492" i="7"/>
  <c r="J1493" i="7"/>
  <c r="J1494" i="7"/>
  <c r="J1495" i="7"/>
  <c r="J1496" i="7"/>
  <c r="J1497" i="7"/>
  <c r="J1498" i="7"/>
  <c r="J1499" i="7"/>
  <c r="J1500" i="7"/>
  <c r="J1501" i="7"/>
  <c r="J1502" i="7"/>
  <c r="J1503" i="7"/>
  <c r="J1504" i="7"/>
  <c r="J1505" i="7"/>
  <c r="J1506" i="7"/>
  <c r="J1507" i="7"/>
  <c r="J1508" i="7"/>
  <c r="J1509" i="7"/>
  <c r="J1510" i="7"/>
  <c r="J1511" i="7"/>
  <c r="J1512" i="7"/>
  <c r="J1513" i="7"/>
  <c r="J1514" i="7"/>
  <c r="J1515" i="7"/>
  <c r="J1516" i="7"/>
  <c r="J1517" i="7"/>
  <c r="J1518" i="7"/>
  <c r="J1519" i="7"/>
  <c r="J1520" i="7"/>
  <c r="J1521" i="7"/>
  <c r="J1522" i="7"/>
  <c r="J1523" i="7"/>
  <c r="J1524" i="7"/>
  <c r="J1525" i="7"/>
  <c r="J1526" i="7"/>
  <c r="J1527" i="7"/>
  <c r="J1528" i="7"/>
  <c r="J1529" i="7"/>
  <c r="J1530" i="7"/>
  <c r="J1531" i="7"/>
  <c r="J1532" i="7"/>
  <c r="J1533" i="7"/>
  <c r="J1534" i="7"/>
  <c r="J1535" i="7"/>
  <c r="J1536" i="7"/>
  <c r="J1537" i="7"/>
  <c r="J1538" i="7"/>
  <c r="J1539" i="7"/>
  <c r="J1540" i="7"/>
  <c r="J1541" i="7"/>
  <c r="J1542" i="7"/>
  <c r="J1543" i="7"/>
  <c r="J1544" i="7"/>
  <c r="J1545" i="7"/>
  <c r="J1546" i="7"/>
  <c r="J1547" i="7"/>
  <c r="J1548" i="7"/>
  <c r="J1549" i="7"/>
  <c r="J1550" i="7"/>
  <c r="J1551" i="7"/>
  <c r="J1552" i="7"/>
  <c r="J1553" i="7"/>
  <c r="J1554" i="7"/>
  <c r="J1555" i="7"/>
  <c r="J1556" i="7"/>
  <c r="J1557" i="7"/>
  <c r="J1558" i="7"/>
  <c r="J1559" i="7"/>
  <c r="J1560" i="7"/>
  <c r="J1561" i="7"/>
  <c r="J1562" i="7"/>
  <c r="J1563" i="7"/>
  <c r="J1564" i="7"/>
  <c r="J1565" i="7"/>
  <c r="J1566" i="7"/>
  <c r="J1567" i="7"/>
  <c r="J1568" i="7"/>
  <c r="J1569" i="7"/>
  <c r="J1570" i="7"/>
  <c r="J1571" i="7"/>
  <c r="J1572" i="7"/>
  <c r="J1573" i="7"/>
  <c r="J1574" i="7"/>
  <c r="J1575" i="7"/>
  <c r="J1576" i="7"/>
  <c r="J1577" i="7"/>
  <c r="J1578" i="7"/>
  <c r="J1579" i="7"/>
  <c r="J1580" i="7"/>
  <c r="J1581" i="7"/>
  <c r="J1582" i="7"/>
  <c r="J1583" i="7"/>
  <c r="J1584" i="7"/>
  <c r="J1585" i="7"/>
  <c r="J1586" i="7"/>
  <c r="J1587" i="7"/>
  <c r="J1588" i="7"/>
  <c r="J1589" i="7"/>
  <c r="J1590" i="7"/>
  <c r="J1591" i="7"/>
  <c r="J1592" i="7"/>
  <c r="J1593" i="7"/>
  <c r="J1594" i="7"/>
  <c r="J1595" i="7"/>
  <c r="J1596" i="7"/>
  <c r="J1597" i="7"/>
  <c r="J1598" i="7"/>
  <c r="J1599" i="7"/>
  <c r="J1600" i="7"/>
  <c r="J1601" i="7"/>
  <c r="J1602" i="7"/>
  <c r="J1603" i="7"/>
  <c r="J1604" i="7"/>
  <c r="J1605" i="7"/>
  <c r="J1606" i="7"/>
  <c r="J1607" i="7"/>
  <c r="J1608" i="7"/>
  <c r="J1609" i="7"/>
  <c r="J1610" i="7"/>
  <c r="J1611" i="7"/>
  <c r="J1612" i="7"/>
  <c r="J1613" i="7"/>
  <c r="J1614" i="7"/>
  <c r="J1615" i="7"/>
  <c r="J1616" i="7"/>
  <c r="J1617" i="7"/>
  <c r="J1618" i="7"/>
  <c r="J1619" i="7"/>
  <c r="J1620" i="7"/>
  <c r="J1621" i="7"/>
  <c r="J1622" i="7"/>
  <c r="J1623" i="7"/>
  <c r="J1624" i="7"/>
  <c r="J1625" i="7"/>
  <c r="J1626" i="7"/>
  <c r="J1627" i="7"/>
  <c r="J1628" i="7"/>
  <c r="J1629" i="7"/>
  <c r="J1630" i="7"/>
  <c r="J1631" i="7"/>
  <c r="J1632" i="7"/>
  <c r="J1633" i="7"/>
  <c r="J1634" i="7"/>
  <c r="J1635" i="7"/>
  <c r="J1636" i="7"/>
  <c r="J1637" i="7"/>
  <c r="J1638" i="7"/>
  <c r="J1639" i="7"/>
  <c r="J1640" i="7"/>
  <c r="J1641" i="7"/>
  <c r="J1642" i="7"/>
  <c r="J1643" i="7"/>
  <c r="J1644" i="7"/>
  <c r="J1645" i="7"/>
  <c r="J1646" i="7"/>
  <c r="J1647" i="7"/>
  <c r="J1648" i="7"/>
  <c r="J1649" i="7"/>
  <c r="J1650" i="7"/>
  <c r="J1651" i="7"/>
  <c r="J1652" i="7"/>
  <c r="J1653" i="7"/>
  <c r="J1654" i="7"/>
  <c r="J1655" i="7"/>
  <c r="J1656" i="7"/>
  <c r="J1657" i="7"/>
  <c r="J1658" i="7"/>
  <c r="J1659" i="7"/>
  <c r="J1660" i="7"/>
  <c r="J1661" i="7"/>
  <c r="J1662" i="7"/>
  <c r="J1663" i="7"/>
  <c r="J1664" i="7"/>
  <c r="J1665" i="7"/>
  <c r="J1666" i="7"/>
  <c r="J1667" i="7"/>
  <c r="J1668" i="7"/>
  <c r="J1669" i="7"/>
  <c r="J1670" i="7"/>
  <c r="J1671" i="7"/>
  <c r="J1672" i="7"/>
  <c r="J1673" i="7"/>
  <c r="J1674" i="7"/>
  <c r="J1675" i="7"/>
  <c r="J1676" i="7"/>
  <c r="J1677" i="7"/>
  <c r="J1678" i="7"/>
  <c r="J1679" i="7"/>
  <c r="J1680" i="7"/>
  <c r="J1681" i="7"/>
  <c r="J1682" i="7"/>
  <c r="J1683" i="7"/>
  <c r="J1684" i="7"/>
  <c r="J1685" i="7"/>
  <c r="J1686" i="7"/>
  <c r="J1687" i="7"/>
  <c r="J1688" i="7"/>
  <c r="J1689" i="7"/>
  <c r="J1690" i="7"/>
  <c r="J1691" i="7"/>
  <c r="J1692" i="7"/>
  <c r="J1693" i="7"/>
  <c r="J1694" i="7"/>
  <c r="J1695" i="7"/>
  <c r="J1696" i="7"/>
  <c r="J1697" i="7"/>
  <c r="J1698" i="7"/>
  <c r="J1699" i="7"/>
  <c r="J1700" i="7"/>
  <c r="J1701" i="7"/>
  <c r="J1702" i="7"/>
  <c r="J1703" i="7"/>
  <c r="J1704" i="7"/>
  <c r="J1705" i="7"/>
  <c r="J1706" i="7"/>
  <c r="J1707" i="7"/>
  <c r="J1708" i="7"/>
  <c r="J1709" i="7"/>
  <c r="J1710" i="7"/>
  <c r="J1711" i="7"/>
  <c r="J1712" i="7"/>
  <c r="J1713" i="7"/>
  <c r="J1714" i="7"/>
  <c r="J1715" i="7"/>
  <c r="J1716" i="7"/>
  <c r="J1717" i="7"/>
  <c r="J1718" i="7"/>
  <c r="J1719" i="7"/>
  <c r="J1720" i="7"/>
  <c r="J1721" i="7"/>
  <c r="J1722" i="7"/>
  <c r="J1723" i="7"/>
  <c r="J1724" i="7"/>
  <c r="J1725" i="7"/>
  <c r="J1726" i="7"/>
  <c r="J1727" i="7"/>
  <c r="J1728" i="7"/>
  <c r="J1729" i="7"/>
  <c r="J1730" i="7"/>
  <c r="J1731" i="7"/>
  <c r="J1732" i="7"/>
  <c r="J1733" i="7"/>
  <c r="J1734" i="7"/>
  <c r="J1735" i="7"/>
  <c r="J1736" i="7"/>
  <c r="J1737" i="7"/>
  <c r="J1738" i="7"/>
  <c r="J1739" i="7"/>
  <c r="J1740" i="7"/>
  <c r="J1741" i="7"/>
  <c r="J1742" i="7"/>
  <c r="J1743" i="7"/>
  <c r="J1744" i="7"/>
  <c r="J1745" i="7"/>
  <c r="J1746" i="7"/>
  <c r="J1747" i="7"/>
  <c r="J1748" i="7"/>
  <c r="J1749" i="7"/>
  <c r="J1750" i="7"/>
  <c r="J1751" i="7"/>
  <c r="J1752" i="7"/>
  <c r="J1753" i="7"/>
  <c r="J1754" i="7"/>
  <c r="J1755" i="7"/>
  <c r="J1756" i="7"/>
  <c r="J1757" i="7"/>
  <c r="J1758" i="7"/>
  <c r="J1759" i="7"/>
  <c r="J1760" i="7"/>
  <c r="J1761" i="7"/>
  <c r="J1762" i="7"/>
  <c r="J1763" i="7"/>
  <c r="J1764" i="7"/>
  <c r="J1765" i="7"/>
  <c r="J1766" i="7"/>
  <c r="J1767" i="7"/>
  <c r="J1768" i="7"/>
  <c r="J1769" i="7"/>
  <c r="J1770" i="7"/>
  <c r="J1771" i="7"/>
  <c r="J1772" i="7"/>
  <c r="J1773" i="7"/>
  <c r="J1774" i="7"/>
  <c r="J1775" i="7"/>
  <c r="J1776" i="7"/>
  <c r="J1777" i="7"/>
  <c r="J1778" i="7"/>
  <c r="J1779" i="7"/>
  <c r="J1780" i="7"/>
  <c r="J1781" i="7"/>
  <c r="J1782" i="7"/>
  <c r="J1783" i="7"/>
  <c r="J1784" i="7"/>
  <c r="J1785" i="7"/>
  <c r="J1786" i="7"/>
  <c r="J1787" i="7"/>
  <c r="J1788" i="7"/>
  <c r="J1789" i="7"/>
  <c r="J1790" i="7"/>
  <c r="J1791" i="7"/>
  <c r="J1792" i="7"/>
  <c r="J1793" i="7"/>
  <c r="J1794" i="7"/>
  <c r="J1795" i="7"/>
  <c r="J1796" i="7"/>
  <c r="J1797" i="7"/>
  <c r="J1798" i="7"/>
  <c r="J1799" i="7"/>
  <c r="J1800" i="7"/>
  <c r="J1801" i="7"/>
  <c r="J1802" i="7"/>
  <c r="J1803" i="7"/>
  <c r="J1804" i="7"/>
  <c r="J1805" i="7"/>
  <c r="J1806" i="7"/>
  <c r="J1807" i="7"/>
  <c r="J1808" i="7"/>
  <c r="J1809" i="7"/>
  <c r="J1810" i="7"/>
  <c r="J1811" i="7"/>
  <c r="J1812" i="7"/>
  <c r="J1813" i="7"/>
  <c r="J1814" i="7"/>
  <c r="J1815" i="7"/>
  <c r="J1816" i="7"/>
  <c r="J1817" i="7"/>
  <c r="J1818" i="7"/>
  <c r="J1819" i="7"/>
  <c r="J1820" i="7"/>
  <c r="J1821" i="7"/>
  <c r="J1822" i="7"/>
  <c r="J1823" i="7"/>
  <c r="J1824" i="7"/>
  <c r="J1825" i="7"/>
  <c r="J1826" i="7"/>
  <c r="J1827" i="7"/>
  <c r="J1828" i="7"/>
  <c r="J1829" i="7"/>
  <c r="J1830" i="7"/>
  <c r="J1831" i="7"/>
  <c r="J1832" i="7"/>
  <c r="J1833" i="7"/>
  <c r="J1834" i="7"/>
  <c r="J1835" i="7"/>
  <c r="J1836" i="7"/>
  <c r="J1837" i="7"/>
  <c r="J1838" i="7"/>
  <c r="J1839" i="7"/>
  <c r="J1840" i="7"/>
  <c r="J1841" i="7"/>
  <c r="J1842" i="7"/>
  <c r="J1843" i="7"/>
  <c r="J1844" i="7"/>
  <c r="J1845" i="7"/>
  <c r="J1846" i="7"/>
  <c r="J1847" i="7"/>
  <c r="J1848" i="7"/>
  <c r="J1849" i="7"/>
  <c r="J1850" i="7"/>
  <c r="J1851" i="7"/>
  <c r="J1852" i="7"/>
  <c r="J1853" i="7"/>
  <c r="J1854" i="7"/>
  <c r="J1855" i="7"/>
  <c r="J1856" i="7"/>
  <c r="J1857" i="7"/>
  <c r="J1858" i="7"/>
  <c r="J1859" i="7"/>
  <c r="J1860" i="7"/>
  <c r="J1861" i="7"/>
  <c r="J1862" i="7"/>
  <c r="J1863" i="7"/>
  <c r="J1864" i="7"/>
  <c r="J1865" i="7"/>
  <c r="J1866" i="7"/>
  <c r="J1867" i="7"/>
  <c r="J1868" i="7"/>
  <c r="J1869" i="7"/>
  <c r="J1870" i="7"/>
  <c r="J1871" i="7"/>
  <c r="J1872" i="7"/>
  <c r="J1873" i="7"/>
  <c r="J1874" i="7"/>
  <c r="J1875" i="7"/>
  <c r="J1876" i="7"/>
  <c r="J1877" i="7"/>
  <c r="J1878" i="7"/>
  <c r="J1879" i="7"/>
  <c r="J1880" i="7"/>
  <c r="J1881" i="7"/>
  <c r="J1882" i="7"/>
  <c r="J1883" i="7"/>
  <c r="J1884" i="7"/>
  <c r="J1885" i="7"/>
  <c r="J1886" i="7"/>
  <c r="J1887" i="7"/>
  <c r="J1888" i="7"/>
  <c r="J1889" i="7"/>
  <c r="J1890" i="7"/>
  <c r="J1891" i="7"/>
  <c r="J1892" i="7"/>
  <c r="J1893" i="7"/>
  <c r="J1894" i="7"/>
  <c r="J1895" i="7"/>
  <c r="J1896" i="7"/>
  <c r="J1897" i="7"/>
  <c r="J1898" i="7"/>
  <c r="J1899" i="7"/>
  <c r="J1900" i="7"/>
  <c r="J1901" i="7"/>
  <c r="J1902" i="7"/>
  <c r="J1903" i="7"/>
  <c r="J1904" i="7"/>
  <c r="J1905" i="7"/>
  <c r="J1906" i="7"/>
  <c r="J1907" i="7"/>
  <c r="J1908" i="7"/>
  <c r="J1909" i="7"/>
  <c r="J1910" i="7"/>
  <c r="J1911" i="7"/>
  <c r="J1912" i="7"/>
  <c r="J1913" i="7"/>
  <c r="J1914" i="7"/>
  <c r="J1915" i="7"/>
  <c r="J1916" i="7"/>
  <c r="J1917" i="7"/>
  <c r="J1918" i="7"/>
  <c r="J1919" i="7"/>
  <c r="J1920" i="7"/>
  <c r="J1921" i="7"/>
  <c r="J1922" i="7"/>
  <c r="J1923" i="7"/>
  <c r="J1924" i="7"/>
  <c r="J1925" i="7"/>
  <c r="J1926" i="7"/>
  <c r="J1927" i="7"/>
  <c r="J1928" i="7"/>
  <c r="J1929" i="7"/>
  <c r="J1930" i="7"/>
  <c r="J1931" i="7"/>
  <c r="J1932" i="7"/>
  <c r="J1933" i="7"/>
  <c r="J1934" i="7"/>
  <c r="J1935" i="7"/>
  <c r="J1936" i="7"/>
  <c r="J1937" i="7"/>
  <c r="J1938" i="7"/>
  <c r="J1939" i="7"/>
  <c r="J1940" i="7"/>
  <c r="J1941" i="7"/>
  <c r="J1942" i="7"/>
  <c r="J1943" i="7"/>
  <c r="J1944" i="7"/>
  <c r="J1945" i="7"/>
  <c r="J1946" i="7"/>
  <c r="J1947" i="7"/>
  <c r="J1948" i="7"/>
  <c r="J1949" i="7"/>
  <c r="J1950" i="7"/>
  <c r="J1951" i="7"/>
  <c r="J1952" i="7"/>
  <c r="J1953" i="7"/>
  <c r="J1954" i="7"/>
  <c r="J1955" i="7"/>
  <c r="J1956" i="7"/>
  <c r="J1957" i="7"/>
  <c r="J1958" i="7"/>
  <c r="J1959" i="7"/>
  <c r="J1960" i="7"/>
  <c r="J1961" i="7"/>
  <c r="J1962" i="7"/>
  <c r="J1963" i="7"/>
  <c r="J1964" i="7"/>
  <c r="J1965" i="7"/>
  <c r="J1966" i="7"/>
  <c r="J1967" i="7"/>
  <c r="J1968" i="7"/>
  <c r="J1969" i="7"/>
  <c r="J1970" i="7"/>
  <c r="J1971" i="7"/>
  <c r="J1972" i="7"/>
  <c r="J1973" i="7"/>
  <c r="J1974" i="7"/>
  <c r="J1975" i="7"/>
  <c r="J1976" i="7"/>
  <c r="J1977" i="7"/>
  <c r="J1978" i="7"/>
  <c r="J1979" i="7"/>
  <c r="J1980" i="7"/>
  <c r="J1981" i="7"/>
  <c r="J1982" i="7"/>
  <c r="J1983" i="7"/>
  <c r="J1984" i="7"/>
  <c r="J1985" i="7"/>
  <c r="J1986" i="7"/>
  <c r="J1987" i="7"/>
  <c r="J1988" i="7"/>
  <c r="J1989" i="7"/>
  <c r="J1990" i="7"/>
  <c r="J1991" i="7"/>
  <c r="J1992" i="7"/>
  <c r="J1993" i="7"/>
  <c r="J1994" i="7"/>
  <c r="J1995" i="7"/>
  <c r="J1996" i="7"/>
  <c r="J1997" i="7"/>
  <c r="J1998" i="7"/>
  <c r="J1999" i="7"/>
  <c r="J2000" i="7"/>
  <c r="J2001" i="7"/>
  <c r="J2002" i="7"/>
  <c r="J2003" i="7"/>
  <c r="J2004" i="7"/>
  <c r="J2005" i="7"/>
  <c r="J2006" i="7"/>
  <c r="J2007" i="7"/>
  <c r="J2008" i="7"/>
  <c r="J2009" i="7"/>
  <c r="J2010" i="7"/>
  <c r="J2011" i="7"/>
  <c r="J2012" i="7"/>
  <c r="J2013" i="7"/>
  <c r="J2014" i="7"/>
  <c r="J2015" i="7"/>
  <c r="J2016" i="7"/>
  <c r="J2017" i="7"/>
  <c r="J2018" i="7"/>
  <c r="J2019" i="7"/>
  <c r="J2020" i="7"/>
  <c r="J2021" i="7"/>
  <c r="J2022" i="7"/>
  <c r="J2023" i="7"/>
  <c r="J2024" i="7"/>
  <c r="J2025" i="7"/>
  <c r="J2026" i="7"/>
  <c r="J2027" i="7"/>
  <c r="J2028" i="7"/>
  <c r="J2029" i="7"/>
  <c r="J2030" i="7"/>
  <c r="J2031" i="7"/>
  <c r="J2032" i="7"/>
  <c r="J2033" i="7"/>
  <c r="J2034" i="7"/>
  <c r="J2035" i="7"/>
  <c r="J2036" i="7"/>
  <c r="J2037" i="7"/>
  <c r="J2038" i="7"/>
  <c r="J2039" i="7"/>
  <c r="J2040" i="7"/>
  <c r="J2041" i="7"/>
  <c r="J2042" i="7"/>
  <c r="J2043" i="7"/>
  <c r="J2044" i="7"/>
  <c r="J2045" i="7"/>
  <c r="J2046" i="7"/>
  <c r="J2047" i="7"/>
  <c r="J2048" i="7"/>
  <c r="J2049" i="7"/>
  <c r="J2050" i="7"/>
  <c r="J2051" i="7"/>
  <c r="J2052" i="7"/>
  <c r="J2053" i="7"/>
  <c r="J2054" i="7"/>
  <c r="J2055" i="7"/>
  <c r="J2056" i="7"/>
  <c r="J2057" i="7"/>
  <c r="J2058" i="7"/>
  <c r="J2059" i="7"/>
  <c r="J2060" i="7"/>
  <c r="J2061" i="7"/>
  <c r="J2062" i="7"/>
  <c r="J2063" i="7"/>
  <c r="J2064" i="7"/>
  <c r="J2065" i="7"/>
  <c r="J2066" i="7"/>
  <c r="J2067" i="7"/>
  <c r="J2068" i="7"/>
  <c r="J2069" i="7"/>
  <c r="J2070" i="7"/>
  <c r="J2071" i="7"/>
  <c r="J2072" i="7"/>
  <c r="J2073" i="7"/>
  <c r="J2074" i="7"/>
  <c r="J2075" i="7"/>
  <c r="J2076" i="7"/>
  <c r="J2077" i="7"/>
  <c r="J2078" i="7"/>
  <c r="J2079" i="7"/>
  <c r="J2080" i="7"/>
  <c r="J2081" i="7"/>
  <c r="J2082" i="7"/>
  <c r="J2083" i="7"/>
  <c r="J2084" i="7"/>
  <c r="J2085" i="7"/>
  <c r="J2086" i="7"/>
  <c r="J2087" i="7"/>
  <c r="J2088" i="7"/>
  <c r="J2089" i="7"/>
  <c r="J2090" i="7"/>
  <c r="J2091" i="7"/>
  <c r="J2092" i="7"/>
  <c r="J2093" i="7"/>
  <c r="J2094" i="7"/>
  <c r="J2095" i="7"/>
  <c r="J2096" i="7"/>
  <c r="J2097" i="7"/>
  <c r="J2098" i="7"/>
  <c r="J2099" i="7"/>
  <c r="J2100" i="7"/>
  <c r="J2101" i="7"/>
  <c r="J2102" i="7"/>
  <c r="J2103" i="7"/>
  <c r="J2104" i="7"/>
  <c r="J2105" i="7"/>
  <c r="J2106" i="7"/>
  <c r="J2107" i="7"/>
  <c r="J2108" i="7"/>
  <c r="J2109" i="7"/>
  <c r="J2110" i="7"/>
  <c r="J2111" i="7"/>
  <c r="J2112" i="7"/>
  <c r="J2113" i="7"/>
  <c r="J2114" i="7"/>
  <c r="J2115" i="7"/>
  <c r="J2116" i="7"/>
  <c r="J2117" i="7"/>
  <c r="J2118" i="7"/>
  <c r="J2119" i="7"/>
  <c r="J2120" i="7"/>
  <c r="J2121" i="7"/>
  <c r="J2122" i="7"/>
  <c r="J2123" i="7"/>
  <c r="J2124" i="7"/>
  <c r="J2125" i="7"/>
  <c r="J2126" i="7"/>
  <c r="J2127" i="7"/>
  <c r="J2128" i="7"/>
  <c r="J2129" i="7"/>
  <c r="J2130" i="7"/>
  <c r="J2131" i="7"/>
  <c r="J2132" i="7"/>
  <c r="J2133" i="7"/>
  <c r="J2134" i="7"/>
  <c r="J2135" i="7"/>
  <c r="J2136" i="7"/>
  <c r="J2137" i="7"/>
  <c r="J2138" i="7"/>
  <c r="J2139" i="7"/>
  <c r="J2140" i="7"/>
  <c r="J2141" i="7"/>
  <c r="J2142" i="7"/>
  <c r="J2143" i="7"/>
  <c r="J2144" i="7"/>
  <c r="J2145" i="7"/>
  <c r="J2146" i="7"/>
  <c r="J2147" i="7"/>
  <c r="J2148" i="7"/>
  <c r="J2149" i="7"/>
  <c r="J2150" i="7"/>
  <c r="J2151" i="7"/>
  <c r="J2152" i="7"/>
  <c r="J2153" i="7"/>
  <c r="J2154" i="7"/>
  <c r="J2155" i="7"/>
  <c r="J2156" i="7"/>
  <c r="J2157" i="7"/>
  <c r="J2158" i="7"/>
  <c r="J2159" i="7"/>
  <c r="J2160" i="7"/>
  <c r="J2161" i="7"/>
  <c r="J2162" i="7"/>
  <c r="J2163" i="7"/>
  <c r="J2164" i="7"/>
  <c r="J2165" i="7"/>
  <c r="J2166" i="7"/>
  <c r="J2167" i="7"/>
  <c r="J2168" i="7"/>
  <c r="J2169" i="7"/>
  <c r="J2170" i="7"/>
  <c r="J2171" i="7"/>
  <c r="J2172" i="7"/>
  <c r="J2173" i="7"/>
  <c r="J2174" i="7"/>
  <c r="J2175" i="7"/>
  <c r="J2176" i="7"/>
  <c r="J2177" i="7"/>
  <c r="J2178" i="7"/>
  <c r="J2179" i="7"/>
  <c r="J2180" i="7"/>
  <c r="J2181" i="7"/>
  <c r="J2182" i="7"/>
  <c r="J2183" i="7"/>
  <c r="J2184" i="7"/>
  <c r="J2185" i="7"/>
  <c r="J2186" i="7"/>
  <c r="J2187" i="7"/>
  <c r="J2188" i="7"/>
  <c r="J2189" i="7"/>
  <c r="J2190" i="7"/>
  <c r="J2191" i="7"/>
  <c r="J2192" i="7"/>
  <c r="J2193" i="7"/>
  <c r="J2194" i="7"/>
  <c r="J2195" i="7"/>
  <c r="J2196" i="7"/>
  <c r="J2197" i="7"/>
  <c r="J2198" i="7"/>
  <c r="J2199" i="7"/>
  <c r="J2200" i="7"/>
  <c r="J2201" i="7"/>
  <c r="J2202" i="7"/>
  <c r="J2203" i="7"/>
  <c r="J2204" i="7"/>
  <c r="J2205" i="7"/>
  <c r="J2206" i="7"/>
  <c r="J2207" i="7"/>
  <c r="J2208" i="7"/>
  <c r="J2209" i="7"/>
  <c r="J2210" i="7"/>
  <c r="J2211" i="7"/>
  <c r="J2212" i="7"/>
  <c r="J2213" i="7"/>
  <c r="J2214" i="7"/>
  <c r="J2215" i="7"/>
  <c r="J2216" i="7"/>
  <c r="J2217" i="7"/>
  <c r="J2218" i="7"/>
  <c r="J2219" i="7"/>
  <c r="J2220" i="7"/>
  <c r="J2221" i="7"/>
  <c r="J2222" i="7"/>
  <c r="J2223" i="7"/>
  <c r="J2224" i="7"/>
  <c r="J2225" i="7"/>
  <c r="J2226" i="7"/>
  <c r="J2227" i="7"/>
  <c r="J2228" i="7"/>
  <c r="J2229" i="7"/>
  <c r="J2230" i="7"/>
  <c r="J2231" i="7"/>
  <c r="J2232" i="7"/>
  <c r="J2233" i="7"/>
  <c r="J2234" i="7"/>
  <c r="J2235" i="7"/>
  <c r="J2236" i="7"/>
  <c r="J2237" i="7"/>
  <c r="J2238" i="7"/>
  <c r="J2239" i="7"/>
  <c r="J2240" i="7"/>
  <c r="J2241" i="7"/>
  <c r="J2242" i="7"/>
  <c r="J2243" i="7"/>
  <c r="J2244" i="7"/>
  <c r="J2245" i="7"/>
  <c r="J2246" i="7"/>
  <c r="J2247" i="7"/>
  <c r="J2248" i="7"/>
  <c r="J2249" i="7"/>
  <c r="J2250" i="7"/>
  <c r="J2251" i="7"/>
  <c r="J2252" i="7"/>
  <c r="J2253" i="7"/>
  <c r="J2254" i="7"/>
  <c r="J2255" i="7"/>
  <c r="J2256" i="7"/>
  <c r="J2257" i="7"/>
  <c r="J2258" i="7"/>
  <c r="J2259" i="7"/>
  <c r="J2260" i="7"/>
  <c r="J2261" i="7"/>
  <c r="J2262" i="7"/>
  <c r="J2263" i="7"/>
  <c r="J2264" i="7"/>
  <c r="J2265" i="7"/>
  <c r="J2266" i="7"/>
  <c r="J2267" i="7"/>
  <c r="J2268" i="7"/>
  <c r="J2269" i="7"/>
  <c r="J2270" i="7"/>
  <c r="J2271" i="7"/>
  <c r="J2272" i="7"/>
  <c r="J2273" i="7"/>
  <c r="J2274" i="7"/>
  <c r="J2275" i="7"/>
  <c r="J2276" i="7"/>
  <c r="J2277" i="7"/>
  <c r="J2278" i="7"/>
  <c r="J2279" i="7"/>
  <c r="J2280" i="7"/>
  <c r="J2281" i="7"/>
  <c r="J2282" i="7"/>
  <c r="J2283" i="7"/>
  <c r="J2284" i="7"/>
  <c r="J2285" i="7"/>
  <c r="J2286" i="7"/>
  <c r="J2287" i="7"/>
  <c r="J2288" i="7"/>
  <c r="J2289" i="7"/>
  <c r="J2290" i="7"/>
  <c r="J2291" i="7"/>
  <c r="J2292" i="7"/>
  <c r="J2293" i="7"/>
  <c r="J2294" i="7"/>
  <c r="J2295" i="7"/>
  <c r="J2296" i="7"/>
  <c r="J2297" i="7"/>
  <c r="J2298" i="7"/>
  <c r="J2299" i="7"/>
  <c r="J2300" i="7"/>
  <c r="J2301" i="7"/>
  <c r="J2302" i="7"/>
  <c r="J2303" i="7"/>
  <c r="J2304" i="7"/>
  <c r="J2305" i="7"/>
  <c r="J2306" i="7"/>
  <c r="J2307" i="7"/>
  <c r="J2308" i="7"/>
  <c r="J2309" i="7"/>
  <c r="J2310" i="7"/>
  <c r="J2311" i="7"/>
  <c r="J2312" i="7"/>
  <c r="J2313" i="7"/>
  <c r="J2314" i="7"/>
  <c r="J2315" i="7"/>
  <c r="J2316" i="7"/>
  <c r="J2317" i="7"/>
  <c r="J2318" i="7"/>
  <c r="J2319" i="7"/>
  <c r="J2320" i="7"/>
  <c r="J2321" i="7"/>
  <c r="J2322" i="7"/>
  <c r="J2323" i="7"/>
  <c r="J2324" i="7"/>
  <c r="J2325" i="7"/>
  <c r="J2326" i="7"/>
  <c r="J2327" i="7"/>
  <c r="J2328" i="7"/>
  <c r="J2329" i="7"/>
  <c r="J2330" i="7"/>
  <c r="J2331" i="7"/>
  <c r="J2332" i="7"/>
  <c r="J2333" i="7"/>
  <c r="J2334" i="7"/>
  <c r="J2335" i="7"/>
  <c r="J2336" i="7"/>
  <c r="J2337" i="7"/>
  <c r="J2338" i="7"/>
  <c r="J2339" i="7"/>
  <c r="J2340" i="7"/>
  <c r="J2341" i="7"/>
  <c r="J2342" i="7"/>
  <c r="J2343" i="7"/>
  <c r="J2344" i="7"/>
  <c r="J2345" i="7"/>
  <c r="J2346" i="7"/>
  <c r="J2347" i="7"/>
  <c r="J2348" i="7"/>
  <c r="J2349" i="7"/>
  <c r="J2350" i="7"/>
  <c r="J2351" i="7"/>
  <c r="J2352" i="7"/>
  <c r="J2353" i="7"/>
  <c r="J2354" i="7"/>
  <c r="J2355" i="7"/>
  <c r="J2356" i="7"/>
  <c r="J2357" i="7"/>
  <c r="J2358" i="7"/>
  <c r="J2359" i="7"/>
  <c r="J2360" i="7"/>
  <c r="J2361" i="7"/>
  <c r="J2362" i="7"/>
  <c r="J2363" i="7"/>
  <c r="J2364" i="7"/>
  <c r="J2365" i="7"/>
  <c r="J2366" i="7"/>
  <c r="J2367" i="7"/>
  <c r="J2368" i="7"/>
  <c r="J2369" i="7"/>
  <c r="J2370" i="7"/>
  <c r="J2371" i="7"/>
  <c r="J2372" i="7"/>
  <c r="J2373" i="7"/>
  <c r="J2374" i="7"/>
  <c r="J2375" i="7"/>
  <c r="J2376" i="7"/>
  <c r="J2377" i="7"/>
  <c r="J2378" i="7"/>
  <c r="J2379" i="7"/>
  <c r="J2380" i="7"/>
  <c r="J2381" i="7"/>
  <c r="J2382" i="7"/>
  <c r="J2383" i="7"/>
  <c r="J2384" i="7"/>
  <c r="J2385" i="7"/>
  <c r="J2386" i="7"/>
  <c r="J2387" i="7"/>
  <c r="J2388" i="7"/>
  <c r="J2389" i="7"/>
  <c r="J2390" i="7"/>
  <c r="J2391" i="7"/>
  <c r="J2392" i="7"/>
  <c r="J2393" i="7"/>
  <c r="J2394" i="7"/>
  <c r="J2395" i="7"/>
  <c r="J2396" i="7"/>
  <c r="J2397" i="7"/>
  <c r="J2398" i="7"/>
  <c r="J2399" i="7"/>
  <c r="J2400" i="7"/>
  <c r="J2401" i="7"/>
  <c r="J2402" i="7"/>
  <c r="J2403" i="7"/>
  <c r="J2404" i="7"/>
  <c r="J2405" i="7"/>
  <c r="J2406" i="7"/>
  <c r="J2407" i="7"/>
  <c r="J2408" i="7"/>
  <c r="J2409" i="7"/>
  <c r="J2410" i="7"/>
  <c r="J2411" i="7"/>
  <c r="J2412" i="7"/>
  <c r="J2413" i="7"/>
  <c r="J2414" i="7"/>
  <c r="J2415" i="7"/>
  <c r="J2416" i="7"/>
  <c r="J2417" i="7"/>
  <c r="J2418" i="7"/>
  <c r="J2419" i="7"/>
  <c r="J2420" i="7"/>
  <c r="J2421" i="7"/>
  <c r="J2422" i="7"/>
  <c r="J2423" i="7"/>
  <c r="J2424" i="7"/>
  <c r="J2425" i="7"/>
  <c r="J2426" i="7"/>
  <c r="J2427" i="7"/>
  <c r="J2428" i="7"/>
  <c r="J2429" i="7"/>
  <c r="J2430" i="7"/>
  <c r="J2431" i="7"/>
  <c r="J2432" i="7"/>
  <c r="J2433" i="7"/>
  <c r="J2434" i="7"/>
  <c r="J2435" i="7"/>
  <c r="J2436" i="7"/>
  <c r="J2437" i="7"/>
  <c r="J2438" i="7"/>
  <c r="J2439" i="7"/>
  <c r="J2440" i="7"/>
  <c r="J2441" i="7"/>
  <c r="J2442" i="7"/>
  <c r="J2443" i="7"/>
  <c r="J2444" i="7"/>
  <c r="J2445" i="7"/>
  <c r="J2446" i="7"/>
  <c r="J2447" i="7"/>
  <c r="J2448" i="7"/>
  <c r="J2449" i="7"/>
  <c r="J2450" i="7"/>
  <c r="J2451" i="7"/>
  <c r="J2452" i="7"/>
  <c r="J2453" i="7"/>
  <c r="J2454" i="7"/>
  <c r="J2455" i="7"/>
  <c r="J2456" i="7"/>
  <c r="J2457" i="7"/>
  <c r="J2458" i="7"/>
  <c r="J2459" i="7"/>
  <c r="J2460" i="7"/>
  <c r="J2461" i="7"/>
  <c r="J2462" i="7"/>
  <c r="J2463" i="7"/>
  <c r="J2464" i="7"/>
  <c r="J2465" i="7"/>
  <c r="J2466" i="7"/>
  <c r="J2467" i="7"/>
  <c r="J2468" i="7"/>
  <c r="J2469" i="7"/>
  <c r="J2470" i="7"/>
  <c r="J2471" i="7"/>
  <c r="J2472" i="7"/>
  <c r="J2473" i="7"/>
  <c r="J2474" i="7"/>
  <c r="J2475" i="7"/>
  <c r="J2476" i="7"/>
  <c r="J2477" i="7"/>
  <c r="J2478" i="7"/>
  <c r="J2479" i="7"/>
  <c r="J2480" i="7"/>
  <c r="J2481" i="7"/>
  <c r="J2482" i="7"/>
  <c r="J2483" i="7"/>
  <c r="J2484" i="7"/>
  <c r="J2485" i="7"/>
  <c r="J2486" i="7"/>
  <c r="J2487" i="7"/>
  <c r="J2488" i="7"/>
  <c r="J2489" i="7"/>
  <c r="J2490" i="7"/>
  <c r="J2491" i="7"/>
  <c r="J2492" i="7"/>
  <c r="J2493" i="7"/>
  <c r="J2494" i="7"/>
  <c r="J2495" i="7"/>
  <c r="J2496" i="7"/>
  <c r="J2497" i="7"/>
  <c r="J2498" i="7"/>
  <c r="J2499" i="7"/>
  <c r="J2500" i="7"/>
  <c r="J2501" i="7"/>
  <c r="J2502" i="7"/>
  <c r="J2503" i="7"/>
  <c r="J2504" i="7"/>
  <c r="J2505" i="7"/>
  <c r="J2506" i="7"/>
  <c r="J2507" i="7"/>
  <c r="J2508" i="7"/>
  <c r="J2509" i="7"/>
  <c r="J2510" i="7"/>
  <c r="J2511" i="7"/>
  <c r="J2512" i="7"/>
  <c r="J2513" i="7"/>
  <c r="J2514" i="7"/>
  <c r="J2515" i="7"/>
  <c r="J2516" i="7"/>
  <c r="J2517" i="7"/>
  <c r="J2518" i="7"/>
  <c r="J2519" i="7"/>
  <c r="J2520" i="7"/>
  <c r="J2521" i="7"/>
  <c r="J2522" i="7"/>
  <c r="J2523" i="7"/>
  <c r="J2524" i="7"/>
  <c r="J2525" i="7"/>
  <c r="J2526" i="7"/>
  <c r="J2527" i="7"/>
  <c r="J2528" i="7"/>
  <c r="J2529" i="7"/>
  <c r="J2530" i="7"/>
  <c r="J2531" i="7"/>
  <c r="J2532" i="7"/>
  <c r="J2533" i="7"/>
  <c r="J2534" i="7"/>
  <c r="J2535" i="7"/>
  <c r="J2536" i="7"/>
  <c r="J2537" i="7"/>
  <c r="J2538" i="7"/>
  <c r="J2539" i="7"/>
  <c r="J2540" i="7"/>
  <c r="J2541" i="7"/>
  <c r="J2542" i="7"/>
  <c r="J2543" i="7"/>
  <c r="J2544" i="7"/>
  <c r="J2545" i="7"/>
  <c r="J2546" i="7"/>
  <c r="J2547" i="7"/>
  <c r="J2548" i="7"/>
  <c r="J2549" i="7"/>
  <c r="J2550" i="7"/>
  <c r="J2551" i="7"/>
  <c r="J2552" i="7"/>
  <c r="J2553" i="7"/>
  <c r="J2554" i="7"/>
  <c r="J2555" i="7"/>
  <c r="J2556" i="7"/>
  <c r="J2557" i="7"/>
  <c r="J2558" i="7"/>
  <c r="J2559" i="7"/>
  <c r="J2560" i="7"/>
  <c r="J2561" i="7"/>
  <c r="J2562" i="7"/>
  <c r="J2563" i="7"/>
  <c r="J2564" i="7"/>
  <c r="J2565" i="7"/>
  <c r="J2566" i="7"/>
  <c r="J2567" i="7"/>
  <c r="J2568" i="7"/>
  <c r="J2569" i="7"/>
  <c r="J2570" i="7"/>
  <c r="J2571" i="7"/>
  <c r="J2572" i="7"/>
  <c r="J2573" i="7"/>
  <c r="J2574" i="7"/>
  <c r="J2575" i="7"/>
  <c r="J2576" i="7"/>
  <c r="J2577" i="7"/>
  <c r="J2578" i="7"/>
  <c r="J2579" i="7"/>
  <c r="J2580" i="7"/>
  <c r="J2581" i="7"/>
  <c r="J2582" i="7"/>
  <c r="J2583" i="7"/>
  <c r="J2584" i="7"/>
  <c r="J2585" i="7"/>
  <c r="J2586" i="7"/>
  <c r="J2587" i="7"/>
  <c r="J2588" i="7"/>
  <c r="J2589" i="7"/>
  <c r="J2590" i="7"/>
  <c r="J2591" i="7"/>
  <c r="J2592" i="7"/>
  <c r="J2593" i="7"/>
  <c r="J2594" i="7"/>
  <c r="J2595" i="7"/>
  <c r="J2596" i="7"/>
  <c r="J2597" i="7"/>
  <c r="J2598" i="7"/>
  <c r="J2599" i="7"/>
  <c r="J2600" i="7"/>
  <c r="J2601" i="7"/>
  <c r="J2602" i="7"/>
  <c r="J2603" i="7"/>
  <c r="J2604" i="7"/>
  <c r="J2605" i="7"/>
  <c r="J2606" i="7"/>
  <c r="J2607" i="7"/>
  <c r="J2608" i="7"/>
  <c r="J2609" i="7"/>
  <c r="J2610" i="7"/>
  <c r="J2611" i="7"/>
  <c r="J2612" i="7"/>
  <c r="J2613" i="7"/>
  <c r="J2614" i="7"/>
  <c r="J2615" i="7"/>
  <c r="J2616" i="7"/>
  <c r="J2617" i="7"/>
  <c r="J2618" i="7"/>
  <c r="J2619" i="7"/>
  <c r="J2620" i="7"/>
  <c r="J2621" i="7"/>
  <c r="J2622" i="7"/>
  <c r="J2623" i="7"/>
  <c r="J2624" i="7"/>
  <c r="J2625" i="7"/>
  <c r="J2626" i="7"/>
  <c r="J2627" i="7"/>
  <c r="J2628" i="7"/>
  <c r="J2629" i="7"/>
  <c r="J2630" i="7"/>
  <c r="J2631" i="7"/>
  <c r="J2632" i="7"/>
  <c r="J2633" i="7"/>
  <c r="J2634" i="7"/>
  <c r="J2635" i="7"/>
  <c r="J2636" i="7"/>
  <c r="J2637" i="7"/>
  <c r="J2638" i="7"/>
  <c r="J2639" i="7"/>
  <c r="J2640" i="7"/>
  <c r="J2641" i="7"/>
  <c r="J2642" i="7"/>
  <c r="J2643" i="7"/>
  <c r="J2644" i="7"/>
  <c r="J2645" i="7"/>
  <c r="J2646" i="7"/>
  <c r="J2647" i="7"/>
  <c r="J2648" i="7"/>
  <c r="J2649" i="7"/>
  <c r="J2650" i="7"/>
  <c r="J2651" i="7"/>
  <c r="J2652" i="7"/>
  <c r="J2653" i="7"/>
  <c r="J2654" i="7"/>
  <c r="J2655" i="7"/>
  <c r="J2656" i="7"/>
  <c r="J2657" i="7"/>
  <c r="J2658" i="7"/>
  <c r="J2659" i="7"/>
  <c r="J2660" i="7"/>
  <c r="J2661" i="7"/>
  <c r="J2662" i="7"/>
  <c r="J2663" i="7"/>
  <c r="J2664" i="7"/>
  <c r="J2665" i="7"/>
  <c r="J2666" i="7"/>
  <c r="J2667" i="7"/>
  <c r="J2668" i="7"/>
  <c r="J2669" i="7"/>
  <c r="J2670" i="7"/>
  <c r="J2671" i="7"/>
  <c r="J2672" i="7"/>
  <c r="J2673" i="7"/>
  <c r="J2674" i="7"/>
  <c r="J2675" i="7"/>
  <c r="J2676" i="7"/>
  <c r="J2677" i="7"/>
  <c r="J2678" i="7"/>
  <c r="J2679" i="7"/>
  <c r="J2680" i="7"/>
  <c r="J2681" i="7"/>
  <c r="J2682" i="7"/>
  <c r="J2683" i="7"/>
  <c r="J2684" i="7"/>
  <c r="J2685" i="7"/>
  <c r="J2686" i="7"/>
  <c r="J2687" i="7"/>
  <c r="J2688" i="7"/>
  <c r="J2689" i="7"/>
  <c r="J2690" i="7"/>
  <c r="J2691" i="7"/>
  <c r="J2692" i="7"/>
  <c r="J2693" i="7"/>
  <c r="J2694" i="7"/>
  <c r="J2695" i="7"/>
  <c r="J2696" i="7"/>
  <c r="J2697" i="7"/>
  <c r="J2698" i="7"/>
  <c r="J2699" i="7"/>
  <c r="J2700" i="7"/>
  <c r="J2701" i="7"/>
  <c r="J2702" i="7"/>
  <c r="J2703" i="7"/>
  <c r="J2704" i="7"/>
  <c r="J2705" i="7"/>
  <c r="J2706" i="7"/>
  <c r="J2707" i="7"/>
  <c r="J2708" i="7"/>
  <c r="J2709" i="7"/>
  <c r="J2710" i="7"/>
  <c r="J2711" i="7"/>
  <c r="J2712" i="7"/>
  <c r="J2713" i="7"/>
  <c r="J2714" i="7"/>
  <c r="J2715" i="7"/>
  <c r="J2716" i="7"/>
  <c r="J2717" i="7"/>
  <c r="J2718" i="7"/>
  <c r="J2719" i="7"/>
  <c r="J2720" i="7"/>
  <c r="J2721" i="7"/>
  <c r="J2722" i="7"/>
  <c r="J2723" i="7"/>
  <c r="J2724" i="7"/>
  <c r="J2725" i="7"/>
  <c r="J2726" i="7"/>
  <c r="J2727" i="7"/>
  <c r="J2728" i="7"/>
  <c r="J2729" i="7"/>
  <c r="J2730" i="7"/>
  <c r="J2731" i="7"/>
  <c r="J2732" i="7"/>
  <c r="J2733" i="7"/>
  <c r="J2734" i="7"/>
  <c r="J2735" i="7"/>
  <c r="J2736" i="7"/>
  <c r="J2737" i="7"/>
  <c r="J2738" i="7"/>
  <c r="J2739" i="7"/>
  <c r="J2740" i="7"/>
  <c r="J2741" i="7"/>
  <c r="J2742" i="7"/>
  <c r="J2743" i="7"/>
  <c r="J2744" i="7"/>
  <c r="J2745" i="7"/>
  <c r="J2746" i="7"/>
  <c r="J2747" i="7"/>
  <c r="J2748" i="7"/>
  <c r="J2749" i="7"/>
  <c r="J2750" i="7"/>
  <c r="J2751" i="7"/>
  <c r="J2752" i="7"/>
  <c r="J2753" i="7"/>
  <c r="J2754" i="7"/>
  <c r="J2755" i="7"/>
  <c r="J2756" i="7"/>
  <c r="J2757" i="7"/>
  <c r="J2758" i="7"/>
  <c r="J2759" i="7"/>
  <c r="J2760" i="7"/>
  <c r="J2761" i="7"/>
  <c r="J2762" i="7"/>
  <c r="J2763" i="7"/>
  <c r="J2764" i="7"/>
  <c r="J2765" i="7"/>
  <c r="J2766" i="7"/>
  <c r="J2767" i="7"/>
  <c r="J2768" i="7"/>
  <c r="J2769" i="7"/>
  <c r="J2770" i="7"/>
  <c r="J2771" i="7"/>
  <c r="J2772" i="7"/>
  <c r="J2773" i="7"/>
  <c r="J2774" i="7"/>
  <c r="J2775" i="7"/>
  <c r="J2776" i="7"/>
  <c r="J2777" i="7"/>
  <c r="J2778" i="7"/>
  <c r="J2779" i="7"/>
  <c r="J2780" i="7"/>
  <c r="J2781" i="7"/>
  <c r="J2782" i="7"/>
  <c r="J2783" i="7"/>
  <c r="J2784" i="7"/>
  <c r="J2785" i="7"/>
  <c r="J2786" i="7"/>
  <c r="J2787" i="7"/>
  <c r="J2788" i="7"/>
  <c r="J2789" i="7"/>
  <c r="J2790" i="7"/>
  <c r="J2791" i="7"/>
  <c r="J2792" i="7"/>
  <c r="J2793" i="7"/>
  <c r="J2794" i="7"/>
  <c r="J2795" i="7"/>
  <c r="J2796" i="7"/>
  <c r="J2797" i="7"/>
  <c r="J2798" i="7"/>
  <c r="J2799" i="7"/>
  <c r="J2800" i="7"/>
  <c r="J2801" i="7"/>
  <c r="J2802" i="7"/>
  <c r="J2803" i="7"/>
  <c r="J2804" i="7"/>
  <c r="J2805" i="7"/>
  <c r="J2806" i="7"/>
  <c r="J2807" i="7"/>
  <c r="J2808" i="7"/>
  <c r="J2809" i="7"/>
  <c r="J2810" i="7"/>
  <c r="J2811" i="7"/>
  <c r="J2812" i="7"/>
  <c r="J2813" i="7"/>
  <c r="J2814" i="7"/>
  <c r="J2815" i="7"/>
  <c r="J2816" i="7"/>
  <c r="J2817" i="7"/>
  <c r="J2818" i="7"/>
  <c r="J2819" i="7"/>
  <c r="J2820" i="7"/>
  <c r="J2821" i="7"/>
  <c r="J2822" i="7"/>
  <c r="J2823" i="7"/>
  <c r="J2824" i="7"/>
  <c r="J2825" i="7"/>
  <c r="J2826" i="7"/>
  <c r="J2827" i="7"/>
  <c r="J2828" i="7"/>
  <c r="J2829" i="7"/>
  <c r="J2830" i="7"/>
  <c r="J2831" i="7"/>
  <c r="J2832" i="7"/>
  <c r="J2833" i="7"/>
  <c r="J2834" i="7"/>
  <c r="J2835" i="7"/>
  <c r="J2836" i="7"/>
  <c r="J2837" i="7"/>
  <c r="J2838" i="7"/>
  <c r="J2839" i="7"/>
  <c r="J2840" i="7"/>
  <c r="J2841" i="7"/>
  <c r="J2842" i="7"/>
  <c r="J2843" i="7"/>
  <c r="J2844" i="7"/>
  <c r="J2845" i="7"/>
  <c r="J2846" i="7"/>
  <c r="J2847" i="7"/>
  <c r="J2848" i="7"/>
  <c r="J2849" i="7"/>
  <c r="J2850" i="7"/>
  <c r="J2851" i="7"/>
  <c r="J2852" i="7"/>
  <c r="J2853" i="7"/>
  <c r="J2854" i="7"/>
  <c r="J2855" i="7"/>
  <c r="J2856" i="7"/>
  <c r="J2857" i="7"/>
  <c r="J2858" i="7"/>
  <c r="J2859" i="7"/>
  <c r="J2860" i="7"/>
  <c r="J2861" i="7"/>
  <c r="J2862" i="7"/>
  <c r="J2863" i="7"/>
  <c r="J2864" i="7"/>
  <c r="J2865" i="7"/>
  <c r="J2866" i="7"/>
  <c r="J2867" i="7"/>
  <c r="J2868" i="7"/>
  <c r="J2869" i="7"/>
  <c r="J2870" i="7"/>
  <c r="J2871" i="7"/>
  <c r="J2872" i="7"/>
  <c r="J2873" i="7"/>
  <c r="J2874" i="7"/>
  <c r="J2875" i="7"/>
  <c r="J2876" i="7"/>
  <c r="J2877" i="7"/>
  <c r="J2878" i="7"/>
  <c r="J2879" i="7"/>
  <c r="J2880" i="7"/>
  <c r="J2881" i="7"/>
  <c r="J2882" i="7"/>
  <c r="J2883" i="7"/>
  <c r="J2884" i="7"/>
  <c r="J2885" i="7"/>
  <c r="J2886" i="7"/>
  <c r="J2887" i="7"/>
  <c r="J2888" i="7"/>
  <c r="J2889" i="7"/>
  <c r="J2890" i="7"/>
  <c r="J2891" i="7"/>
  <c r="J2892" i="7"/>
  <c r="J2893" i="7"/>
  <c r="J2894" i="7"/>
  <c r="J2895" i="7"/>
  <c r="J2896" i="7"/>
  <c r="J2897" i="7"/>
  <c r="J2898" i="7"/>
  <c r="J2899" i="7"/>
  <c r="J2900" i="7"/>
  <c r="J2901" i="7"/>
  <c r="J2902" i="7"/>
  <c r="J2903" i="7"/>
  <c r="J2904" i="7"/>
  <c r="J2905" i="7"/>
  <c r="J2906" i="7"/>
  <c r="J2907" i="7"/>
  <c r="J2908" i="7"/>
  <c r="J2909" i="7"/>
  <c r="J2910" i="7"/>
  <c r="J2911" i="7"/>
  <c r="J2912" i="7"/>
  <c r="J2913" i="7"/>
  <c r="J2914" i="7"/>
  <c r="J2915" i="7"/>
  <c r="J2916" i="7"/>
  <c r="J2917" i="7"/>
  <c r="J2918" i="7"/>
  <c r="J2919" i="7"/>
  <c r="J2920" i="7"/>
  <c r="J2921" i="7"/>
  <c r="J2922" i="7"/>
  <c r="J2923" i="7"/>
  <c r="J2924" i="7"/>
  <c r="J2925" i="7"/>
  <c r="J2926" i="7"/>
  <c r="J2927" i="7"/>
  <c r="J2928" i="7"/>
  <c r="J2929" i="7"/>
  <c r="J2930" i="7"/>
  <c r="J2931" i="7"/>
  <c r="J2932" i="7"/>
  <c r="J2933" i="7"/>
  <c r="J2934" i="7"/>
  <c r="J2935" i="7"/>
  <c r="J2936" i="7"/>
  <c r="J2937" i="7"/>
  <c r="J2938" i="7"/>
  <c r="J2939" i="7"/>
  <c r="J2940" i="7"/>
  <c r="J2941" i="7"/>
  <c r="J2942" i="7"/>
  <c r="J2943" i="7"/>
  <c r="J2944" i="7"/>
  <c r="J2945" i="7"/>
  <c r="J2946" i="7"/>
  <c r="J2947" i="7"/>
  <c r="J2948" i="7"/>
  <c r="J2949" i="7"/>
  <c r="J2950" i="7"/>
  <c r="J2951" i="7"/>
  <c r="J2952" i="7"/>
  <c r="J2953" i="7"/>
  <c r="J2954" i="7"/>
  <c r="J2955" i="7"/>
  <c r="J2956" i="7"/>
  <c r="J2957" i="7"/>
  <c r="J2958" i="7"/>
  <c r="J2959" i="7"/>
  <c r="J2960" i="7"/>
  <c r="J2961" i="7"/>
  <c r="J2962" i="7"/>
  <c r="J2963" i="7"/>
  <c r="J2964" i="7"/>
  <c r="J2965" i="7"/>
  <c r="J2966" i="7"/>
  <c r="J2967" i="7"/>
  <c r="J2968" i="7"/>
  <c r="J2969" i="7"/>
  <c r="J2970" i="7"/>
  <c r="J2971" i="7"/>
  <c r="J2972" i="7"/>
  <c r="J2973" i="7"/>
  <c r="J2974" i="7"/>
  <c r="J2975" i="7"/>
  <c r="J2976" i="7"/>
  <c r="J2977" i="7"/>
  <c r="J2978" i="7"/>
  <c r="J2979" i="7"/>
  <c r="J2980" i="7"/>
  <c r="J2981" i="7"/>
  <c r="J2982" i="7"/>
  <c r="J2983" i="7"/>
  <c r="J2984" i="7"/>
  <c r="J2985" i="7"/>
  <c r="J2986" i="7"/>
  <c r="J2987" i="7"/>
  <c r="J2988" i="7"/>
  <c r="J2989" i="7"/>
  <c r="J2990" i="7"/>
  <c r="J2991" i="7"/>
  <c r="J2992" i="7"/>
  <c r="J2993" i="7"/>
  <c r="J2994" i="7"/>
  <c r="J2995" i="7"/>
  <c r="J2996" i="7"/>
  <c r="J2997" i="7"/>
  <c r="J2998" i="7"/>
  <c r="J2999" i="7"/>
  <c r="J3000" i="7"/>
  <c r="J3001" i="7"/>
  <c r="J3002" i="7"/>
  <c r="J3003" i="7"/>
  <c r="J3004" i="7"/>
  <c r="J3005" i="7"/>
  <c r="J3006" i="7"/>
  <c r="J3007" i="7"/>
  <c r="J3008" i="7"/>
  <c r="J3009" i="7"/>
  <c r="J3010" i="7"/>
  <c r="J3011" i="7"/>
  <c r="J3012" i="7"/>
  <c r="J3013" i="7"/>
  <c r="J3014" i="7"/>
  <c r="J3015" i="7"/>
  <c r="J3016" i="7"/>
  <c r="J3017" i="7"/>
  <c r="J3018" i="7"/>
  <c r="J3019" i="7"/>
  <c r="J3020" i="7"/>
  <c r="J3021" i="7"/>
  <c r="J3022" i="7"/>
  <c r="J3023" i="7"/>
  <c r="J3024" i="7"/>
  <c r="J3025" i="7"/>
  <c r="J3026" i="7"/>
  <c r="J3027" i="7"/>
  <c r="J3028" i="7"/>
  <c r="J3029" i="7"/>
  <c r="J3030" i="7"/>
  <c r="J3031" i="7"/>
  <c r="J3032" i="7"/>
  <c r="J3033" i="7"/>
  <c r="J3034" i="7"/>
  <c r="J3035" i="7"/>
  <c r="J3036" i="7"/>
  <c r="J3037" i="7"/>
  <c r="J3038" i="7"/>
  <c r="J3039" i="7"/>
  <c r="J3040" i="7"/>
  <c r="J3041" i="7"/>
  <c r="J3042" i="7"/>
  <c r="J3043" i="7"/>
  <c r="J3044" i="7"/>
  <c r="J3045" i="7"/>
  <c r="J3046" i="7"/>
  <c r="J3047" i="7"/>
  <c r="J3048" i="7"/>
  <c r="J3049" i="7"/>
  <c r="J3050" i="7"/>
  <c r="J3051" i="7"/>
  <c r="J3052" i="7"/>
  <c r="J3053" i="7"/>
  <c r="J3054" i="7"/>
  <c r="J3055" i="7"/>
  <c r="J3056" i="7"/>
  <c r="J3057" i="7"/>
  <c r="J3058" i="7"/>
  <c r="J3059" i="7"/>
  <c r="J3060" i="7"/>
  <c r="J3061" i="7"/>
  <c r="J3062" i="7"/>
  <c r="J3063" i="7"/>
  <c r="J3064" i="7"/>
  <c r="J3065" i="7"/>
  <c r="J3066" i="7"/>
  <c r="J3067" i="7"/>
  <c r="J3068" i="7"/>
  <c r="J3069" i="7"/>
  <c r="J3070" i="7"/>
  <c r="J3071" i="7"/>
  <c r="J3072" i="7"/>
  <c r="J3073" i="7"/>
  <c r="J3074" i="7"/>
  <c r="J3075" i="7"/>
  <c r="J3076" i="7"/>
  <c r="J3077" i="7"/>
  <c r="J3078" i="7"/>
  <c r="J3079" i="7"/>
  <c r="J3080" i="7"/>
  <c r="J3081" i="7"/>
  <c r="J3082" i="7"/>
  <c r="J3083" i="7"/>
  <c r="J3084" i="7"/>
  <c r="J3085" i="7"/>
  <c r="J3086" i="7"/>
  <c r="J3087" i="7"/>
  <c r="J3088" i="7"/>
  <c r="J3089" i="7"/>
  <c r="J3090" i="7"/>
  <c r="J3091" i="7"/>
  <c r="J3092" i="7"/>
  <c r="J3093" i="7"/>
  <c r="J3094" i="7"/>
  <c r="J3095" i="7"/>
  <c r="J3096" i="7"/>
  <c r="J3097" i="7"/>
  <c r="J3098" i="7"/>
  <c r="J3099" i="7"/>
  <c r="J3100" i="7"/>
  <c r="J3101" i="7"/>
  <c r="J3102" i="7"/>
  <c r="J3103" i="7"/>
  <c r="J3104" i="7"/>
  <c r="J3105" i="7"/>
  <c r="J3106" i="7"/>
  <c r="J3107" i="7"/>
  <c r="J3108" i="7"/>
  <c r="J3109" i="7"/>
  <c r="J3110" i="7"/>
  <c r="J3111" i="7"/>
  <c r="J3112" i="7"/>
  <c r="J3113" i="7"/>
  <c r="J3114" i="7"/>
  <c r="J3115" i="7"/>
  <c r="J3116" i="7"/>
  <c r="J3117" i="7"/>
  <c r="J3118" i="7"/>
  <c r="J3119" i="7"/>
  <c r="J3120" i="7"/>
  <c r="J3121" i="7"/>
  <c r="J3122" i="7"/>
  <c r="J3123" i="7"/>
  <c r="J3124" i="7"/>
  <c r="J3125" i="7"/>
  <c r="J3126" i="7"/>
  <c r="J3127" i="7"/>
  <c r="J3128" i="7"/>
  <c r="J3129" i="7"/>
  <c r="J3130" i="7"/>
  <c r="J3131" i="7"/>
  <c r="J3132" i="7"/>
  <c r="J3133" i="7"/>
  <c r="J3134" i="7"/>
  <c r="J3135" i="7"/>
  <c r="J3136" i="7"/>
  <c r="J3137" i="7"/>
  <c r="J3138" i="7"/>
  <c r="J3139" i="7"/>
  <c r="J3140" i="7"/>
  <c r="J3141" i="7"/>
  <c r="J3142" i="7"/>
  <c r="J3143" i="7"/>
  <c r="J3144" i="7"/>
  <c r="J3145" i="7"/>
  <c r="J3146" i="7"/>
  <c r="J3147" i="7"/>
  <c r="J3148" i="7"/>
  <c r="J3149" i="7"/>
  <c r="J3150" i="7"/>
  <c r="J3151" i="7"/>
  <c r="J3152" i="7"/>
  <c r="J3153" i="7"/>
  <c r="J3154" i="7"/>
  <c r="J3155" i="7"/>
  <c r="J3156" i="7"/>
  <c r="J3157" i="7"/>
  <c r="J3158" i="7"/>
  <c r="J3159" i="7"/>
  <c r="J3160" i="7"/>
  <c r="J3161" i="7"/>
  <c r="J3162" i="7"/>
  <c r="J3163" i="7"/>
  <c r="J3164" i="7"/>
  <c r="J3165" i="7"/>
  <c r="J3166" i="7"/>
  <c r="J3167" i="7"/>
  <c r="J3168" i="7"/>
  <c r="J3169" i="7"/>
  <c r="J3170" i="7"/>
  <c r="J3171" i="7"/>
  <c r="J3172" i="7"/>
  <c r="J3173" i="7"/>
  <c r="J3174" i="7"/>
  <c r="J3175" i="7"/>
  <c r="J3176" i="7"/>
  <c r="J3177" i="7"/>
  <c r="J3178" i="7"/>
  <c r="J3179" i="7"/>
  <c r="J3180" i="7"/>
  <c r="J3181" i="7"/>
  <c r="J3182" i="7"/>
  <c r="J3183" i="7"/>
  <c r="J3184" i="7"/>
  <c r="J3185" i="7"/>
  <c r="J3186" i="7"/>
  <c r="J3187" i="7"/>
  <c r="J3188" i="7"/>
  <c r="J3189" i="7"/>
  <c r="J3190" i="7"/>
  <c r="J3191" i="7"/>
  <c r="J3192" i="7"/>
  <c r="J3193" i="7"/>
  <c r="J3194" i="7"/>
  <c r="J3195" i="7"/>
  <c r="J3196" i="7"/>
  <c r="J3197" i="7"/>
  <c r="J3198" i="7"/>
  <c r="J3199" i="7"/>
  <c r="J3200" i="7"/>
  <c r="J3201" i="7"/>
  <c r="J3202" i="7"/>
  <c r="J3203" i="7"/>
  <c r="J3204" i="7"/>
  <c r="J3205" i="7"/>
  <c r="J3206" i="7"/>
  <c r="J3207" i="7"/>
  <c r="J3208" i="7"/>
  <c r="J3209" i="7"/>
  <c r="J3210" i="7"/>
  <c r="J3211" i="7"/>
  <c r="J3212" i="7"/>
  <c r="J3213" i="7"/>
  <c r="J3214" i="7"/>
  <c r="J3215" i="7"/>
  <c r="J3216" i="7"/>
  <c r="J3217" i="7"/>
  <c r="J3218" i="7"/>
  <c r="J3219" i="7"/>
  <c r="J3220" i="7"/>
  <c r="J3221" i="7"/>
  <c r="J3222" i="7"/>
  <c r="J3223" i="7"/>
  <c r="J3224" i="7"/>
  <c r="J3225" i="7"/>
  <c r="J3226" i="7"/>
  <c r="J3227" i="7"/>
  <c r="J3228" i="7"/>
  <c r="J3229" i="7"/>
  <c r="J3230" i="7"/>
  <c r="J3231" i="7"/>
  <c r="J3232" i="7"/>
  <c r="J3233" i="7"/>
  <c r="J3234" i="7"/>
  <c r="J3235" i="7"/>
  <c r="J3236" i="7"/>
  <c r="J3237" i="7"/>
  <c r="J3238" i="7"/>
  <c r="J3239" i="7"/>
  <c r="J3240" i="7"/>
  <c r="J3241" i="7"/>
  <c r="J3242" i="7"/>
  <c r="J3243" i="7"/>
  <c r="J3244" i="7"/>
  <c r="J3245" i="7"/>
  <c r="J3246" i="7"/>
  <c r="J3247" i="7"/>
  <c r="J3248" i="7"/>
  <c r="J3249" i="7"/>
  <c r="J3250" i="7"/>
  <c r="J3251" i="7"/>
  <c r="J3252" i="7"/>
  <c r="J3253" i="7"/>
  <c r="J3254" i="7"/>
  <c r="J3255" i="7"/>
  <c r="J3256" i="7"/>
  <c r="J3257" i="7"/>
  <c r="J3258" i="7"/>
  <c r="J3259" i="7"/>
  <c r="J3260" i="7"/>
  <c r="J3261" i="7"/>
  <c r="J3262" i="7"/>
  <c r="J3263" i="7"/>
  <c r="J3264" i="7"/>
  <c r="J3265" i="7"/>
  <c r="J3266" i="7"/>
  <c r="J3267" i="7"/>
  <c r="J3268" i="7"/>
  <c r="J3269" i="7"/>
  <c r="J3270" i="7"/>
  <c r="J3271" i="7"/>
  <c r="J3272" i="7"/>
  <c r="J3273" i="7"/>
  <c r="J3274" i="7"/>
  <c r="J3275" i="7"/>
  <c r="J3276" i="7"/>
  <c r="J3277" i="7"/>
  <c r="J3278" i="7"/>
  <c r="J3279" i="7"/>
  <c r="J3280" i="7"/>
  <c r="J3281" i="7"/>
  <c r="J3282" i="7"/>
  <c r="J3283" i="7"/>
  <c r="J3284" i="7"/>
  <c r="J3285" i="7"/>
  <c r="J3286" i="7"/>
  <c r="J3287" i="7"/>
  <c r="J3288" i="7"/>
  <c r="J3289" i="7"/>
  <c r="J3290" i="7"/>
  <c r="J3291" i="7"/>
  <c r="J3292" i="7"/>
  <c r="J3293" i="7"/>
  <c r="J3294" i="7"/>
  <c r="J3295" i="7"/>
  <c r="J3296" i="7"/>
  <c r="J3297" i="7"/>
  <c r="J3298" i="7"/>
  <c r="J3299" i="7"/>
  <c r="J3300" i="7"/>
  <c r="J3301" i="7"/>
  <c r="J3302" i="7"/>
  <c r="J3303" i="7"/>
  <c r="J3304" i="7"/>
  <c r="J3305" i="7"/>
  <c r="J3306" i="7"/>
  <c r="J3307" i="7"/>
  <c r="J3308" i="7"/>
  <c r="J3309" i="7"/>
  <c r="J3310" i="7"/>
  <c r="J3311" i="7"/>
  <c r="J3312" i="7"/>
  <c r="J3313" i="7"/>
  <c r="J3314" i="7"/>
  <c r="J3315" i="7"/>
  <c r="J3316" i="7"/>
  <c r="J3317" i="7"/>
  <c r="J3318" i="7"/>
  <c r="J3319" i="7"/>
  <c r="J3320" i="7"/>
  <c r="J3321" i="7"/>
  <c r="J3322" i="7"/>
  <c r="J3323" i="7"/>
  <c r="J3324" i="7"/>
  <c r="J3325" i="7"/>
  <c r="J3326" i="7"/>
  <c r="J3327" i="7"/>
  <c r="J3328" i="7"/>
  <c r="J3329" i="7"/>
  <c r="J3330" i="7"/>
  <c r="J3331" i="7"/>
  <c r="J3332" i="7"/>
  <c r="J3333" i="7"/>
  <c r="J3334" i="7"/>
  <c r="J3335" i="7"/>
  <c r="J3336" i="7"/>
  <c r="J3337" i="7"/>
  <c r="J3338" i="7"/>
  <c r="J3339" i="7"/>
  <c r="J3340" i="7"/>
  <c r="J3341" i="7"/>
  <c r="J3342" i="7"/>
  <c r="J3343" i="7"/>
  <c r="J3344" i="7"/>
  <c r="J3345" i="7"/>
  <c r="J3346" i="7"/>
  <c r="J3347" i="7"/>
  <c r="J3348" i="7"/>
  <c r="J3349" i="7"/>
  <c r="J3350" i="7"/>
  <c r="J3351" i="7"/>
  <c r="J3352" i="7"/>
  <c r="J3353" i="7"/>
  <c r="J3354" i="7"/>
  <c r="J3355" i="7"/>
  <c r="J3356" i="7"/>
  <c r="J3357" i="7"/>
  <c r="J3358" i="7"/>
  <c r="J3359" i="7"/>
  <c r="J3360" i="7"/>
  <c r="J3361" i="7"/>
  <c r="J3362" i="7"/>
  <c r="J3363" i="7"/>
  <c r="J3364" i="7"/>
  <c r="J3365" i="7"/>
  <c r="J3366" i="7"/>
  <c r="J3367" i="7"/>
  <c r="J3368" i="7"/>
  <c r="J3369" i="7"/>
  <c r="J3370" i="7"/>
  <c r="J3371" i="7"/>
  <c r="J3372" i="7"/>
  <c r="J3373" i="7"/>
  <c r="J3374" i="7"/>
  <c r="J3375" i="7"/>
  <c r="J3376" i="7"/>
  <c r="J3377" i="7"/>
  <c r="J3378" i="7"/>
  <c r="J3379" i="7"/>
  <c r="J3380" i="7"/>
  <c r="J3381" i="7"/>
  <c r="J3382" i="7"/>
  <c r="J3383" i="7"/>
  <c r="J3384" i="7"/>
  <c r="J3385" i="7"/>
  <c r="J3386" i="7"/>
  <c r="J3387" i="7"/>
  <c r="J3388" i="7"/>
  <c r="J3389" i="7"/>
  <c r="J3390" i="7"/>
  <c r="J3391" i="7"/>
  <c r="J3392" i="7"/>
  <c r="J3393" i="7"/>
  <c r="J3394" i="7"/>
  <c r="J3395" i="7"/>
  <c r="J3396" i="7"/>
  <c r="J3397" i="7"/>
  <c r="J3398" i="7"/>
  <c r="J3399" i="7"/>
  <c r="J3400" i="7"/>
  <c r="J3401" i="7"/>
  <c r="J3402" i="7"/>
  <c r="J3403" i="7"/>
  <c r="J3404" i="7"/>
  <c r="J3405" i="7"/>
  <c r="J3406" i="7"/>
  <c r="J3407" i="7"/>
  <c r="J3408" i="7"/>
  <c r="J3409" i="7"/>
  <c r="J3410" i="7"/>
  <c r="J3411" i="7"/>
  <c r="J3412" i="7"/>
  <c r="J3413" i="7"/>
  <c r="J3414" i="7"/>
  <c r="J3415" i="7"/>
  <c r="J3416" i="7"/>
  <c r="J3417" i="7"/>
  <c r="J3418" i="7"/>
  <c r="J3419" i="7"/>
  <c r="J3420" i="7"/>
  <c r="J3421" i="7"/>
  <c r="J3422" i="7"/>
  <c r="J3423" i="7"/>
  <c r="J3424" i="7"/>
  <c r="J3425" i="7"/>
  <c r="J3426" i="7"/>
  <c r="J3427" i="7"/>
  <c r="J3428" i="7"/>
  <c r="J3429" i="7"/>
  <c r="J3430" i="7"/>
  <c r="J3431" i="7"/>
  <c r="J3432" i="7"/>
  <c r="J3433" i="7"/>
  <c r="J3434" i="7"/>
  <c r="J3435" i="7"/>
  <c r="J3436" i="7"/>
  <c r="J3437" i="7"/>
  <c r="J3438" i="7"/>
  <c r="J3439" i="7"/>
  <c r="J3440" i="7"/>
  <c r="J3441" i="7"/>
  <c r="J3442" i="7"/>
  <c r="J3443" i="7"/>
  <c r="J3444" i="7"/>
  <c r="J3445" i="7"/>
  <c r="J3446" i="7"/>
  <c r="J3447" i="7"/>
  <c r="J3448" i="7"/>
  <c r="J3449" i="7"/>
  <c r="J3450" i="7"/>
  <c r="J3451" i="7"/>
  <c r="J3452" i="7"/>
  <c r="J3453" i="7"/>
  <c r="J3454" i="7"/>
  <c r="J3455" i="7"/>
  <c r="J3456" i="7"/>
  <c r="J3457" i="7"/>
  <c r="J3458" i="7"/>
  <c r="J3459" i="7"/>
  <c r="J3460" i="7"/>
  <c r="J3461" i="7"/>
  <c r="J3462" i="7"/>
  <c r="J3463" i="7"/>
  <c r="J3464" i="7"/>
  <c r="J3465" i="7"/>
  <c r="J3466" i="7"/>
  <c r="J3467" i="7"/>
  <c r="J3468" i="7"/>
  <c r="J3469" i="7"/>
  <c r="J3470" i="7"/>
  <c r="J3471" i="7"/>
  <c r="J3472" i="7"/>
  <c r="J3473" i="7"/>
  <c r="J3474" i="7"/>
  <c r="J3475" i="7"/>
  <c r="J3476" i="7"/>
  <c r="J3477" i="7"/>
  <c r="J3478" i="7"/>
  <c r="J3479" i="7"/>
  <c r="J3480" i="7"/>
  <c r="J3481" i="7"/>
  <c r="J3482" i="7"/>
  <c r="J3483" i="7"/>
  <c r="J3484" i="7"/>
  <c r="J3485" i="7"/>
  <c r="J3486" i="7"/>
  <c r="J3487" i="7"/>
  <c r="J3488" i="7"/>
  <c r="J3489" i="7"/>
  <c r="J3490" i="7"/>
  <c r="J3491" i="7"/>
  <c r="J3492" i="7"/>
  <c r="J3493" i="7"/>
  <c r="J3494" i="7"/>
  <c r="J3495" i="7"/>
  <c r="J3496" i="7"/>
  <c r="J3497" i="7"/>
  <c r="J3498" i="7"/>
  <c r="J3499" i="7"/>
  <c r="J3500" i="7"/>
  <c r="J3501" i="7"/>
  <c r="J3502" i="7"/>
  <c r="J3503" i="7"/>
  <c r="J3504" i="7"/>
  <c r="J3505" i="7"/>
  <c r="J3506" i="7"/>
  <c r="J3507" i="7"/>
  <c r="J3508" i="7"/>
  <c r="J3509" i="7"/>
  <c r="J3510" i="7"/>
  <c r="J3511" i="7"/>
  <c r="J3512" i="7"/>
  <c r="J3513" i="7"/>
  <c r="J3514" i="7"/>
  <c r="J3515" i="7"/>
  <c r="J3516" i="7"/>
  <c r="J3517" i="7"/>
  <c r="J3518" i="7"/>
  <c r="J3519" i="7"/>
  <c r="J3520" i="7"/>
  <c r="J3521" i="7"/>
  <c r="J3522" i="7"/>
  <c r="J3523" i="7"/>
  <c r="J3524" i="7"/>
  <c r="J3525" i="7"/>
  <c r="J3526" i="7"/>
  <c r="J3527" i="7"/>
  <c r="J3528" i="7"/>
  <c r="J3529" i="7"/>
  <c r="J3530" i="7"/>
  <c r="J3531" i="7"/>
  <c r="J3532" i="7"/>
  <c r="J3533" i="7"/>
  <c r="J3534" i="7"/>
  <c r="J3535" i="7"/>
  <c r="J3536" i="7"/>
  <c r="J3537" i="7"/>
  <c r="J3538" i="7"/>
  <c r="J3539" i="7"/>
  <c r="J3540" i="7"/>
  <c r="J3541" i="7"/>
  <c r="J3542" i="7"/>
  <c r="J3543" i="7"/>
  <c r="J3544" i="7"/>
  <c r="J3545" i="7"/>
  <c r="J3546" i="7"/>
  <c r="J3547" i="7"/>
  <c r="J3548" i="7"/>
  <c r="J3549" i="7"/>
  <c r="J3550" i="7"/>
  <c r="J3551" i="7"/>
  <c r="J3552" i="7"/>
  <c r="J3553" i="7"/>
  <c r="J3554" i="7"/>
  <c r="J3555" i="7"/>
  <c r="J3556" i="7"/>
  <c r="J3557" i="7"/>
  <c r="J3558" i="7"/>
  <c r="J3559" i="7"/>
  <c r="J3560" i="7"/>
  <c r="J3561" i="7"/>
  <c r="J3562" i="7"/>
  <c r="J3563" i="7"/>
  <c r="J3564" i="7"/>
  <c r="J3565" i="7"/>
  <c r="J3566" i="7"/>
  <c r="J3567" i="7"/>
  <c r="J3568" i="7"/>
  <c r="J3569" i="7"/>
  <c r="J3570" i="7"/>
  <c r="J3571" i="7"/>
  <c r="J3572" i="7"/>
  <c r="J3573" i="7"/>
  <c r="J3574" i="7"/>
  <c r="J3575" i="7"/>
  <c r="J3576" i="7"/>
  <c r="J3577" i="7"/>
  <c r="J3578" i="7"/>
  <c r="J3579" i="7"/>
  <c r="J3580" i="7"/>
  <c r="J3581" i="7"/>
  <c r="J3582" i="7"/>
  <c r="J3583" i="7"/>
  <c r="J3584" i="7"/>
  <c r="J3585" i="7"/>
  <c r="J3586" i="7"/>
  <c r="J3587" i="7"/>
  <c r="J3588" i="7"/>
  <c r="J3589" i="7"/>
  <c r="J3590" i="7"/>
  <c r="J3591" i="7"/>
  <c r="J3592" i="7"/>
  <c r="J3593" i="7"/>
  <c r="J3594" i="7"/>
  <c r="J3595" i="7"/>
  <c r="J3596" i="7"/>
  <c r="J3597" i="7"/>
  <c r="J3598" i="7"/>
  <c r="J3599" i="7"/>
  <c r="J3600" i="7"/>
  <c r="J3601" i="7"/>
  <c r="J3602" i="7"/>
  <c r="J3603" i="7"/>
  <c r="J3604" i="7"/>
  <c r="J3605" i="7"/>
  <c r="J3606" i="7"/>
  <c r="J3607" i="7"/>
  <c r="J3608" i="7"/>
  <c r="J3609" i="7"/>
  <c r="J3610" i="7"/>
  <c r="J3611" i="7"/>
  <c r="J3612" i="7"/>
  <c r="J3613" i="7"/>
  <c r="J3614" i="7"/>
  <c r="J3615" i="7"/>
  <c r="J3616" i="7"/>
  <c r="J3617" i="7"/>
  <c r="J3618" i="7"/>
  <c r="J3619" i="7"/>
  <c r="J3620" i="7"/>
  <c r="J3621" i="7"/>
  <c r="J3622" i="7"/>
  <c r="J3623" i="7"/>
  <c r="J3624" i="7"/>
  <c r="J3625" i="7"/>
  <c r="J3626" i="7"/>
  <c r="J3627" i="7"/>
  <c r="J3628" i="7"/>
  <c r="J3629" i="7"/>
  <c r="J3630" i="7"/>
  <c r="J3631" i="7"/>
  <c r="J3632" i="7"/>
  <c r="J3633" i="7"/>
  <c r="J3634" i="7"/>
  <c r="J3635" i="7"/>
  <c r="J3636" i="7"/>
  <c r="J3637" i="7"/>
  <c r="J3638" i="7"/>
  <c r="J3639" i="7"/>
  <c r="J3640" i="7"/>
  <c r="J3641" i="7"/>
  <c r="J3642" i="7"/>
  <c r="J3643" i="7"/>
  <c r="J3644" i="7"/>
  <c r="J3645" i="7"/>
  <c r="J3646" i="7"/>
  <c r="J3647" i="7"/>
  <c r="J3648" i="7"/>
  <c r="J3649" i="7"/>
  <c r="J3650" i="7"/>
  <c r="J3651" i="7"/>
  <c r="J3652" i="7"/>
  <c r="J3653" i="7"/>
  <c r="J3654" i="7"/>
  <c r="J3655" i="7"/>
  <c r="J3656" i="7"/>
  <c r="J3657" i="7"/>
  <c r="J3658" i="7"/>
  <c r="J3659" i="7"/>
  <c r="J3660" i="7"/>
  <c r="J3661" i="7"/>
  <c r="J3662" i="7"/>
  <c r="J3663" i="7"/>
  <c r="J3664" i="7"/>
  <c r="J3665" i="7"/>
  <c r="J3666" i="7"/>
  <c r="J3667" i="7"/>
  <c r="J3668" i="7"/>
  <c r="J3669" i="7"/>
  <c r="J3670" i="7"/>
  <c r="J3671" i="7"/>
  <c r="J3672" i="7"/>
  <c r="J3673" i="7"/>
  <c r="J3674" i="7"/>
  <c r="J3675" i="7"/>
  <c r="J3676" i="7"/>
  <c r="J3677" i="7"/>
  <c r="J3678" i="7"/>
  <c r="J3679" i="7"/>
  <c r="J3680" i="7"/>
  <c r="J3681" i="7"/>
  <c r="J3682" i="7"/>
  <c r="J3683" i="7"/>
  <c r="J3684" i="7"/>
  <c r="J3685" i="7"/>
  <c r="J3686" i="7"/>
  <c r="J3687" i="7"/>
  <c r="J3688" i="7"/>
  <c r="J3689" i="7"/>
  <c r="J3690" i="7"/>
  <c r="J3691" i="7"/>
  <c r="J3692" i="7"/>
  <c r="J3693" i="7"/>
  <c r="J3694" i="7"/>
  <c r="J3695" i="7"/>
  <c r="J3696" i="7"/>
  <c r="J3697" i="7"/>
  <c r="J3698" i="7"/>
  <c r="J3699" i="7"/>
  <c r="J3700" i="7"/>
  <c r="J3701" i="7"/>
  <c r="J3702" i="7"/>
  <c r="J3703" i="7"/>
  <c r="J3704" i="7"/>
  <c r="J3705" i="7"/>
  <c r="J3706" i="7"/>
  <c r="J3707" i="7"/>
  <c r="J3708" i="7"/>
  <c r="J3709" i="7"/>
  <c r="J3710" i="7"/>
  <c r="J3711" i="7"/>
  <c r="J3712" i="7"/>
  <c r="J3713" i="7"/>
  <c r="J3714" i="7"/>
  <c r="J3715" i="7"/>
  <c r="J3716" i="7"/>
  <c r="J3717" i="7"/>
  <c r="J3718" i="7"/>
  <c r="J3719" i="7"/>
  <c r="J3720" i="7"/>
  <c r="J3721" i="7"/>
  <c r="J3722" i="7"/>
  <c r="J3723" i="7"/>
  <c r="J3724" i="7"/>
  <c r="J3725" i="7"/>
  <c r="J3726" i="7"/>
  <c r="J3727" i="7"/>
  <c r="J3728" i="7"/>
  <c r="J3729" i="7"/>
  <c r="J3730" i="7"/>
  <c r="J3731" i="7"/>
  <c r="J3732" i="7"/>
  <c r="J3733" i="7"/>
  <c r="J3734" i="7"/>
  <c r="J3735" i="7"/>
  <c r="J3736" i="7"/>
  <c r="J3737" i="7"/>
  <c r="J3738" i="7"/>
  <c r="J3739" i="7"/>
  <c r="J3740" i="7"/>
  <c r="J3741" i="7"/>
  <c r="J3742" i="7"/>
  <c r="J3743" i="7"/>
  <c r="J3744" i="7"/>
  <c r="J3745" i="7"/>
  <c r="J3746" i="7"/>
  <c r="J3747" i="7"/>
  <c r="J3748" i="7"/>
  <c r="J3749" i="7"/>
  <c r="J3750" i="7"/>
  <c r="J3751" i="7"/>
  <c r="J3752" i="7"/>
  <c r="J3753" i="7"/>
  <c r="J3754" i="7"/>
  <c r="J3755" i="7"/>
  <c r="J3756" i="7"/>
  <c r="J3757" i="7"/>
  <c r="J3758" i="7"/>
  <c r="J3759" i="7"/>
  <c r="J3760" i="7"/>
  <c r="J3761" i="7"/>
  <c r="J3762" i="7"/>
  <c r="J3763" i="7"/>
  <c r="J3764" i="7"/>
  <c r="J3765" i="7"/>
  <c r="J3766" i="7"/>
  <c r="J3767" i="7"/>
  <c r="J3768" i="7"/>
  <c r="J3769" i="7"/>
  <c r="J3770" i="7"/>
  <c r="J3771" i="7"/>
  <c r="J3772" i="7"/>
  <c r="J3773" i="7"/>
  <c r="J3774" i="7"/>
  <c r="J3775" i="7"/>
  <c r="J3776" i="7"/>
  <c r="J3777" i="7"/>
  <c r="J3778" i="7"/>
  <c r="J3779" i="7"/>
  <c r="J3780" i="7"/>
  <c r="J3781" i="7"/>
  <c r="J3782" i="7"/>
  <c r="J3783" i="7"/>
  <c r="J3784" i="7"/>
  <c r="J3785" i="7"/>
  <c r="J3786" i="7"/>
  <c r="J3787" i="7"/>
  <c r="J3788" i="7"/>
  <c r="J3789" i="7"/>
  <c r="J3790" i="7"/>
  <c r="J3791" i="7"/>
  <c r="J3792" i="7"/>
  <c r="J3793" i="7"/>
  <c r="J3794" i="7"/>
  <c r="J3795" i="7"/>
  <c r="J3796" i="7"/>
  <c r="J3797" i="7"/>
  <c r="J3798" i="7"/>
  <c r="J3799" i="7"/>
  <c r="J3800" i="7"/>
  <c r="J3801" i="7"/>
  <c r="J3802" i="7"/>
  <c r="J3803" i="7"/>
  <c r="J3804" i="7"/>
  <c r="J3805" i="7"/>
  <c r="J3806" i="7"/>
  <c r="J3807" i="7"/>
  <c r="J3808" i="7"/>
  <c r="J3809" i="7"/>
  <c r="J3810" i="7"/>
  <c r="J3811" i="7"/>
  <c r="J3812" i="7"/>
  <c r="J3813" i="7"/>
  <c r="J3814" i="7"/>
  <c r="J3815" i="7"/>
  <c r="J3816" i="7"/>
  <c r="J3817" i="7"/>
  <c r="J3818" i="7"/>
  <c r="J3819" i="7"/>
  <c r="J3820" i="7"/>
  <c r="J3821" i="7"/>
  <c r="J3822" i="7"/>
  <c r="J3823" i="7"/>
  <c r="J3824" i="7"/>
  <c r="J3825" i="7"/>
  <c r="J3826" i="7"/>
  <c r="J3827" i="7"/>
  <c r="J3828" i="7"/>
  <c r="J3829" i="7"/>
  <c r="J3830" i="7"/>
  <c r="J3831" i="7"/>
  <c r="J3832" i="7"/>
  <c r="J3833" i="7"/>
  <c r="J3834" i="7"/>
  <c r="J3835" i="7"/>
  <c r="J3836" i="7"/>
  <c r="J3837" i="7"/>
  <c r="J3838" i="7"/>
  <c r="J3839" i="7"/>
  <c r="J3840" i="7"/>
  <c r="J3841" i="7"/>
  <c r="J3842" i="7"/>
  <c r="J3843" i="7"/>
  <c r="J3844" i="7"/>
  <c r="J3845" i="7"/>
  <c r="J3846" i="7"/>
  <c r="J3847" i="7"/>
  <c r="J3848" i="7"/>
  <c r="J3849" i="7"/>
  <c r="J3850" i="7"/>
  <c r="J3851" i="7"/>
  <c r="J3852" i="7"/>
  <c r="J3853" i="7"/>
  <c r="J3854" i="7"/>
  <c r="J3855" i="7"/>
  <c r="J3856" i="7"/>
  <c r="J3857" i="7"/>
  <c r="J3858" i="7"/>
  <c r="J3859" i="7"/>
  <c r="J3860" i="7"/>
  <c r="J3861" i="7"/>
  <c r="J3862" i="7"/>
  <c r="J3863" i="7"/>
  <c r="J3864" i="7"/>
  <c r="J3865" i="7"/>
  <c r="J3866" i="7"/>
  <c r="J3867" i="7"/>
  <c r="J3868" i="7"/>
  <c r="J3869" i="7"/>
  <c r="J3870" i="7"/>
  <c r="J3871" i="7"/>
  <c r="J3872" i="7"/>
  <c r="J3873" i="7"/>
  <c r="J3874" i="7"/>
  <c r="J3875" i="7"/>
  <c r="J3876" i="7"/>
  <c r="J3877" i="7"/>
  <c r="J3878" i="7"/>
  <c r="J3879" i="7"/>
  <c r="J3880" i="7"/>
  <c r="J3881" i="7"/>
  <c r="J3882" i="7"/>
  <c r="J3883" i="7"/>
  <c r="J3884" i="7"/>
  <c r="J3885" i="7"/>
  <c r="J3886" i="7"/>
  <c r="J3887" i="7"/>
  <c r="J3888" i="7"/>
  <c r="J3889" i="7"/>
  <c r="J3890" i="7"/>
  <c r="J3891" i="7"/>
  <c r="J3892" i="7"/>
  <c r="J3893" i="7"/>
  <c r="J3894" i="7"/>
  <c r="J3895" i="7"/>
  <c r="J3896" i="7"/>
  <c r="J3897" i="7"/>
  <c r="J3898" i="7"/>
  <c r="J3899" i="7"/>
  <c r="J3900" i="7"/>
  <c r="J3901" i="7"/>
  <c r="J3902" i="7"/>
  <c r="J3903" i="7"/>
  <c r="J3904" i="7"/>
  <c r="J3905" i="7"/>
  <c r="J3906" i="7"/>
  <c r="J3907" i="7"/>
  <c r="J3908" i="7"/>
  <c r="J3909" i="7"/>
  <c r="J3910" i="7"/>
  <c r="J3911" i="7"/>
  <c r="J3912" i="7"/>
  <c r="J3913" i="7"/>
  <c r="J3914" i="7"/>
  <c r="J3915" i="7"/>
  <c r="J3916" i="7"/>
  <c r="J3917" i="7"/>
  <c r="J3918" i="7"/>
  <c r="J3919" i="7"/>
  <c r="J3920" i="7"/>
  <c r="J3921" i="7"/>
  <c r="J3922" i="7"/>
  <c r="J3923" i="7"/>
  <c r="J3924" i="7"/>
  <c r="J3925" i="7"/>
  <c r="J3926" i="7"/>
  <c r="J3927" i="7"/>
  <c r="J3928" i="7"/>
  <c r="J3929" i="7"/>
  <c r="J3930" i="7"/>
  <c r="J3931" i="7"/>
  <c r="J3932" i="7"/>
  <c r="J3933" i="7"/>
  <c r="J3934" i="7"/>
  <c r="J3935" i="7"/>
  <c r="J3936" i="7"/>
  <c r="J3937" i="7"/>
  <c r="J3938" i="7"/>
  <c r="J3939" i="7"/>
  <c r="J3940" i="7"/>
  <c r="J3941" i="7"/>
  <c r="J3942" i="7"/>
  <c r="J3943" i="7"/>
  <c r="J3944" i="7"/>
  <c r="J3945" i="7"/>
  <c r="J3946" i="7"/>
  <c r="J3947" i="7"/>
  <c r="J3948" i="7"/>
  <c r="J3949" i="7"/>
  <c r="J3950" i="7"/>
  <c r="J3951" i="7"/>
  <c r="J3952" i="7"/>
  <c r="J3953" i="7"/>
  <c r="J3954" i="7"/>
  <c r="J3955" i="7"/>
  <c r="J3956" i="7"/>
  <c r="J3957" i="7"/>
  <c r="J3958" i="7"/>
  <c r="J3959" i="7"/>
  <c r="J3960" i="7"/>
  <c r="J3961" i="7"/>
  <c r="J3962" i="7"/>
  <c r="J3963" i="7"/>
  <c r="J3964" i="7"/>
  <c r="J3965" i="7"/>
  <c r="J3966" i="7"/>
  <c r="J3967" i="7"/>
  <c r="J3968" i="7"/>
  <c r="J3969" i="7"/>
  <c r="J3970" i="7"/>
  <c r="J3971" i="7"/>
  <c r="J3972" i="7"/>
  <c r="J3973" i="7"/>
  <c r="J3974" i="7"/>
  <c r="J3975" i="7"/>
  <c r="J3976" i="7"/>
  <c r="J3977" i="7"/>
  <c r="J3978" i="7"/>
  <c r="J3979" i="7"/>
  <c r="J3980" i="7"/>
  <c r="J3981" i="7"/>
  <c r="J3982" i="7"/>
  <c r="J3983" i="7"/>
  <c r="J3984" i="7"/>
  <c r="J3985" i="7"/>
  <c r="J3986" i="7"/>
  <c r="J3987" i="7"/>
  <c r="J3988" i="7"/>
  <c r="J3989" i="7"/>
  <c r="J3990" i="7"/>
  <c r="J3991" i="7"/>
  <c r="J3992" i="7"/>
  <c r="J3993" i="7"/>
  <c r="J3994" i="7"/>
  <c r="J3995" i="7"/>
  <c r="J3996" i="7"/>
  <c r="J3997" i="7"/>
  <c r="J3998" i="7"/>
  <c r="J3999" i="7"/>
  <c r="J4000" i="7"/>
  <c r="J4001" i="7"/>
  <c r="J4002" i="7"/>
  <c r="J4003" i="7"/>
  <c r="J4004" i="7"/>
  <c r="J4005" i="7"/>
  <c r="J4006" i="7"/>
  <c r="J4007" i="7"/>
  <c r="J4008" i="7"/>
  <c r="J4009" i="7"/>
  <c r="J4010" i="7"/>
  <c r="J4011" i="7"/>
  <c r="J4012" i="7"/>
  <c r="J4013" i="7"/>
  <c r="J4014" i="7"/>
  <c r="J4015" i="7"/>
  <c r="J4016" i="7"/>
  <c r="J4017" i="7"/>
  <c r="J4018" i="7"/>
  <c r="J4019" i="7"/>
  <c r="J4020" i="7"/>
  <c r="J4021" i="7"/>
  <c r="J4022" i="7"/>
  <c r="J4023" i="7"/>
  <c r="J4024" i="7"/>
  <c r="J4025" i="7"/>
  <c r="J4026" i="7"/>
  <c r="J4027" i="7"/>
  <c r="J4028" i="7"/>
  <c r="J4029" i="7"/>
  <c r="J4030" i="7"/>
  <c r="J4031" i="7"/>
  <c r="J4032" i="7"/>
  <c r="J4033" i="7"/>
  <c r="J4034" i="7"/>
  <c r="J4035" i="7"/>
  <c r="J4036" i="7"/>
  <c r="J4037" i="7"/>
  <c r="J4038" i="7"/>
  <c r="J4039" i="7"/>
  <c r="J4040" i="7"/>
  <c r="J4041" i="7"/>
  <c r="J4042" i="7"/>
  <c r="J4043" i="7"/>
  <c r="J4044" i="7"/>
  <c r="J4045" i="7"/>
  <c r="J4046" i="7"/>
  <c r="J4047" i="7"/>
  <c r="J4048" i="7"/>
  <c r="J4049" i="7"/>
  <c r="J4050" i="7"/>
  <c r="J4051" i="7"/>
  <c r="J4052" i="7"/>
  <c r="J4053" i="7"/>
  <c r="J4054" i="7"/>
  <c r="J4055" i="7"/>
  <c r="J4056" i="7"/>
  <c r="J4057" i="7"/>
  <c r="J4058" i="7"/>
  <c r="J4059" i="7"/>
  <c r="J4060" i="7"/>
  <c r="J4061" i="7"/>
  <c r="J4062" i="7"/>
  <c r="J4063" i="7"/>
  <c r="J4064" i="7"/>
  <c r="J4065" i="7"/>
  <c r="J4066" i="7"/>
  <c r="J4067" i="7"/>
  <c r="J4068" i="7"/>
  <c r="J4069" i="7"/>
  <c r="J4070" i="7"/>
  <c r="J4071" i="7"/>
  <c r="J4072" i="7"/>
  <c r="J4073" i="7"/>
  <c r="J4074" i="7"/>
  <c r="J4075" i="7"/>
  <c r="J4076" i="7"/>
  <c r="J4077" i="7"/>
  <c r="J4078" i="7"/>
  <c r="J4079" i="7"/>
  <c r="J4080" i="7"/>
  <c r="J4081" i="7"/>
  <c r="J4082" i="7"/>
  <c r="J4083" i="7"/>
  <c r="J4084" i="7"/>
  <c r="J4085" i="7"/>
  <c r="J4086" i="7"/>
  <c r="J4087" i="7"/>
  <c r="J4088" i="7"/>
  <c r="J4089" i="7"/>
  <c r="J4090" i="7"/>
  <c r="J4091" i="7"/>
  <c r="J4092" i="7"/>
  <c r="J4093" i="7"/>
  <c r="J4094" i="7"/>
  <c r="J4095" i="7"/>
  <c r="J4096" i="7"/>
  <c r="J4097" i="7"/>
  <c r="J4098" i="7"/>
  <c r="J4099" i="7"/>
  <c r="J4100" i="7"/>
  <c r="J4101" i="7"/>
  <c r="J4102" i="7"/>
  <c r="J4103" i="7"/>
  <c r="J4104" i="7"/>
  <c r="J4105" i="7"/>
  <c r="J4106" i="7"/>
  <c r="J4107" i="7"/>
  <c r="J4108" i="7"/>
  <c r="J4109" i="7"/>
  <c r="J4110" i="7"/>
  <c r="J4111" i="7"/>
  <c r="J4112" i="7"/>
  <c r="J4113" i="7"/>
  <c r="J4114" i="7"/>
  <c r="J4115" i="7"/>
  <c r="J4116" i="7"/>
  <c r="J4117" i="7"/>
  <c r="J4118" i="7"/>
  <c r="J4119" i="7"/>
  <c r="J4120" i="7"/>
  <c r="J4121" i="7"/>
  <c r="J4122" i="7"/>
  <c r="J4123" i="7"/>
  <c r="J4124" i="7"/>
  <c r="J4125" i="7"/>
  <c r="J4126" i="7"/>
  <c r="J4127" i="7"/>
  <c r="J4128" i="7"/>
  <c r="J4129" i="7"/>
  <c r="J4130" i="7"/>
  <c r="J4131" i="7"/>
  <c r="J4132" i="7"/>
  <c r="J4133" i="7"/>
  <c r="J4134" i="7"/>
  <c r="J4135" i="7"/>
  <c r="J4136" i="7"/>
  <c r="J4137" i="7"/>
  <c r="J4138" i="7"/>
  <c r="J4139" i="7"/>
  <c r="J4140" i="7"/>
  <c r="J4141" i="7"/>
  <c r="J4142" i="7"/>
  <c r="J4143" i="7"/>
  <c r="J4144" i="7"/>
  <c r="J4145" i="7"/>
  <c r="J4146" i="7"/>
  <c r="J4147" i="7"/>
  <c r="J4148" i="7"/>
  <c r="J4149" i="7"/>
  <c r="J4150" i="7"/>
  <c r="J4151" i="7"/>
  <c r="J4152" i="7"/>
  <c r="J4153" i="7"/>
  <c r="J4154" i="7"/>
  <c r="J4155" i="7"/>
  <c r="J4156" i="7"/>
  <c r="J4157" i="7"/>
  <c r="J4158" i="7"/>
  <c r="J4159" i="7"/>
  <c r="J4160" i="7"/>
  <c r="J4161" i="7"/>
  <c r="J4162" i="7"/>
  <c r="J4163" i="7"/>
  <c r="J4164" i="7"/>
  <c r="J4165" i="7"/>
  <c r="J4166" i="7"/>
  <c r="J4167" i="7"/>
  <c r="J4168" i="7"/>
  <c r="J4169" i="7"/>
  <c r="J4170" i="7"/>
  <c r="J4171" i="7"/>
  <c r="J4172" i="7"/>
  <c r="J4173" i="7"/>
  <c r="J4174" i="7"/>
  <c r="J4175" i="7"/>
  <c r="J4176" i="7"/>
  <c r="J4177" i="7"/>
  <c r="J4178" i="7"/>
  <c r="J4179" i="7"/>
  <c r="J4180" i="7"/>
  <c r="J4181" i="7"/>
  <c r="J4182" i="7"/>
  <c r="J4183" i="7"/>
  <c r="J4184" i="7"/>
  <c r="J4185" i="7"/>
  <c r="J4186" i="7"/>
  <c r="J4187" i="7"/>
  <c r="J4188" i="7"/>
  <c r="J4189" i="7"/>
  <c r="J4190" i="7"/>
  <c r="J4191" i="7"/>
  <c r="J4192" i="7"/>
  <c r="J4193" i="7"/>
  <c r="J4194" i="7"/>
  <c r="J4195" i="7"/>
  <c r="J4196" i="7"/>
  <c r="J4197" i="7"/>
  <c r="J4198" i="7"/>
  <c r="J4199" i="7"/>
  <c r="J4200" i="7"/>
  <c r="J4201" i="7"/>
  <c r="J4202" i="7"/>
  <c r="J4203" i="7"/>
  <c r="J4204" i="7"/>
  <c r="J4205" i="7"/>
  <c r="J4206" i="7"/>
  <c r="J4207" i="7"/>
  <c r="J4208" i="7"/>
  <c r="J4209" i="7"/>
  <c r="J4210" i="7"/>
  <c r="J4211" i="7"/>
  <c r="J4212" i="7"/>
  <c r="J4213" i="7"/>
  <c r="J4214" i="7"/>
  <c r="J4215" i="7"/>
  <c r="J4216" i="7"/>
  <c r="J4217" i="7"/>
  <c r="J4218" i="7"/>
  <c r="J4219" i="7"/>
  <c r="J4220" i="7"/>
  <c r="J4221" i="7"/>
  <c r="J4222" i="7"/>
  <c r="J4223" i="7"/>
  <c r="J4224" i="7"/>
  <c r="J4225" i="7"/>
  <c r="J4226" i="7"/>
  <c r="J4227" i="7"/>
  <c r="J4228" i="7"/>
  <c r="J4229" i="7"/>
  <c r="J4230" i="7"/>
  <c r="J4231" i="7"/>
  <c r="J4232" i="7"/>
  <c r="J4233" i="7"/>
  <c r="J4234" i="7"/>
  <c r="J4235" i="7"/>
  <c r="J4236" i="7"/>
  <c r="J4237" i="7"/>
  <c r="J4238" i="7"/>
  <c r="J4239" i="7"/>
  <c r="J4240" i="7"/>
  <c r="J4241" i="7"/>
  <c r="J4242" i="7"/>
  <c r="J4243" i="7"/>
  <c r="J4244" i="7"/>
  <c r="J4245" i="7"/>
  <c r="J4246" i="7"/>
  <c r="J4247" i="7"/>
  <c r="J4248" i="7"/>
  <c r="J4249" i="7"/>
  <c r="J4250" i="7"/>
  <c r="J4251" i="7"/>
  <c r="J4252" i="7"/>
  <c r="J4253" i="7"/>
  <c r="J4254" i="7"/>
  <c r="J4255" i="7"/>
  <c r="J4256" i="7"/>
  <c r="J4257" i="7"/>
  <c r="J4258" i="7"/>
  <c r="J4259" i="7"/>
  <c r="J4260" i="7"/>
  <c r="J4261" i="7"/>
  <c r="J4262" i="7"/>
  <c r="J4263" i="7"/>
  <c r="J4264" i="7"/>
  <c r="J4265" i="7"/>
  <c r="J4266" i="7"/>
  <c r="J4267" i="7"/>
  <c r="J4268" i="7"/>
  <c r="J4269" i="7"/>
  <c r="J4270" i="7"/>
  <c r="J4271" i="7"/>
  <c r="J4272" i="7"/>
  <c r="J4273" i="7"/>
  <c r="J4274" i="7"/>
  <c r="J4275" i="7"/>
  <c r="J4276" i="7"/>
  <c r="J4277" i="7"/>
  <c r="J4278" i="7"/>
  <c r="J4279" i="7"/>
  <c r="J4280" i="7"/>
  <c r="J4281" i="7"/>
  <c r="J4282" i="7"/>
  <c r="J4283" i="7"/>
  <c r="J4284" i="7"/>
  <c r="J4285" i="7"/>
  <c r="J4286" i="7"/>
  <c r="J4287" i="7"/>
  <c r="J4288" i="7"/>
  <c r="J4289" i="7"/>
  <c r="J4290" i="7"/>
  <c r="J4291" i="7"/>
  <c r="J4292" i="7"/>
  <c r="J4293" i="7"/>
  <c r="J4294" i="7"/>
  <c r="J4295" i="7"/>
  <c r="J4296" i="7"/>
  <c r="J4297" i="7"/>
  <c r="J4298" i="7"/>
  <c r="J4299" i="7"/>
  <c r="J4300" i="7"/>
  <c r="J4301" i="7"/>
  <c r="J4302" i="7"/>
  <c r="J4303" i="7"/>
  <c r="J4304" i="7"/>
  <c r="J4305" i="7"/>
  <c r="J4306" i="7"/>
  <c r="J4307" i="7"/>
  <c r="J4308" i="7"/>
  <c r="J4309" i="7"/>
  <c r="J4310" i="7"/>
  <c r="J4311" i="7"/>
  <c r="J4312" i="7"/>
  <c r="J4313" i="7"/>
  <c r="J4314" i="7"/>
  <c r="J4315" i="7"/>
  <c r="J4316" i="7"/>
  <c r="J4317" i="7"/>
  <c r="J4318" i="7"/>
  <c r="J4319" i="7"/>
  <c r="J4320" i="7"/>
  <c r="J4321" i="7"/>
  <c r="J4322" i="7"/>
  <c r="J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I1008" i="7"/>
  <c r="I1009" i="7"/>
  <c r="I1010" i="7"/>
  <c r="I1011" i="7"/>
  <c r="I1012" i="7"/>
  <c r="I1013" i="7"/>
  <c r="I1014" i="7"/>
  <c r="I1015" i="7"/>
  <c r="I1016" i="7"/>
  <c r="I1017" i="7"/>
  <c r="I1018" i="7"/>
  <c r="I1019" i="7"/>
  <c r="I1020" i="7"/>
  <c r="I1021" i="7"/>
  <c r="I1022" i="7"/>
  <c r="I1023" i="7"/>
  <c r="I1024" i="7"/>
  <c r="I1025" i="7"/>
  <c r="I1026" i="7"/>
  <c r="I1027" i="7"/>
  <c r="I1028" i="7"/>
  <c r="I1029" i="7"/>
  <c r="I1030" i="7"/>
  <c r="I1031" i="7"/>
  <c r="I1032" i="7"/>
  <c r="I1033" i="7"/>
  <c r="I1034" i="7"/>
  <c r="I1035" i="7"/>
  <c r="I1036" i="7"/>
  <c r="I1037" i="7"/>
  <c r="I1038" i="7"/>
  <c r="I1039" i="7"/>
  <c r="I1040" i="7"/>
  <c r="I1041" i="7"/>
  <c r="I1042" i="7"/>
  <c r="I1043" i="7"/>
  <c r="I1044" i="7"/>
  <c r="I1045" i="7"/>
  <c r="I1046" i="7"/>
  <c r="I1047" i="7"/>
  <c r="I1048" i="7"/>
  <c r="I1049" i="7"/>
  <c r="I1050" i="7"/>
  <c r="I1051" i="7"/>
  <c r="I1052" i="7"/>
  <c r="I1053" i="7"/>
  <c r="I1054" i="7"/>
  <c r="I1055" i="7"/>
  <c r="I1056" i="7"/>
  <c r="I1057" i="7"/>
  <c r="I1058" i="7"/>
  <c r="I1059" i="7"/>
  <c r="I1060" i="7"/>
  <c r="I1061" i="7"/>
  <c r="I1062" i="7"/>
  <c r="I1063" i="7"/>
  <c r="I1064" i="7"/>
  <c r="I1065" i="7"/>
  <c r="I1066" i="7"/>
  <c r="I1067" i="7"/>
  <c r="I1068" i="7"/>
  <c r="I1069" i="7"/>
  <c r="I1070" i="7"/>
  <c r="I1071" i="7"/>
  <c r="I1072" i="7"/>
  <c r="I1073" i="7"/>
  <c r="I1074" i="7"/>
  <c r="I1075" i="7"/>
  <c r="I1076" i="7"/>
  <c r="I1077" i="7"/>
  <c r="I1078" i="7"/>
  <c r="I1079" i="7"/>
  <c r="I1080" i="7"/>
  <c r="I1081" i="7"/>
  <c r="I1082" i="7"/>
  <c r="I1083" i="7"/>
  <c r="I1084" i="7"/>
  <c r="I1085" i="7"/>
  <c r="I1086" i="7"/>
  <c r="I1087" i="7"/>
  <c r="I1088" i="7"/>
  <c r="I1089" i="7"/>
  <c r="I1090" i="7"/>
  <c r="I1091" i="7"/>
  <c r="I1092" i="7"/>
  <c r="I1093" i="7"/>
  <c r="I1094" i="7"/>
  <c r="I1095" i="7"/>
  <c r="I1096" i="7"/>
  <c r="I1097" i="7"/>
  <c r="I1098" i="7"/>
  <c r="I1099" i="7"/>
  <c r="I1100" i="7"/>
  <c r="I1101" i="7"/>
  <c r="I1102" i="7"/>
  <c r="I1103" i="7"/>
  <c r="I1104" i="7"/>
  <c r="I1105" i="7"/>
  <c r="I1106" i="7"/>
  <c r="I1107" i="7"/>
  <c r="I1108" i="7"/>
  <c r="I1109" i="7"/>
  <c r="I1110" i="7"/>
  <c r="I1111" i="7"/>
  <c r="I1112" i="7"/>
  <c r="I1113" i="7"/>
  <c r="I1114" i="7"/>
  <c r="I1115" i="7"/>
  <c r="I1116" i="7"/>
  <c r="I1117" i="7"/>
  <c r="I1118" i="7"/>
  <c r="I1119" i="7"/>
  <c r="I1120" i="7"/>
  <c r="I1121" i="7"/>
  <c r="I1122" i="7"/>
  <c r="I1123" i="7"/>
  <c r="I1124" i="7"/>
  <c r="I1125" i="7"/>
  <c r="I1126" i="7"/>
  <c r="I1127" i="7"/>
  <c r="I1128" i="7"/>
  <c r="I1129" i="7"/>
  <c r="I1130" i="7"/>
  <c r="I1131" i="7"/>
  <c r="I1132" i="7"/>
  <c r="I1133" i="7"/>
  <c r="I1134" i="7"/>
  <c r="I1135" i="7"/>
  <c r="I1136" i="7"/>
  <c r="I1137" i="7"/>
  <c r="I1138" i="7"/>
  <c r="I1139" i="7"/>
  <c r="I1140" i="7"/>
  <c r="I1141" i="7"/>
  <c r="I1142" i="7"/>
  <c r="I1143" i="7"/>
  <c r="I1144" i="7"/>
  <c r="I1145" i="7"/>
  <c r="I1146" i="7"/>
  <c r="I1147" i="7"/>
  <c r="I1148" i="7"/>
  <c r="I1149" i="7"/>
  <c r="I1150" i="7"/>
  <c r="I1151" i="7"/>
  <c r="I1152" i="7"/>
  <c r="I1153" i="7"/>
  <c r="I1154" i="7"/>
  <c r="I1155" i="7"/>
  <c r="I1156" i="7"/>
  <c r="I1157" i="7"/>
  <c r="I1158" i="7"/>
  <c r="I1159" i="7"/>
  <c r="I1160" i="7"/>
  <c r="I1161" i="7"/>
  <c r="I1162" i="7"/>
  <c r="I1163" i="7"/>
  <c r="I1164" i="7"/>
  <c r="I1165" i="7"/>
  <c r="I1166" i="7"/>
  <c r="I1167" i="7"/>
  <c r="I1168" i="7"/>
  <c r="I1169" i="7"/>
  <c r="I1170" i="7"/>
  <c r="I1171" i="7"/>
  <c r="I1172" i="7"/>
  <c r="I1173" i="7"/>
  <c r="I1174" i="7"/>
  <c r="I1175" i="7"/>
  <c r="I1176" i="7"/>
  <c r="I1177" i="7"/>
  <c r="I1178" i="7"/>
  <c r="I1179" i="7"/>
  <c r="I1180" i="7"/>
  <c r="I1181" i="7"/>
  <c r="I1182" i="7"/>
  <c r="I1183" i="7"/>
  <c r="I1184" i="7"/>
  <c r="I1185" i="7"/>
  <c r="I1186" i="7"/>
  <c r="I1187" i="7"/>
  <c r="I1188" i="7"/>
  <c r="I1189" i="7"/>
  <c r="I1190" i="7"/>
  <c r="I1191" i="7"/>
  <c r="I1192" i="7"/>
  <c r="I1193" i="7"/>
  <c r="I1194" i="7"/>
  <c r="I1195" i="7"/>
  <c r="I1196" i="7"/>
  <c r="I1197" i="7"/>
  <c r="I1198" i="7"/>
  <c r="I1199" i="7"/>
  <c r="I1200" i="7"/>
  <c r="I1201" i="7"/>
  <c r="I1202" i="7"/>
  <c r="I1203" i="7"/>
  <c r="I1204" i="7"/>
  <c r="I1205" i="7"/>
  <c r="I1206" i="7"/>
  <c r="I1207" i="7"/>
  <c r="I1208" i="7"/>
  <c r="I1209" i="7"/>
  <c r="I1210" i="7"/>
  <c r="I1211" i="7"/>
  <c r="I1212" i="7"/>
  <c r="I1213" i="7"/>
  <c r="I1214" i="7"/>
  <c r="I1215" i="7"/>
  <c r="I1216" i="7"/>
  <c r="I1217" i="7"/>
  <c r="I1218" i="7"/>
  <c r="I1219" i="7"/>
  <c r="I1220" i="7"/>
  <c r="I1221" i="7"/>
  <c r="I1222" i="7"/>
  <c r="I1223" i="7"/>
  <c r="I1224" i="7"/>
  <c r="I1225" i="7"/>
  <c r="I1226" i="7"/>
  <c r="I1227" i="7"/>
  <c r="I1228" i="7"/>
  <c r="I1229" i="7"/>
  <c r="I1230" i="7"/>
  <c r="I1231" i="7"/>
  <c r="I1232" i="7"/>
  <c r="I1233" i="7"/>
  <c r="I1234" i="7"/>
  <c r="I1235" i="7"/>
  <c r="I1236" i="7"/>
  <c r="I1237" i="7"/>
  <c r="I1238" i="7"/>
  <c r="I1239" i="7"/>
  <c r="I1240" i="7"/>
  <c r="I1241" i="7"/>
  <c r="I1242" i="7"/>
  <c r="I1243" i="7"/>
  <c r="I1244" i="7"/>
  <c r="I1245" i="7"/>
  <c r="I1246" i="7"/>
  <c r="I1247" i="7"/>
  <c r="I1248" i="7"/>
  <c r="I1249" i="7"/>
  <c r="I1250" i="7"/>
  <c r="I1251" i="7"/>
  <c r="I1252" i="7"/>
  <c r="I1253" i="7"/>
  <c r="I1254" i="7"/>
  <c r="I1255" i="7"/>
  <c r="I1256" i="7"/>
  <c r="I1257" i="7"/>
  <c r="I1258" i="7"/>
  <c r="I1259" i="7"/>
  <c r="I1260" i="7"/>
  <c r="I1261" i="7"/>
  <c r="I1262" i="7"/>
  <c r="I1263" i="7"/>
  <c r="I1264" i="7"/>
  <c r="I1265" i="7"/>
  <c r="I1266" i="7"/>
  <c r="I1267" i="7"/>
  <c r="I1268" i="7"/>
  <c r="I1269" i="7"/>
  <c r="I1270" i="7"/>
  <c r="I1271" i="7"/>
  <c r="I1272" i="7"/>
  <c r="I1273" i="7"/>
  <c r="I1274" i="7"/>
  <c r="I1275" i="7"/>
  <c r="I1276" i="7"/>
  <c r="I1277" i="7"/>
  <c r="I1278" i="7"/>
  <c r="I1279" i="7"/>
  <c r="I1280" i="7"/>
  <c r="I1281" i="7"/>
  <c r="I1282" i="7"/>
  <c r="I1283" i="7"/>
  <c r="I1284" i="7"/>
  <c r="I1285" i="7"/>
  <c r="I1286" i="7"/>
  <c r="I1287" i="7"/>
  <c r="I1288" i="7"/>
  <c r="I1289" i="7"/>
  <c r="I1290" i="7"/>
  <c r="I1291" i="7"/>
  <c r="I1292" i="7"/>
  <c r="I1293" i="7"/>
  <c r="I1294" i="7"/>
  <c r="I1295" i="7"/>
  <c r="I1296" i="7"/>
  <c r="I1297" i="7"/>
  <c r="I1298" i="7"/>
  <c r="I1299" i="7"/>
  <c r="I1300" i="7"/>
  <c r="I1301" i="7"/>
  <c r="I1302" i="7"/>
  <c r="I1303" i="7"/>
  <c r="I1304" i="7"/>
  <c r="I1305" i="7"/>
  <c r="I1306" i="7"/>
  <c r="I1307" i="7"/>
  <c r="I1308" i="7"/>
  <c r="I1309" i="7"/>
  <c r="I1310" i="7"/>
  <c r="I1311" i="7"/>
  <c r="I1312" i="7"/>
  <c r="I1313" i="7"/>
  <c r="I1314" i="7"/>
  <c r="I1315" i="7"/>
  <c r="I1316" i="7"/>
  <c r="I1317" i="7"/>
  <c r="I1318" i="7"/>
  <c r="I1319" i="7"/>
  <c r="I1320" i="7"/>
  <c r="I1321" i="7"/>
  <c r="I1322" i="7"/>
  <c r="I1323" i="7"/>
  <c r="I1324" i="7"/>
  <c r="I1325" i="7"/>
  <c r="I1326" i="7"/>
  <c r="I1327" i="7"/>
  <c r="I1328" i="7"/>
  <c r="I1329" i="7"/>
  <c r="I1330" i="7"/>
  <c r="I1331" i="7"/>
  <c r="I1332" i="7"/>
  <c r="I1333" i="7"/>
  <c r="I1334" i="7"/>
  <c r="I1335" i="7"/>
  <c r="I1336" i="7"/>
  <c r="I1337" i="7"/>
  <c r="I1338" i="7"/>
  <c r="I1339" i="7"/>
  <c r="I1340" i="7"/>
  <c r="I1341" i="7"/>
  <c r="I1342" i="7"/>
  <c r="I1343" i="7"/>
  <c r="I1344" i="7"/>
  <c r="I1345" i="7"/>
  <c r="I1346" i="7"/>
  <c r="I1347" i="7"/>
  <c r="I1348" i="7"/>
  <c r="I1349" i="7"/>
  <c r="I1350" i="7"/>
  <c r="I1351" i="7"/>
  <c r="I1352" i="7"/>
  <c r="I1353" i="7"/>
  <c r="I1354" i="7"/>
  <c r="I1355" i="7"/>
  <c r="I1356" i="7"/>
  <c r="I1357" i="7"/>
  <c r="I1358" i="7"/>
  <c r="I1359" i="7"/>
  <c r="I1360" i="7"/>
  <c r="I1361" i="7"/>
  <c r="I1362" i="7"/>
  <c r="I1363" i="7"/>
  <c r="I1364" i="7"/>
  <c r="I1365" i="7"/>
  <c r="I1366" i="7"/>
  <c r="I1367" i="7"/>
  <c r="I1368" i="7"/>
  <c r="I1369" i="7"/>
  <c r="I1370" i="7"/>
  <c r="I1371" i="7"/>
  <c r="I1372" i="7"/>
  <c r="I1373" i="7"/>
  <c r="I1374" i="7"/>
  <c r="I1375" i="7"/>
  <c r="I1376" i="7"/>
  <c r="I1377" i="7"/>
  <c r="I1378" i="7"/>
  <c r="I1379" i="7"/>
  <c r="I1380" i="7"/>
  <c r="I1381" i="7"/>
  <c r="I1382" i="7"/>
  <c r="I1383" i="7"/>
  <c r="I1384" i="7"/>
  <c r="I1385" i="7"/>
  <c r="I1386" i="7"/>
  <c r="I1387" i="7"/>
  <c r="I1388" i="7"/>
  <c r="I1389" i="7"/>
  <c r="I1390" i="7"/>
  <c r="I1391" i="7"/>
  <c r="I1392" i="7"/>
  <c r="I1393" i="7"/>
  <c r="I1394" i="7"/>
  <c r="I1395" i="7"/>
  <c r="I1396" i="7"/>
  <c r="I1397" i="7"/>
  <c r="I1398" i="7"/>
  <c r="I1399" i="7"/>
  <c r="I1400" i="7"/>
  <c r="I1401" i="7"/>
  <c r="I1402" i="7"/>
  <c r="I1403" i="7"/>
  <c r="I1404" i="7"/>
  <c r="I1405" i="7"/>
  <c r="I1406" i="7"/>
  <c r="I1407" i="7"/>
  <c r="I1408" i="7"/>
  <c r="I1409" i="7"/>
  <c r="I1410" i="7"/>
  <c r="I1411" i="7"/>
  <c r="I1412" i="7"/>
  <c r="I1413" i="7"/>
  <c r="I1414" i="7"/>
  <c r="I1415" i="7"/>
  <c r="I1416" i="7"/>
  <c r="I1417" i="7"/>
  <c r="I1418" i="7"/>
  <c r="I1419" i="7"/>
  <c r="I1420" i="7"/>
  <c r="I1421" i="7"/>
  <c r="I1422" i="7"/>
  <c r="I1423" i="7"/>
  <c r="I1424" i="7"/>
  <c r="I1425" i="7"/>
  <c r="I1426" i="7"/>
  <c r="I1427" i="7"/>
  <c r="I1428" i="7"/>
  <c r="I1429" i="7"/>
  <c r="I1430" i="7"/>
  <c r="I1431" i="7"/>
  <c r="I1432" i="7"/>
  <c r="I1433" i="7"/>
  <c r="I1434" i="7"/>
  <c r="I1435" i="7"/>
  <c r="I1436" i="7"/>
  <c r="I1437" i="7"/>
  <c r="I1438" i="7"/>
  <c r="I1439" i="7"/>
  <c r="I1440" i="7"/>
  <c r="I1441" i="7"/>
  <c r="I1442" i="7"/>
  <c r="I1443" i="7"/>
  <c r="I1444" i="7"/>
  <c r="I1445" i="7"/>
  <c r="I1446" i="7"/>
  <c r="I1447" i="7"/>
  <c r="I1448" i="7"/>
  <c r="I1449" i="7"/>
  <c r="I1450" i="7"/>
  <c r="I1451" i="7"/>
  <c r="I1452" i="7"/>
  <c r="I1453" i="7"/>
  <c r="I1454" i="7"/>
  <c r="I1455" i="7"/>
  <c r="I1456" i="7"/>
  <c r="I1457" i="7"/>
  <c r="I1458" i="7"/>
  <c r="I1459" i="7"/>
  <c r="I1460" i="7"/>
  <c r="I1461" i="7"/>
  <c r="I1462" i="7"/>
  <c r="I1463" i="7"/>
  <c r="I1464" i="7"/>
  <c r="I1465" i="7"/>
  <c r="I1466" i="7"/>
  <c r="I1467" i="7"/>
  <c r="I1468" i="7"/>
  <c r="I1469" i="7"/>
  <c r="I1470" i="7"/>
  <c r="I1471" i="7"/>
  <c r="I1472" i="7"/>
  <c r="I1473" i="7"/>
  <c r="I1474" i="7"/>
  <c r="I1475" i="7"/>
  <c r="I1476" i="7"/>
  <c r="I1477" i="7"/>
  <c r="I1478" i="7"/>
  <c r="I1479" i="7"/>
  <c r="I1480" i="7"/>
  <c r="I1481" i="7"/>
  <c r="I1482" i="7"/>
  <c r="I1483" i="7"/>
  <c r="I1484" i="7"/>
  <c r="I1485" i="7"/>
  <c r="I1486" i="7"/>
  <c r="I1487" i="7"/>
  <c r="I1488" i="7"/>
  <c r="I1489" i="7"/>
  <c r="I1490" i="7"/>
  <c r="I1491" i="7"/>
  <c r="I1492" i="7"/>
  <c r="I1493" i="7"/>
  <c r="I1494" i="7"/>
  <c r="I1495" i="7"/>
  <c r="I1496" i="7"/>
  <c r="I1497" i="7"/>
  <c r="I1498" i="7"/>
  <c r="I1499" i="7"/>
  <c r="I1500" i="7"/>
  <c r="I1501" i="7"/>
  <c r="I1502" i="7"/>
  <c r="I1503" i="7"/>
  <c r="I1504" i="7"/>
  <c r="I1505" i="7"/>
  <c r="I1506" i="7"/>
  <c r="I1507" i="7"/>
  <c r="I1508" i="7"/>
  <c r="I1509" i="7"/>
  <c r="I1510" i="7"/>
  <c r="I1511" i="7"/>
  <c r="I1512" i="7"/>
  <c r="I1513" i="7"/>
  <c r="I1514" i="7"/>
  <c r="I1515" i="7"/>
  <c r="I1516" i="7"/>
  <c r="I1517" i="7"/>
  <c r="I1518" i="7"/>
  <c r="I1519" i="7"/>
  <c r="I1520" i="7"/>
  <c r="I1521" i="7"/>
  <c r="I1522" i="7"/>
  <c r="I1523" i="7"/>
  <c r="I1524" i="7"/>
  <c r="I1525" i="7"/>
  <c r="I1526" i="7"/>
  <c r="I1527" i="7"/>
  <c r="I1528" i="7"/>
  <c r="I1529" i="7"/>
  <c r="I1530" i="7"/>
  <c r="I1531" i="7"/>
  <c r="I1532" i="7"/>
  <c r="I1533" i="7"/>
  <c r="I1534" i="7"/>
  <c r="I1535" i="7"/>
  <c r="I1536" i="7"/>
  <c r="I1537" i="7"/>
  <c r="I1538" i="7"/>
  <c r="I1539" i="7"/>
  <c r="I1540" i="7"/>
  <c r="I1541" i="7"/>
  <c r="I1542" i="7"/>
  <c r="I1543" i="7"/>
  <c r="I1544" i="7"/>
  <c r="I1545" i="7"/>
  <c r="I1546" i="7"/>
  <c r="I1547" i="7"/>
  <c r="I1548" i="7"/>
  <c r="I1549" i="7"/>
  <c r="I1550" i="7"/>
  <c r="I1551" i="7"/>
  <c r="I1552" i="7"/>
  <c r="I1553" i="7"/>
  <c r="I1554" i="7"/>
  <c r="I1555" i="7"/>
  <c r="I1556" i="7"/>
  <c r="I1557" i="7"/>
  <c r="I1558" i="7"/>
  <c r="I1559" i="7"/>
  <c r="I1560" i="7"/>
  <c r="I1561" i="7"/>
  <c r="I1562" i="7"/>
  <c r="I1563" i="7"/>
  <c r="I1564" i="7"/>
  <c r="I1565" i="7"/>
  <c r="I1566" i="7"/>
  <c r="I1567" i="7"/>
  <c r="I1568" i="7"/>
  <c r="I1569" i="7"/>
  <c r="I1570" i="7"/>
  <c r="I1571" i="7"/>
  <c r="I1572" i="7"/>
  <c r="I1573" i="7"/>
  <c r="I1574" i="7"/>
  <c r="I1575" i="7"/>
  <c r="I1576" i="7"/>
  <c r="I1577" i="7"/>
  <c r="I1578" i="7"/>
  <c r="I1579" i="7"/>
  <c r="I1580" i="7"/>
  <c r="I1581" i="7"/>
  <c r="I1582" i="7"/>
  <c r="I1583" i="7"/>
  <c r="I1584" i="7"/>
  <c r="I1585" i="7"/>
  <c r="I1586" i="7"/>
  <c r="I1587" i="7"/>
  <c r="I1588" i="7"/>
  <c r="I1589" i="7"/>
  <c r="I1590" i="7"/>
  <c r="I1591" i="7"/>
  <c r="I1592" i="7"/>
  <c r="I1593" i="7"/>
  <c r="I1594" i="7"/>
  <c r="I1595" i="7"/>
  <c r="I1596" i="7"/>
  <c r="I1597" i="7"/>
  <c r="I1598" i="7"/>
  <c r="I1599" i="7"/>
  <c r="I1600" i="7"/>
  <c r="I1601" i="7"/>
  <c r="I1602" i="7"/>
  <c r="I1603" i="7"/>
  <c r="I1604" i="7"/>
  <c r="I1605" i="7"/>
  <c r="I1606" i="7"/>
  <c r="I1607" i="7"/>
  <c r="I1608" i="7"/>
  <c r="I1609" i="7"/>
  <c r="I1610" i="7"/>
  <c r="I1611" i="7"/>
  <c r="I1612" i="7"/>
  <c r="I1613" i="7"/>
  <c r="I1614" i="7"/>
  <c r="I1615" i="7"/>
  <c r="I1616" i="7"/>
  <c r="I1617" i="7"/>
  <c r="I1618" i="7"/>
  <c r="I1619" i="7"/>
  <c r="I1620" i="7"/>
  <c r="I1621" i="7"/>
  <c r="I1622" i="7"/>
  <c r="I1623" i="7"/>
  <c r="I1624" i="7"/>
  <c r="I1625" i="7"/>
  <c r="I1626" i="7"/>
  <c r="I1627" i="7"/>
  <c r="I1628" i="7"/>
  <c r="I1629" i="7"/>
  <c r="I1630" i="7"/>
  <c r="I1631" i="7"/>
  <c r="I1632" i="7"/>
  <c r="I1633" i="7"/>
  <c r="I1634" i="7"/>
  <c r="I1635" i="7"/>
  <c r="I1636" i="7"/>
  <c r="I1637" i="7"/>
  <c r="I1638" i="7"/>
  <c r="I1639" i="7"/>
  <c r="I1640" i="7"/>
  <c r="I1641" i="7"/>
  <c r="I1642" i="7"/>
  <c r="I1643" i="7"/>
  <c r="I1644" i="7"/>
  <c r="I1645" i="7"/>
  <c r="I1646" i="7"/>
  <c r="I1647" i="7"/>
  <c r="I1648" i="7"/>
  <c r="I1649" i="7"/>
  <c r="I1650" i="7"/>
  <c r="I1651" i="7"/>
  <c r="I1652" i="7"/>
  <c r="I1653" i="7"/>
  <c r="I1654" i="7"/>
  <c r="I1655" i="7"/>
  <c r="I1656" i="7"/>
  <c r="I1657" i="7"/>
  <c r="I1658" i="7"/>
  <c r="I1659" i="7"/>
  <c r="I1660" i="7"/>
  <c r="I1661" i="7"/>
  <c r="I1662" i="7"/>
  <c r="I1663" i="7"/>
  <c r="I1664" i="7"/>
  <c r="I1665" i="7"/>
  <c r="I1666" i="7"/>
  <c r="I1667" i="7"/>
  <c r="I1668" i="7"/>
  <c r="I1669" i="7"/>
  <c r="I1670" i="7"/>
  <c r="I1671" i="7"/>
  <c r="I1672" i="7"/>
  <c r="I1673" i="7"/>
  <c r="I1674" i="7"/>
  <c r="I1675" i="7"/>
  <c r="I1676" i="7"/>
  <c r="I1677" i="7"/>
  <c r="I1678" i="7"/>
  <c r="I1679" i="7"/>
  <c r="I1680" i="7"/>
  <c r="I1681" i="7"/>
  <c r="I1682" i="7"/>
  <c r="I1683" i="7"/>
  <c r="I1684" i="7"/>
  <c r="I1685" i="7"/>
  <c r="I1686" i="7"/>
  <c r="I1687" i="7"/>
  <c r="I1688" i="7"/>
  <c r="I1689" i="7"/>
  <c r="I1690" i="7"/>
  <c r="I1691" i="7"/>
  <c r="I1692" i="7"/>
  <c r="I1693" i="7"/>
  <c r="I1694" i="7"/>
  <c r="I1695" i="7"/>
  <c r="I1696" i="7"/>
  <c r="I1697" i="7"/>
  <c r="I1698" i="7"/>
  <c r="I1699" i="7"/>
  <c r="I1700" i="7"/>
  <c r="I1701" i="7"/>
  <c r="I1702" i="7"/>
  <c r="I1703" i="7"/>
  <c r="I1704" i="7"/>
  <c r="I1705" i="7"/>
  <c r="I1706" i="7"/>
  <c r="I1707" i="7"/>
  <c r="I1708" i="7"/>
  <c r="I1709" i="7"/>
  <c r="I1710" i="7"/>
  <c r="I1711" i="7"/>
  <c r="I1712" i="7"/>
  <c r="I1713" i="7"/>
  <c r="I1714" i="7"/>
  <c r="I1715" i="7"/>
  <c r="I1716" i="7"/>
  <c r="I1717" i="7"/>
  <c r="I1718" i="7"/>
  <c r="I1719" i="7"/>
  <c r="I1720" i="7"/>
  <c r="I1721" i="7"/>
  <c r="I1722" i="7"/>
  <c r="I1723" i="7"/>
  <c r="I1724" i="7"/>
  <c r="I1725" i="7"/>
  <c r="I1726" i="7"/>
  <c r="I1727" i="7"/>
  <c r="I1728" i="7"/>
  <c r="I1729" i="7"/>
  <c r="I1730" i="7"/>
  <c r="I1731" i="7"/>
  <c r="I1732" i="7"/>
  <c r="I1733" i="7"/>
  <c r="I1734" i="7"/>
  <c r="I1735" i="7"/>
  <c r="I1736" i="7"/>
  <c r="I1737" i="7"/>
  <c r="I1738" i="7"/>
  <c r="I1739" i="7"/>
  <c r="I1740" i="7"/>
  <c r="I1741" i="7"/>
  <c r="I1742" i="7"/>
  <c r="I1743" i="7"/>
  <c r="I1744" i="7"/>
  <c r="I1745" i="7"/>
  <c r="I1746" i="7"/>
  <c r="I1747" i="7"/>
  <c r="I1748" i="7"/>
  <c r="I1749" i="7"/>
  <c r="I1750" i="7"/>
  <c r="I1751" i="7"/>
  <c r="I1752" i="7"/>
  <c r="I1753" i="7"/>
  <c r="I1754" i="7"/>
  <c r="I1755" i="7"/>
  <c r="I1756" i="7"/>
  <c r="I1757" i="7"/>
  <c r="I1758" i="7"/>
  <c r="I1759" i="7"/>
  <c r="I1760" i="7"/>
  <c r="I1761" i="7"/>
  <c r="I1762" i="7"/>
  <c r="I1763" i="7"/>
  <c r="I1764" i="7"/>
  <c r="I1765" i="7"/>
  <c r="I1766" i="7"/>
  <c r="I1767" i="7"/>
  <c r="I1768" i="7"/>
  <c r="I1769" i="7"/>
  <c r="I1770" i="7"/>
  <c r="I1771" i="7"/>
  <c r="I1772" i="7"/>
  <c r="I1773" i="7"/>
  <c r="I1774" i="7"/>
  <c r="I1775" i="7"/>
  <c r="I1776" i="7"/>
  <c r="I1777" i="7"/>
  <c r="I1778" i="7"/>
  <c r="I1779" i="7"/>
  <c r="I1780" i="7"/>
  <c r="I1781" i="7"/>
  <c r="I1782" i="7"/>
  <c r="I1783" i="7"/>
  <c r="I1784" i="7"/>
  <c r="I1785" i="7"/>
  <c r="I1786" i="7"/>
  <c r="I1787" i="7"/>
  <c r="I1788" i="7"/>
  <c r="I1789" i="7"/>
  <c r="I1790" i="7"/>
  <c r="I1791" i="7"/>
  <c r="I1792" i="7"/>
  <c r="I1793" i="7"/>
  <c r="I1794" i="7"/>
  <c r="I1795" i="7"/>
  <c r="I1796" i="7"/>
  <c r="I1797" i="7"/>
  <c r="I1798" i="7"/>
  <c r="I1799" i="7"/>
  <c r="I1800" i="7"/>
  <c r="I1801" i="7"/>
  <c r="I1802" i="7"/>
  <c r="I1803" i="7"/>
  <c r="I1804" i="7"/>
  <c r="I1805" i="7"/>
  <c r="I1806" i="7"/>
  <c r="I1807" i="7"/>
  <c r="I1808" i="7"/>
  <c r="I1809" i="7"/>
  <c r="I1810" i="7"/>
  <c r="I1811" i="7"/>
  <c r="I1812" i="7"/>
  <c r="I1813" i="7"/>
  <c r="I1814" i="7"/>
  <c r="I1815" i="7"/>
  <c r="I1816" i="7"/>
  <c r="I1817" i="7"/>
  <c r="I1818" i="7"/>
  <c r="I1819" i="7"/>
  <c r="I1820" i="7"/>
  <c r="I1821" i="7"/>
  <c r="I1822" i="7"/>
  <c r="I1823" i="7"/>
  <c r="I1824" i="7"/>
  <c r="I1825" i="7"/>
  <c r="I1826" i="7"/>
  <c r="I1827" i="7"/>
  <c r="I1828" i="7"/>
  <c r="I1829" i="7"/>
  <c r="I1830" i="7"/>
  <c r="I1831" i="7"/>
  <c r="I1832" i="7"/>
  <c r="I1833" i="7"/>
  <c r="I1834" i="7"/>
  <c r="I1835" i="7"/>
  <c r="I1836" i="7"/>
  <c r="I1837" i="7"/>
  <c r="I1838" i="7"/>
  <c r="I1839" i="7"/>
  <c r="I1840" i="7"/>
  <c r="I1841" i="7"/>
  <c r="I1842" i="7"/>
  <c r="I1843" i="7"/>
  <c r="I1844" i="7"/>
  <c r="I1845" i="7"/>
  <c r="I1846" i="7"/>
  <c r="I1847" i="7"/>
  <c r="I1848" i="7"/>
  <c r="I1849" i="7"/>
  <c r="I1850" i="7"/>
  <c r="I1851" i="7"/>
  <c r="I1852" i="7"/>
  <c r="I1853" i="7"/>
  <c r="I1854" i="7"/>
  <c r="I1855" i="7"/>
  <c r="I1856" i="7"/>
  <c r="I1857" i="7"/>
  <c r="I1858" i="7"/>
  <c r="I1859" i="7"/>
  <c r="I1860" i="7"/>
  <c r="I1861" i="7"/>
  <c r="I1862" i="7"/>
  <c r="I1863" i="7"/>
  <c r="I1864" i="7"/>
  <c r="I1865" i="7"/>
  <c r="I1866" i="7"/>
  <c r="I1867" i="7"/>
  <c r="I1868" i="7"/>
  <c r="I1869" i="7"/>
  <c r="I1870" i="7"/>
  <c r="I1871" i="7"/>
  <c r="I1872" i="7"/>
  <c r="I1873" i="7"/>
  <c r="I1874" i="7"/>
  <c r="I1875" i="7"/>
  <c r="I1876" i="7"/>
  <c r="I1877" i="7"/>
  <c r="I1878" i="7"/>
  <c r="I1879" i="7"/>
  <c r="I1880" i="7"/>
  <c r="I1881" i="7"/>
  <c r="I1882" i="7"/>
  <c r="I1883" i="7"/>
  <c r="I1884" i="7"/>
  <c r="I1885" i="7"/>
  <c r="I1886" i="7"/>
  <c r="I1887" i="7"/>
  <c r="I1888" i="7"/>
  <c r="I1889" i="7"/>
  <c r="I1890" i="7"/>
  <c r="I1891" i="7"/>
  <c r="I1892" i="7"/>
  <c r="I1893" i="7"/>
  <c r="I1894" i="7"/>
  <c r="I1895" i="7"/>
  <c r="I1896" i="7"/>
  <c r="I1897" i="7"/>
  <c r="I1898" i="7"/>
  <c r="I1899" i="7"/>
  <c r="I1900" i="7"/>
  <c r="I1901" i="7"/>
  <c r="I1902" i="7"/>
  <c r="I1903" i="7"/>
  <c r="I1904" i="7"/>
  <c r="I1905" i="7"/>
  <c r="I1906" i="7"/>
  <c r="I1907" i="7"/>
  <c r="I1908" i="7"/>
  <c r="I1909" i="7"/>
  <c r="I1910" i="7"/>
  <c r="I1911" i="7"/>
  <c r="I1912" i="7"/>
  <c r="I1913" i="7"/>
  <c r="I1914" i="7"/>
  <c r="I1915" i="7"/>
  <c r="I1916" i="7"/>
  <c r="I1917" i="7"/>
  <c r="I1918" i="7"/>
  <c r="I1919" i="7"/>
  <c r="I1920" i="7"/>
  <c r="I1921" i="7"/>
  <c r="I1922" i="7"/>
  <c r="I1923" i="7"/>
  <c r="I1924" i="7"/>
  <c r="I1925" i="7"/>
  <c r="I1926" i="7"/>
  <c r="I1927" i="7"/>
  <c r="I1928" i="7"/>
  <c r="I1929" i="7"/>
  <c r="I1930" i="7"/>
  <c r="I1931" i="7"/>
  <c r="I1932" i="7"/>
  <c r="I1933" i="7"/>
  <c r="I1934" i="7"/>
  <c r="I1935" i="7"/>
  <c r="I1936" i="7"/>
  <c r="I1937" i="7"/>
  <c r="I1938" i="7"/>
  <c r="I1939" i="7"/>
  <c r="I1940" i="7"/>
  <c r="I1941" i="7"/>
  <c r="I1942" i="7"/>
  <c r="I1943" i="7"/>
  <c r="I1944" i="7"/>
  <c r="I1945" i="7"/>
  <c r="I1946" i="7"/>
  <c r="I1947" i="7"/>
  <c r="I1948" i="7"/>
  <c r="I1949" i="7"/>
  <c r="I1950" i="7"/>
  <c r="I1951" i="7"/>
  <c r="I1952" i="7"/>
  <c r="I1953" i="7"/>
  <c r="I1954" i="7"/>
  <c r="I1955" i="7"/>
  <c r="I1956" i="7"/>
  <c r="I1957" i="7"/>
  <c r="I1958" i="7"/>
  <c r="I1959" i="7"/>
  <c r="I1960" i="7"/>
  <c r="I1961" i="7"/>
  <c r="I1962" i="7"/>
  <c r="I1963" i="7"/>
  <c r="I1964" i="7"/>
  <c r="I1965" i="7"/>
  <c r="I1966" i="7"/>
  <c r="I1967" i="7"/>
  <c r="I1968" i="7"/>
  <c r="I1969" i="7"/>
  <c r="I1970" i="7"/>
  <c r="I1971" i="7"/>
  <c r="I1972" i="7"/>
  <c r="I1973" i="7"/>
  <c r="I1974" i="7"/>
  <c r="I1975" i="7"/>
  <c r="I1976" i="7"/>
  <c r="I1977" i="7"/>
  <c r="I1978" i="7"/>
  <c r="I1979" i="7"/>
  <c r="I1980" i="7"/>
  <c r="I1981" i="7"/>
  <c r="I1982" i="7"/>
  <c r="I1983" i="7"/>
  <c r="I1984" i="7"/>
  <c r="I1985" i="7"/>
  <c r="I1986" i="7"/>
  <c r="I1987" i="7"/>
  <c r="I1988" i="7"/>
  <c r="I1989" i="7"/>
  <c r="I1990" i="7"/>
  <c r="I1991" i="7"/>
  <c r="I1992" i="7"/>
  <c r="I1993" i="7"/>
  <c r="I1994" i="7"/>
  <c r="I1995" i="7"/>
  <c r="I1996" i="7"/>
  <c r="I1997" i="7"/>
  <c r="I1998" i="7"/>
  <c r="I1999" i="7"/>
  <c r="I2000" i="7"/>
  <c r="I2001" i="7"/>
  <c r="I2002" i="7"/>
  <c r="I2003" i="7"/>
  <c r="I2004" i="7"/>
  <c r="I2005" i="7"/>
  <c r="I2006" i="7"/>
  <c r="I2007" i="7"/>
  <c r="I2008" i="7"/>
  <c r="I2009" i="7"/>
  <c r="I2010" i="7"/>
  <c r="I2011" i="7"/>
  <c r="I2012" i="7"/>
  <c r="I2013" i="7"/>
  <c r="I2014" i="7"/>
  <c r="I2015" i="7"/>
  <c r="I2016" i="7"/>
  <c r="I2017" i="7"/>
  <c r="I2018" i="7"/>
  <c r="I2019" i="7"/>
  <c r="I2020" i="7"/>
  <c r="I2021" i="7"/>
  <c r="I2022" i="7"/>
  <c r="I2023" i="7"/>
  <c r="I2024" i="7"/>
  <c r="I2025" i="7"/>
  <c r="I2026" i="7"/>
  <c r="I2027" i="7"/>
  <c r="I2028" i="7"/>
  <c r="I2029" i="7"/>
  <c r="I2030" i="7"/>
  <c r="I2031" i="7"/>
  <c r="I2032" i="7"/>
  <c r="I2033" i="7"/>
  <c r="I2034" i="7"/>
  <c r="I2035" i="7"/>
  <c r="I2036" i="7"/>
  <c r="I2037" i="7"/>
  <c r="I2038" i="7"/>
  <c r="I2039" i="7"/>
  <c r="I2040" i="7"/>
  <c r="I2041" i="7"/>
  <c r="I2042" i="7"/>
  <c r="I2043" i="7"/>
  <c r="I2044" i="7"/>
  <c r="I2045" i="7"/>
  <c r="I2046" i="7"/>
  <c r="I2047" i="7"/>
  <c r="I2048" i="7"/>
  <c r="I2049" i="7"/>
  <c r="I2050" i="7"/>
  <c r="I2051" i="7"/>
  <c r="I2052" i="7"/>
  <c r="I2053" i="7"/>
  <c r="I2054" i="7"/>
  <c r="I2055" i="7"/>
  <c r="I2056" i="7"/>
  <c r="I2057" i="7"/>
  <c r="I2058" i="7"/>
  <c r="I2059" i="7"/>
  <c r="I2060" i="7"/>
  <c r="I2061" i="7"/>
  <c r="I2062" i="7"/>
  <c r="I2063" i="7"/>
  <c r="I2064" i="7"/>
  <c r="I2065" i="7"/>
  <c r="I2066" i="7"/>
  <c r="I2067" i="7"/>
  <c r="I2068" i="7"/>
  <c r="I2069" i="7"/>
  <c r="I2070" i="7"/>
  <c r="I2071" i="7"/>
  <c r="I2072" i="7"/>
  <c r="I2073" i="7"/>
  <c r="I2074" i="7"/>
  <c r="I2075" i="7"/>
  <c r="I2076" i="7"/>
  <c r="I2077" i="7"/>
  <c r="I2078" i="7"/>
  <c r="I2079" i="7"/>
  <c r="I2080" i="7"/>
  <c r="I2081" i="7"/>
  <c r="I2082" i="7"/>
  <c r="I2083" i="7"/>
  <c r="I2084" i="7"/>
  <c r="I2085" i="7"/>
  <c r="I2086" i="7"/>
  <c r="I2087" i="7"/>
  <c r="I2088" i="7"/>
  <c r="I2089" i="7"/>
  <c r="I2090" i="7"/>
  <c r="I2091" i="7"/>
  <c r="I2092" i="7"/>
  <c r="I2093" i="7"/>
  <c r="I2094" i="7"/>
  <c r="I2095" i="7"/>
  <c r="I2096" i="7"/>
  <c r="I2097" i="7"/>
  <c r="I2098" i="7"/>
  <c r="I2099" i="7"/>
  <c r="I2100" i="7"/>
  <c r="I2101" i="7"/>
  <c r="I2102" i="7"/>
  <c r="I2103" i="7"/>
  <c r="I2104" i="7"/>
  <c r="I2105" i="7"/>
  <c r="I2106" i="7"/>
  <c r="I2107" i="7"/>
  <c r="I2108" i="7"/>
  <c r="I2109" i="7"/>
  <c r="I2110" i="7"/>
  <c r="I2111" i="7"/>
  <c r="I2112" i="7"/>
  <c r="I2113" i="7"/>
  <c r="I2114" i="7"/>
  <c r="I2115" i="7"/>
  <c r="I2116" i="7"/>
  <c r="I2117" i="7"/>
  <c r="I2118" i="7"/>
  <c r="I2119" i="7"/>
  <c r="I2120" i="7"/>
  <c r="I2121" i="7"/>
  <c r="I2122" i="7"/>
  <c r="I2123" i="7"/>
  <c r="I2124" i="7"/>
  <c r="I2125" i="7"/>
  <c r="I2126" i="7"/>
  <c r="I2127" i="7"/>
  <c r="I2128" i="7"/>
  <c r="I2129" i="7"/>
  <c r="I2130" i="7"/>
  <c r="I2131" i="7"/>
  <c r="I2132" i="7"/>
  <c r="I2133" i="7"/>
  <c r="I2134" i="7"/>
  <c r="I2135" i="7"/>
  <c r="I2136" i="7"/>
  <c r="I2137" i="7"/>
  <c r="I2138" i="7"/>
  <c r="I2139" i="7"/>
  <c r="I2140" i="7"/>
  <c r="I2141" i="7"/>
  <c r="I2142" i="7"/>
  <c r="I2143" i="7"/>
  <c r="I2144" i="7"/>
  <c r="I2145" i="7"/>
  <c r="I2146" i="7"/>
  <c r="I2147" i="7"/>
  <c r="I2148" i="7"/>
  <c r="I2149" i="7"/>
  <c r="I2150" i="7"/>
  <c r="I2151" i="7"/>
  <c r="I2152" i="7"/>
  <c r="I2153" i="7"/>
  <c r="I2154" i="7"/>
  <c r="I2155" i="7"/>
  <c r="I2156" i="7"/>
  <c r="I2157" i="7"/>
  <c r="I2158" i="7"/>
  <c r="I2159" i="7"/>
  <c r="I2160" i="7"/>
  <c r="I2161" i="7"/>
  <c r="I2162" i="7"/>
  <c r="I2163" i="7"/>
  <c r="I2164" i="7"/>
  <c r="I2165" i="7"/>
  <c r="I2166" i="7"/>
  <c r="I2167" i="7"/>
  <c r="I2168" i="7"/>
  <c r="I2169" i="7"/>
  <c r="I2170" i="7"/>
  <c r="I2171" i="7"/>
  <c r="I2172" i="7"/>
  <c r="I2173" i="7"/>
  <c r="I2174" i="7"/>
  <c r="I2175" i="7"/>
  <c r="I2176" i="7"/>
  <c r="I2177" i="7"/>
  <c r="I2178" i="7"/>
  <c r="I2179" i="7"/>
  <c r="I2180" i="7"/>
  <c r="I2181" i="7"/>
  <c r="I2182" i="7"/>
  <c r="I2183" i="7"/>
  <c r="I2184" i="7"/>
  <c r="I2185" i="7"/>
  <c r="I2186" i="7"/>
  <c r="I2187" i="7"/>
  <c r="I2188" i="7"/>
  <c r="I2189" i="7"/>
  <c r="I2190" i="7"/>
  <c r="I2191" i="7"/>
  <c r="I2192" i="7"/>
  <c r="I2193" i="7"/>
  <c r="I2194" i="7"/>
  <c r="I2195" i="7"/>
  <c r="I2196" i="7"/>
  <c r="I2197" i="7"/>
  <c r="I2198" i="7"/>
  <c r="I2199" i="7"/>
  <c r="I2200" i="7"/>
  <c r="I2201" i="7"/>
  <c r="I2202" i="7"/>
  <c r="I2203" i="7"/>
  <c r="I2204" i="7"/>
  <c r="I2205" i="7"/>
  <c r="I2206" i="7"/>
  <c r="I2207" i="7"/>
  <c r="I2208" i="7"/>
  <c r="I2209" i="7"/>
  <c r="I2210" i="7"/>
  <c r="I2211" i="7"/>
  <c r="I2212" i="7"/>
  <c r="I2213" i="7"/>
  <c r="I2214" i="7"/>
  <c r="I2215" i="7"/>
  <c r="I2216" i="7"/>
  <c r="I2217" i="7"/>
  <c r="I2218" i="7"/>
  <c r="I2219" i="7"/>
  <c r="I2220" i="7"/>
  <c r="I2221" i="7"/>
  <c r="I2222" i="7"/>
  <c r="I2223" i="7"/>
  <c r="I2224" i="7"/>
  <c r="I2225" i="7"/>
  <c r="I2226" i="7"/>
  <c r="I2227" i="7"/>
  <c r="I2228" i="7"/>
  <c r="I2229" i="7"/>
  <c r="I2230" i="7"/>
  <c r="I2231" i="7"/>
  <c r="I2232" i="7"/>
  <c r="I2233" i="7"/>
  <c r="I2234" i="7"/>
  <c r="I2235" i="7"/>
  <c r="I2236" i="7"/>
  <c r="I2237" i="7"/>
  <c r="I2238" i="7"/>
  <c r="I2239" i="7"/>
  <c r="I2240" i="7"/>
  <c r="I2241" i="7"/>
  <c r="I2242" i="7"/>
  <c r="I2243" i="7"/>
  <c r="I2244" i="7"/>
  <c r="I2245" i="7"/>
  <c r="I2246" i="7"/>
  <c r="I2247" i="7"/>
  <c r="I2248" i="7"/>
  <c r="I2249" i="7"/>
  <c r="I2250" i="7"/>
  <c r="I2251" i="7"/>
  <c r="I2252" i="7"/>
  <c r="I2253" i="7"/>
  <c r="I2254" i="7"/>
  <c r="I2255" i="7"/>
  <c r="I2256" i="7"/>
  <c r="I2257" i="7"/>
  <c r="I2258" i="7"/>
  <c r="I2259" i="7"/>
  <c r="I2260" i="7"/>
  <c r="I2261" i="7"/>
  <c r="I2262" i="7"/>
  <c r="I2263" i="7"/>
  <c r="I2264" i="7"/>
  <c r="I2265" i="7"/>
  <c r="I2266" i="7"/>
  <c r="I2267" i="7"/>
  <c r="I2268" i="7"/>
  <c r="I2269" i="7"/>
  <c r="I2270" i="7"/>
  <c r="I2271" i="7"/>
  <c r="I2272" i="7"/>
  <c r="I2273" i="7"/>
  <c r="I2274" i="7"/>
  <c r="I2275" i="7"/>
  <c r="I2276" i="7"/>
  <c r="I2277" i="7"/>
  <c r="I2278" i="7"/>
  <c r="I2279" i="7"/>
  <c r="I2280" i="7"/>
  <c r="I2281" i="7"/>
  <c r="I2282" i="7"/>
  <c r="I2283" i="7"/>
  <c r="I2284" i="7"/>
  <c r="I2285" i="7"/>
  <c r="I2286" i="7"/>
  <c r="I2287" i="7"/>
  <c r="I2288" i="7"/>
  <c r="I2289" i="7"/>
  <c r="I2290" i="7"/>
  <c r="I2291" i="7"/>
  <c r="I2292" i="7"/>
  <c r="I2293" i="7"/>
  <c r="I2294" i="7"/>
  <c r="I2295" i="7"/>
  <c r="I2296" i="7"/>
  <c r="I2297" i="7"/>
  <c r="I2298" i="7"/>
  <c r="I2299" i="7"/>
  <c r="I2300" i="7"/>
  <c r="I2301" i="7"/>
  <c r="I2302" i="7"/>
  <c r="I2303" i="7"/>
  <c r="I2304" i="7"/>
  <c r="I2305" i="7"/>
  <c r="I2306" i="7"/>
  <c r="I2307" i="7"/>
  <c r="I2308" i="7"/>
  <c r="I2309" i="7"/>
  <c r="I2310" i="7"/>
  <c r="I2311" i="7"/>
  <c r="I2312" i="7"/>
  <c r="I2313" i="7"/>
  <c r="I2314" i="7"/>
  <c r="I2315" i="7"/>
  <c r="I2316" i="7"/>
  <c r="I2317" i="7"/>
  <c r="I2318" i="7"/>
  <c r="I2319" i="7"/>
  <c r="I2320" i="7"/>
  <c r="I2321" i="7"/>
  <c r="I2322" i="7"/>
  <c r="I2323" i="7"/>
  <c r="I2324" i="7"/>
  <c r="I2325" i="7"/>
  <c r="I2326" i="7"/>
  <c r="I2327" i="7"/>
  <c r="I2328" i="7"/>
  <c r="I2329" i="7"/>
  <c r="I2330" i="7"/>
  <c r="I2331" i="7"/>
  <c r="I2332" i="7"/>
  <c r="I2333" i="7"/>
  <c r="I2334" i="7"/>
  <c r="I2335" i="7"/>
  <c r="I2336" i="7"/>
  <c r="I2337" i="7"/>
  <c r="I2338" i="7"/>
  <c r="I2339" i="7"/>
  <c r="I2340" i="7"/>
  <c r="I2341" i="7"/>
  <c r="I2342" i="7"/>
  <c r="I2343" i="7"/>
  <c r="I2344" i="7"/>
  <c r="I2345" i="7"/>
  <c r="I2346" i="7"/>
  <c r="I2347" i="7"/>
  <c r="I2348" i="7"/>
  <c r="I2349" i="7"/>
  <c r="I2350" i="7"/>
  <c r="I2351" i="7"/>
  <c r="I2352" i="7"/>
  <c r="I2353" i="7"/>
  <c r="I2354" i="7"/>
  <c r="I2355" i="7"/>
  <c r="I2356" i="7"/>
  <c r="I2357" i="7"/>
  <c r="I2358" i="7"/>
  <c r="I2359" i="7"/>
  <c r="I2360" i="7"/>
  <c r="I2361" i="7"/>
  <c r="I2362" i="7"/>
  <c r="I2363" i="7"/>
  <c r="I2364" i="7"/>
  <c r="I2365" i="7"/>
  <c r="I2366" i="7"/>
  <c r="I2367" i="7"/>
  <c r="I2368" i="7"/>
  <c r="I2369" i="7"/>
  <c r="I2370" i="7"/>
  <c r="I2371" i="7"/>
  <c r="I2372" i="7"/>
  <c r="I2373" i="7"/>
  <c r="I2374" i="7"/>
  <c r="I2375" i="7"/>
  <c r="I2376" i="7"/>
  <c r="I2377" i="7"/>
  <c r="I2378" i="7"/>
  <c r="I2379" i="7"/>
  <c r="I2380" i="7"/>
  <c r="I2381" i="7"/>
  <c r="I2382" i="7"/>
  <c r="I2383" i="7"/>
  <c r="I2384" i="7"/>
  <c r="I2385" i="7"/>
  <c r="I2386" i="7"/>
  <c r="I2387" i="7"/>
  <c r="I2388" i="7"/>
  <c r="I2389" i="7"/>
  <c r="I2390" i="7"/>
  <c r="I2391" i="7"/>
  <c r="I2392" i="7"/>
  <c r="I2393" i="7"/>
  <c r="I2394" i="7"/>
  <c r="I2395" i="7"/>
  <c r="I2396" i="7"/>
  <c r="I2397" i="7"/>
  <c r="I2398" i="7"/>
  <c r="I2399" i="7"/>
  <c r="I2400" i="7"/>
  <c r="I2401" i="7"/>
  <c r="I2402" i="7"/>
  <c r="I2403" i="7"/>
  <c r="I2404" i="7"/>
  <c r="I2405" i="7"/>
  <c r="I2406" i="7"/>
  <c r="I2407" i="7"/>
  <c r="I2408" i="7"/>
  <c r="I2409" i="7"/>
  <c r="I2410" i="7"/>
  <c r="I2411" i="7"/>
  <c r="I2412" i="7"/>
  <c r="I2413" i="7"/>
  <c r="I2414" i="7"/>
  <c r="I2415" i="7"/>
  <c r="I2416" i="7"/>
  <c r="I2417" i="7"/>
  <c r="I2418" i="7"/>
  <c r="I2419" i="7"/>
  <c r="I2420" i="7"/>
  <c r="I2421" i="7"/>
  <c r="I2422" i="7"/>
  <c r="I2423" i="7"/>
  <c r="I2424" i="7"/>
  <c r="I2425" i="7"/>
  <c r="I2426" i="7"/>
  <c r="I2427" i="7"/>
  <c r="I2428" i="7"/>
  <c r="I2429" i="7"/>
  <c r="I2430" i="7"/>
  <c r="I2431" i="7"/>
  <c r="I2432" i="7"/>
  <c r="I2433" i="7"/>
  <c r="I2434" i="7"/>
  <c r="I2435" i="7"/>
  <c r="I2436" i="7"/>
  <c r="I2437" i="7"/>
  <c r="I2438" i="7"/>
  <c r="I2439" i="7"/>
  <c r="I2440" i="7"/>
  <c r="I2441" i="7"/>
  <c r="I2442" i="7"/>
  <c r="I2443" i="7"/>
  <c r="I2444" i="7"/>
  <c r="I2445" i="7"/>
  <c r="I2446" i="7"/>
  <c r="I2447" i="7"/>
  <c r="I2448" i="7"/>
  <c r="I2449" i="7"/>
  <c r="I2450" i="7"/>
  <c r="I2451" i="7"/>
  <c r="I2452" i="7"/>
  <c r="I2453" i="7"/>
  <c r="I2454" i="7"/>
  <c r="I2455" i="7"/>
  <c r="I2456" i="7"/>
  <c r="I2457" i="7"/>
  <c r="I2458" i="7"/>
  <c r="I2459" i="7"/>
  <c r="I2460" i="7"/>
  <c r="I2461" i="7"/>
  <c r="I2462" i="7"/>
  <c r="I2463" i="7"/>
  <c r="I2464" i="7"/>
  <c r="I2465" i="7"/>
  <c r="I2466" i="7"/>
  <c r="I2467" i="7"/>
  <c r="I2468" i="7"/>
  <c r="I2469" i="7"/>
  <c r="I2470" i="7"/>
  <c r="I2471" i="7"/>
  <c r="I2472" i="7"/>
  <c r="I2473" i="7"/>
  <c r="I2474" i="7"/>
  <c r="I2475" i="7"/>
  <c r="I2476" i="7"/>
  <c r="I2477" i="7"/>
  <c r="I2478" i="7"/>
  <c r="I2479" i="7"/>
  <c r="I2480" i="7"/>
  <c r="I2481" i="7"/>
  <c r="I2482" i="7"/>
  <c r="I2483" i="7"/>
  <c r="I2484" i="7"/>
  <c r="I2485" i="7"/>
  <c r="I2486" i="7"/>
  <c r="I2487" i="7"/>
  <c r="I2488" i="7"/>
  <c r="I2489" i="7"/>
  <c r="I2490" i="7"/>
  <c r="I2491" i="7"/>
  <c r="I2492" i="7"/>
  <c r="I2493" i="7"/>
  <c r="I2494" i="7"/>
  <c r="I2495" i="7"/>
  <c r="I2496" i="7"/>
  <c r="I2497" i="7"/>
  <c r="I2498" i="7"/>
  <c r="I2499" i="7"/>
  <c r="I2500" i="7"/>
  <c r="I2501" i="7"/>
  <c r="I2502" i="7"/>
  <c r="I2503" i="7"/>
  <c r="I2504" i="7"/>
  <c r="I2505" i="7"/>
  <c r="I2506" i="7"/>
  <c r="I2507" i="7"/>
  <c r="I2508" i="7"/>
  <c r="I2509" i="7"/>
  <c r="I2510" i="7"/>
  <c r="I2511" i="7"/>
  <c r="I2512" i="7"/>
  <c r="I2513" i="7"/>
  <c r="I2514" i="7"/>
  <c r="I2515" i="7"/>
  <c r="I2516" i="7"/>
  <c r="I2517" i="7"/>
  <c r="I2518" i="7"/>
  <c r="I2519" i="7"/>
  <c r="I2520" i="7"/>
  <c r="I2521" i="7"/>
  <c r="I2522" i="7"/>
  <c r="I2523" i="7"/>
  <c r="I2524" i="7"/>
  <c r="I2525" i="7"/>
  <c r="I2526" i="7"/>
  <c r="I2527" i="7"/>
  <c r="I2528" i="7"/>
  <c r="I2529" i="7"/>
  <c r="I2530" i="7"/>
  <c r="I2531" i="7"/>
  <c r="I2532" i="7"/>
  <c r="I2533" i="7"/>
  <c r="I2534" i="7"/>
  <c r="I2535" i="7"/>
  <c r="I2536" i="7"/>
  <c r="I2537" i="7"/>
  <c r="I2538" i="7"/>
  <c r="I2539" i="7"/>
  <c r="I2540" i="7"/>
  <c r="I2541" i="7"/>
  <c r="I2542" i="7"/>
  <c r="I2543" i="7"/>
  <c r="I2544" i="7"/>
  <c r="I2545" i="7"/>
  <c r="I2546" i="7"/>
  <c r="I2547" i="7"/>
  <c r="I2548" i="7"/>
  <c r="I2549" i="7"/>
  <c r="I2550" i="7"/>
  <c r="I2551" i="7"/>
  <c r="I2552" i="7"/>
  <c r="I2553" i="7"/>
  <c r="I2554" i="7"/>
  <c r="I2555" i="7"/>
  <c r="I2556" i="7"/>
  <c r="I2557" i="7"/>
  <c r="I2558" i="7"/>
  <c r="I2559" i="7"/>
  <c r="I2560" i="7"/>
  <c r="I2561" i="7"/>
  <c r="I2562" i="7"/>
  <c r="I2563" i="7"/>
  <c r="I2564" i="7"/>
  <c r="I2565" i="7"/>
  <c r="I2566" i="7"/>
  <c r="I2567" i="7"/>
  <c r="I2568" i="7"/>
  <c r="I2569" i="7"/>
  <c r="I2570" i="7"/>
  <c r="I2571" i="7"/>
  <c r="I2572" i="7"/>
  <c r="I2573" i="7"/>
  <c r="I2574" i="7"/>
  <c r="I2575" i="7"/>
  <c r="I2576" i="7"/>
  <c r="I2577" i="7"/>
  <c r="I2578" i="7"/>
  <c r="I2579" i="7"/>
  <c r="I2580" i="7"/>
  <c r="I2581" i="7"/>
  <c r="I2582" i="7"/>
  <c r="I2583" i="7"/>
  <c r="I2584" i="7"/>
  <c r="I2585" i="7"/>
  <c r="I2586" i="7"/>
  <c r="I2587" i="7"/>
  <c r="I2588" i="7"/>
  <c r="I2589" i="7"/>
  <c r="I2590" i="7"/>
  <c r="I2591" i="7"/>
  <c r="I2592" i="7"/>
  <c r="I2593" i="7"/>
  <c r="I2594" i="7"/>
  <c r="I2595" i="7"/>
  <c r="I2596" i="7"/>
  <c r="I2597" i="7"/>
  <c r="I2598" i="7"/>
  <c r="I2599" i="7"/>
  <c r="I2600" i="7"/>
  <c r="I2601" i="7"/>
  <c r="I2602" i="7"/>
  <c r="I2603" i="7"/>
  <c r="I2604" i="7"/>
  <c r="I2605" i="7"/>
  <c r="I2606" i="7"/>
  <c r="I2607" i="7"/>
  <c r="I2608" i="7"/>
  <c r="I2609" i="7"/>
  <c r="I2610" i="7"/>
  <c r="I2611" i="7"/>
  <c r="I2612" i="7"/>
  <c r="I2613" i="7"/>
  <c r="I2614" i="7"/>
  <c r="I2615" i="7"/>
  <c r="I2616" i="7"/>
  <c r="I2617" i="7"/>
  <c r="I2618" i="7"/>
  <c r="I2619" i="7"/>
  <c r="I2620" i="7"/>
  <c r="I2621" i="7"/>
  <c r="I2622" i="7"/>
  <c r="I2623" i="7"/>
  <c r="I2624" i="7"/>
  <c r="I2625" i="7"/>
  <c r="I2626" i="7"/>
  <c r="I2627" i="7"/>
  <c r="I2628" i="7"/>
  <c r="I2629" i="7"/>
  <c r="I2630" i="7"/>
  <c r="I2631" i="7"/>
  <c r="I2632" i="7"/>
  <c r="I2633" i="7"/>
  <c r="I2634" i="7"/>
  <c r="I2635" i="7"/>
  <c r="I2636" i="7"/>
  <c r="I2637" i="7"/>
  <c r="I2638" i="7"/>
  <c r="I2639" i="7"/>
  <c r="I2640" i="7"/>
  <c r="I2641" i="7"/>
  <c r="I2642" i="7"/>
  <c r="I2643" i="7"/>
  <c r="I2644" i="7"/>
  <c r="I2645" i="7"/>
  <c r="I2646" i="7"/>
  <c r="I2647" i="7"/>
  <c r="I2648" i="7"/>
  <c r="I2649" i="7"/>
  <c r="I2650" i="7"/>
  <c r="I2651" i="7"/>
  <c r="I2652" i="7"/>
  <c r="I2653" i="7"/>
  <c r="I2654" i="7"/>
  <c r="I2655" i="7"/>
  <c r="I2656" i="7"/>
  <c r="I2657" i="7"/>
  <c r="I2658" i="7"/>
  <c r="I2659" i="7"/>
  <c r="I2660" i="7"/>
  <c r="I2661" i="7"/>
  <c r="I2662" i="7"/>
  <c r="I2663" i="7"/>
  <c r="I2664" i="7"/>
  <c r="I2665" i="7"/>
  <c r="I2666" i="7"/>
  <c r="I2667" i="7"/>
  <c r="I2668" i="7"/>
  <c r="I2669" i="7"/>
  <c r="I2670" i="7"/>
  <c r="I2671" i="7"/>
  <c r="I2672" i="7"/>
  <c r="I2673" i="7"/>
  <c r="I2674" i="7"/>
  <c r="I2675" i="7"/>
  <c r="I2676" i="7"/>
  <c r="I2677" i="7"/>
  <c r="I2678" i="7"/>
  <c r="I2679" i="7"/>
  <c r="I2680" i="7"/>
  <c r="I2681" i="7"/>
  <c r="I2682" i="7"/>
  <c r="I2683" i="7"/>
  <c r="I2684" i="7"/>
  <c r="I2685" i="7"/>
  <c r="I2686" i="7"/>
  <c r="I2687" i="7"/>
  <c r="I2688" i="7"/>
  <c r="I2689" i="7"/>
  <c r="I2690" i="7"/>
  <c r="I2691" i="7"/>
  <c r="I2692" i="7"/>
  <c r="I2693" i="7"/>
  <c r="I2694" i="7"/>
  <c r="I2695" i="7"/>
  <c r="I2696" i="7"/>
  <c r="I2697" i="7"/>
  <c r="I2698" i="7"/>
  <c r="I2699" i="7"/>
  <c r="I2700" i="7"/>
  <c r="I2701" i="7"/>
  <c r="I2702" i="7"/>
  <c r="I2703" i="7"/>
  <c r="I2704" i="7"/>
  <c r="I2705" i="7"/>
  <c r="I2706" i="7"/>
  <c r="I2707" i="7"/>
  <c r="I2708" i="7"/>
  <c r="I2709" i="7"/>
  <c r="I2710" i="7"/>
  <c r="I2711" i="7"/>
  <c r="I2712" i="7"/>
  <c r="I2713" i="7"/>
  <c r="I2714" i="7"/>
  <c r="I2715" i="7"/>
  <c r="I2716" i="7"/>
  <c r="I2717" i="7"/>
  <c r="I2718" i="7"/>
  <c r="I2719" i="7"/>
  <c r="I2720" i="7"/>
  <c r="I2721" i="7"/>
  <c r="I2722" i="7"/>
  <c r="I2723" i="7"/>
  <c r="I2724" i="7"/>
  <c r="I2725" i="7"/>
  <c r="I2726" i="7"/>
  <c r="I2727" i="7"/>
  <c r="I2728" i="7"/>
  <c r="I2729" i="7"/>
  <c r="I2730" i="7"/>
  <c r="I2731" i="7"/>
  <c r="I2732" i="7"/>
  <c r="I2733" i="7"/>
  <c r="I2734" i="7"/>
  <c r="I2735" i="7"/>
  <c r="I2736" i="7"/>
  <c r="I2737" i="7"/>
  <c r="I2738" i="7"/>
  <c r="I2739" i="7"/>
  <c r="I2740" i="7"/>
  <c r="I2741" i="7"/>
  <c r="I2742" i="7"/>
  <c r="I2743" i="7"/>
  <c r="I2744" i="7"/>
  <c r="I2745" i="7"/>
  <c r="I2746" i="7"/>
  <c r="I2747" i="7"/>
  <c r="I2748" i="7"/>
  <c r="I2749" i="7"/>
  <c r="I2750" i="7"/>
  <c r="I2751" i="7"/>
  <c r="I2752" i="7"/>
  <c r="I2753" i="7"/>
  <c r="I2754" i="7"/>
  <c r="I2755" i="7"/>
  <c r="I2756" i="7"/>
  <c r="I2757" i="7"/>
  <c r="I2758" i="7"/>
  <c r="I2759" i="7"/>
  <c r="I2760" i="7"/>
  <c r="I2761" i="7"/>
  <c r="I2762" i="7"/>
  <c r="I2763" i="7"/>
  <c r="I2764" i="7"/>
  <c r="I2765" i="7"/>
  <c r="I2766" i="7"/>
  <c r="I2767" i="7"/>
  <c r="I2768" i="7"/>
  <c r="I2769" i="7"/>
  <c r="I2770" i="7"/>
  <c r="I2771" i="7"/>
  <c r="I2772" i="7"/>
  <c r="I2773" i="7"/>
  <c r="I2774" i="7"/>
  <c r="I2775" i="7"/>
  <c r="I2776" i="7"/>
  <c r="I2777" i="7"/>
  <c r="I2778" i="7"/>
  <c r="I2779" i="7"/>
  <c r="I2780" i="7"/>
  <c r="I2781" i="7"/>
  <c r="I2782" i="7"/>
  <c r="I2783" i="7"/>
  <c r="I2784" i="7"/>
  <c r="I2785" i="7"/>
  <c r="I2786" i="7"/>
  <c r="I2787" i="7"/>
  <c r="I2788" i="7"/>
  <c r="I2789" i="7"/>
  <c r="I2790" i="7"/>
  <c r="I2791" i="7"/>
  <c r="I2792" i="7"/>
  <c r="I2793" i="7"/>
  <c r="I2794" i="7"/>
  <c r="I2795" i="7"/>
  <c r="I2796" i="7"/>
  <c r="I2797" i="7"/>
  <c r="I2798" i="7"/>
  <c r="I2799" i="7"/>
  <c r="I2800" i="7"/>
  <c r="I2801" i="7"/>
  <c r="I2802" i="7"/>
  <c r="I2803" i="7"/>
  <c r="I2804" i="7"/>
  <c r="I2805" i="7"/>
  <c r="I2806" i="7"/>
  <c r="I2807" i="7"/>
  <c r="I2808" i="7"/>
  <c r="I2809" i="7"/>
  <c r="I2810" i="7"/>
  <c r="I2811" i="7"/>
  <c r="I2812" i="7"/>
  <c r="I2813" i="7"/>
  <c r="I2814" i="7"/>
  <c r="I2815" i="7"/>
  <c r="I2816" i="7"/>
  <c r="I2817" i="7"/>
  <c r="I2818" i="7"/>
  <c r="I2819" i="7"/>
  <c r="I2820" i="7"/>
  <c r="I2821" i="7"/>
  <c r="I2822" i="7"/>
  <c r="I2823" i="7"/>
  <c r="I2824" i="7"/>
  <c r="I2825" i="7"/>
  <c r="I2826" i="7"/>
  <c r="I2827" i="7"/>
  <c r="I2828" i="7"/>
  <c r="I2829" i="7"/>
  <c r="I2830" i="7"/>
  <c r="I2831" i="7"/>
  <c r="I2832" i="7"/>
  <c r="I2833" i="7"/>
  <c r="I2834" i="7"/>
  <c r="I2835" i="7"/>
  <c r="I2836" i="7"/>
  <c r="I2837" i="7"/>
  <c r="I2838" i="7"/>
  <c r="I2839" i="7"/>
  <c r="I2840" i="7"/>
  <c r="I2841" i="7"/>
  <c r="I2842" i="7"/>
  <c r="I2843" i="7"/>
  <c r="I2844" i="7"/>
  <c r="I2845" i="7"/>
  <c r="I2846" i="7"/>
  <c r="I2847" i="7"/>
  <c r="I2848" i="7"/>
  <c r="I2849" i="7"/>
  <c r="I2850" i="7"/>
  <c r="I2851" i="7"/>
  <c r="I2852" i="7"/>
  <c r="I2853" i="7"/>
  <c r="I2854" i="7"/>
  <c r="I2855" i="7"/>
  <c r="I2856" i="7"/>
  <c r="I2857" i="7"/>
  <c r="I2858" i="7"/>
  <c r="I2859" i="7"/>
  <c r="I2860" i="7"/>
  <c r="I2861" i="7"/>
  <c r="I2862" i="7"/>
  <c r="I2863" i="7"/>
  <c r="I2864" i="7"/>
  <c r="I2865" i="7"/>
  <c r="I2866" i="7"/>
  <c r="I2867" i="7"/>
  <c r="I2868" i="7"/>
  <c r="I2869" i="7"/>
  <c r="I2870" i="7"/>
  <c r="I2871" i="7"/>
  <c r="I2872" i="7"/>
  <c r="I2873" i="7"/>
  <c r="I2874" i="7"/>
  <c r="I2875" i="7"/>
  <c r="I2876" i="7"/>
  <c r="I2877" i="7"/>
  <c r="I2878" i="7"/>
  <c r="I2879" i="7"/>
  <c r="I2880" i="7"/>
  <c r="I2881" i="7"/>
  <c r="I2882" i="7"/>
  <c r="I2883" i="7"/>
  <c r="I2884" i="7"/>
  <c r="I2885" i="7"/>
  <c r="I2886" i="7"/>
  <c r="I2887" i="7"/>
  <c r="I2888" i="7"/>
  <c r="I2889" i="7"/>
  <c r="I2890" i="7"/>
  <c r="I2891" i="7"/>
  <c r="I2892" i="7"/>
  <c r="I2893" i="7"/>
  <c r="I2894" i="7"/>
  <c r="I2895" i="7"/>
  <c r="I2896" i="7"/>
  <c r="I2897" i="7"/>
  <c r="I2898" i="7"/>
  <c r="I2899" i="7"/>
  <c r="I2900" i="7"/>
  <c r="I2901" i="7"/>
  <c r="I2902" i="7"/>
  <c r="I2903" i="7"/>
  <c r="I2904" i="7"/>
  <c r="I2905" i="7"/>
  <c r="I2906" i="7"/>
  <c r="I2907" i="7"/>
  <c r="I2908" i="7"/>
  <c r="I2909" i="7"/>
  <c r="I2910" i="7"/>
  <c r="I2911" i="7"/>
  <c r="I2912" i="7"/>
  <c r="I2913" i="7"/>
  <c r="I2914" i="7"/>
  <c r="I2915" i="7"/>
  <c r="I2916" i="7"/>
  <c r="I2917" i="7"/>
  <c r="I2918" i="7"/>
  <c r="I2919" i="7"/>
  <c r="I2920" i="7"/>
  <c r="I2921" i="7"/>
  <c r="I2922" i="7"/>
  <c r="I2923" i="7"/>
  <c r="I2924" i="7"/>
  <c r="I2925" i="7"/>
  <c r="I2926" i="7"/>
  <c r="I2927" i="7"/>
  <c r="I2928" i="7"/>
  <c r="I2929" i="7"/>
  <c r="I2930" i="7"/>
  <c r="I2931" i="7"/>
  <c r="I2932" i="7"/>
  <c r="I2933" i="7"/>
  <c r="I2934" i="7"/>
  <c r="I2935" i="7"/>
  <c r="I2936" i="7"/>
  <c r="I2937" i="7"/>
  <c r="I2938" i="7"/>
  <c r="I2939" i="7"/>
  <c r="I2940" i="7"/>
  <c r="I2941" i="7"/>
  <c r="I2942" i="7"/>
  <c r="I2943" i="7"/>
  <c r="I2944" i="7"/>
  <c r="I2945" i="7"/>
  <c r="I2946" i="7"/>
  <c r="I2947" i="7"/>
  <c r="I2948" i="7"/>
  <c r="I2949" i="7"/>
  <c r="I2950" i="7"/>
  <c r="I2951" i="7"/>
  <c r="I2952" i="7"/>
  <c r="I2953" i="7"/>
  <c r="I2954" i="7"/>
  <c r="I2955" i="7"/>
  <c r="I2956" i="7"/>
  <c r="I2957" i="7"/>
  <c r="I2958" i="7"/>
  <c r="I2959" i="7"/>
  <c r="I2960" i="7"/>
  <c r="I2961" i="7"/>
  <c r="I2962" i="7"/>
  <c r="I2963" i="7"/>
  <c r="I2964" i="7"/>
  <c r="I2965" i="7"/>
  <c r="I2966" i="7"/>
  <c r="I2967" i="7"/>
  <c r="I2968" i="7"/>
  <c r="I2969" i="7"/>
  <c r="I2970" i="7"/>
  <c r="I2971" i="7"/>
  <c r="I2972" i="7"/>
  <c r="I2973" i="7"/>
  <c r="I2974" i="7"/>
  <c r="I2975" i="7"/>
  <c r="I2976" i="7"/>
  <c r="I2977" i="7"/>
  <c r="I2978" i="7"/>
  <c r="I2979" i="7"/>
  <c r="I2980" i="7"/>
  <c r="I2981" i="7"/>
  <c r="I2982" i="7"/>
  <c r="I2983" i="7"/>
  <c r="I2984" i="7"/>
  <c r="I2985" i="7"/>
  <c r="I2986" i="7"/>
  <c r="I2987" i="7"/>
  <c r="I2988" i="7"/>
  <c r="I2989" i="7"/>
  <c r="I2990" i="7"/>
  <c r="I2991" i="7"/>
  <c r="I2992" i="7"/>
  <c r="I2993" i="7"/>
  <c r="I2994" i="7"/>
  <c r="I2995" i="7"/>
  <c r="I2996" i="7"/>
  <c r="I2997" i="7"/>
  <c r="I2998" i="7"/>
  <c r="I2999" i="7"/>
  <c r="I3000" i="7"/>
  <c r="I3001" i="7"/>
  <c r="I3002" i="7"/>
  <c r="I3003" i="7"/>
  <c r="I3004" i="7"/>
  <c r="I3005" i="7"/>
  <c r="I3006" i="7"/>
  <c r="I3007" i="7"/>
  <c r="I3008" i="7"/>
  <c r="I3009" i="7"/>
  <c r="I3010" i="7"/>
  <c r="I3011" i="7"/>
  <c r="I3012" i="7"/>
  <c r="I3013" i="7"/>
  <c r="I3014" i="7"/>
  <c r="I3015" i="7"/>
  <c r="I3016" i="7"/>
  <c r="I3017" i="7"/>
  <c r="I3018" i="7"/>
  <c r="I3019" i="7"/>
  <c r="I3020" i="7"/>
  <c r="I3021" i="7"/>
  <c r="I3022" i="7"/>
  <c r="I3023" i="7"/>
  <c r="I3024" i="7"/>
  <c r="I3025" i="7"/>
  <c r="I3026" i="7"/>
  <c r="I3027" i="7"/>
  <c r="I3028" i="7"/>
  <c r="I3029" i="7"/>
  <c r="I3030" i="7"/>
  <c r="I3031" i="7"/>
  <c r="I3032" i="7"/>
  <c r="I3033" i="7"/>
  <c r="I3034" i="7"/>
  <c r="I3035" i="7"/>
  <c r="I3036" i="7"/>
  <c r="I3037" i="7"/>
  <c r="I3038" i="7"/>
  <c r="I3039" i="7"/>
  <c r="I3040" i="7"/>
  <c r="I3041" i="7"/>
  <c r="I3042" i="7"/>
  <c r="I3043" i="7"/>
  <c r="I3044" i="7"/>
  <c r="I3045" i="7"/>
  <c r="I3046" i="7"/>
  <c r="I3047" i="7"/>
  <c r="I3048" i="7"/>
  <c r="I3049" i="7"/>
  <c r="I3050" i="7"/>
  <c r="I3051" i="7"/>
  <c r="I3052" i="7"/>
  <c r="I3053" i="7"/>
  <c r="I3054" i="7"/>
  <c r="I3055" i="7"/>
  <c r="I3056" i="7"/>
  <c r="I3057" i="7"/>
  <c r="I3058" i="7"/>
  <c r="I3059" i="7"/>
  <c r="I3060" i="7"/>
  <c r="I3061" i="7"/>
  <c r="I3062" i="7"/>
  <c r="I3063" i="7"/>
  <c r="I3064" i="7"/>
  <c r="I3065" i="7"/>
  <c r="I3066" i="7"/>
  <c r="I3067" i="7"/>
  <c r="I3068" i="7"/>
  <c r="I3069" i="7"/>
  <c r="I3070" i="7"/>
  <c r="I3071" i="7"/>
  <c r="I3072" i="7"/>
  <c r="I3073" i="7"/>
  <c r="I3074" i="7"/>
  <c r="I3075" i="7"/>
  <c r="I3076" i="7"/>
  <c r="I3077" i="7"/>
  <c r="I3078" i="7"/>
  <c r="I3079" i="7"/>
  <c r="I3080" i="7"/>
  <c r="I3081" i="7"/>
  <c r="I3082" i="7"/>
  <c r="I3083" i="7"/>
  <c r="I3084" i="7"/>
  <c r="I3085" i="7"/>
  <c r="I3086" i="7"/>
  <c r="I3087" i="7"/>
  <c r="I3088" i="7"/>
  <c r="I3089" i="7"/>
  <c r="I3090" i="7"/>
  <c r="I3091" i="7"/>
  <c r="I3092" i="7"/>
  <c r="I3093" i="7"/>
  <c r="I3094" i="7"/>
  <c r="I3095" i="7"/>
  <c r="I3096" i="7"/>
  <c r="I3097" i="7"/>
  <c r="I3098" i="7"/>
  <c r="I3099" i="7"/>
  <c r="I3100" i="7"/>
  <c r="I3101" i="7"/>
  <c r="I3102" i="7"/>
  <c r="I3103" i="7"/>
  <c r="I3104" i="7"/>
  <c r="I3105" i="7"/>
  <c r="I3106" i="7"/>
  <c r="I3107" i="7"/>
  <c r="I3108" i="7"/>
  <c r="I3109" i="7"/>
  <c r="I3110" i="7"/>
  <c r="I3111" i="7"/>
  <c r="I3112" i="7"/>
  <c r="I3113" i="7"/>
  <c r="I3114" i="7"/>
  <c r="I3115" i="7"/>
  <c r="I3116" i="7"/>
  <c r="I3117" i="7"/>
  <c r="I3118" i="7"/>
  <c r="I3119" i="7"/>
  <c r="I3120" i="7"/>
  <c r="I3121" i="7"/>
  <c r="I3122" i="7"/>
  <c r="I3123" i="7"/>
  <c r="I3124" i="7"/>
  <c r="I3125" i="7"/>
  <c r="I3126" i="7"/>
  <c r="I3127" i="7"/>
  <c r="I3128" i="7"/>
  <c r="I3129" i="7"/>
  <c r="I3130" i="7"/>
  <c r="I3131" i="7"/>
  <c r="I3132" i="7"/>
  <c r="I3133" i="7"/>
  <c r="I3134" i="7"/>
  <c r="I3135" i="7"/>
  <c r="I3136" i="7"/>
  <c r="I3137" i="7"/>
  <c r="I3138" i="7"/>
  <c r="I3139" i="7"/>
  <c r="I3140" i="7"/>
  <c r="I3141" i="7"/>
  <c r="I3142" i="7"/>
  <c r="I3143" i="7"/>
  <c r="I3144" i="7"/>
  <c r="I3145" i="7"/>
  <c r="I3146" i="7"/>
  <c r="I3147" i="7"/>
  <c r="I3148" i="7"/>
  <c r="I3149" i="7"/>
  <c r="I3150" i="7"/>
  <c r="I3151" i="7"/>
  <c r="I3152" i="7"/>
  <c r="I3153" i="7"/>
  <c r="I3154" i="7"/>
  <c r="I3155" i="7"/>
  <c r="I3156" i="7"/>
  <c r="I3157" i="7"/>
  <c r="I3158" i="7"/>
  <c r="I3159" i="7"/>
  <c r="I3160" i="7"/>
  <c r="I3161" i="7"/>
  <c r="I3162" i="7"/>
  <c r="I3163" i="7"/>
  <c r="I3164" i="7"/>
  <c r="I3165" i="7"/>
  <c r="I3166" i="7"/>
  <c r="I3167" i="7"/>
  <c r="I3168" i="7"/>
  <c r="I3169" i="7"/>
  <c r="I3170" i="7"/>
  <c r="I3171" i="7"/>
  <c r="I3172" i="7"/>
  <c r="I3173" i="7"/>
  <c r="I3174" i="7"/>
  <c r="I3175" i="7"/>
  <c r="I3176" i="7"/>
  <c r="I3177" i="7"/>
  <c r="I3178" i="7"/>
  <c r="I3179" i="7"/>
  <c r="I3180" i="7"/>
  <c r="I3181" i="7"/>
  <c r="I3182" i="7"/>
  <c r="I3183" i="7"/>
  <c r="I3184" i="7"/>
  <c r="I3185" i="7"/>
  <c r="I3186" i="7"/>
  <c r="I3187" i="7"/>
  <c r="I3188" i="7"/>
  <c r="I3189" i="7"/>
  <c r="I3190" i="7"/>
  <c r="I3191" i="7"/>
  <c r="I3192" i="7"/>
  <c r="I3193" i="7"/>
  <c r="I3194" i="7"/>
  <c r="I3195" i="7"/>
  <c r="I3196" i="7"/>
  <c r="I3197" i="7"/>
  <c r="I3198" i="7"/>
  <c r="I3199" i="7"/>
  <c r="I3200" i="7"/>
  <c r="I3201" i="7"/>
  <c r="I3202" i="7"/>
  <c r="I3203" i="7"/>
  <c r="I3204" i="7"/>
  <c r="I3205" i="7"/>
  <c r="I3206" i="7"/>
  <c r="I3207" i="7"/>
  <c r="I3208" i="7"/>
  <c r="I3209" i="7"/>
  <c r="I3210" i="7"/>
  <c r="I3211" i="7"/>
  <c r="I3212" i="7"/>
  <c r="I3213" i="7"/>
  <c r="I3214" i="7"/>
  <c r="I3215" i="7"/>
  <c r="I3216" i="7"/>
  <c r="I3217" i="7"/>
  <c r="I3218" i="7"/>
  <c r="I3219" i="7"/>
  <c r="I3220" i="7"/>
  <c r="I3221" i="7"/>
  <c r="I3222" i="7"/>
  <c r="I3223" i="7"/>
  <c r="I3224" i="7"/>
  <c r="I3225" i="7"/>
  <c r="I3226" i="7"/>
  <c r="I3227" i="7"/>
  <c r="I3228" i="7"/>
  <c r="I3229" i="7"/>
  <c r="I3230" i="7"/>
  <c r="I3231" i="7"/>
  <c r="I3232" i="7"/>
  <c r="I3233" i="7"/>
  <c r="I3234" i="7"/>
  <c r="I3235" i="7"/>
  <c r="I3236" i="7"/>
  <c r="I3237" i="7"/>
  <c r="I3238" i="7"/>
  <c r="I3239" i="7"/>
  <c r="I3240" i="7"/>
  <c r="I3241" i="7"/>
  <c r="I3242" i="7"/>
  <c r="I3243" i="7"/>
  <c r="I3244" i="7"/>
  <c r="I3245" i="7"/>
  <c r="I3246" i="7"/>
  <c r="I3247" i="7"/>
  <c r="I3248" i="7"/>
  <c r="I3249" i="7"/>
  <c r="I3250" i="7"/>
  <c r="I3251" i="7"/>
  <c r="I3252" i="7"/>
  <c r="I3253" i="7"/>
  <c r="I3254" i="7"/>
  <c r="I3255" i="7"/>
  <c r="I3256" i="7"/>
  <c r="I3257" i="7"/>
  <c r="I3258" i="7"/>
  <c r="I3259" i="7"/>
  <c r="I3260" i="7"/>
  <c r="I3261" i="7"/>
  <c r="I3262" i="7"/>
  <c r="I3263" i="7"/>
  <c r="I3264" i="7"/>
  <c r="I3265" i="7"/>
  <c r="I3266" i="7"/>
  <c r="I3267" i="7"/>
  <c r="I3268" i="7"/>
  <c r="I3269" i="7"/>
  <c r="I3270" i="7"/>
  <c r="I3271" i="7"/>
  <c r="I3272" i="7"/>
  <c r="I3273" i="7"/>
  <c r="I3274" i="7"/>
  <c r="I3275" i="7"/>
  <c r="I3276" i="7"/>
  <c r="I3277" i="7"/>
  <c r="I3278" i="7"/>
  <c r="I3279" i="7"/>
  <c r="I3280" i="7"/>
  <c r="I3281" i="7"/>
  <c r="I3282" i="7"/>
  <c r="I3283" i="7"/>
  <c r="I3284" i="7"/>
  <c r="I3285" i="7"/>
  <c r="I3286" i="7"/>
  <c r="I3287" i="7"/>
  <c r="I3288" i="7"/>
  <c r="I3289" i="7"/>
  <c r="I3290" i="7"/>
  <c r="I3291" i="7"/>
  <c r="I3292" i="7"/>
  <c r="I3293" i="7"/>
  <c r="I3294" i="7"/>
  <c r="I3295" i="7"/>
  <c r="I3296" i="7"/>
  <c r="I3297" i="7"/>
  <c r="I3298" i="7"/>
  <c r="I3299" i="7"/>
  <c r="I3300" i="7"/>
  <c r="I3301" i="7"/>
  <c r="I3302" i="7"/>
  <c r="I3303" i="7"/>
  <c r="I3304" i="7"/>
  <c r="I3305" i="7"/>
  <c r="I3306" i="7"/>
  <c r="I3307" i="7"/>
  <c r="I3308" i="7"/>
  <c r="I3309" i="7"/>
  <c r="I3310" i="7"/>
  <c r="I3311" i="7"/>
  <c r="I3312" i="7"/>
  <c r="I3313" i="7"/>
  <c r="I3314" i="7"/>
  <c r="I3315" i="7"/>
  <c r="I3316" i="7"/>
  <c r="I3317" i="7"/>
  <c r="I3318" i="7"/>
  <c r="I3319" i="7"/>
  <c r="I3320" i="7"/>
  <c r="I3321" i="7"/>
  <c r="I3322" i="7"/>
  <c r="I3323" i="7"/>
  <c r="I3324" i="7"/>
  <c r="I3325" i="7"/>
  <c r="I3326" i="7"/>
  <c r="I3327" i="7"/>
  <c r="I3328" i="7"/>
  <c r="I3329" i="7"/>
  <c r="I3330" i="7"/>
  <c r="I3331" i="7"/>
  <c r="I3332" i="7"/>
  <c r="I3333" i="7"/>
  <c r="I3334" i="7"/>
  <c r="I3335" i="7"/>
  <c r="I3336" i="7"/>
  <c r="I3337" i="7"/>
  <c r="I3338" i="7"/>
  <c r="I3339" i="7"/>
  <c r="I3340" i="7"/>
  <c r="I3341" i="7"/>
  <c r="I3342" i="7"/>
  <c r="I3343" i="7"/>
  <c r="I3344" i="7"/>
  <c r="I3345" i="7"/>
  <c r="I3346" i="7"/>
  <c r="I3347" i="7"/>
  <c r="I3348" i="7"/>
  <c r="I3349" i="7"/>
  <c r="I3350" i="7"/>
  <c r="I3351" i="7"/>
  <c r="I3352" i="7"/>
  <c r="I3353" i="7"/>
  <c r="I3354" i="7"/>
  <c r="I3355" i="7"/>
  <c r="I3356" i="7"/>
  <c r="I3357" i="7"/>
  <c r="I3358" i="7"/>
  <c r="I3359" i="7"/>
  <c r="I3360" i="7"/>
  <c r="I3361" i="7"/>
  <c r="I3362" i="7"/>
  <c r="I3363" i="7"/>
  <c r="I3364" i="7"/>
  <c r="I3365" i="7"/>
  <c r="I3366" i="7"/>
  <c r="I3367" i="7"/>
  <c r="I3368" i="7"/>
  <c r="I3369" i="7"/>
  <c r="I3370" i="7"/>
  <c r="I3371" i="7"/>
  <c r="I3372" i="7"/>
  <c r="I3373" i="7"/>
  <c r="I3374" i="7"/>
  <c r="I3375" i="7"/>
  <c r="I3376" i="7"/>
  <c r="I3377" i="7"/>
  <c r="I3378" i="7"/>
  <c r="I3379" i="7"/>
  <c r="I3380" i="7"/>
  <c r="I3381" i="7"/>
  <c r="I3382" i="7"/>
  <c r="I3383" i="7"/>
  <c r="I3384" i="7"/>
  <c r="I3385" i="7"/>
  <c r="I3386" i="7"/>
  <c r="I3387" i="7"/>
  <c r="I3388" i="7"/>
  <c r="I3389" i="7"/>
  <c r="I3390" i="7"/>
  <c r="I3391" i="7"/>
  <c r="I3392" i="7"/>
  <c r="I3393" i="7"/>
  <c r="I3394" i="7"/>
  <c r="I3395" i="7"/>
  <c r="I3396" i="7"/>
  <c r="I3397" i="7"/>
  <c r="I3398" i="7"/>
  <c r="I3399" i="7"/>
  <c r="I3400" i="7"/>
  <c r="I3401" i="7"/>
  <c r="I3402" i="7"/>
  <c r="I3403" i="7"/>
  <c r="I3404" i="7"/>
  <c r="I3405" i="7"/>
  <c r="I3406" i="7"/>
  <c r="I3407" i="7"/>
  <c r="I3408" i="7"/>
  <c r="I3409" i="7"/>
  <c r="I3410" i="7"/>
  <c r="I3411" i="7"/>
  <c r="I3412" i="7"/>
  <c r="I3413" i="7"/>
  <c r="I3414" i="7"/>
  <c r="I3415" i="7"/>
  <c r="I3416" i="7"/>
  <c r="I3417" i="7"/>
  <c r="I3418" i="7"/>
  <c r="I3419" i="7"/>
  <c r="I3420" i="7"/>
  <c r="I3421" i="7"/>
  <c r="I3422" i="7"/>
  <c r="I3423" i="7"/>
  <c r="I3424" i="7"/>
  <c r="I3425" i="7"/>
  <c r="I3426" i="7"/>
  <c r="I3427" i="7"/>
  <c r="I3428" i="7"/>
  <c r="I3429" i="7"/>
  <c r="I3430" i="7"/>
  <c r="I3431" i="7"/>
  <c r="I3432" i="7"/>
  <c r="I3433" i="7"/>
  <c r="I3434" i="7"/>
  <c r="I3435" i="7"/>
  <c r="I3436" i="7"/>
  <c r="I3437" i="7"/>
  <c r="I3438" i="7"/>
  <c r="I3439" i="7"/>
  <c r="I3440" i="7"/>
  <c r="I3441" i="7"/>
  <c r="I3442" i="7"/>
  <c r="I3443" i="7"/>
  <c r="I3444" i="7"/>
  <c r="I3445" i="7"/>
  <c r="I3446" i="7"/>
  <c r="I3447" i="7"/>
  <c r="I3448" i="7"/>
  <c r="I3449" i="7"/>
  <c r="I3450" i="7"/>
  <c r="I3451" i="7"/>
  <c r="I3452" i="7"/>
  <c r="I3453" i="7"/>
  <c r="I3454" i="7"/>
  <c r="I3455" i="7"/>
  <c r="I3456" i="7"/>
  <c r="I3457" i="7"/>
  <c r="I3458" i="7"/>
  <c r="I3459" i="7"/>
  <c r="I3460" i="7"/>
  <c r="I3461" i="7"/>
  <c r="I3462" i="7"/>
  <c r="I3463" i="7"/>
  <c r="I3464" i="7"/>
  <c r="I3465" i="7"/>
  <c r="I3466" i="7"/>
  <c r="I3467" i="7"/>
  <c r="I3468" i="7"/>
  <c r="I3469" i="7"/>
  <c r="I3470" i="7"/>
  <c r="I3471" i="7"/>
  <c r="I3472" i="7"/>
  <c r="I3473" i="7"/>
  <c r="I3474" i="7"/>
  <c r="I3475" i="7"/>
  <c r="I3476" i="7"/>
  <c r="I3477" i="7"/>
  <c r="I3478" i="7"/>
  <c r="I3479" i="7"/>
  <c r="I3480" i="7"/>
  <c r="I3481" i="7"/>
  <c r="I3482" i="7"/>
  <c r="I3483" i="7"/>
  <c r="I3484" i="7"/>
  <c r="I3485" i="7"/>
  <c r="I3486" i="7"/>
  <c r="I3487" i="7"/>
  <c r="I3488" i="7"/>
  <c r="I3489" i="7"/>
  <c r="I3490" i="7"/>
  <c r="I3491" i="7"/>
  <c r="I3492" i="7"/>
  <c r="I3493" i="7"/>
  <c r="I3494" i="7"/>
  <c r="I3495" i="7"/>
  <c r="I3496" i="7"/>
  <c r="I3497" i="7"/>
  <c r="I3498" i="7"/>
  <c r="I3499" i="7"/>
  <c r="I3500" i="7"/>
  <c r="I3501" i="7"/>
  <c r="I3502" i="7"/>
  <c r="I3503" i="7"/>
  <c r="I3504" i="7"/>
  <c r="I3505" i="7"/>
  <c r="I3506" i="7"/>
  <c r="I3507" i="7"/>
  <c r="I3508" i="7"/>
  <c r="I3509" i="7"/>
  <c r="I3510" i="7"/>
  <c r="I3511" i="7"/>
  <c r="I3512" i="7"/>
  <c r="I3513" i="7"/>
  <c r="I3514" i="7"/>
  <c r="I3515" i="7"/>
  <c r="I3516" i="7"/>
  <c r="I3517" i="7"/>
  <c r="I3518" i="7"/>
  <c r="I3519" i="7"/>
  <c r="I3520" i="7"/>
  <c r="I3521" i="7"/>
  <c r="I3522" i="7"/>
  <c r="I3523" i="7"/>
  <c r="I3524" i="7"/>
  <c r="I3525" i="7"/>
  <c r="I3526" i="7"/>
  <c r="I3527" i="7"/>
  <c r="I3528" i="7"/>
  <c r="I3529" i="7"/>
  <c r="I3530" i="7"/>
  <c r="I3531" i="7"/>
  <c r="I3532" i="7"/>
  <c r="I3533" i="7"/>
  <c r="I3534" i="7"/>
  <c r="I3535" i="7"/>
  <c r="I3536" i="7"/>
  <c r="I3537" i="7"/>
  <c r="I3538" i="7"/>
  <c r="I3539" i="7"/>
  <c r="I3540" i="7"/>
  <c r="I3541" i="7"/>
  <c r="I3542" i="7"/>
  <c r="I3543" i="7"/>
  <c r="I3544" i="7"/>
  <c r="I3545" i="7"/>
  <c r="I3546" i="7"/>
  <c r="I3547" i="7"/>
  <c r="I3548" i="7"/>
  <c r="I3549" i="7"/>
  <c r="I3550" i="7"/>
  <c r="I3551" i="7"/>
  <c r="I3552" i="7"/>
  <c r="I3553" i="7"/>
  <c r="I3554" i="7"/>
  <c r="I3555" i="7"/>
  <c r="I3556" i="7"/>
  <c r="I3557" i="7"/>
  <c r="I3558" i="7"/>
  <c r="I3559" i="7"/>
  <c r="I3560" i="7"/>
  <c r="I3561" i="7"/>
  <c r="I3562" i="7"/>
  <c r="I3563" i="7"/>
  <c r="I3564" i="7"/>
  <c r="I3565" i="7"/>
  <c r="I3566" i="7"/>
  <c r="I3567" i="7"/>
  <c r="I3568" i="7"/>
  <c r="I3569" i="7"/>
  <c r="I3570" i="7"/>
  <c r="I3571" i="7"/>
  <c r="I3572" i="7"/>
  <c r="I3573" i="7"/>
  <c r="I3574" i="7"/>
  <c r="I3575" i="7"/>
  <c r="I3576" i="7"/>
  <c r="I3577" i="7"/>
  <c r="I3578" i="7"/>
  <c r="I3579" i="7"/>
  <c r="I3580" i="7"/>
  <c r="I3581" i="7"/>
  <c r="I3582" i="7"/>
  <c r="I3583" i="7"/>
  <c r="I3584" i="7"/>
  <c r="I3585" i="7"/>
  <c r="I3586" i="7"/>
  <c r="I3587" i="7"/>
  <c r="I3588" i="7"/>
  <c r="I3589" i="7"/>
  <c r="I3590" i="7"/>
  <c r="I3591" i="7"/>
  <c r="I3592" i="7"/>
  <c r="I3593" i="7"/>
  <c r="I3594" i="7"/>
  <c r="I3595" i="7"/>
  <c r="I3596" i="7"/>
  <c r="I3597" i="7"/>
  <c r="I3598" i="7"/>
  <c r="I3599" i="7"/>
  <c r="I3600" i="7"/>
  <c r="I3601" i="7"/>
  <c r="I3602" i="7"/>
  <c r="I3603" i="7"/>
  <c r="I3604" i="7"/>
  <c r="I3605" i="7"/>
  <c r="I3606" i="7"/>
  <c r="I3607" i="7"/>
  <c r="I3608" i="7"/>
  <c r="I3609" i="7"/>
  <c r="I3610" i="7"/>
  <c r="I3611" i="7"/>
  <c r="I3612" i="7"/>
  <c r="I3613" i="7"/>
  <c r="I3614" i="7"/>
  <c r="I3615" i="7"/>
  <c r="I3616" i="7"/>
  <c r="I3617" i="7"/>
  <c r="I3618" i="7"/>
  <c r="I3619" i="7"/>
  <c r="I3620" i="7"/>
  <c r="I3621" i="7"/>
  <c r="I3622" i="7"/>
  <c r="I3623" i="7"/>
  <c r="I3624" i="7"/>
  <c r="I3625" i="7"/>
  <c r="I3626" i="7"/>
  <c r="I3627" i="7"/>
  <c r="I3628" i="7"/>
  <c r="I3629" i="7"/>
  <c r="I3630" i="7"/>
  <c r="I3631" i="7"/>
  <c r="I3632" i="7"/>
  <c r="I3633" i="7"/>
  <c r="I3634" i="7"/>
  <c r="I3635" i="7"/>
  <c r="I3636" i="7"/>
  <c r="I3637" i="7"/>
  <c r="I3638" i="7"/>
  <c r="I3639" i="7"/>
  <c r="I3640" i="7"/>
  <c r="I3641" i="7"/>
  <c r="I3642" i="7"/>
  <c r="I3643" i="7"/>
  <c r="I3644" i="7"/>
  <c r="I3645" i="7"/>
  <c r="I3646" i="7"/>
  <c r="I3647" i="7"/>
  <c r="I3648" i="7"/>
  <c r="I3649" i="7"/>
  <c r="I3650" i="7"/>
  <c r="I3651" i="7"/>
  <c r="I3652" i="7"/>
  <c r="I3653" i="7"/>
  <c r="I3654" i="7"/>
  <c r="I3655" i="7"/>
  <c r="I3656" i="7"/>
  <c r="I3657" i="7"/>
  <c r="I3658" i="7"/>
  <c r="I3659" i="7"/>
  <c r="I3660" i="7"/>
  <c r="I3661" i="7"/>
  <c r="I3662" i="7"/>
  <c r="I3663" i="7"/>
  <c r="I3664" i="7"/>
  <c r="I3665" i="7"/>
  <c r="I3666" i="7"/>
  <c r="I3667" i="7"/>
  <c r="I3668" i="7"/>
  <c r="I3669" i="7"/>
  <c r="I3670" i="7"/>
  <c r="I3671" i="7"/>
  <c r="I3672" i="7"/>
  <c r="I3673" i="7"/>
  <c r="I3674" i="7"/>
  <c r="I3675" i="7"/>
  <c r="I3676" i="7"/>
  <c r="I3677" i="7"/>
  <c r="I3678" i="7"/>
  <c r="I3679" i="7"/>
  <c r="I3680" i="7"/>
  <c r="I3681" i="7"/>
  <c r="I3682" i="7"/>
  <c r="I3683" i="7"/>
  <c r="I3684" i="7"/>
  <c r="I3685" i="7"/>
  <c r="I3686" i="7"/>
  <c r="I3687" i="7"/>
  <c r="I3688" i="7"/>
  <c r="I3689" i="7"/>
  <c r="I3690" i="7"/>
  <c r="I3691" i="7"/>
  <c r="I3692" i="7"/>
  <c r="I3693" i="7"/>
  <c r="I3694" i="7"/>
  <c r="I3695" i="7"/>
  <c r="I3696" i="7"/>
  <c r="I3697" i="7"/>
  <c r="I3698" i="7"/>
  <c r="I3699" i="7"/>
  <c r="I3700" i="7"/>
  <c r="I3701" i="7"/>
  <c r="I3702" i="7"/>
  <c r="I3703" i="7"/>
  <c r="I3704" i="7"/>
  <c r="I3705" i="7"/>
  <c r="I3706" i="7"/>
  <c r="I3707" i="7"/>
  <c r="I3708" i="7"/>
  <c r="I3709" i="7"/>
  <c r="I3710" i="7"/>
  <c r="I3711" i="7"/>
  <c r="I3712" i="7"/>
  <c r="I3713" i="7"/>
  <c r="I3714" i="7"/>
  <c r="I3715" i="7"/>
  <c r="I3716" i="7"/>
  <c r="I3717" i="7"/>
  <c r="I3718" i="7"/>
  <c r="I3719" i="7"/>
  <c r="I3720" i="7"/>
  <c r="I3721" i="7"/>
  <c r="I3722" i="7"/>
  <c r="I3723" i="7"/>
  <c r="I3724" i="7"/>
  <c r="I3725" i="7"/>
  <c r="I3726" i="7"/>
  <c r="I3727" i="7"/>
  <c r="I3728" i="7"/>
  <c r="I3729" i="7"/>
  <c r="I3730" i="7"/>
  <c r="I3731" i="7"/>
  <c r="I3732" i="7"/>
  <c r="I3733" i="7"/>
  <c r="I3734" i="7"/>
  <c r="I3735" i="7"/>
  <c r="I3736" i="7"/>
  <c r="I3737" i="7"/>
  <c r="I3738" i="7"/>
  <c r="I3739" i="7"/>
  <c r="I3740" i="7"/>
  <c r="I3741" i="7"/>
  <c r="I3742" i="7"/>
  <c r="I3743" i="7"/>
  <c r="I3744" i="7"/>
  <c r="I3745" i="7"/>
  <c r="I3746" i="7"/>
  <c r="I3747" i="7"/>
  <c r="I3748" i="7"/>
  <c r="I3749" i="7"/>
  <c r="I3750" i="7"/>
  <c r="I3751" i="7"/>
  <c r="I3752" i="7"/>
  <c r="I3753" i="7"/>
  <c r="I3754" i="7"/>
  <c r="I3755" i="7"/>
  <c r="I3756" i="7"/>
  <c r="I3757" i="7"/>
  <c r="I3758" i="7"/>
  <c r="I3759" i="7"/>
  <c r="I3760" i="7"/>
  <c r="I3761" i="7"/>
  <c r="I3762" i="7"/>
  <c r="I3763" i="7"/>
  <c r="I3764" i="7"/>
  <c r="I3765" i="7"/>
  <c r="I3766" i="7"/>
  <c r="I3767" i="7"/>
  <c r="I3768" i="7"/>
  <c r="I3769" i="7"/>
  <c r="I3770" i="7"/>
  <c r="I3771" i="7"/>
  <c r="I3772" i="7"/>
  <c r="I3773" i="7"/>
  <c r="I3774" i="7"/>
  <c r="I3775" i="7"/>
  <c r="I3776" i="7"/>
  <c r="I3777" i="7"/>
  <c r="I3778" i="7"/>
  <c r="I3779" i="7"/>
  <c r="I3780" i="7"/>
  <c r="I3781" i="7"/>
  <c r="I3782" i="7"/>
  <c r="I3783" i="7"/>
  <c r="I3784" i="7"/>
  <c r="I3785" i="7"/>
  <c r="I3786" i="7"/>
  <c r="I3787" i="7"/>
  <c r="I3788" i="7"/>
  <c r="I3789" i="7"/>
  <c r="I3790" i="7"/>
  <c r="I3791" i="7"/>
  <c r="I3792" i="7"/>
  <c r="I3793" i="7"/>
  <c r="I3794" i="7"/>
  <c r="I3795" i="7"/>
  <c r="I3796" i="7"/>
  <c r="I3797" i="7"/>
  <c r="I3798" i="7"/>
  <c r="I3799" i="7"/>
  <c r="I3800" i="7"/>
  <c r="I3801" i="7"/>
  <c r="I3802" i="7"/>
  <c r="I3803" i="7"/>
  <c r="I3804" i="7"/>
  <c r="I3805" i="7"/>
  <c r="I3806" i="7"/>
  <c r="I3807" i="7"/>
  <c r="I3808" i="7"/>
  <c r="I3809" i="7"/>
  <c r="I3810" i="7"/>
  <c r="I3811" i="7"/>
  <c r="I3812" i="7"/>
  <c r="I3813" i="7"/>
  <c r="I3814" i="7"/>
  <c r="I3815" i="7"/>
  <c r="I3816" i="7"/>
  <c r="I3817" i="7"/>
  <c r="I3818" i="7"/>
  <c r="I3819" i="7"/>
  <c r="I3820" i="7"/>
  <c r="I3821" i="7"/>
  <c r="I3822" i="7"/>
  <c r="I3823" i="7"/>
  <c r="I3824" i="7"/>
  <c r="I3825" i="7"/>
  <c r="I3826" i="7"/>
  <c r="I3827" i="7"/>
  <c r="I3828" i="7"/>
  <c r="I3829" i="7"/>
  <c r="I3830" i="7"/>
  <c r="I3831" i="7"/>
  <c r="I3832" i="7"/>
  <c r="I3833" i="7"/>
  <c r="I3834" i="7"/>
  <c r="I3835" i="7"/>
  <c r="I3836" i="7"/>
  <c r="I3837" i="7"/>
  <c r="I3838" i="7"/>
  <c r="I3839" i="7"/>
  <c r="I3840" i="7"/>
  <c r="I3841" i="7"/>
  <c r="I3842" i="7"/>
  <c r="I3843" i="7"/>
  <c r="I3844" i="7"/>
  <c r="I3845" i="7"/>
  <c r="I3846" i="7"/>
  <c r="I3847" i="7"/>
  <c r="I3848" i="7"/>
  <c r="I3849" i="7"/>
  <c r="I3850" i="7"/>
  <c r="I3851" i="7"/>
  <c r="I3852" i="7"/>
  <c r="I3853" i="7"/>
  <c r="I3854" i="7"/>
  <c r="I3855" i="7"/>
  <c r="I3856" i="7"/>
  <c r="I3857" i="7"/>
  <c r="I3858" i="7"/>
  <c r="I3859" i="7"/>
  <c r="I3860" i="7"/>
  <c r="I3861" i="7"/>
  <c r="I3862" i="7"/>
  <c r="I3863" i="7"/>
  <c r="I3864" i="7"/>
  <c r="I3865" i="7"/>
  <c r="I3866" i="7"/>
  <c r="I3867" i="7"/>
  <c r="I3868" i="7"/>
  <c r="I3869" i="7"/>
  <c r="I3870" i="7"/>
  <c r="I3871" i="7"/>
  <c r="I3872" i="7"/>
  <c r="I3873" i="7"/>
  <c r="I3874" i="7"/>
  <c r="I3875" i="7"/>
  <c r="I3876" i="7"/>
  <c r="I3877" i="7"/>
  <c r="I3878" i="7"/>
  <c r="I3879" i="7"/>
  <c r="I3880" i="7"/>
  <c r="I3881" i="7"/>
  <c r="I3882" i="7"/>
  <c r="I3883" i="7"/>
  <c r="I3884" i="7"/>
  <c r="I3885" i="7"/>
  <c r="I3886" i="7"/>
  <c r="I3887" i="7"/>
  <c r="I3888" i="7"/>
  <c r="I3889" i="7"/>
  <c r="I3890" i="7"/>
  <c r="I3891" i="7"/>
  <c r="I3892" i="7"/>
  <c r="I3893" i="7"/>
  <c r="I3894" i="7"/>
  <c r="I3895" i="7"/>
  <c r="I3896" i="7"/>
  <c r="I3897" i="7"/>
  <c r="I3898" i="7"/>
  <c r="I3899" i="7"/>
  <c r="I3900" i="7"/>
  <c r="I3901" i="7"/>
  <c r="I3902" i="7"/>
  <c r="I3903" i="7"/>
  <c r="I3904" i="7"/>
  <c r="I3905" i="7"/>
  <c r="I3906" i="7"/>
  <c r="I3907" i="7"/>
  <c r="I3908" i="7"/>
  <c r="I3909" i="7"/>
  <c r="I3910" i="7"/>
  <c r="I3911" i="7"/>
  <c r="I3912" i="7"/>
  <c r="I3913" i="7"/>
  <c r="I3914" i="7"/>
  <c r="I3915" i="7"/>
  <c r="I3916" i="7"/>
  <c r="I3917" i="7"/>
  <c r="I3918" i="7"/>
  <c r="I3919" i="7"/>
  <c r="I3920" i="7"/>
  <c r="I3921" i="7"/>
  <c r="I3922" i="7"/>
  <c r="I3923" i="7"/>
  <c r="I3924" i="7"/>
  <c r="I3925" i="7"/>
  <c r="I3926" i="7"/>
  <c r="I3927" i="7"/>
  <c r="I3928" i="7"/>
  <c r="I3929" i="7"/>
  <c r="I3930" i="7"/>
  <c r="I3931" i="7"/>
  <c r="I3932" i="7"/>
  <c r="I3933" i="7"/>
  <c r="I3934" i="7"/>
  <c r="I3935" i="7"/>
  <c r="I3936" i="7"/>
  <c r="I3937" i="7"/>
  <c r="I3938" i="7"/>
  <c r="I3939" i="7"/>
  <c r="I3940" i="7"/>
  <c r="I3941" i="7"/>
  <c r="I3942" i="7"/>
  <c r="I3943" i="7"/>
  <c r="I3944" i="7"/>
  <c r="I3945" i="7"/>
  <c r="I3946" i="7"/>
  <c r="I3947" i="7"/>
  <c r="I3948" i="7"/>
  <c r="I3949" i="7"/>
  <c r="I3950" i="7"/>
  <c r="I3951" i="7"/>
  <c r="I3952" i="7"/>
  <c r="I3953" i="7"/>
  <c r="I3954" i="7"/>
  <c r="I3955" i="7"/>
  <c r="I3956" i="7"/>
  <c r="I3957" i="7"/>
  <c r="I3958" i="7"/>
  <c r="I3959" i="7"/>
  <c r="I3960" i="7"/>
  <c r="I3961" i="7"/>
  <c r="I3962" i="7"/>
  <c r="I3963" i="7"/>
  <c r="I3964" i="7"/>
  <c r="I3965" i="7"/>
  <c r="I3966" i="7"/>
  <c r="I3967" i="7"/>
  <c r="I3968" i="7"/>
  <c r="I3969" i="7"/>
  <c r="I3970" i="7"/>
  <c r="I3971" i="7"/>
  <c r="I3972" i="7"/>
  <c r="I3973" i="7"/>
  <c r="I3974" i="7"/>
  <c r="I3975" i="7"/>
  <c r="I3976" i="7"/>
  <c r="I3977" i="7"/>
  <c r="I3978" i="7"/>
  <c r="I3979" i="7"/>
  <c r="I3980" i="7"/>
  <c r="I3981" i="7"/>
  <c r="I3982" i="7"/>
  <c r="I3983" i="7"/>
  <c r="I3984" i="7"/>
  <c r="I3985" i="7"/>
  <c r="I3986" i="7"/>
  <c r="I3987" i="7"/>
  <c r="I3988" i="7"/>
  <c r="I3989" i="7"/>
  <c r="I3990" i="7"/>
  <c r="I3991" i="7"/>
  <c r="I3992" i="7"/>
  <c r="I3993" i="7"/>
  <c r="I3994" i="7"/>
  <c r="I3995" i="7"/>
  <c r="I3996" i="7"/>
  <c r="I3997" i="7"/>
  <c r="I3998" i="7"/>
  <c r="I3999" i="7"/>
  <c r="I4000" i="7"/>
  <c r="I4001" i="7"/>
  <c r="I4002" i="7"/>
  <c r="I4003" i="7"/>
  <c r="I4004" i="7"/>
  <c r="I4005" i="7"/>
  <c r="I4006" i="7"/>
  <c r="I4007" i="7"/>
  <c r="I4008" i="7"/>
  <c r="I4009" i="7"/>
  <c r="I4010" i="7"/>
  <c r="I4011" i="7"/>
  <c r="I4012" i="7"/>
  <c r="I4013" i="7"/>
  <c r="I4014" i="7"/>
  <c r="I4015" i="7"/>
  <c r="I4016" i="7"/>
  <c r="I4017" i="7"/>
  <c r="I4018" i="7"/>
  <c r="I4019" i="7"/>
  <c r="I4020" i="7"/>
  <c r="I4021" i="7"/>
  <c r="I4022" i="7"/>
  <c r="I4023" i="7"/>
  <c r="I4024" i="7"/>
  <c r="I4025" i="7"/>
  <c r="I4026" i="7"/>
  <c r="I4027" i="7"/>
  <c r="I4028" i="7"/>
  <c r="I4029" i="7"/>
  <c r="I4030" i="7"/>
  <c r="I4031" i="7"/>
  <c r="I4032" i="7"/>
  <c r="I4033" i="7"/>
  <c r="I4034" i="7"/>
  <c r="I4035" i="7"/>
  <c r="I4036" i="7"/>
  <c r="I4037" i="7"/>
  <c r="I4038" i="7"/>
  <c r="I4039" i="7"/>
  <c r="I4040" i="7"/>
  <c r="I4041" i="7"/>
  <c r="I4042" i="7"/>
  <c r="I4043" i="7"/>
  <c r="I4044" i="7"/>
  <c r="I4045" i="7"/>
  <c r="I4046" i="7"/>
  <c r="I4047" i="7"/>
  <c r="I4048" i="7"/>
  <c r="I4049" i="7"/>
  <c r="I4050" i="7"/>
  <c r="I4051" i="7"/>
  <c r="I4052" i="7"/>
  <c r="I4053" i="7"/>
  <c r="I4054" i="7"/>
  <c r="I4055" i="7"/>
  <c r="I4056" i="7"/>
  <c r="I4057" i="7"/>
  <c r="I4058" i="7"/>
  <c r="I4059" i="7"/>
  <c r="I4060" i="7"/>
  <c r="I4061" i="7"/>
  <c r="I4062" i="7"/>
  <c r="I4063" i="7"/>
  <c r="I4064" i="7"/>
  <c r="I4065" i="7"/>
  <c r="I4066" i="7"/>
  <c r="I4067" i="7"/>
  <c r="I4068" i="7"/>
  <c r="I4069" i="7"/>
  <c r="I4070" i="7"/>
  <c r="I4071" i="7"/>
  <c r="I4072" i="7"/>
  <c r="I4073" i="7"/>
  <c r="I4074" i="7"/>
  <c r="I4075" i="7"/>
  <c r="I4076" i="7"/>
  <c r="I4077" i="7"/>
  <c r="I4078" i="7"/>
  <c r="I4079" i="7"/>
  <c r="I4080" i="7"/>
  <c r="I4081" i="7"/>
  <c r="I4082" i="7"/>
  <c r="I4083" i="7"/>
  <c r="I4084" i="7"/>
  <c r="I4085" i="7"/>
  <c r="I4086" i="7"/>
  <c r="I4087" i="7"/>
  <c r="I4088" i="7"/>
  <c r="I4089" i="7"/>
  <c r="I4090" i="7"/>
  <c r="I4091" i="7"/>
  <c r="I4092" i="7"/>
  <c r="I4093" i="7"/>
  <c r="I4094" i="7"/>
  <c r="I4095" i="7"/>
  <c r="I4096" i="7"/>
  <c r="I4097" i="7"/>
  <c r="I4098" i="7"/>
  <c r="I4099" i="7"/>
  <c r="I4100" i="7"/>
  <c r="I4101" i="7"/>
  <c r="I4102" i="7"/>
  <c r="I4103" i="7"/>
  <c r="I4104" i="7"/>
  <c r="I4105" i="7"/>
  <c r="I4106" i="7"/>
  <c r="I4107" i="7"/>
  <c r="I4108" i="7"/>
  <c r="I4109" i="7"/>
  <c r="I4110" i="7"/>
  <c r="I4111" i="7"/>
  <c r="I4112" i="7"/>
  <c r="I4113" i="7"/>
  <c r="I4114" i="7"/>
  <c r="I4115" i="7"/>
  <c r="I4116" i="7"/>
  <c r="I4117" i="7"/>
  <c r="I4118" i="7"/>
  <c r="I4119" i="7"/>
  <c r="I4120" i="7"/>
  <c r="I4121" i="7"/>
  <c r="I4122" i="7"/>
  <c r="I4123" i="7"/>
  <c r="I4124" i="7"/>
  <c r="I4125" i="7"/>
  <c r="I4126" i="7"/>
  <c r="I4127" i="7"/>
  <c r="I4128" i="7"/>
  <c r="I4129" i="7"/>
  <c r="I4130" i="7"/>
  <c r="I4131" i="7"/>
  <c r="I4132" i="7"/>
  <c r="I4133" i="7"/>
  <c r="I4134" i="7"/>
  <c r="I4135" i="7"/>
  <c r="I4136" i="7"/>
  <c r="I4137" i="7"/>
  <c r="I4138" i="7"/>
  <c r="I4139" i="7"/>
  <c r="I4140" i="7"/>
  <c r="I4141" i="7"/>
  <c r="I4142" i="7"/>
  <c r="I4143" i="7"/>
  <c r="I4144" i="7"/>
  <c r="I4145" i="7"/>
  <c r="I4146" i="7"/>
  <c r="I4147" i="7"/>
  <c r="I4148" i="7"/>
  <c r="I4149" i="7"/>
  <c r="I4150" i="7"/>
  <c r="I4151" i="7"/>
  <c r="I4152" i="7"/>
  <c r="I4153" i="7"/>
  <c r="I4154" i="7"/>
  <c r="I4155" i="7"/>
  <c r="I4156" i="7"/>
  <c r="I4157" i="7"/>
  <c r="I4158" i="7"/>
  <c r="I4159" i="7"/>
  <c r="I4160" i="7"/>
  <c r="I4161" i="7"/>
  <c r="I4162" i="7"/>
  <c r="I4163" i="7"/>
  <c r="I4164" i="7"/>
  <c r="I4165" i="7"/>
  <c r="I4166" i="7"/>
  <c r="I4167" i="7"/>
  <c r="I4168" i="7"/>
  <c r="I4169" i="7"/>
  <c r="I4170" i="7"/>
  <c r="I4171" i="7"/>
  <c r="I4172" i="7"/>
  <c r="I4173" i="7"/>
  <c r="I4174" i="7"/>
  <c r="I4175" i="7"/>
  <c r="I4176" i="7"/>
  <c r="I4177" i="7"/>
  <c r="I4178" i="7"/>
  <c r="I4179" i="7"/>
  <c r="I4180" i="7"/>
  <c r="I4181" i="7"/>
  <c r="I4182" i="7"/>
  <c r="I4183" i="7"/>
  <c r="I4184" i="7"/>
  <c r="I4185" i="7"/>
  <c r="I4186" i="7"/>
  <c r="I4187" i="7"/>
  <c r="I4188" i="7"/>
  <c r="I4189" i="7"/>
  <c r="I4190" i="7"/>
  <c r="I4191" i="7"/>
  <c r="I4192" i="7"/>
  <c r="I4193" i="7"/>
  <c r="I4194" i="7"/>
  <c r="I4195" i="7"/>
  <c r="I4196" i="7"/>
  <c r="I4197" i="7"/>
  <c r="I4198" i="7"/>
  <c r="I4199" i="7"/>
  <c r="I4200" i="7"/>
  <c r="I4201" i="7"/>
  <c r="I4202" i="7"/>
  <c r="I4203" i="7"/>
  <c r="I4204" i="7"/>
  <c r="I4205" i="7"/>
  <c r="I4206" i="7"/>
  <c r="I4207" i="7"/>
  <c r="I4208" i="7"/>
  <c r="I4209" i="7"/>
  <c r="I4210" i="7"/>
  <c r="I4211" i="7"/>
  <c r="I4212" i="7"/>
  <c r="I4213" i="7"/>
  <c r="I4214" i="7"/>
  <c r="I4215" i="7"/>
  <c r="I4216" i="7"/>
  <c r="I4217" i="7"/>
  <c r="I4218" i="7"/>
  <c r="I4219" i="7"/>
  <c r="I4220" i="7"/>
  <c r="I4221" i="7"/>
  <c r="I4222" i="7"/>
  <c r="I4223" i="7"/>
  <c r="I4224" i="7"/>
  <c r="I4225" i="7"/>
  <c r="I4226" i="7"/>
  <c r="I4227" i="7"/>
  <c r="I4228" i="7"/>
  <c r="I4229" i="7"/>
  <c r="I4230" i="7"/>
  <c r="I4231" i="7"/>
  <c r="I4232" i="7"/>
  <c r="I4233" i="7"/>
  <c r="I4234" i="7"/>
  <c r="I4235" i="7"/>
  <c r="I4236" i="7"/>
  <c r="I4237" i="7"/>
  <c r="I4238" i="7"/>
  <c r="I4239" i="7"/>
  <c r="I4240" i="7"/>
  <c r="I4241" i="7"/>
  <c r="I4242" i="7"/>
  <c r="I4243" i="7"/>
  <c r="I4244" i="7"/>
  <c r="I4245" i="7"/>
  <c r="I4246" i="7"/>
  <c r="I4247" i="7"/>
  <c r="I4248" i="7"/>
  <c r="I4249" i="7"/>
  <c r="I4250" i="7"/>
  <c r="I4251" i="7"/>
  <c r="I4252" i="7"/>
  <c r="I4253" i="7"/>
  <c r="I4254" i="7"/>
  <c r="I4255" i="7"/>
  <c r="I4256" i="7"/>
  <c r="I4257" i="7"/>
  <c r="I4258" i="7"/>
  <c r="I4259" i="7"/>
  <c r="I4260" i="7"/>
  <c r="I4261" i="7"/>
  <c r="I4262" i="7"/>
  <c r="I4263" i="7"/>
  <c r="I4264" i="7"/>
  <c r="I4265" i="7"/>
  <c r="I4266" i="7"/>
  <c r="I4267" i="7"/>
  <c r="I4268" i="7"/>
  <c r="I4269" i="7"/>
  <c r="I4270" i="7"/>
  <c r="I4271" i="7"/>
  <c r="I4272" i="7"/>
  <c r="I4273" i="7"/>
  <c r="I4274" i="7"/>
  <c r="I4275" i="7"/>
  <c r="I4276" i="7"/>
  <c r="I4277" i="7"/>
  <c r="I4278" i="7"/>
  <c r="I4279" i="7"/>
  <c r="I4280" i="7"/>
  <c r="I4281" i="7"/>
  <c r="I4282" i="7"/>
  <c r="I4283" i="7"/>
  <c r="I4284" i="7"/>
  <c r="I4285" i="7"/>
  <c r="I4286" i="7"/>
  <c r="I4287" i="7"/>
  <c r="I4288" i="7"/>
  <c r="I4289" i="7"/>
  <c r="I4290" i="7"/>
  <c r="I4291" i="7"/>
  <c r="I4292" i="7"/>
  <c r="I4293" i="7"/>
  <c r="I4294" i="7"/>
  <c r="I4295" i="7"/>
  <c r="I4296" i="7"/>
  <c r="I4297" i="7"/>
  <c r="I4298" i="7"/>
  <c r="I4299" i="7"/>
  <c r="I4300" i="7"/>
  <c r="I4301" i="7"/>
  <c r="I4302" i="7"/>
  <c r="I4303" i="7"/>
  <c r="I4304" i="7"/>
  <c r="I4305" i="7"/>
  <c r="I4306" i="7"/>
  <c r="I4307" i="7"/>
  <c r="I4308" i="7"/>
  <c r="I4309" i="7"/>
  <c r="I4310" i="7"/>
  <c r="I4311" i="7"/>
  <c r="I4312" i="7"/>
  <c r="I4313" i="7"/>
  <c r="I4314" i="7"/>
  <c r="I4315" i="7"/>
  <c r="I4316" i="7"/>
  <c r="I4317" i="7"/>
  <c r="I4318" i="7"/>
  <c r="I4319" i="7"/>
  <c r="I4320" i="7"/>
  <c r="I4321" i="7"/>
  <c r="I4322" i="7"/>
  <c r="I2" i="7"/>
  <c r="G469" i="1"/>
  <c r="G473" i="1" s="1"/>
  <c r="C469" i="1"/>
  <c r="C473" i="1" s="1"/>
  <c r="C480" i="6"/>
  <c r="C484" i="6" s="1"/>
  <c r="G489" i="3"/>
  <c r="G493" i="3" s="1"/>
  <c r="C489" i="3"/>
  <c r="C493" i="3" s="1"/>
  <c r="C487" i="5"/>
  <c r="C491" i="5" s="1"/>
  <c r="G487" i="5"/>
  <c r="G491" i="5" s="1"/>
  <c r="G489" i="4"/>
  <c r="G493" i="4" s="1"/>
  <c r="C489" i="4"/>
  <c r="C493" i="4" s="1"/>
</calcChain>
</file>

<file path=xl/sharedStrings.xml><?xml version="1.0" encoding="utf-8"?>
<sst xmlns="http://schemas.openxmlformats.org/spreadsheetml/2006/main" count="26150" uniqueCount="1434">
  <si>
    <t>Allenstown SD</t>
  </si>
  <si>
    <t>Alton SD</t>
  </si>
  <si>
    <t>Amherst SD</t>
  </si>
  <si>
    <t>Andover SD</t>
  </si>
  <si>
    <t>Androscoggin Valley Reg Refuse</t>
  </si>
  <si>
    <t>Ashland SD</t>
  </si>
  <si>
    <t>Auburn SD</t>
  </si>
  <si>
    <t>Barnstead SD</t>
  </si>
  <si>
    <t>Barrington SD</t>
  </si>
  <si>
    <t>Bartlett SD</t>
  </si>
  <si>
    <t>Bath SD</t>
  </si>
  <si>
    <t>Bcep Solid Waste District</t>
  </si>
  <si>
    <t>Bedford SD</t>
  </si>
  <si>
    <t>Belknap County</t>
  </si>
  <si>
    <t>Belknap County Conserv. Dist</t>
  </si>
  <si>
    <t>Berlin Housing Authority</t>
  </si>
  <si>
    <t>Berlin Water Works</t>
  </si>
  <si>
    <t>Bethlehem SD</t>
  </si>
  <si>
    <t>Bow SD - SAU 67</t>
  </si>
  <si>
    <t>Brentwood SD</t>
  </si>
  <si>
    <t>Brookline Public Library</t>
  </si>
  <si>
    <t>Brookline SD</t>
  </si>
  <si>
    <t>Campton SD</t>
  </si>
  <si>
    <t>Candia SD</t>
  </si>
  <si>
    <t>Carroll County</t>
  </si>
  <si>
    <t>Center Conway Fire Precinct</t>
  </si>
  <si>
    <t>Central Hooksett Wtr Precinct</t>
  </si>
  <si>
    <t>Cheshire County</t>
  </si>
  <si>
    <t>Chester SD - (SAU 82)</t>
  </si>
  <si>
    <t>Chesterfield SD</t>
  </si>
  <si>
    <t>Chichester SD</t>
  </si>
  <si>
    <t>City of Berlin</t>
  </si>
  <si>
    <t>City of Claremont</t>
  </si>
  <si>
    <t>City of Concord</t>
  </si>
  <si>
    <t>City of Dover</t>
  </si>
  <si>
    <t>City of Franklin</t>
  </si>
  <si>
    <t>City of Keene</t>
  </si>
  <si>
    <t>City of Laconia</t>
  </si>
  <si>
    <t>City of Lebanon</t>
  </si>
  <si>
    <t>City of Manchester</t>
  </si>
  <si>
    <t>City of Nashua</t>
  </si>
  <si>
    <t>City of Portsmouth</t>
  </si>
  <si>
    <t>City of Rochester</t>
  </si>
  <si>
    <t>City of Somersworth</t>
  </si>
  <si>
    <t>Claremont SD</t>
  </si>
  <si>
    <t>Cocheco Academy of The Arts</t>
  </si>
  <si>
    <t>Colebrook SD</t>
  </si>
  <si>
    <t>Community College System of NH</t>
  </si>
  <si>
    <t>Concord SD</t>
  </si>
  <si>
    <t>Contoocook Valley SD</t>
  </si>
  <si>
    <t>Conway SD</t>
  </si>
  <si>
    <t>Conway Village Fire District</t>
  </si>
  <si>
    <t>Cook Memorial Library</t>
  </si>
  <si>
    <t>Coos County Institute</t>
  </si>
  <si>
    <t>Coos County Nursing Home</t>
  </si>
  <si>
    <t>Cornish SD</t>
  </si>
  <si>
    <t>County of Merrimack</t>
  </si>
  <si>
    <t>Croydon Village School</t>
  </si>
  <si>
    <t>Deerfield Community School</t>
  </si>
  <si>
    <t>Derry Coop SD</t>
  </si>
  <si>
    <t>Derry Housing Authority</t>
  </si>
  <si>
    <t>Dover Housing Authority</t>
  </si>
  <si>
    <t>Dresden SD</t>
  </si>
  <si>
    <t>Dunbarton SD - SAU 67</t>
  </si>
  <si>
    <t>East Kingston SD</t>
  </si>
  <si>
    <t>Epping SD</t>
  </si>
  <si>
    <t>Epsom SD</t>
  </si>
  <si>
    <t>Errol SD</t>
  </si>
  <si>
    <t>Exeter Reg Coop SD</t>
  </si>
  <si>
    <t>Exeter SD</t>
  </si>
  <si>
    <t>Fall Mountain Reg SD</t>
  </si>
  <si>
    <t>Farmington SD - (SAU 61)</t>
  </si>
  <si>
    <t>Franklin SD</t>
  </si>
  <si>
    <t>Freedom SD</t>
  </si>
  <si>
    <t>Fremont SD - SAU 83</t>
  </si>
  <si>
    <t>Gilford SD</t>
  </si>
  <si>
    <t>Gilmanton SD</t>
  </si>
  <si>
    <t>Goffstown SD</t>
  </si>
  <si>
    <t>Goffstown Village Precinct</t>
  </si>
  <si>
    <t>Governor Wentworth Reg SD</t>
  </si>
  <si>
    <t>Grafton County</t>
  </si>
  <si>
    <t>Grantham SD</t>
  </si>
  <si>
    <t>Great Bay Elearning School</t>
  </si>
  <si>
    <t>Greenland SD</t>
  </si>
  <si>
    <t>Grs Coop SD</t>
  </si>
  <si>
    <t>Hampstead SD</t>
  </si>
  <si>
    <t>Hampton Falls SD</t>
  </si>
  <si>
    <t>Hampton SD - SAU 90</t>
  </si>
  <si>
    <t>Hanover SD</t>
  </si>
  <si>
    <t>Harrisville SD</t>
  </si>
  <si>
    <t>Haverhill Coop SD</t>
  </si>
  <si>
    <t>Henniker SD</t>
  </si>
  <si>
    <t>Hill SD</t>
  </si>
  <si>
    <t>Merrimack Village District</t>
  </si>
  <si>
    <t>Middleton SD</t>
  </si>
  <si>
    <t>Milan SD</t>
  </si>
  <si>
    <t>Milford Area Communication Ctr</t>
  </si>
  <si>
    <t>Milford SD</t>
  </si>
  <si>
    <t>Milton SD</t>
  </si>
  <si>
    <t>Monadnock Reg SD- SAU 93</t>
  </si>
  <si>
    <t>Monroe SD</t>
  </si>
  <si>
    <t>Mont Vernon SD</t>
  </si>
  <si>
    <t>Moultonborough SD - SAU 45</t>
  </si>
  <si>
    <t>Mountain Lakes District</t>
  </si>
  <si>
    <t>Nashua Airport Authority</t>
  </si>
  <si>
    <t>Nashua Housing Redevelop Auth</t>
  </si>
  <si>
    <t>Nelson SD</t>
  </si>
  <si>
    <t>New Boston SD</t>
  </si>
  <si>
    <t>New Castle SD</t>
  </si>
  <si>
    <t>New London-Springfield Wtr Sys</t>
  </si>
  <si>
    <t>Newfields SD</t>
  </si>
  <si>
    <t>Newfound Area SD</t>
  </si>
  <si>
    <t>Newington SD</t>
  </si>
  <si>
    <t>Newmarket Housing Authority</t>
  </si>
  <si>
    <t>Newmarket SD</t>
  </si>
  <si>
    <t>Newport SD</t>
  </si>
  <si>
    <t>Next Charter School</t>
  </si>
  <si>
    <t>NH Comm Development Fin Auth</t>
  </si>
  <si>
    <t>NH Municipal Bond Bank</t>
  </si>
  <si>
    <t>NH Retirement System</t>
  </si>
  <si>
    <t>-</t>
  </si>
  <si>
    <t>North Conway Wtr Precinct</t>
  </si>
  <si>
    <t>North Country Charter Academy</t>
  </si>
  <si>
    <t>North Country Edu Srvc Ag Inc</t>
  </si>
  <si>
    <t>North Hampton SD</t>
  </si>
  <si>
    <t>Northumberland SD</t>
  </si>
  <si>
    <t>Northwood SD</t>
  </si>
  <si>
    <t>Nottingham SD</t>
  </si>
  <si>
    <t>Oyster River Coop SD</t>
  </si>
  <si>
    <t>Pease Development Authority</t>
  </si>
  <si>
    <t>Pelham SD</t>
  </si>
  <si>
    <t>Pembroke SD</t>
  </si>
  <si>
    <t>Pemi Baker Coop</t>
  </si>
  <si>
    <t>Piermont SD</t>
  </si>
  <si>
    <t>Pittsburg SD</t>
  </si>
  <si>
    <t>Pittsfield SD</t>
  </si>
  <si>
    <t>Plainfield SD</t>
  </si>
  <si>
    <t>Plaistow Public Library</t>
  </si>
  <si>
    <t>Plymouth SD</t>
  </si>
  <si>
    <t>Plymouth Village Water &amp; Sewer</t>
  </si>
  <si>
    <t>Portsmouth Housing Authority</t>
  </si>
  <si>
    <t>Portsmouth SD</t>
  </si>
  <si>
    <t>Profile SD</t>
  </si>
  <si>
    <t>Prospect Mountain High School</t>
  </si>
  <si>
    <t>Raymond SD</t>
  </si>
  <si>
    <t>Rivendell Interstate SD</t>
  </si>
  <si>
    <t>Rochester SD</t>
  </si>
  <si>
    <t>Rockingham County</t>
  </si>
  <si>
    <t>Rockingham Planning Comm</t>
  </si>
  <si>
    <t>Rollinsford SD</t>
  </si>
  <si>
    <t>Rumney SD</t>
  </si>
  <si>
    <t>Rye SD</t>
  </si>
  <si>
    <t>Rye Water District</t>
  </si>
  <si>
    <t>Salem Housing Authority</t>
  </si>
  <si>
    <t>Salem SD</t>
  </si>
  <si>
    <t>Sanborn Regional SD</t>
  </si>
  <si>
    <t>Sanbornton Public Library</t>
  </si>
  <si>
    <t>Sandown Public Library</t>
  </si>
  <si>
    <t>SAU 02</t>
  </si>
  <si>
    <t>SAU 03</t>
  </si>
  <si>
    <t>SAU 06</t>
  </si>
  <si>
    <t>SAU 07</t>
  </si>
  <si>
    <t>SAU 09</t>
  </si>
  <si>
    <t>SAU 13</t>
  </si>
  <si>
    <t>SAU 15</t>
  </si>
  <si>
    <t>SAU 16</t>
  </si>
  <si>
    <t>SAU 19</t>
  </si>
  <si>
    <t>SAU 20</t>
  </si>
  <si>
    <t>SAU 21</t>
  </si>
  <si>
    <t>SAU 23</t>
  </si>
  <si>
    <t>SAU 24</t>
  </si>
  <si>
    <t>SAU 29</t>
  </si>
  <si>
    <t>SAU 34</t>
  </si>
  <si>
    <t>SAU 35</t>
  </si>
  <si>
    <t>SAU 39</t>
  </si>
  <si>
    <t>SAU 41</t>
  </si>
  <si>
    <t>SAU 42</t>
  </si>
  <si>
    <t>SAU 44</t>
  </si>
  <si>
    <t>SAU 46</t>
  </si>
  <si>
    <t>SAU 48</t>
  </si>
  <si>
    <t>SAU 50</t>
  </si>
  <si>
    <t>SAU 53</t>
  </si>
  <si>
    <t>SAU 58</t>
  </si>
  <si>
    <t>SAU 67</t>
  </si>
  <si>
    <t>SAU 70</t>
  </si>
  <si>
    <t>Seabrook SD</t>
  </si>
  <si>
    <t>Seacoast Charter School</t>
  </si>
  <si>
    <t>Shaker Regional SD - SAU 80</t>
  </si>
  <si>
    <t>Somersworth Housing Authority</t>
  </si>
  <si>
    <t>Somersworth SD</t>
  </si>
  <si>
    <t>Souhegan Coop SD</t>
  </si>
  <si>
    <t>South Hampton SD</t>
  </si>
  <si>
    <t>Southern NH Planning Comm</t>
  </si>
  <si>
    <t>Stark SD</t>
  </si>
  <si>
    <t>State of New Hampshire</t>
  </si>
  <si>
    <t>Stewartstown SD</t>
  </si>
  <si>
    <t>Stoddard SD</t>
  </si>
  <si>
    <t>Strafford County</t>
  </si>
  <si>
    <t>Strafford SD</t>
  </si>
  <si>
    <t>Stratford SD</t>
  </si>
  <si>
    <t>Stratham SD</t>
  </si>
  <si>
    <t>Sullivan County</t>
  </si>
  <si>
    <t>Sunapee SD</t>
  </si>
  <si>
    <t>Swnh District Fire Mutual Aid</t>
  </si>
  <si>
    <t>Tamworth SD</t>
  </si>
  <si>
    <t>Thornton Public School Library</t>
  </si>
  <si>
    <t>Thornton SD</t>
  </si>
  <si>
    <t>Tilton-Northfield Fire Dist</t>
  </si>
  <si>
    <t>Timberlane Reg SD</t>
  </si>
  <si>
    <t>Town of Alexandria</t>
  </si>
  <si>
    <t>Town of Allenstown</t>
  </si>
  <si>
    <t>Town of Alstead</t>
  </si>
  <si>
    <t>Town of Alton</t>
  </si>
  <si>
    <t>Town of Amherst</t>
  </si>
  <si>
    <t>Town of Andover</t>
  </si>
  <si>
    <t>Town of Antrim</t>
  </si>
  <si>
    <t>Town of Ashland</t>
  </si>
  <si>
    <t>Town of Atkinson</t>
  </si>
  <si>
    <t>Town of Auburn</t>
  </si>
  <si>
    <t>Town of Barnstead</t>
  </si>
  <si>
    <t>Town of Barrington</t>
  </si>
  <si>
    <t>Town of Bartlett</t>
  </si>
  <si>
    <t>Town of Bedford</t>
  </si>
  <si>
    <t>Town of Belmont</t>
  </si>
  <si>
    <t>Town of Bennington</t>
  </si>
  <si>
    <t>Town of Bethlehem</t>
  </si>
  <si>
    <t>Town of Boscawen</t>
  </si>
  <si>
    <t>Town of Bow</t>
  </si>
  <si>
    <t>Town of Bradford</t>
  </si>
  <si>
    <t>Town of Brentwood</t>
  </si>
  <si>
    <t>Town of Bristol</t>
  </si>
  <si>
    <t>Town of Brookline</t>
  </si>
  <si>
    <t>Town of Campton</t>
  </si>
  <si>
    <t>Town of Canaan</t>
  </si>
  <si>
    <t>Town of Candia</t>
  </si>
  <si>
    <t>Town of Canterbury</t>
  </si>
  <si>
    <t>Town of Carroll</t>
  </si>
  <si>
    <t>Town of Center Harbor</t>
  </si>
  <si>
    <t>Town of Charlestown</t>
  </si>
  <si>
    <t>Town of Chester</t>
  </si>
  <si>
    <t>Town of Chesterfield</t>
  </si>
  <si>
    <t>Town of Chichester</t>
  </si>
  <si>
    <t>Town of Clarksville</t>
  </si>
  <si>
    <t>Town of Colebrook</t>
  </si>
  <si>
    <t>Town of Conway</t>
  </si>
  <si>
    <t>Town of Cornish</t>
  </si>
  <si>
    <t>Town of Croydon</t>
  </si>
  <si>
    <t>Town of Danville</t>
  </si>
  <si>
    <t>Town of Deerfield</t>
  </si>
  <si>
    <t>Town of Deering</t>
  </si>
  <si>
    <t>Town of Derry</t>
  </si>
  <si>
    <t>Town of Dorchester</t>
  </si>
  <si>
    <t>Town of Dublin</t>
  </si>
  <si>
    <t>Town of Dunbarton</t>
  </si>
  <si>
    <t>Town of Durham</t>
  </si>
  <si>
    <t>Town of East Kingston</t>
  </si>
  <si>
    <t>Town of Effingham</t>
  </si>
  <si>
    <t>Town of Enfield</t>
  </si>
  <si>
    <t>Town of Epping</t>
  </si>
  <si>
    <t>Town of Epsom</t>
  </si>
  <si>
    <t>Town of Exeter</t>
  </si>
  <si>
    <t>Town of Farmington</t>
  </si>
  <si>
    <t>Town of Fitzwilliam</t>
  </si>
  <si>
    <t>Town of Francestown</t>
  </si>
  <si>
    <t>Town of Franconia</t>
  </si>
  <si>
    <t>Town of Freedom</t>
  </si>
  <si>
    <t>Town of Fremont</t>
  </si>
  <si>
    <t>Town of Gilford</t>
  </si>
  <si>
    <t>Town of Gilmanton</t>
  </si>
  <si>
    <t>Town of Goffstown</t>
  </si>
  <si>
    <t>Town of Gorham</t>
  </si>
  <si>
    <t>Town of Goshen</t>
  </si>
  <si>
    <t>Town of Grafton</t>
  </si>
  <si>
    <t>Town of Grantham</t>
  </si>
  <si>
    <t>Town of Greenfield</t>
  </si>
  <si>
    <t>Town of Greenland</t>
  </si>
  <si>
    <t>Town of Greenville</t>
  </si>
  <si>
    <t>Town of Groton</t>
  </si>
  <si>
    <t>Town of Hampstead</t>
  </si>
  <si>
    <t>Town of Hampton</t>
  </si>
  <si>
    <t>Town of Hampton Falls</t>
  </si>
  <si>
    <t>Town of Hancock</t>
  </si>
  <si>
    <t>Town of Hanover</t>
  </si>
  <si>
    <t>Town of Harrisville</t>
  </si>
  <si>
    <t>Town of Haverhill</t>
  </si>
  <si>
    <t>Town of Hebron</t>
  </si>
  <si>
    <t>Town of Henniker</t>
  </si>
  <si>
    <t>Town of Hillsborough</t>
  </si>
  <si>
    <t>Town of Hinsdale</t>
  </si>
  <si>
    <t>Town of Holderness</t>
  </si>
  <si>
    <t>Town of Hollis</t>
  </si>
  <si>
    <t>Town of Hooksett</t>
  </si>
  <si>
    <t>Town of Hopkinton</t>
  </si>
  <si>
    <t>Town of Hudson</t>
  </si>
  <si>
    <t>Town of Jackson</t>
  </si>
  <si>
    <t>Town of Jaffrey</t>
  </si>
  <si>
    <t>Town of Jefferson</t>
  </si>
  <si>
    <t>Town of Kensington</t>
  </si>
  <si>
    <t>Town of Kingston</t>
  </si>
  <si>
    <t>Town of Lancaster</t>
  </si>
  <si>
    <t>Town of Lee</t>
  </si>
  <si>
    <t>Town of Lempster</t>
  </si>
  <si>
    <t>Town of Lincoln</t>
  </si>
  <si>
    <t>Town of Lisbon</t>
  </si>
  <si>
    <t>Town of Litchfield</t>
  </si>
  <si>
    <t>Town of Littleton</t>
  </si>
  <si>
    <t>Town of Londonderry</t>
  </si>
  <si>
    <t>Town of Loudon</t>
  </si>
  <si>
    <t>Town of Lyme</t>
  </si>
  <si>
    <t>Town of Lyndeborough</t>
  </si>
  <si>
    <t>Town of Madison</t>
  </si>
  <si>
    <t>Town of Marlborough</t>
  </si>
  <si>
    <t>Town of Marlow</t>
  </si>
  <si>
    <t>Town of Mason</t>
  </si>
  <si>
    <t>Town of Meredith</t>
  </si>
  <si>
    <t>Town of Merrimack</t>
  </si>
  <si>
    <t>Town of Middleton</t>
  </si>
  <si>
    <t>Town of Milford</t>
  </si>
  <si>
    <t>Town of Milton</t>
  </si>
  <si>
    <t>Town of Monroe</t>
  </si>
  <si>
    <t>Town of Mont Vernon</t>
  </si>
  <si>
    <t>Town of Moultonborough</t>
  </si>
  <si>
    <t>Town of Nelson</t>
  </si>
  <si>
    <t>Town of New Boston</t>
  </si>
  <si>
    <t>Town of New Castle</t>
  </si>
  <si>
    <t>Town of New Durham</t>
  </si>
  <si>
    <t>Town of New Hampton</t>
  </si>
  <si>
    <t>Town of New Ipswich</t>
  </si>
  <si>
    <t>Town of New London</t>
  </si>
  <si>
    <t>Town of Newbury</t>
  </si>
  <si>
    <t>Town of Newfields</t>
  </si>
  <si>
    <t>Town of Newington</t>
  </si>
  <si>
    <t>Town of Newmarket</t>
  </si>
  <si>
    <t>Town of Newport</t>
  </si>
  <si>
    <t>Town of Newton</t>
  </si>
  <si>
    <t>Town of North Hampton</t>
  </si>
  <si>
    <t>Town of Northfield</t>
  </si>
  <si>
    <t>Town of Northumberland</t>
  </si>
  <si>
    <t>Town of Northwood</t>
  </si>
  <si>
    <t>Town of Nottingham</t>
  </si>
  <si>
    <t>Town of Orford</t>
  </si>
  <si>
    <t>Town of Ossipee</t>
  </si>
  <si>
    <t>Town of Pelham</t>
  </si>
  <si>
    <t>Town of Pembroke</t>
  </si>
  <si>
    <t>Town of Peterborough</t>
  </si>
  <si>
    <t>Town of Piermont</t>
  </si>
  <si>
    <t>Town of Pittsburg</t>
  </si>
  <si>
    <t>Town of Pittsfield</t>
  </si>
  <si>
    <t>Town of Plainfield</t>
  </si>
  <si>
    <t>Town of Plaistow</t>
  </si>
  <si>
    <t>Town of Plymouth</t>
  </si>
  <si>
    <t>Town of Raymond</t>
  </si>
  <si>
    <t>Town of Rindge</t>
  </si>
  <si>
    <t>Town of Rollinsford</t>
  </si>
  <si>
    <t>Town of Rumney</t>
  </si>
  <si>
    <t>Town of Rye</t>
  </si>
  <si>
    <t>Town of Salem</t>
  </si>
  <si>
    <t>Town of Salisbury</t>
  </si>
  <si>
    <t>Town of Sanbornton</t>
  </si>
  <si>
    <t>Town of Sandown</t>
  </si>
  <si>
    <t>Town of Sandwich</t>
  </si>
  <si>
    <t>Town of Seabrook</t>
  </si>
  <si>
    <t>Town of Shelburne</t>
  </si>
  <si>
    <t>Town of South Hampton</t>
  </si>
  <si>
    <t>Town of Springfield</t>
  </si>
  <si>
    <t>Town of Stark</t>
  </si>
  <si>
    <t>Town of Stewartstown</t>
  </si>
  <si>
    <t>Town of Strafford</t>
  </si>
  <si>
    <t>Town of Stratford</t>
  </si>
  <si>
    <t>Town of Stratham</t>
  </si>
  <si>
    <t>Town of Sugar Hill</t>
  </si>
  <si>
    <t>Town of Sunapee</t>
  </si>
  <si>
    <t>Town of Sutton</t>
  </si>
  <si>
    <t>Town of Swanzey</t>
  </si>
  <si>
    <t>Town of Tamworth</t>
  </si>
  <si>
    <t>Town of Thornton</t>
  </si>
  <si>
    <t>Town of Tilton</t>
  </si>
  <si>
    <t>Town of Troy</t>
  </si>
  <si>
    <t>Town of Troy Water And Sewer</t>
  </si>
  <si>
    <t>Town of Tuftonboro</t>
  </si>
  <si>
    <t>Town of Unity</t>
  </si>
  <si>
    <t>Town of Wakefield</t>
  </si>
  <si>
    <t>Town of Walpole</t>
  </si>
  <si>
    <t>Town of Warner</t>
  </si>
  <si>
    <t>Town of Warren</t>
  </si>
  <si>
    <t>Town of Washington</t>
  </si>
  <si>
    <t>Town of Waterville Valley</t>
  </si>
  <si>
    <t>Town of Weare</t>
  </si>
  <si>
    <t>Town of Webster</t>
  </si>
  <si>
    <t>Town of Westmoreland</t>
  </si>
  <si>
    <t>Town of Whitefield</t>
  </si>
  <si>
    <t>Town of Wilmot</t>
  </si>
  <si>
    <t>Town of Wilton</t>
  </si>
  <si>
    <t>Town of Winchester</t>
  </si>
  <si>
    <t>Town of Windham</t>
  </si>
  <si>
    <t>Town of Wolfeboro</t>
  </si>
  <si>
    <t>Town of Woodstock</t>
  </si>
  <si>
    <t>Unity SD</t>
  </si>
  <si>
    <t>Village District of Eastman</t>
  </si>
  <si>
    <t>Village District of Eidelweiss</t>
  </si>
  <si>
    <t>Virtual Lrng Acad Charter Schl</t>
  </si>
  <si>
    <t>Wakefield SD</t>
  </si>
  <si>
    <t>Warner Village Water District</t>
  </si>
  <si>
    <t>Warren SD</t>
  </si>
  <si>
    <t>Washington SD</t>
  </si>
  <si>
    <t>Waterville Estates Village Dis</t>
  </si>
  <si>
    <t>Waterville Valley SD</t>
  </si>
  <si>
    <t>Weare SD</t>
  </si>
  <si>
    <t>Weeks Public Library</t>
  </si>
  <si>
    <t>Wentworth SD</t>
  </si>
  <si>
    <t>Westmoreland SD</t>
  </si>
  <si>
    <t>White Mountains Reg SD</t>
  </si>
  <si>
    <t>Wilton-Lyndeborough Coop SD</t>
  </si>
  <si>
    <t>Winchester SD</t>
  </si>
  <si>
    <t>Windham SD</t>
  </si>
  <si>
    <t>Winnacunnet Coop SD</t>
  </si>
  <si>
    <t>Winnisquam Reg SD</t>
  </si>
  <si>
    <t>Woodsville Fire District</t>
  </si>
  <si>
    <t>Woodsville Water &amp; Light Dept</t>
  </si>
  <si>
    <t>district_name</t>
  </si>
  <si>
    <t>Allenstown Sewer Commission</t>
  </si>
  <si>
    <t>Ashland Electric Dept - Emp</t>
  </si>
  <si>
    <t>Baker Free Library - Emp</t>
  </si>
  <si>
    <t>Berlin - Emp/Fire/Pol</t>
  </si>
  <si>
    <t>Campton/Thornton Fire Dept</t>
  </si>
  <si>
    <t>Concord Reg Sol Waste Res Rec</t>
  </si>
  <si>
    <t>Fremont - Police</t>
  </si>
  <si>
    <t>Goshen-Lempster SD</t>
  </si>
  <si>
    <t>Hillsboro-Deering SD</t>
  </si>
  <si>
    <t>Hillsborough County</t>
  </si>
  <si>
    <t>Hinsdale SD</t>
  </si>
  <si>
    <t>Holderness SD</t>
  </si>
  <si>
    <t>Hollis SD</t>
  </si>
  <si>
    <t>Hollis-Brookline Coop</t>
  </si>
  <si>
    <t>Hooksett Public Library</t>
  </si>
  <si>
    <t>Hooksett SD</t>
  </si>
  <si>
    <t>Hooksett Sewer Commission</t>
  </si>
  <si>
    <t>Hooksett Village Wtr Precinct</t>
  </si>
  <si>
    <t>Hopkinton SD</t>
  </si>
  <si>
    <t>Hudson SD</t>
  </si>
  <si>
    <t>Inter-Lakes SD</t>
  </si>
  <si>
    <t>Jackson SD</t>
  </si>
  <si>
    <t>Jaffrey-Rindge Coop SD</t>
  </si>
  <si>
    <t>John Stark SD</t>
  </si>
  <si>
    <t>Kearsarge Reg SD - SAU 65</t>
  </si>
  <si>
    <t>Keene SD</t>
  </si>
  <si>
    <t>Kensington SD</t>
  </si>
  <si>
    <t>Laconia Housing &amp; Redevelopmnt</t>
  </si>
  <si>
    <t>Laconia SD</t>
  </si>
  <si>
    <t>Laconia Water Works</t>
  </si>
  <si>
    <t>Lafayette Reg SD</t>
  </si>
  <si>
    <t>Lakes Region Mutual Fire Aid</t>
  </si>
  <si>
    <t>Lakes Region Planning Comm.</t>
  </si>
  <si>
    <t>Land &amp; Comm Heritage Inv Prog</t>
  </si>
  <si>
    <t>Landaff SD</t>
  </si>
  <si>
    <t>Langdon - Police</t>
  </si>
  <si>
    <t>Lebanon SD</t>
  </si>
  <si>
    <t>Lempster SD</t>
  </si>
  <si>
    <t>Lincoln-Woodstock Coop SD</t>
  </si>
  <si>
    <t>Lisbon Reg SD</t>
  </si>
  <si>
    <t>Litchfield SD</t>
  </si>
  <si>
    <t>Littleton Public Library</t>
  </si>
  <si>
    <t>Littleton SD</t>
  </si>
  <si>
    <t>Littleton Water &amp; Light Dept</t>
  </si>
  <si>
    <t>Londonderry SD</t>
  </si>
  <si>
    <t>Lower Bartlett Water Precinct</t>
  </si>
  <si>
    <t>Lyme SD</t>
  </si>
  <si>
    <t>Lyndeborough - Police</t>
  </si>
  <si>
    <t>Madison SD</t>
  </si>
  <si>
    <t>Manchester SD</t>
  </si>
  <si>
    <t>Marlborough SD</t>
  </si>
  <si>
    <t>Marlow SD</t>
  </si>
  <si>
    <t>Mascenic Reg SD</t>
  </si>
  <si>
    <t>Mascoma Valley Regional SD</t>
  </si>
  <si>
    <t>Mason SD (SAU 89)</t>
  </si>
  <si>
    <t>Maxfield Public Library</t>
  </si>
  <si>
    <t>Meriden Village Water District</t>
  </si>
  <si>
    <t>Merrimack SD</t>
  </si>
  <si>
    <t>Merrimack Valley SD</t>
  </si>
  <si>
    <t>NE Interstate Water Pol Cntrl</t>
  </si>
  <si>
    <t>Penacook Boscawen Water Prcnct</t>
  </si>
  <si>
    <t>Portsmouth-Josie F. Prescott</t>
  </si>
  <si>
    <t>Richmond-Pol</t>
  </si>
  <si>
    <t>SAU 18 - Emp/Teach</t>
  </si>
  <si>
    <t>SAU 43 - Emp/Teach</t>
  </si>
  <si>
    <t>SAU 55</t>
  </si>
  <si>
    <t>SAU 56</t>
  </si>
  <si>
    <t>SAU 61 - Emp</t>
  </si>
  <si>
    <t>SAU 64 - Emp/Teach</t>
  </si>
  <si>
    <t>SAU 71 Emp/Teacher</t>
  </si>
  <si>
    <t>Surry Village Charter School</t>
  </si>
  <si>
    <t>Town of Albany</t>
  </si>
  <si>
    <t>Albany - Emp</t>
  </si>
  <si>
    <t>Alexandria - Emp/Pol</t>
  </si>
  <si>
    <t>Allenstown - Emp/Fire/Pol</t>
  </si>
  <si>
    <t>Allenstown Sd - (Sau 53)</t>
  </si>
  <si>
    <t>Alstead - Police</t>
  </si>
  <si>
    <t>Alton - Emp/Fire/Pol</t>
  </si>
  <si>
    <t>Alton Sd - Emp/Teach</t>
  </si>
  <si>
    <t>Amherst - Fire/Pol</t>
  </si>
  <si>
    <t>Amherst Sd - (Sau 39)</t>
  </si>
  <si>
    <t>Andover - Police</t>
  </si>
  <si>
    <t>Andover Sd - (Sau 46)</t>
  </si>
  <si>
    <t>Antrim - Emp/Pol</t>
  </si>
  <si>
    <t>Ashland - Emp/Pol</t>
  </si>
  <si>
    <t>Ashland Sd - (Sau 02)</t>
  </si>
  <si>
    <t>Atkinson - Emp/Police</t>
  </si>
  <si>
    <t>Auburn - Emp/Fire/Pol</t>
  </si>
  <si>
    <t>Auburn Sd - (Sau 15)</t>
  </si>
  <si>
    <t>Barnstead - Emp/Fire/Pol</t>
  </si>
  <si>
    <t>Barnstead Sd - Emp/Teach</t>
  </si>
  <si>
    <t>Barrington - Emp/Pol/Fire</t>
  </si>
  <si>
    <t>Barrington Sd - Emp/Teach</t>
  </si>
  <si>
    <t>Bartlett - Fire/Pol</t>
  </si>
  <si>
    <t>Bartlett Sd - (Sau 09)</t>
  </si>
  <si>
    <t>Bath Sd - (Sau 23)</t>
  </si>
  <si>
    <t>Bedford - Emp/Fire/Pol</t>
  </si>
  <si>
    <t>Bedford Sd - Emp/Teach</t>
  </si>
  <si>
    <t>Belknap County - Emp/Pol</t>
  </si>
  <si>
    <t>Belmont - Emp/Fire/Pol</t>
  </si>
  <si>
    <t>Bennington - Emp/Pol</t>
  </si>
  <si>
    <t>Berlin Housing Authority - Emp</t>
  </si>
  <si>
    <t>Berlin Water Works - Emp</t>
  </si>
  <si>
    <t>Bethlehem - Emp/Fir/Pol</t>
  </si>
  <si>
    <t>Bethlehem Sd - (Sau 35)</t>
  </si>
  <si>
    <t>Boscawen - Emp/Pol</t>
  </si>
  <si>
    <t>Bow - Emp/Fire/Pol</t>
  </si>
  <si>
    <t>Bow Sd - Emp/Teach (Sau 67)</t>
  </si>
  <si>
    <t>Bradford - Police</t>
  </si>
  <si>
    <t>Brentwood - Emp/Fire/Pol</t>
  </si>
  <si>
    <t>Brentwood Sd - (Sau 16)</t>
  </si>
  <si>
    <t>Bridgewater - Police/Fire</t>
  </si>
  <si>
    <t>Bristol - Emp/Fire/Pol</t>
  </si>
  <si>
    <t>Brookline - Emp/Fire/Pol</t>
  </si>
  <si>
    <t>Brookline Public Library - Emp</t>
  </si>
  <si>
    <t>Brookline Sd - (Sau 41)</t>
  </si>
  <si>
    <t>Campton - Emp/Pol/Fire</t>
  </si>
  <si>
    <t>Campton Sd - (Sau 48)</t>
  </si>
  <si>
    <t>Canaan - Emp/Pol</t>
  </si>
  <si>
    <t>Candia - Police</t>
  </si>
  <si>
    <t>Candia Sd - (Sau 15)</t>
  </si>
  <si>
    <t>Canterbury - Emp/Pol/Fire</t>
  </si>
  <si>
    <t>Carroll - Emp/Fire/Pol</t>
  </si>
  <si>
    <t>Carroll County - Emp/Pol</t>
  </si>
  <si>
    <t>Center Harbor - Police</t>
  </si>
  <si>
    <t>Central Hooksett Water Precnct</t>
  </si>
  <si>
    <t>Charlestown - Emp/Pol</t>
  </si>
  <si>
    <t>Cheshire County - Emp/Pol</t>
  </si>
  <si>
    <t>Chester - Emp/Fire/Pol</t>
  </si>
  <si>
    <t>Chester Sd - (Sau 82)</t>
  </si>
  <si>
    <t>Chesterfield - Emp/Pol</t>
  </si>
  <si>
    <t>Chesterfield Sd - (Sau 29)</t>
  </si>
  <si>
    <t>Chichester - Emp/Pol</t>
  </si>
  <si>
    <t>Chichester Sd - (Sau 53)</t>
  </si>
  <si>
    <t>Claremont - Emp/Fire/Pol</t>
  </si>
  <si>
    <t>Claremont Sd - (Sau 06)</t>
  </si>
  <si>
    <t>Clarksville - Emp</t>
  </si>
  <si>
    <t>Cocheco Academy Of The Arts</t>
  </si>
  <si>
    <t>Colebrook - Emp/Pol</t>
  </si>
  <si>
    <t>Colebrook Sd - (Sau 07)</t>
  </si>
  <si>
    <t>Community College System Of Nh</t>
  </si>
  <si>
    <t>Concord - Emp/Fire/Pol</t>
  </si>
  <si>
    <t>Concord Sd - Emp/Teach</t>
  </si>
  <si>
    <t>Contoocook Valley Sd</t>
  </si>
  <si>
    <t>Conway - Emp/Pol</t>
  </si>
  <si>
    <t>Conway Sd - (Sau 09)</t>
  </si>
  <si>
    <t>Coos County - Emp/Pol</t>
  </si>
  <si>
    <t>Coos County Nursing Home - Emp</t>
  </si>
  <si>
    <t>Cornish - Emp</t>
  </si>
  <si>
    <t>Cornish Sd - (Sau 100)</t>
  </si>
  <si>
    <t>Croydon Sd - (Sau 99)</t>
  </si>
  <si>
    <t>Croydon-Emp</t>
  </si>
  <si>
    <t>Danville - Pol</t>
  </si>
  <si>
    <t>Deerfield - Emp/Pol</t>
  </si>
  <si>
    <t>Deerfield Sd - (Sau 53)</t>
  </si>
  <si>
    <t>Deering - Police</t>
  </si>
  <si>
    <t>Derry - Emp/Fire/Pol</t>
  </si>
  <si>
    <t>Derry Housing Authority - Emp</t>
  </si>
  <si>
    <t>Dorchester - Emp</t>
  </si>
  <si>
    <t>Dover - Emp/Fire/Pol/Teacher</t>
  </si>
  <si>
    <t>Dresden Sd - (Sau 70)</t>
  </si>
  <si>
    <t>Dublin - Emp/Fir/Pol</t>
  </si>
  <si>
    <t>Dunbarton - Emp/Pol</t>
  </si>
  <si>
    <t>Dunbarton Sd - (Sau 67)</t>
  </si>
  <si>
    <t>Durham - Emp/Fire/Pol</t>
  </si>
  <si>
    <t>East Kingston - Emp/Pol/Fire</t>
  </si>
  <si>
    <t>East Kingston Sd - (Sau 16)</t>
  </si>
  <si>
    <t>Effingham - Pol</t>
  </si>
  <si>
    <t>Enfield - Emp/Pol</t>
  </si>
  <si>
    <t>Epping - Emp/Fire/Pol</t>
  </si>
  <si>
    <t>Epping Sd - (Sau 14)</t>
  </si>
  <si>
    <t>Epsom - Emp/Fire/Pol</t>
  </si>
  <si>
    <t>Epsom Sd - (Sau 53)</t>
  </si>
  <si>
    <t>Errol Sd - (Sau 20)</t>
  </si>
  <si>
    <t>Exeter - Emp/Fire/Pol</t>
  </si>
  <si>
    <t>Exeter Reg Coop Sd - (Sau 16)</t>
  </si>
  <si>
    <t>Exeter Sd - (Sau 16)</t>
  </si>
  <si>
    <t>Fall Mountain Reg Sd</t>
  </si>
  <si>
    <t>Farmington - Fire/Pol</t>
  </si>
  <si>
    <t>Farmington Sd - (Sau 61)</t>
  </si>
  <si>
    <t>Fitzwilliam - Emp/Pol</t>
  </si>
  <si>
    <t>Francestown - Emp/Pol</t>
  </si>
  <si>
    <t>Franconia - Police</t>
  </si>
  <si>
    <t>Franklin - Emp/Fire/Pol</t>
  </si>
  <si>
    <t>Franklin Sd - (Sau 18)</t>
  </si>
  <si>
    <t>Freedom - Police/Fire</t>
  </si>
  <si>
    <t>Freedom Sd - (Sau 13)</t>
  </si>
  <si>
    <t>Fremont Sd - (Sau 83)</t>
  </si>
  <si>
    <t>Gilford - Emp/Fire/Pol</t>
  </si>
  <si>
    <t>Gilford Sd - Emp/Teach</t>
  </si>
  <si>
    <t>Gilmanton - Emp/Fire/Pol</t>
  </si>
  <si>
    <t>Gilmanton Sd - Emp/Teach</t>
  </si>
  <si>
    <t>Goffstown - Emp/Fire/Pol</t>
  </si>
  <si>
    <t>Goffstown Sd - (Sau 19)</t>
  </si>
  <si>
    <t>Goffstown Village Water Prcnct</t>
  </si>
  <si>
    <t>Gorham - Emp/Fire/Pol</t>
  </si>
  <si>
    <t>Goshen - Emp/Pol</t>
  </si>
  <si>
    <t>Goshen-Lempster Sd</t>
  </si>
  <si>
    <t>Governor Wentworth Reg Sd</t>
  </si>
  <si>
    <t>Grafton - Emp/Pol</t>
  </si>
  <si>
    <t>Grafton County - Emp/Pol</t>
  </si>
  <si>
    <t>Grantham - Emp/Pol</t>
  </si>
  <si>
    <t>Grantham Sd (Sau75)</t>
  </si>
  <si>
    <t>Great Bay Elearning Charter Sc</t>
  </si>
  <si>
    <t>Greenfield - Emp/Pol</t>
  </si>
  <si>
    <t>Greenland - Emp/Pol/Fire</t>
  </si>
  <si>
    <t>Greenland Sd - (Sau 50)</t>
  </si>
  <si>
    <t>Greenville - Emp/Pol</t>
  </si>
  <si>
    <t>Groton - Emp/Pol</t>
  </si>
  <si>
    <t>Grs Coop Sd - (Sau 20)</t>
  </si>
  <si>
    <t>Hampstead - Emp/Fire/Pol</t>
  </si>
  <si>
    <t>Hampstead Sd - (Sau 55)</t>
  </si>
  <si>
    <t>Hampton - Emp/Fire/Pol</t>
  </si>
  <si>
    <t>Hampton Falls - Emp/Fire/Pol</t>
  </si>
  <si>
    <t>Hampton Falls Sd - (Sau 21)</t>
  </si>
  <si>
    <t>Hampton Sd - (Sau 90)</t>
  </si>
  <si>
    <t>Hancock - Police</t>
  </si>
  <si>
    <t>Hanover - Emp/Fire/Pol</t>
  </si>
  <si>
    <t>Hanover Sd - (Sau 70)</t>
  </si>
  <si>
    <t>Harrisville - Police</t>
  </si>
  <si>
    <t>Harrisville Sd - (Sau 29)</t>
  </si>
  <si>
    <t>Haverhill - Emp/Pol</t>
  </si>
  <si>
    <t>Haverhill Coop Sd - (Sau 23)</t>
  </si>
  <si>
    <t>Hebron - Emp/Pol</t>
  </si>
  <si>
    <t>Henniker - Emp/Fire/Pol</t>
  </si>
  <si>
    <t>Henniker Sd - (Sau 24)</t>
  </si>
  <si>
    <t>Hill Sd - (Sau 103)</t>
  </si>
  <si>
    <t>Hillsboro-Deering Sd (Sau 34)</t>
  </si>
  <si>
    <t>Hillsborough - Fire/Pol</t>
  </si>
  <si>
    <t>Hillsborough County - Emp/Pol</t>
  </si>
  <si>
    <t>Hinsdale - Emp/Pol</t>
  </si>
  <si>
    <t>Hinsdale Sd - (Sau 92)</t>
  </si>
  <si>
    <t>Holderness - Emp/Fire/Pol</t>
  </si>
  <si>
    <t>Holderness Sd - (Sau 48)</t>
  </si>
  <si>
    <t>Hollis - Emp/Fire/Pol</t>
  </si>
  <si>
    <t>Hollis Sd - (Sau 41)</t>
  </si>
  <si>
    <t>Hollis-Brookline Coop (Sau 41)</t>
  </si>
  <si>
    <t>Hooksett - Emp/Fire/Police</t>
  </si>
  <si>
    <t>Hooksett Public Library - Emp</t>
  </si>
  <si>
    <t>Hooksett Sd - (Sau 15)</t>
  </si>
  <si>
    <t>Hooksett Village Water Precnct</t>
  </si>
  <si>
    <t>Hopkinton - Emp/Fire/Pol</t>
  </si>
  <si>
    <t>Hopkinton Sd - Emp/Teach</t>
  </si>
  <si>
    <t>Hudson - Emp/Fire/Pol</t>
  </si>
  <si>
    <t>Hudson Sd - Emp/Teach</t>
  </si>
  <si>
    <t>Inter-Lakes Sd - (Sau 02)</t>
  </si>
  <si>
    <t>Jackson - Emp/Pol/Fire</t>
  </si>
  <si>
    <t>Jackson Sd - (Sau 09)</t>
  </si>
  <si>
    <t>Jaffrey - Emp/Fire/Pol</t>
  </si>
  <si>
    <t>Jaffrey-Rindge Coop Sd</t>
  </si>
  <si>
    <t>Jefferson - Emp</t>
  </si>
  <si>
    <t>John Stark Reg Sd - (Sau 24)</t>
  </si>
  <si>
    <t>Kearsarge Reg Coop Sd</t>
  </si>
  <si>
    <t>Keene - Emp/Fire/Pol</t>
  </si>
  <si>
    <t>Keene Sd - (Sau 29)</t>
  </si>
  <si>
    <t>Kensington - Police</t>
  </si>
  <si>
    <t>Kensington Sd - (Sau 16)</t>
  </si>
  <si>
    <t>Kingston - Emp/Fire/Pol</t>
  </si>
  <si>
    <t>Laconia - Emp/Fire/Pol</t>
  </si>
  <si>
    <t>Laconia Sd - Empl/Teach</t>
  </si>
  <si>
    <t>Laconia Water Works - Emp</t>
  </si>
  <si>
    <t>Lafayette Reg Coop Sd (Sau 35)</t>
  </si>
  <si>
    <t>Lancaster - Emp/Fire/Pol</t>
  </si>
  <si>
    <t>Landaff Sd - (Sau 35)</t>
  </si>
  <si>
    <t>Lebanon - Emp/Fire/Pol</t>
  </si>
  <si>
    <t>Lebanon Sd(Sau 88) - Emp/Teach</t>
  </si>
  <si>
    <t>Lee - Emp/Fire/Pol</t>
  </si>
  <si>
    <t>Lempster - Emp/Pol</t>
  </si>
  <si>
    <t>Lempster Sd Emp/Teachers</t>
  </si>
  <si>
    <t>Lincoln - Emp/Pol</t>
  </si>
  <si>
    <t>Lincoln-Woodstock Sd</t>
  </si>
  <si>
    <t>Lisbon - Police</t>
  </si>
  <si>
    <t>Lisbon Reg Sd - (Sau 35)</t>
  </si>
  <si>
    <t>Litchfield - Emp/Fire/Pol</t>
  </si>
  <si>
    <t>Litchfield Sd - Emp/Teach</t>
  </si>
  <si>
    <t>Littleton - Emp/Fire/Pol</t>
  </si>
  <si>
    <t>Littleton Public Library - Emp</t>
  </si>
  <si>
    <t>Littleton Sd - Emp/Teach</t>
  </si>
  <si>
    <t>Londonderry - Emp/Fire/Pol</t>
  </si>
  <si>
    <t>Londonderry Sd - Emp/Teach</t>
  </si>
  <si>
    <t>Loudon - Emp/Fire/Pol</t>
  </si>
  <si>
    <t>Lyme - Emp/Pol</t>
  </si>
  <si>
    <t>Lyme Sd - (Sau 76)</t>
  </si>
  <si>
    <t>Madison - Emp/Pol</t>
  </si>
  <si>
    <t>Madison Sd - (Sau 13)</t>
  </si>
  <si>
    <t>Manchester - Fire/Pol</t>
  </si>
  <si>
    <t>Manchester Sd - Empl/Teacher</t>
  </si>
  <si>
    <t>Marlborough - Emp/Pol</t>
  </si>
  <si>
    <t>Marlborough Sd - (Sau 29)</t>
  </si>
  <si>
    <t>Marlow - Emp</t>
  </si>
  <si>
    <t>Marlow Sd - (Sau 29)</t>
  </si>
  <si>
    <t>Mascenic Reg Sd - (Sau 87)</t>
  </si>
  <si>
    <t>Mascoma Valley Sd - Empl/Teach</t>
  </si>
  <si>
    <t>Mason - Police</t>
  </si>
  <si>
    <t>Mason Sd (Sau 89)</t>
  </si>
  <si>
    <t>Meredith - Emp/Fire/Pol</t>
  </si>
  <si>
    <t>Merrimack - Emp/Fire/Pol</t>
  </si>
  <si>
    <t>Merrimack County - Emp/Pol</t>
  </si>
  <si>
    <t>Merrimack Sd - Emp/Teach</t>
  </si>
  <si>
    <t>Merrimack Valley Sd (Sau 46)</t>
  </si>
  <si>
    <t>Middleton - Police</t>
  </si>
  <si>
    <t>Middleton Sd - Emp/Teach</t>
  </si>
  <si>
    <t>Milan Sd - (Sau 20)</t>
  </si>
  <si>
    <t>Milford - Emp/Fire/Pol</t>
  </si>
  <si>
    <t>Milford Sd - Empl/Teacher</t>
  </si>
  <si>
    <t>Milton - Emp/Fire/Pol</t>
  </si>
  <si>
    <t>Milton Sd - (Sau 64)</t>
  </si>
  <si>
    <t>Monadnock Reg Sd - (Sau 93)</t>
  </si>
  <si>
    <t>Monroe - Emp</t>
  </si>
  <si>
    <t>Monroe Sd - Emp/Tch</t>
  </si>
  <si>
    <t>Mont Vernon - Emp/Pol</t>
  </si>
  <si>
    <t>Mont Vernon Sd - (Sau 39)</t>
  </si>
  <si>
    <t>Moultonborough - Emp/Fire/Pol</t>
  </si>
  <si>
    <t>Moultonborough Sd - Emp/Teach</t>
  </si>
  <si>
    <t>Nashua - Emp/Fire/Pol</t>
  </si>
  <si>
    <t>Nashua Airport Authority - Emp</t>
  </si>
  <si>
    <t>Ne Interstate Water Pol Cntrl</t>
  </si>
  <si>
    <t>Nelson - Emp</t>
  </si>
  <si>
    <t>Nelson Sd - (Sau 29)</t>
  </si>
  <si>
    <t>New Boston - Police</t>
  </si>
  <si>
    <t>New Boston Sd - (Sau 19)</t>
  </si>
  <si>
    <t>New Castle - Emp/Fire/Pol</t>
  </si>
  <si>
    <t>New Castle Sd - (Sau 50)</t>
  </si>
  <si>
    <t>New Durham - Emp/Pol</t>
  </si>
  <si>
    <t>New Hampton - Emp/Pol/Fire</t>
  </si>
  <si>
    <t>New Ipswich - Emp/Pol</t>
  </si>
  <si>
    <t>New London - Emp/Fire/Pol</t>
  </si>
  <si>
    <t>Newbury - Police</t>
  </si>
  <si>
    <t>Newfields - Emp/Pol</t>
  </si>
  <si>
    <t>Newfields Sd - (Sau 16)</t>
  </si>
  <si>
    <t>Newfound Area Sd - Emp/Teach</t>
  </si>
  <si>
    <t>Newington - Emp/Fire/Pol</t>
  </si>
  <si>
    <t>Newington Sd - (Sau 50)</t>
  </si>
  <si>
    <t>Newmarket - Emp/Pol/Fire</t>
  </si>
  <si>
    <t>Newmarket Sd - Emp/Teach</t>
  </si>
  <si>
    <t>Newport - Emp/Fire/Pol</t>
  </si>
  <si>
    <t>Newport Sd - (Sau 43)</t>
  </si>
  <si>
    <t>Newton - Emp/Pol</t>
  </si>
  <si>
    <t>NH Community Developmental Fin</t>
  </si>
  <si>
    <t>NH Land &amp; Community Heritage</t>
  </si>
  <si>
    <t>NH Municipal Bond Bank - Emp</t>
  </si>
  <si>
    <t>North Conway Wtr Prct&amp;Fire Dep</t>
  </si>
  <si>
    <t>North Country Education Servic</t>
  </si>
  <si>
    <t>North Hampton - Emp/Fire/Pol</t>
  </si>
  <si>
    <t>North Hampton Sd - (Sau 21)</t>
  </si>
  <si>
    <t>Northfield - Emp/Pol</t>
  </si>
  <si>
    <t>Northumberland - Emp/Pol</t>
  </si>
  <si>
    <t>Northumberland Sd - (Sau 58)</t>
  </si>
  <si>
    <t>Northwood - Emp/Fire/Pol</t>
  </si>
  <si>
    <t>Northwood Sd - (Sau 44)</t>
  </si>
  <si>
    <t>Nottingham - Fire/Pol</t>
  </si>
  <si>
    <t>Nottingham Sd - (Sau 44)</t>
  </si>
  <si>
    <t>Orford - Emp/Pol</t>
  </si>
  <si>
    <t>Ossipee - Emp/Pol</t>
  </si>
  <si>
    <t>Oyster River Coop Sd</t>
  </si>
  <si>
    <t>Pelham - Emp/Fire/Pol</t>
  </si>
  <si>
    <t>Pelham Sd - (Sau 28)</t>
  </si>
  <si>
    <t>Pembroke - Emp/Pol/Fire</t>
  </si>
  <si>
    <t>Pembroke Sd - (Sau 53)</t>
  </si>
  <si>
    <t>Pemi Baker Coop - (Sau 48)</t>
  </si>
  <si>
    <t>Peterborough - Emp/Fire/Pol</t>
  </si>
  <si>
    <t>Piermont Police</t>
  </si>
  <si>
    <t>Piermont Sd - (Sau 23)</t>
  </si>
  <si>
    <t>Pittsburg - Emp/Pol</t>
  </si>
  <si>
    <t>Pittsburg Sd - (Sau 07)</t>
  </si>
  <si>
    <t>Pittsfield - Emp/Fire/Pol</t>
  </si>
  <si>
    <t>Pittsfield Sd - (Sau 51)</t>
  </si>
  <si>
    <t>Plainfield - Emp/Pol</t>
  </si>
  <si>
    <t>Plainfield Sd - Emp/Teach</t>
  </si>
  <si>
    <t>Plaistow - Emp/Fire/Pol</t>
  </si>
  <si>
    <t>Plaistow Public Library - Emp</t>
  </si>
  <si>
    <t>Plymouth - Emp/Fire/Pol</t>
  </si>
  <si>
    <t>Plymouth Sd - (Sau 48)</t>
  </si>
  <si>
    <t>Portsmouth - Emp/Fire/Pol</t>
  </si>
  <si>
    <t>Portsmouth Sd - Empl/Teacher</t>
  </si>
  <si>
    <t>Profile Coop Sd - (Sau 35)</t>
  </si>
  <si>
    <t>Raymond - Emp/Fire/Pol</t>
  </si>
  <si>
    <t>Raymond Sd - Emp/Teach</t>
  </si>
  <si>
    <t>Rindge - Emp/Fire/Pol</t>
  </si>
  <si>
    <t>Rivendell Interstate Sd</t>
  </si>
  <si>
    <t>Rochester - Emp/Fire/Pol</t>
  </si>
  <si>
    <t>Rockingham County-Emp/Pol/Fire</t>
  </si>
  <si>
    <t>Rockingham Planning Comm - Emp</t>
  </si>
  <si>
    <t>Rollinsford - Emp/Pol</t>
  </si>
  <si>
    <t>Rollinsford Sd - (Sau 56)</t>
  </si>
  <si>
    <t>Rumney - Emp/Pol</t>
  </si>
  <si>
    <t>Rumney Sd - (Sau 48) Emp/Teach</t>
  </si>
  <si>
    <t>Rye - Emp/Fire/Pol</t>
  </si>
  <si>
    <t>Rye Sd - (Sau 50)</t>
  </si>
  <si>
    <t>Rye Water District - Emp</t>
  </si>
  <si>
    <t>Salem - Emp/Fire/Pol</t>
  </si>
  <si>
    <t>Salem Housing Authority - Emp</t>
  </si>
  <si>
    <t>Salem Sd - Emp/Teach</t>
  </si>
  <si>
    <t>Salisbury - Emp</t>
  </si>
  <si>
    <t>Sanborn Regional Sd (Sau 17)</t>
  </si>
  <si>
    <t>Sanbornton - Emp/Fire/Pol</t>
  </si>
  <si>
    <t>Sandown - Emp/Fire/Pol</t>
  </si>
  <si>
    <t>Sandwich - Police/Fire</t>
  </si>
  <si>
    <t>Sau 02 - Emp/Teach</t>
  </si>
  <si>
    <t>Sau 03 - Emp/Teach</t>
  </si>
  <si>
    <t>Sau 06 - Emp</t>
  </si>
  <si>
    <t>Sau 07 - Emp/Teach</t>
  </si>
  <si>
    <t>Sau 09 - Emp/Teach</t>
  </si>
  <si>
    <t>Sau 10 (Derry Coop Sd)</t>
  </si>
  <si>
    <t>Sau 13 - Emp</t>
  </si>
  <si>
    <t>Sau 15 - Emp/Teach</t>
  </si>
  <si>
    <t>Sau 16 - Emp/Teach</t>
  </si>
  <si>
    <t>Sau 18 - Emp/Teach</t>
  </si>
  <si>
    <t>Sau 19 - Emp/Teach</t>
  </si>
  <si>
    <t>Sau 20 - Emp</t>
  </si>
  <si>
    <t>Sau 21 - Emp/Teach</t>
  </si>
  <si>
    <t>Sau 23 - Emp/Teach</t>
  </si>
  <si>
    <t>Sau 24 - Emp/Teach</t>
  </si>
  <si>
    <t>Sau 28 - Emp</t>
  </si>
  <si>
    <t>Sau 29 - Emp/Teach</t>
  </si>
  <si>
    <t>Sau 34 - Emp/Teach</t>
  </si>
  <si>
    <t>Sau 35 - Emp/Teach</t>
  </si>
  <si>
    <t>Sau 39 - Emp</t>
  </si>
  <si>
    <t>Sau 41 - Emp</t>
  </si>
  <si>
    <t>Sau 42</t>
  </si>
  <si>
    <t>Sau 43 - Emp/Teach</t>
  </si>
  <si>
    <t>Sau 44 - Emp/Teach</t>
  </si>
  <si>
    <t>Sau 46 - Emp</t>
  </si>
  <si>
    <t>Sau 48 - Emp/Teach</t>
  </si>
  <si>
    <t>Sau 50 - Emp/Teach</t>
  </si>
  <si>
    <t>Sau 53 - Emp/Teach</t>
  </si>
  <si>
    <t>Sau 54 (Rochester Sd)</t>
  </si>
  <si>
    <t>Sau 55 - Emp</t>
  </si>
  <si>
    <t>Sau 56 - Emp/Teach</t>
  </si>
  <si>
    <t>Sau 58 - Emp</t>
  </si>
  <si>
    <t>Sau 61 - Emp</t>
  </si>
  <si>
    <t>Sau 64 - Emp/Teach</t>
  </si>
  <si>
    <t>Sau 67 - Emp/Teachers</t>
  </si>
  <si>
    <t>Sau 70 - Emp</t>
  </si>
  <si>
    <t>Sau 71 Emp/Teacher</t>
  </si>
  <si>
    <t>Seabrook - Fire/Pol</t>
  </si>
  <si>
    <t>Seabrook Sd (Sau 21)</t>
  </si>
  <si>
    <t>Seacoast Charter Sch - Teach</t>
  </si>
  <si>
    <t>Shaker Regional Sd - (Sau 80)</t>
  </si>
  <si>
    <t>Shelburne - Emp</t>
  </si>
  <si>
    <t>Somersworth - Emp/Fire/Pol</t>
  </si>
  <si>
    <t>Somersworth Sd - (Sau 56)</t>
  </si>
  <si>
    <t>Souhegan Coop Sd - (Sau 39)</t>
  </si>
  <si>
    <t>South Hampton - Police</t>
  </si>
  <si>
    <t>South Hampton Sd - (Sau 21)</t>
  </si>
  <si>
    <t>Southern Nh Planning Comm</t>
  </si>
  <si>
    <t>Springfield - Emp/Pol</t>
  </si>
  <si>
    <t>Stark - Emp</t>
  </si>
  <si>
    <t>Stark Sd - (Sau 58)</t>
  </si>
  <si>
    <t>State Of New Hampshire</t>
  </si>
  <si>
    <t>Stewartstown - Emp/Pol</t>
  </si>
  <si>
    <t>Stewartstown Sd - (Sau 07)</t>
  </si>
  <si>
    <t>Stoddard Sd - (Sau 24)</t>
  </si>
  <si>
    <t>Strafford - Fire / Police</t>
  </si>
  <si>
    <t>Strafford County - Emp/Pol</t>
  </si>
  <si>
    <t>Strafford Sd (Sau 44)</t>
  </si>
  <si>
    <t>Stratford - Emp</t>
  </si>
  <si>
    <t>Stratford Sd - (Sau 58)</t>
  </si>
  <si>
    <t>Stratham - Emp/Pol</t>
  </si>
  <si>
    <t>Stratham Sd - (Sau 16)</t>
  </si>
  <si>
    <t>Sugar Hill - Emp/Pol</t>
  </si>
  <si>
    <t>Sullivan County - Emp/Pol</t>
  </si>
  <si>
    <t>Sunapee - Emp/Pol</t>
  </si>
  <si>
    <t>Sunapee Sd (Sau 85)- Emp/Teach</t>
  </si>
  <si>
    <t>Sutton - Police</t>
  </si>
  <si>
    <t>Swanzey - Police/Fire</t>
  </si>
  <si>
    <t>Tamworth - Emp/Fire/Pol</t>
  </si>
  <si>
    <t>Tamworth Sd - (Sau 13)</t>
  </si>
  <si>
    <t>Thornton - Emp/Pol</t>
  </si>
  <si>
    <t>Thornton Public Library</t>
  </si>
  <si>
    <t>Thornton Sd - (Sau 48)</t>
  </si>
  <si>
    <t>Tilton - Emp/Pol</t>
  </si>
  <si>
    <t>Timberlane Reg Sd (Sau 55)</t>
  </si>
  <si>
    <t>Troy - Emp/Pol</t>
  </si>
  <si>
    <t>Troy Water And Sewer</t>
  </si>
  <si>
    <t>Tuftonboro - Emp/Fire/Pol</t>
  </si>
  <si>
    <t>Unity - Emp</t>
  </si>
  <si>
    <t>Unity Sd - (Sau 06)</t>
  </si>
  <si>
    <t>Village District Of Eastman</t>
  </si>
  <si>
    <t>Village District Of Eidelweiss</t>
  </si>
  <si>
    <t>Virtual Learning Academy Chart</t>
  </si>
  <si>
    <t>Wakefield - Emp/Fire/Pol</t>
  </si>
  <si>
    <t>Wakefield Sd - (Sau 101)</t>
  </si>
  <si>
    <t>Walpole - Emp/Pol</t>
  </si>
  <si>
    <t>Warner - Emp/Pol</t>
  </si>
  <si>
    <t>Warren - Police</t>
  </si>
  <si>
    <t>Warren Sd - (Sau 23)</t>
  </si>
  <si>
    <t>Washington - Emp/Pol</t>
  </si>
  <si>
    <t>Washington Sd - (Sau 34)</t>
  </si>
  <si>
    <t>Waterville Valley Emp/Fire/Pol</t>
  </si>
  <si>
    <t>Waterville Valley Sd (Sau 48)</t>
  </si>
  <si>
    <t>Weare - Emp/Pol</t>
  </si>
  <si>
    <t>Weare Sd - (Sau 24)</t>
  </si>
  <si>
    <t>Webster - Emp/Pol</t>
  </si>
  <si>
    <t>Wentworth Sd - (Sau 48)</t>
  </si>
  <si>
    <t>Westmoreland - Emp</t>
  </si>
  <si>
    <t>Westmoreland Sd - (Sau 29)</t>
  </si>
  <si>
    <t>White Mtn Reg Sd - Emp/Teach</t>
  </si>
  <si>
    <t>Whitefield - Emp/Pol/Fire</t>
  </si>
  <si>
    <t>Wilmot - Emp/Pol</t>
  </si>
  <si>
    <t>Wilton - Pol</t>
  </si>
  <si>
    <t>Wilton-Lyndeborough (Sau 63)</t>
  </si>
  <si>
    <t>Winchester - Emp/Pol</t>
  </si>
  <si>
    <t>Winchester Sd - (Sau 94)</t>
  </si>
  <si>
    <t>Windham - Emp/Fire/Pol</t>
  </si>
  <si>
    <t>Windham Sd - (Sau 95)</t>
  </si>
  <si>
    <t>Winnacunnet Coop Sd (Sau 21)</t>
  </si>
  <si>
    <t>Winnisquam Reg Sd</t>
  </si>
  <si>
    <t>Wolfeboro - Emp/Fire/Pol</t>
  </si>
  <si>
    <t>Woodstock - Emp/Pol</t>
  </si>
  <si>
    <t>Check</t>
  </si>
  <si>
    <t>GASB 68 Numbers</t>
  </si>
  <si>
    <t>Summed Figures</t>
  </si>
  <si>
    <t>Campton - Emp/Pol</t>
  </si>
  <si>
    <t>Cocheco Arts &amp; Tech Acad</t>
  </si>
  <si>
    <t>Greenland - Emp/Pol</t>
  </si>
  <si>
    <t>Nashua Housing Authority</t>
  </si>
  <si>
    <t>Nh Community Developmental Fin</t>
  </si>
  <si>
    <t>Nh Land &amp; Community Heritage</t>
  </si>
  <si>
    <t>Nh Municipal Bond Bank - Emp</t>
  </si>
  <si>
    <t>Nh Retirement System</t>
  </si>
  <si>
    <t>Pembroke - Emp/Pol</t>
  </si>
  <si>
    <t>Sandwich - Police</t>
  </si>
  <si>
    <t>Wakefield Sd - (Sau 64)</t>
  </si>
  <si>
    <t>ALBANY - EMP</t>
  </si>
  <si>
    <t>ALEXANDRIA - EMP/POL</t>
  </si>
  <si>
    <t>ALLENSTOWN - EMP/FIRE/POL</t>
  </si>
  <si>
    <t>ALLENSTOWN SD - (SAU 53)</t>
  </si>
  <si>
    <t>ALLENSTOWN SEWER COMMISSION</t>
  </si>
  <si>
    <t>ALSTEAD - POLICE</t>
  </si>
  <si>
    <t>ALTON - EMP/FIRE/POL</t>
  </si>
  <si>
    <t>ALTON SD - EMP/TEACH</t>
  </si>
  <si>
    <t>AMHERST - FIRE/POL</t>
  </si>
  <si>
    <t>AMHERST SD - (SAU 39)</t>
  </si>
  <si>
    <t>ANDOVER - POLICE</t>
  </si>
  <si>
    <t>ANDOVER SD - (SAU 46)</t>
  </si>
  <si>
    <t>ANDROSCOGGIN VALLEY REG REFUSE</t>
  </si>
  <si>
    <t>ANTRIM - EMP/POL</t>
  </si>
  <si>
    <t>ASHLAND - EMP/POL</t>
  </si>
  <si>
    <t>ASHLAND ELECTRIC DEPT - EMP</t>
  </si>
  <si>
    <t>ASHLAND SD - (SAU 02)</t>
  </si>
  <si>
    <t>ATKINSON - EMP/POLICE</t>
  </si>
  <si>
    <t>AUBURN - EMP/FIRE/POL</t>
  </si>
  <si>
    <t>AUBURN SD - (SAU 15)</t>
  </si>
  <si>
    <t>BAKER FREE LIBRARY - EMP</t>
  </si>
  <si>
    <t>BARNSTEAD - EMP/FIRE/POL</t>
  </si>
  <si>
    <t>BARNSTEAD SD - EMP/TEACH</t>
  </si>
  <si>
    <t>BARRINGTON - EMP/POL/FIRE</t>
  </si>
  <si>
    <t>BARRINGTON SD - EMP/TEACH</t>
  </si>
  <si>
    <t>BARTLETT - FIRE/POL</t>
  </si>
  <si>
    <t>BARTLETT SD - (SAU 09)</t>
  </si>
  <si>
    <t>BATH SD - (SAU 23)</t>
  </si>
  <si>
    <t>BCEP SOLID WASTE DISTRICT</t>
  </si>
  <si>
    <t>BEDFORD - EMP/FIRE/POL</t>
  </si>
  <si>
    <t>BEDFORD SD - EMP/TEACH</t>
  </si>
  <si>
    <t>BELKNAP COUNTY - EMP/POL</t>
  </si>
  <si>
    <t>BELKNAP COUNTY CONSERV. DIST</t>
  </si>
  <si>
    <t>BELMONT - EMP/FIRE/POL</t>
  </si>
  <si>
    <t>BENNINGTON - EMP/POL</t>
  </si>
  <si>
    <t>BERLIN - EMP/FIRE/POL</t>
  </si>
  <si>
    <t>BERLIN HOUSING AUTHORITY - EMP</t>
  </si>
  <si>
    <t>BERLIN WATER WORKS - EMP</t>
  </si>
  <si>
    <t>BETHLEHEM - EMP/FIR/POL</t>
  </si>
  <si>
    <t>BETHLEHEM SD - (SAU 35)</t>
  </si>
  <si>
    <t>BOSCAWEN - EMP/POL</t>
  </si>
  <si>
    <t>BOW - EMP/FIRE/POL</t>
  </si>
  <si>
    <t>BOW SD - EMP/TEACH (SAU 67)</t>
  </si>
  <si>
    <t>BRADFORD - POLICE</t>
  </si>
  <si>
    <t>BRENTWOOD - EMP/FIRE/POL</t>
  </si>
  <si>
    <t>BRENTWOOD SD - (SAU 16)</t>
  </si>
  <si>
    <t>BRIDGEWATER - POLICE/FIRE</t>
  </si>
  <si>
    <t>BRISTOL - EMP/FIRE/POL</t>
  </si>
  <si>
    <t>BROOKLINE - EMP/FIRE/POL</t>
  </si>
  <si>
    <t>BROOKLINE PUBLIC LIBRARY - EMP</t>
  </si>
  <si>
    <t>BROOKLINE SD - (SAU 41)</t>
  </si>
  <si>
    <t>CAMPTON - EMP/POL</t>
  </si>
  <si>
    <t>CAMPTON SD - (SAU 48)</t>
  </si>
  <si>
    <t>CAMPTON/THORNTON FIRE DEPT</t>
  </si>
  <si>
    <t>CANAAN - EMP/POL</t>
  </si>
  <si>
    <t>CANDIA - POLICE</t>
  </si>
  <si>
    <t>CANDIA SD - (SAU 15)</t>
  </si>
  <si>
    <t>CANTERBURY - EMP/POL/FIRE</t>
  </si>
  <si>
    <t>CARROLL - EMP/FIRE/POL</t>
  </si>
  <si>
    <t>CARROLL COUNTY - EMP/POL</t>
  </si>
  <si>
    <t>CENTER HARBOR - POLICE</t>
  </si>
  <si>
    <t>CENTRAL HOOKSETT WATER PRECNCT</t>
  </si>
  <si>
    <t>CHARLESTOWN - EMP/POL</t>
  </si>
  <si>
    <t>CHESHIRE COUNTY - EMP/POL</t>
  </si>
  <si>
    <t>CHESTER - EMP/FIRE/POL</t>
  </si>
  <si>
    <t>CHESTER SD - (SAU 82)</t>
  </si>
  <si>
    <t>CHESTERFIELD - EMP/POL</t>
  </si>
  <si>
    <t>CHESTERFIELD SD - (SAU 29)</t>
  </si>
  <si>
    <t>CHICHESTER - EMP/POL</t>
  </si>
  <si>
    <t>CHICHESTER SD - (SAU 53)</t>
  </si>
  <si>
    <t>CLAREMONT - EMP/FIRE/POL</t>
  </si>
  <si>
    <t>CLAREMONT SD - (SAU 06)</t>
  </si>
  <si>
    <t>CLARKSVILLE - EMP</t>
  </si>
  <si>
    <t>COCHECO ARTS &amp; TECH ACAD</t>
  </si>
  <si>
    <t>COLEBROOK - EMP/POL</t>
  </si>
  <si>
    <t>COLEBROOK SD - (SAU 07)</t>
  </si>
  <si>
    <t>COMMUNITY COLLEGE SYSTEM OF NH</t>
  </si>
  <si>
    <t>CONCORD - EMP/FIRE/POL</t>
  </si>
  <si>
    <t>CONCORD REG SOL WASTE RES REC</t>
  </si>
  <si>
    <t>CONCORD SD - EMP/TEACH</t>
  </si>
  <si>
    <t>CONTOOCOOK VALLEY SD</t>
  </si>
  <si>
    <t>CONWAY - EMP/POL</t>
  </si>
  <si>
    <t>CONWAY SD - (SAU 09)</t>
  </si>
  <si>
    <t>CONWAY VILLAGE FIRE DISTRICT</t>
  </si>
  <si>
    <t>COOS COUNTY - EMP/POL</t>
  </si>
  <si>
    <t>COOS COUNTY NURSING HOME - EMP</t>
  </si>
  <si>
    <t>CORNISH - EMP</t>
  </si>
  <si>
    <t>CORNISH SD - (SAU 06)</t>
  </si>
  <si>
    <t>CROYDON SD - (SAU 43)</t>
  </si>
  <si>
    <t>DANVILLE - POL</t>
  </si>
  <si>
    <t>DEERFIELD - EMP/POL</t>
  </si>
  <si>
    <t>DEERFIELD SD - (SAU 53)</t>
  </si>
  <si>
    <t>DEERING - POLICE</t>
  </si>
  <si>
    <t>DERRY - EMP/FIRE/POL</t>
  </si>
  <si>
    <t>DERRY HOUSING AUTHORITY - EMP</t>
  </si>
  <si>
    <t>DORCHESTER - EMP</t>
  </si>
  <si>
    <t>DOVER - EMP/FIRE/POL/TEACHER</t>
  </si>
  <si>
    <t>DOVER HOUSING AUTHORITY</t>
  </si>
  <si>
    <t>DRESDEN SD - (SAU 70)</t>
  </si>
  <si>
    <t>DUBLIN - EMP/POL</t>
  </si>
  <si>
    <t>DUNBARTON - EMP/POL</t>
  </si>
  <si>
    <t>DUNBARTON SD - (SAU 67)</t>
  </si>
  <si>
    <t>DURHAM - EMP/FIRE/POL</t>
  </si>
  <si>
    <t>EAST KINGSTON - EMP/POL/FIRE</t>
  </si>
  <si>
    <t>EAST KINGSTON SD - (SAU 16)</t>
  </si>
  <si>
    <t>EFFINGHAM - POL</t>
  </si>
  <si>
    <t>ENFIELD - EMP/POL</t>
  </si>
  <si>
    <t>EPPING - EMP/FIRE/POL</t>
  </si>
  <si>
    <t>EPPING SD - (SAU 14)</t>
  </si>
  <si>
    <t>EPSOM - EMP/FIRE/POL</t>
  </si>
  <si>
    <t>EPSOM SD - (SAU 53)</t>
  </si>
  <si>
    <t>ERROL SD - (SAU 20)</t>
  </si>
  <si>
    <t>EXETER - EMP/FIRE/POL</t>
  </si>
  <si>
    <t>EXETER REG COOP SD - (SAU 16)</t>
  </si>
  <si>
    <t>EXETER SD - (SAU 16)</t>
  </si>
  <si>
    <t>FALL MOUNTAIN REG SD</t>
  </si>
  <si>
    <t>FARMINGTON - FIRE/POL</t>
  </si>
  <si>
    <t>FARMINGTON SD - (SAU 61)</t>
  </si>
  <si>
    <t>FITZWILLIAM - EMP/POL</t>
  </si>
  <si>
    <t>FRANCESTOWN - EMP/POL</t>
  </si>
  <si>
    <t>FRANCONIA - POLICE</t>
  </si>
  <si>
    <t>FRANKLIN - EMP/FIRE/POL</t>
  </si>
  <si>
    <t>FRANKLIN SD - (SAU 18)</t>
  </si>
  <si>
    <t>FREEDOM - POLICE/FIRE</t>
  </si>
  <si>
    <t>FREEDOM SD - (SAU 13)</t>
  </si>
  <si>
    <t>FREMONT - POLICE</t>
  </si>
  <si>
    <t>FREMONT SD - (SAU 83)</t>
  </si>
  <si>
    <t>GILFORD - EMP/FIRE/POL</t>
  </si>
  <si>
    <t>GILFORD SD - EMP/TEACH</t>
  </si>
  <si>
    <t>GILMANTON - EMP/FIRE/POL</t>
  </si>
  <si>
    <t>GILMANTON SD - EMP/TEACH</t>
  </si>
  <si>
    <t>GOFFSTOWN - EMP/FIRE/POL</t>
  </si>
  <si>
    <t>GOFFSTOWN SD - (SAU 19)</t>
  </si>
  <si>
    <t>GOFFSTOWN VILLAGE WATER PRCNCT</t>
  </si>
  <si>
    <t>GORHAM - EMP/FIRE/POL</t>
  </si>
  <si>
    <t>GOSHEN - EMP/POL</t>
  </si>
  <si>
    <t>GOSHEN-LEMPSTER SD</t>
  </si>
  <si>
    <t>GOV WENTWORTH REG COOP SD</t>
  </si>
  <si>
    <t>GRAFTON - EMP/POL</t>
  </si>
  <si>
    <t>GRAFTON COUNTY - EMP/POL</t>
  </si>
  <si>
    <t>GRANTHAM - EMP/POL</t>
  </si>
  <si>
    <t>GRANTHAM SD (SAU75)</t>
  </si>
  <si>
    <t>GREAT BAY eLEARNING CHARTER SC</t>
  </si>
  <si>
    <t>GREENFIELD - EMP/POL</t>
  </si>
  <si>
    <t>GREENLAND - EMP/POL</t>
  </si>
  <si>
    <t>GREENLAND SD - (SAU 50)</t>
  </si>
  <si>
    <t>GREENVILLE - EMP/POL</t>
  </si>
  <si>
    <t>GROTON - EMP/POL</t>
  </si>
  <si>
    <t>GRS COOP SD - (SAU 20)</t>
  </si>
  <si>
    <t>HAMPSTEAD - EMP/FIRE/POL</t>
  </si>
  <si>
    <t>HAMPSTEAD SD - (SAU 55)</t>
  </si>
  <si>
    <t>HAMPTON - EMP/FIRE/POL</t>
  </si>
  <si>
    <t>HAMPTON FALLS - EMP/FIRE/POL</t>
  </si>
  <si>
    <t>HAMPTON FALLS SD - (SAU 21)</t>
  </si>
  <si>
    <t>HAMPTON SD - (SAU 90)</t>
  </si>
  <si>
    <t>HANCOCK - POLICE</t>
  </si>
  <si>
    <t>HANOVER - EMP/FIRE/POL</t>
  </si>
  <si>
    <t>HANOVER SD - (SAU 70)</t>
  </si>
  <si>
    <t>HARRISVILLE - POLICE</t>
  </si>
  <si>
    <t>HARRISVILLE SD - (SAU 29)</t>
  </si>
  <si>
    <t>HAVERHILL - EMP/POL</t>
  </si>
  <si>
    <t>HAVERHILL COOP SD - (SAU 23)</t>
  </si>
  <si>
    <t>HEBRON - EMP/POL</t>
  </si>
  <si>
    <t>HENNIKER - EMP/FIRE/POL</t>
  </si>
  <si>
    <t>HENNIKER SD - (SAU 24)</t>
  </si>
  <si>
    <t>HILL SD - (SAU 18)</t>
  </si>
  <si>
    <t>HILLSBORO-DEERING SD (SAU 34)</t>
  </si>
  <si>
    <t>HILLSBOROUGH - FIRE/POL</t>
  </si>
  <si>
    <t>HILLSBOROUGH COUNTY - EMP/POL</t>
  </si>
  <si>
    <t>HINSDALE - EMP/POL</t>
  </si>
  <si>
    <t>HINSDALE SD - (SAU 92)</t>
  </si>
  <si>
    <t>HOLDERNESS - EMP/FIRE/POL</t>
  </si>
  <si>
    <t>HOLDERNESS SD - (SAU 48)</t>
  </si>
  <si>
    <t>HOLLIS - EMP/FIRE/POL</t>
  </si>
  <si>
    <t>HOLLIS SD - (SAU 41)</t>
  </si>
  <si>
    <t>HOLLIS-BROOKLINE COOP (SAU 41)</t>
  </si>
  <si>
    <t>HOOKSETT - EMP/FIRE/POLICE</t>
  </si>
  <si>
    <t>HOOKSETT PUBLIC LIBRARY - EMP</t>
  </si>
  <si>
    <t>HOOKSETT SD - (SAU 15)</t>
  </si>
  <si>
    <t>HOOKSETT SEWER COMMISSION</t>
  </si>
  <si>
    <t>HOOKSETT VILLAGE WATER PRECNCT</t>
  </si>
  <si>
    <t>HOPKINTON - EMP/FIRE/POL</t>
  </si>
  <si>
    <t>HOPKINTON SD - EMP/TEACH</t>
  </si>
  <si>
    <t>HUDSON - EMP/FIRE/POL</t>
  </si>
  <si>
    <t>HUDSON SD - EMP/TEACH</t>
  </si>
  <si>
    <t>INTER-LAKES SD - (SAU 02)</t>
  </si>
  <si>
    <t>JACKSON - EMP/POL</t>
  </si>
  <si>
    <t>JACKSON SD - (SAU 09)</t>
  </si>
  <si>
    <t>JAFFREY - EMP/FIRE/POL</t>
  </si>
  <si>
    <t>JAFFREY-RINDGE COOP SD</t>
  </si>
  <si>
    <t>JEFFERSON - EMP</t>
  </si>
  <si>
    <t>JOHN STARK REG SD - (SAU 24)</t>
  </si>
  <si>
    <t>KEARSARGE REG COOP SD</t>
  </si>
  <si>
    <t>KEENE - EMP/FIRE/POL</t>
  </si>
  <si>
    <t>KEENE SD - (SAU 29)</t>
  </si>
  <si>
    <t>KENSINGTON - POLICE</t>
  </si>
  <si>
    <t>KENSINGTON SD - (SAU 16)</t>
  </si>
  <si>
    <t>KINGSTON - EMP/FIRE/POL</t>
  </si>
  <si>
    <t>LACONIA - EMP/FIRE/POL</t>
  </si>
  <si>
    <t>LACONIA HOUSING &amp; REDEVELOPMNT</t>
  </si>
  <si>
    <t>LACONIA SD - EMPL/TEACH</t>
  </si>
  <si>
    <t>LACONIA WATER WORKS - EMP</t>
  </si>
  <si>
    <t>LAFAYETTE REG COOP SD (SAU 35)</t>
  </si>
  <si>
    <t>LAKES REGION MUTUAL FIRE AID</t>
  </si>
  <si>
    <t>LAKES REGION PLANNING COMM.</t>
  </si>
  <si>
    <t>LANCASTER - EMP/FIRE/POL</t>
  </si>
  <si>
    <t>LANDAFF SD - (SAU 35)</t>
  </si>
  <si>
    <t>LANGDON - POLICE</t>
  </si>
  <si>
    <t>LEBANON - EMP/FIRE/POL</t>
  </si>
  <si>
    <t>LEBANON SD(SAU 88) - EMP/TEACH</t>
  </si>
  <si>
    <t>LEE - EMP/FIRE/POL</t>
  </si>
  <si>
    <t>LEMPSTER - EMP/POL</t>
  </si>
  <si>
    <t>LINCOLN - EMP/POL</t>
  </si>
  <si>
    <t>LINCOLN-WOODSTOCK SD</t>
  </si>
  <si>
    <t>LISBON - POLICE</t>
  </si>
  <si>
    <t>LISBON REG SD - (SAU 35)</t>
  </si>
  <si>
    <t>LITCHFIELD - EMP/FIRE/POL</t>
  </si>
  <si>
    <t>LITCHFIELD SD - EMP/TEACH</t>
  </si>
  <si>
    <t>LITTLETON - EMP/FIRE/POL</t>
  </si>
  <si>
    <t>LITTLETON PUBLIC LIBRARY - EMP</t>
  </si>
  <si>
    <t>LITTLETON SD - EMP/TEACH</t>
  </si>
  <si>
    <t>LITTLETON WATER &amp; LIGHT DEPT</t>
  </si>
  <si>
    <t>LONDONDERRY - EMP/FIRE/POL</t>
  </si>
  <si>
    <t>LONDONDERRY SD - EMP/TEACH</t>
  </si>
  <si>
    <t>LOUDON - EMP/FIRE/POL</t>
  </si>
  <si>
    <t>LYME - EMP/POL</t>
  </si>
  <si>
    <t>LYME SD - (SAU 76)</t>
  </si>
  <si>
    <t>LYNDEBOROUGH - POLICE</t>
  </si>
  <si>
    <t>MADISON - EMP/POL</t>
  </si>
  <si>
    <t>MADISON SD - (SAU 13)</t>
  </si>
  <si>
    <t>MANCHESTER - FIRE/POL</t>
  </si>
  <si>
    <t>MANCHESTER SD - EMPL/TEACHER</t>
  </si>
  <si>
    <t>MARLBOROUGH - EMP/POL</t>
  </si>
  <si>
    <t>MARLBOROUGH SD - (SAU 29)</t>
  </si>
  <si>
    <t>MARLOW - EMP</t>
  </si>
  <si>
    <t>MARLOW SD - (SAU 29)</t>
  </si>
  <si>
    <t>MASCENIC REG SD - (SAU 87)</t>
  </si>
  <si>
    <t>MASCOMA VALLEY SD - EMPL/TEACH</t>
  </si>
  <si>
    <t>MASON - POLICE</t>
  </si>
  <si>
    <t>MASON SD (SAU 89)</t>
  </si>
  <si>
    <t>MAXFIELD PUBLIC LIBRARY</t>
  </si>
  <si>
    <t>MEREDITH - EMP/FIRE/POL</t>
  </si>
  <si>
    <t>MERIDEN VILLAGE WATER DISTRICT</t>
  </si>
  <si>
    <t>MERRIMACK - EMP/FIRE/POL</t>
  </si>
  <si>
    <t>MERRIMACK COUNTY - EMP/POL</t>
  </si>
  <si>
    <t>MERRIMACK SD - EMP/TEACH</t>
  </si>
  <si>
    <t>MERRIMACK VALLEY SD (SAU 46)</t>
  </si>
  <si>
    <t>MERRIMACK VILLAGE DISTRICT</t>
  </si>
  <si>
    <t>MIDDLETON - POLICE</t>
  </si>
  <si>
    <t>MILAN SD - (SAU 20)</t>
  </si>
  <si>
    <t>MILFORD - EMP/FIRE/POL</t>
  </si>
  <si>
    <t>MILFORD AREA COMMUNICATION CTR</t>
  </si>
  <si>
    <t>MILFORD SD - EMPL/TEACHER</t>
  </si>
  <si>
    <t>MILTON - EMP/FIRE/POL</t>
  </si>
  <si>
    <t>MILTON SD - (SAU 64)</t>
  </si>
  <si>
    <t>MONADNOCK REG SD - (SAU 93)</t>
  </si>
  <si>
    <t>MONROE - EMP</t>
  </si>
  <si>
    <t>MONROE SD - EMP/TCH</t>
  </si>
  <si>
    <t>MONT VERNON - EMP/POL</t>
  </si>
  <si>
    <t>MONT VERNON SD - (SAU 39)</t>
  </si>
  <si>
    <t>MOULTONBOROUGH - EMP/FIRE/POL</t>
  </si>
  <si>
    <t>MOULTONBOROUGH SD - EMP/TEACH</t>
  </si>
  <si>
    <t>NASHUA - EMP/FIRE/POL</t>
  </si>
  <si>
    <t>NASHUA AIRPORT AUTHORITY - EMP</t>
  </si>
  <si>
    <t>NASHUA HOUSING AUTHORITY</t>
  </si>
  <si>
    <t>NE INTERSTATE WATER POL CNTRL</t>
  </si>
  <si>
    <t>NELSON - EMP</t>
  </si>
  <si>
    <t>NELSON SD - (SAU 29)</t>
  </si>
  <si>
    <t>NEW BOSTON - POLICE</t>
  </si>
  <si>
    <t>NEW BOSTON SD - (SAU 19)</t>
  </si>
  <si>
    <t>NEW CASTLE - EMP/FIRE/POL</t>
  </si>
  <si>
    <t>NEW CASTLE SD - (SAU 50)</t>
  </si>
  <si>
    <t>NEW DURHAM - EMP/POL</t>
  </si>
  <si>
    <t>NEW HAMPTON - EMP/POL/FIRE</t>
  </si>
  <si>
    <t>NEW IPSWICH - EMP/POL</t>
  </si>
  <si>
    <t>NEW LONDON - EMP/FIRE/POL</t>
  </si>
  <si>
    <t>NEW LONDON-SPRINGFIELD WTR SYS</t>
  </si>
  <si>
    <t>NEWBURY - POLICE</t>
  </si>
  <si>
    <t>NEWFIELDS - EMP/POL</t>
  </si>
  <si>
    <t>NEWFIELDS SD - (SAU 16)</t>
  </si>
  <si>
    <t>NEWFOUND AREA SD - EMP/TEACH</t>
  </si>
  <si>
    <t>NEWINGTON - EMP/FIRE/POL</t>
  </si>
  <si>
    <t>NEWINGTON SD - (SAU 50)</t>
  </si>
  <si>
    <t>NEWMARKET - EMP/POL/FIRE</t>
  </si>
  <si>
    <t>NEWMARKET SD - EMP/TEACH</t>
  </si>
  <si>
    <t>NEWPORT - EMP/FIRE/POL</t>
  </si>
  <si>
    <t>NEWPORT SD - (SAU 43)</t>
  </si>
  <si>
    <t>NEWTON - EMP/POL</t>
  </si>
  <si>
    <t>NEXT CHARTER SCHOOL</t>
  </si>
  <si>
    <t>NH COMMUNITY DEVELOPMENTAL FIN</t>
  </si>
  <si>
    <t>NH LAND &amp; COMMUNITY HERITAGE</t>
  </si>
  <si>
    <t>NH MUNICIPAL BOND BANK - EMP</t>
  </si>
  <si>
    <t>NH RETIREMENT SYSTEM</t>
  </si>
  <si>
    <t>NORTH CONWAY WTR PRCT&amp;FIRE DEP</t>
  </si>
  <si>
    <t>NORTH COUNTRY CHARTER ACADEMY</t>
  </si>
  <si>
    <t>NORTH COUNTRY EDUCATION SERVIC</t>
  </si>
  <si>
    <t>NORTH HAMPTON - EMP/FIRE/POL</t>
  </si>
  <si>
    <t>NORTH HAMPTON SD - (SAU 21)</t>
  </si>
  <si>
    <t>NORTHFIELD - EMP/POL</t>
  </si>
  <si>
    <t>NORTHUMBERLAND - EMP/POL</t>
  </si>
  <si>
    <t>NORTHUMBERLAND SD - (SAU 58)</t>
  </si>
  <si>
    <t>NORTHWOOD - EMP/FIRE/POL</t>
  </si>
  <si>
    <t>NORTHWOOD SD - (SAU 44)</t>
  </si>
  <si>
    <t>NOTTINGHAM - FIRE/POL</t>
  </si>
  <si>
    <t>NOTTINGHAM SD - (SAU 44)</t>
  </si>
  <si>
    <t>ORFORD - EMP/POL</t>
  </si>
  <si>
    <t>OSSIPEE - EMP/POL</t>
  </si>
  <si>
    <t>OYSTER RIVER COOP SD</t>
  </si>
  <si>
    <t>PEASE DEVELOPMENT AUTHORITY</t>
  </si>
  <si>
    <t>PELHAM - EMP/FIRE/POL</t>
  </si>
  <si>
    <t>PELHAM SD - (SAU 28)</t>
  </si>
  <si>
    <t>PEMBROKE - EMP/POL</t>
  </si>
  <si>
    <t>PEMBROKE SD - (SAU 53)</t>
  </si>
  <si>
    <t>PEMI BAKER COOP - (SAU 48)</t>
  </si>
  <si>
    <t>PENACOOK BOSCAWEN WATER PRCNCT</t>
  </si>
  <si>
    <t>PETERBOROUGH - EMP/FIRE/POL</t>
  </si>
  <si>
    <t>PIERMONT POLICE</t>
  </si>
  <si>
    <t>PIERMONT SD - (SAU 23)</t>
  </si>
  <si>
    <t>PITTSBURG - EMP/POL</t>
  </si>
  <si>
    <t>PITTSBURG SD - (SAU 07)</t>
  </si>
  <si>
    <t>PITTSFIELD - EMP/FIRE/POL</t>
  </si>
  <si>
    <t>PITTSFIELD SD - (SAU 51)</t>
  </si>
  <si>
    <t>PLAINFIELD - EMP/POL</t>
  </si>
  <si>
    <t>PLAINFIELD SD - EMP/TEACH</t>
  </si>
  <si>
    <t>PLAISTOW - EMP/FIRE/POL</t>
  </si>
  <si>
    <t>PLAISTOW PUBLIC LIBRARY - EMP</t>
  </si>
  <si>
    <t>PLYMOUTH - EMP/FIRE/POL</t>
  </si>
  <si>
    <t>PLYMOUTH SD - (SAU 48)</t>
  </si>
  <si>
    <t>PLYMOUTH VILLAGE WATER &amp; SEWER</t>
  </si>
  <si>
    <t>PORTSMOUTH - EMP/FIRE/POL</t>
  </si>
  <si>
    <t>PORTSMOUTH HOUSING AUTHORITY</t>
  </si>
  <si>
    <t>PORTSMOUTH SD - EMPL/TEACHER</t>
  </si>
  <si>
    <t>PORTSMOUTH-JOSIE F. PRESCOTT</t>
  </si>
  <si>
    <t>PROFILE COOP SD - (SAU 35)</t>
  </si>
  <si>
    <t>PROSPECT MOUNTAIN HIGH SCHOOL</t>
  </si>
  <si>
    <t>RAYMOND - EMP/FIRE/POL</t>
  </si>
  <si>
    <t>RAYMOND SD - EMP/TEACH</t>
  </si>
  <si>
    <t>RINDGE - EMP/FIRE/POL</t>
  </si>
  <si>
    <t>RIVENDELL INTERSTATE SD</t>
  </si>
  <si>
    <t>ROCHESTER - EMP/FIRE/POL</t>
  </si>
  <si>
    <t>ROCKINGHAM COUNTY-EMP/POL/FIRE</t>
  </si>
  <si>
    <t>ROCKINGHAM PLANNING COMM - EMP</t>
  </si>
  <si>
    <t>ROLLINSFORD - POLICE</t>
  </si>
  <si>
    <t>ROLLINSFORD SD - (SAU 56)</t>
  </si>
  <si>
    <t>RUMNEY - EMP/POL</t>
  </si>
  <si>
    <t>RUMNEY SD - (SAU 48) EMP/TEACH</t>
  </si>
  <si>
    <t>RYE - EMP/FIRE/POL</t>
  </si>
  <si>
    <t>RYE SD - (SAU 50)</t>
  </si>
  <si>
    <t>RYE WATER DISTRICT - EMP</t>
  </si>
  <si>
    <t>SALEM - EMP/FIRE/POL</t>
  </si>
  <si>
    <t>SALEM HOUSING AUTHORITY - EMP</t>
  </si>
  <si>
    <t>SALEM SD - EMP/TEACH</t>
  </si>
  <si>
    <t>SALISBURY - EMP</t>
  </si>
  <si>
    <t>SANBORN REG COOP SD (SAU 17)</t>
  </si>
  <si>
    <t>SANBORNTON - EMP/FIRE/POL</t>
  </si>
  <si>
    <t>SANBORNTON PUBLIC LIBRARY</t>
  </si>
  <si>
    <t>SANDOWN - EMP/FIRE/POL</t>
  </si>
  <si>
    <t>SANDOWN PUBLIC LIBRARY</t>
  </si>
  <si>
    <t>SANDWICH - POLICE</t>
  </si>
  <si>
    <t>SAU 02 - EMP/TEACH</t>
  </si>
  <si>
    <t>SAU 03 - EMP/TEACH</t>
  </si>
  <si>
    <t>SAU 06 - EMP</t>
  </si>
  <si>
    <t>SAU 07 - EMP/TEACH</t>
  </si>
  <si>
    <t>SAU 09 - EMP/TEACH</t>
  </si>
  <si>
    <t>SAU 10 (DERRY COOP SD)</t>
  </si>
  <si>
    <t>SAU 13 - EMP</t>
  </si>
  <si>
    <t>SAU 15 - EMP/TEACH</t>
  </si>
  <si>
    <t>SAU 16 - EMP/TEACH</t>
  </si>
  <si>
    <t>SAU 18 - EMP/TEACH</t>
  </si>
  <si>
    <t>SAU 19 - EMP/TEACH</t>
  </si>
  <si>
    <t>SAU 20 - EMP</t>
  </si>
  <si>
    <t>SAU 21 - EMP/TEACH</t>
  </si>
  <si>
    <t>SAU 23 - EMP/TEACH</t>
  </si>
  <si>
    <t>SAU 24 - EMP/TEACH</t>
  </si>
  <si>
    <t>SAU 28 - EMP</t>
  </si>
  <si>
    <t>SAU 29 - EMP/TEACH</t>
  </si>
  <si>
    <t>SAU 34 - EMP/TEACH</t>
  </si>
  <si>
    <t>SAU 35 - EMP/TEACH</t>
  </si>
  <si>
    <t>SAU 39 - EMP</t>
  </si>
  <si>
    <t>SAU 41 - EMP</t>
  </si>
  <si>
    <t>SAU 43 - EMP/TEACH</t>
  </si>
  <si>
    <t>SAU 44 - EMP/TEACH</t>
  </si>
  <si>
    <t>SAU 46 - EMP</t>
  </si>
  <si>
    <t>SAU 48 - EMP/TEACH</t>
  </si>
  <si>
    <t>SAU 50 - EMP/TEACH</t>
  </si>
  <si>
    <t>SAU 53 - EMP/TEACH</t>
  </si>
  <si>
    <t>SAU 54 (ROCHESTER SD)</t>
  </si>
  <si>
    <t>SAU 55 - EMP</t>
  </si>
  <si>
    <t>SAU 56 - EMP/TEACH</t>
  </si>
  <si>
    <t>SAU 58 - EMP</t>
  </si>
  <si>
    <t>SAU 61 - EMP</t>
  </si>
  <si>
    <t>SAU 64 - EMP/TEACH</t>
  </si>
  <si>
    <t>SAU 67 - EMP/TEACHERS</t>
  </si>
  <si>
    <t>SAU 70 - EMP</t>
  </si>
  <si>
    <t>SEABROOK - FIRE/POL</t>
  </si>
  <si>
    <t>SEABROOK SD (SAU 21)</t>
  </si>
  <si>
    <t>SEACOAST CHARTER SCH - TEACH</t>
  </si>
  <si>
    <t>SHAKER REGIONAL SD - (SAU 80)</t>
  </si>
  <si>
    <t>SHELBURNE - EMP</t>
  </si>
  <si>
    <t>SOMERSWORTH - EMP/FIRE/POL</t>
  </si>
  <si>
    <t>SOMERSWORTH HOUSING AUTHORITY</t>
  </si>
  <si>
    <t>SOMERSWORTH SD - (SAU 56)</t>
  </si>
  <si>
    <t>SOUHEGAN COOP SD - (SAU 39)</t>
  </si>
  <si>
    <t>SOUTH HAMPTON - POLICE</t>
  </si>
  <si>
    <t>SOUTH HAMPTON SD - (SAU 21)</t>
  </si>
  <si>
    <t>SOUTHERN NH PLANNING COMM</t>
  </si>
  <si>
    <t>SPRINGFIELD - EMP/POL</t>
  </si>
  <si>
    <t>STARK - EMP</t>
  </si>
  <si>
    <t>STARK SD - (SAU 58)</t>
  </si>
  <si>
    <t>STATE OF NEW HAMPSHIRE</t>
  </si>
  <si>
    <t>STEWARTSTOWN - EMP/POL</t>
  </si>
  <si>
    <t>STEWARTSTOWN SD - (SAU 07)</t>
  </si>
  <si>
    <t>STODDARD SD - (SAU 24)</t>
  </si>
  <si>
    <t>STRAFFORD - FIRE / POLICE</t>
  </si>
  <si>
    <t>STRAFFORD COUNTY - EMP/POL</t>
  </si>
  <si>
    <t>STRAFFORD SD (SAU 44)</t>
  </si>
  <si>
    <t>STRATFORD - EMP</t>
  </si>
  <si>
    <t>STRATFORD SD - (SAU 58)</t>
  </si>
  <si>
    <t>STRATHAM - EMP/POL</t>
  </si>
  <si>
    <t>STRATHAM SD - (SAU 16)</t>
  </si>
  <si>
    <t>SUGAR HILL - EMP/POL</t>
  </si>
  <si>
    <t>SULLIVAN COUNTY - EMP/POL</t>
  </si>
  <si>
    <t>SUNAPEE - EMP/POL</t>
  </si>
  <si>
    <t>SUNAPEE SD (SAU 85)- EMP/TEACH</t>
  </si>
  <si>
    <t>SURRY VILLAGE CHARTER SCHOOL</t>
  </si>
  <si>
    <t>SUTTON - POLICE</t>
  </si>
  <si>
    <t>SWANZEY - POLICE/FIRE</t>
  </si>
  <si>
    <t>SWNH DISTRICT FIRE MUTUAL AID</t>
  </si>
  <si>
    <t>TAMWORTH - EMP/FIRE/POL</t>
  </si>
  <si>
    <t>TAMWORTH SD - (SAU 13)</t>
  </si>
  <si>
    <t>THORNTON - EMP/POL</t>
  </si>
  <si>
    <t>THORNTON SD - (SAU 48)</t>
  </si>
  <si>
    <t>TILTON - EMP/POL</t>
  </si>
  <si>
    <t>TILTON-NORTHFIELD FIRE DIST</t>
  </si>
  <si>
    <t>TIMBERLANE REG SD (SAU 55)</t>
  </si>
  <si>
    <t>TROY - EMP/POL</t>
  </si>
  <si>
    <t>TROY WATER AND SEWER</t>
  </si>
  <si>
    <t>TUFTONBORO - EMP/FIRE/POL</t>
  </si>
  <si>
    <t>UNITY - EMP</t>
  </si>
  <si>
    <t>UNITY SD - (SAU 06)</t>
  </si>
  <si>
    <t>VILLAGE DISTRICT OF EASTMAN</t>
  </si>
  <si>
    <t>VILLAGE DISTRICT OF EIDELWEISS</t>
  </si>
  <si>
    <t>VIRTUAL LEARNING ACADEMY CHART</t>
  </si>
  <si>
    <t>WAKEFIELD - EMP/FIRE/POL</t>
  </si>
  <si>
    <t>WAKEFIELD SD - (SAU 64)</t>
  </si>
  <si>
    <t>WALPOLE - EMP/POL</t>
  </si>
  <si>
    <t>WARNER - EMP/POL</t>
  </si>
  <si>
    <t>WARNER VILLAGE WATER DISTRICT</t>
  </si>
  <si>
    <t>WARREN SD - (SAU 23)</t>
  </si>
  <si>
    <t>WASHINGTON - EMP/POL</t>
  </si>
  <si>
    <t>WASHINGTON SD - (SAU 34)</t>
  </si>
  <si>
    <t>WATERVILLE ESTATES VILLAGE DIS</t>
  </si>
  <si>
    <t>WATERVILLE VALLEY EMP/FIRE/POL</t>
  </si>
  <si>
    <t>WATERVILLE VALLEY SD (SAU 48)</t>
  </si>
  <si>
    <t>WEARE - EMP/POL</t>
  </si>
  <si>
    <t>WEARE SD - (SAU 24)</t>
  </si>
  <si>
    <t>WEBSTER - EMP/POL</t>
  </si>
  <si>
    <t>WEEKS PUBLIC LIBRARY</t>
  </si>
  <si>
    <t>WENTWORTH SD - (SAU 48)</t>
  </si>
  <si>
    <t>WESTMORELAND - EMP</t>
  </si>
  <si>
    <t>WESTMORELAND SD - (SAU 29)</t>
  </si>
  <si>
    <t>WHITE MTN REG SD - EMP/TEACH</t>
  </si>
  <si>
    <t>WHITEFIELD - EMP/POL/FIRE</t>
  </si>
  <si>
    <t>WILMOT - EMP/POL</t>
  </si>
  <si>
    <t>WILTON - POL</t>
  </si>
  <si>
    <t>WILTON-LYNDEBOROUGH (SAU 63)</t>
  </si>
  <si>
    <t>WINCHESTER - EMP/POL</t>
  </si>
  <si>
    <t>WINCHESTER SD - (SAU 94)</t>
  </si>
  <si>
    <t>WINDHAM - EMP/FIRE/POL</t>
  </si>
  <si>
    <t>WINDHAM SD - (SAU 95)</t>
  </si>
  <si>
    <t>WINNACUNNET COOP SD (SAU 21)</t>
  </si>
  <si>
    <t>WINNISQUAM REG COOP SD</t>
  </si>
  <si>
    <t>WOLFEBORO - EMP/FIRE/POL</t>
  </si>
  <si>
    <t>WOODSTOCK - EMP/POL</t>
  </si>
  <si>
    <t>WOODSVILLE FIRE DISTRICT</t>
  </si>
  <si>
    <t>WOODSVILLE WATER &amp; LIGHT DEPT</t>
  </si>
  <si>
    <t>Littleton Water &amp; Light</t>
  </si>
  <si>
    <t>Year</t>
  </si>
  <si>
    <t>district_contributions</t>
  </si>
  <si>
    <t>district_name_standardized</t>
  </si>
  <si>
    <t>LEAID</t>
  </si>
  <si>
    <t>state_contributions</t>
  </si>
  <si>
    <t>total_contributions</t>
  </si>
  <si>
    <t>LEAID_match</t>
  </si>
  <si>
    <t>State</t>
  </si>
  <si>
    <t>New Hampshire</t>
  </si>
  <si>
    <t>state_abv</t>
  </si>
  <si>
    <t>NH</t>
  </si>
  <si>
    <t>plan</t>
  </si>
  <si>
    <t>New Hampshire Retirement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</si>
</sst>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3" formatCode="_(* #,##0.00_);_(* \(#,##0.00\);_(* &quot;-&quot;??_);_(@_)"/>
    <numFmt numFmtId="169" formatCode="_(* #,##0_);_(* \(#,##0\);_(* &quot;-&quot;??_);_(@_)"/>
  </numFmts>
  <fonts count="13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4"/>
      <color theme="1"/>
      <name val="Times New Roman"/>
      <family val="1"/>
    </font>
    <font>
      <sz val="7"/>
      <color theme="1"/>
      <name val="Arial"/>
      <family val="2"/>
    </font>
    <font>
      <sz val="5"/>
      <color theme="1"/>
      <name val="Arial"/>
      <family val="2"/>
    </font>
    <font>
      <sz val="2"/>
      <color theme="1"/>
      <name val="Times New Roman"/>
      <family val="1"/>
    </font>
    <font>
      <sz val="6"/>
      <color theme="1"/>
      <name val="Times New Roman"/>
      <family val="1"/>
    </font>
    <font>
      <sz val="5"/>
      <color theme="1"/>
      <name val="Times New Roman"/>
      <family val="1"/>
    </font>
    <font>
      <sz val="12"/>
      <color theme="1"/>
      <name val="Aptos Narrow"/>
      <scheme val="minor"/>
    </font>
    <font>
      <sz val="3"/>
      <color theme="1"/>
      <name val="Times New Roman"/>
      <family val="1"/>
    </font>
    <font>
      <sz val="6"/>
      <color theme="1"/>
      <name val="Arial"/>
      <family val="2"/>
    </font>
    <font>
      <sz val="7"/>
      <color theme="1"/>
      <name val="Times New Roman"/>
      <family val="1"/>
    </font>
    <font>
      <sz val="12"/>
      <color rgb="FFFF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0" applyFont="1"/>
    <xf numFmtId="10" fontId="3" fillId="0" borderId="0" xfId="0" applyNumberFormat="1" applyFont="1"/>
    <xf numFmtId="3" fontId="3" fillId="0" borderId="0" xfId="0" applyNumberFormat="1" applyFont="1"/>
    <xf numFmtId="0" fontId="4" fillId="0" borderId="0" xfId="0" applyFont="1"/>
    <xf numFmtId="10" fontId="4" fillId="0" borderId="0" xfId="0" applyNumberFormat="1" applyFont="1"/>
    <xf numFmtId="3" fontId="4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3" fontId="8" fillId="0" borderId="0" xfId="0" applyNumberFormat="1" applyFont="1"/>
    <xf numFmtId="0" fontId="10" fillId="0" borderId="0" xfId="0" applyFont="1"/>
    <xf numFmtId="10" fontId="10" fillId="0" borderId="0" xfId="0" applyNumberFormat="1" applyFont="1"/>
    <xf numFmtId="3" fontId="10" fillId="0" borderId="0" xfId="0" applyNumberFormat="1" applyFont="1"/>
    <xf numFmtId="0" fontId="2" fillId="0" borderId="0" xfId="0" applyFont="1"/>
    <xf numFmtId="0" fontId="5" fillId="0" borderId="0" xfId="0" applyFont="1"/>
    <xf numFmtId="0" fontId="9" fillId="0" borderId="0" xfId="0" applyFont="1"/>
    <xf numFmtId="0" fontId="11" fillId="0" borderId="0" xfId="0" applyFont="1"/>
    <xf numFmtId="169" fontId="8" fillId="0" borderId="0" xfId="1" applyNumberFormat="1" applyFont="1"/>
    <xf numFmtId="0" fontId="12" fillId="0" borderId="0" xfId="0" applyFont="1" applyAlignment="1">
      <alignment horizontal="right"/>
    </xf>
    <xf numFmtId="169" fontId="12" fillId="0" borderId="0" xfId="0" applyNumberFormat="1" applyFont="1"/>
    <xf numFmtId="4" fontId="8" fillId="0" borderId="0" xfId="0" applyNumberFormat="1" applyFont="1"/>
    <xf numFmtId="10" fontId="11" fillId="0" borderId="0" xfId="0" applyNumberFormat="1" applyFont="1"/>
    <xf numFmtId="4" fontId="11" fillId="0" borderId="0" xfId="0" applyNumberFormat="1" applyFont="1"/>
    <xf numFmtId="3" fontId="11" fillId="0" borderId="0" xfId="0" applyNumberFormat="1" applyFont="1"/>
    <xf numFmtId="8" fontId="8" fillId="0" borderId="0" xfId="0" applyNumberFormat="1" applyFont="1"/>
    <xf numFmtId="43" fontId="12" fillId="0" borderId="0" xfId="0" applyNumberFormat="1" applyFont="1"/>
    <xf numFmtId="1" fontId="8" fillId="0" borderId="0" xfId="0" applyNumberFormat="1" applyFont="1"/>
    <xf numFmtId="169" fontId="0" fillId="0" borderId="0" xfId="1" applyNumberFormat="1" applyFont="1"/>
    <xf numFmtId="16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0F6BB-51F5-C248-B7EA-6BD946CA135D}">
  <sheetPr>
    <tabColor rgb="FF002060"/>
  </sheetPr>
  <dimension ref="A1:J4322"/>
  <sheetViews>
    <sheetView tabSelected="1" workbookViewId="0">
      <selection activeCell="F8" sqref="F8"/>
    </sheetView>
  </sheetViews>
  <sheetFormatPr baseColWidth="10" defaultRowHeight="16"/>
  <cols>
    <col min="5" max="5" width="39.5" customWidth="1"/>
    <col min="6" max="6" width="28.5" bestFit="1" customWidth="1"/>
    <col min="7" max="7" width="22.5" style="28" customWidth="1"/>
    <col min="8" max="8" width="18.6640625" customWidth="1"/>
    <col min="9" max="9" width="16.83203125" bestFit="1" customWidth="1"/>
  </cols>
  <sheetData>
    <row r="1" spans="1:10">
      <c r="A1" t="s">
        <v>1421</v>
      </c>
      <c r="B1" t="s">
        <v>1428</v>
      </c>
      <c r="C1" t="s">
        <v>1430</v>
      </c>
      <c r="D1" t="s">
        <v>1432</v>
      </c>
      <c r="E1" t="s">
        <v>1423</v>
      </c>
      <c r="F1" t="s">
        <v>419</v>
      </c>
      <c r="G1" s="28" t="s">
        <v>1422</v>
      </c>
      <c r="H1" t="s">
        <v>1425</v>
      </c>
      <c r="I1" t="s">
        <v>1426</v>
      </c>
      <c r="J1" t="s">
        <v>1427</v>
      </c>
    </row>
    <row r="2" spans="1:10">
      <c r="A2">
        <v>2015</v>
      </c>
      <c r="B2" t="s">
        <v>1429</v>
      </c>
      <c r="C2" t="s">
        <v>1431</v>
      </c>
      <c r="D2" t="s">
        <v>1433</v>
      </c>
      <c r="E2" t="s">
        <v>492</v>
      </c>
      <c r="F2" s="9" t="s">
        <v>944</v>
      </c>
      <c r="G2" s="18">
        <v>4273.25</v>
      </c>
      <c r="H2">
        <v>0</v>
      </c>
      <c r="I2" s="29">
        <f>SUM(G2:H2)</f>
        <v>4273.25</v>
      </c>
      <c r="J2" t="str">
        <f>IFERROR(VLOOKUP(E2,'LEAID Match'!$A$2:$B$168,2,FALSE),"")</f>
        <v/>
      </c>
    </row>
    <row r="3" spans="1:10">
      <c r="A3">
        <v>2016</v>
      </c>
      <c r="B3" t="s">
        <v>1429</v>
      </c>
      <c r="C3" t="s">
        <v>1431</v>
      </c>
      <c r="D3" t="s">
        <v>1433</v>
      </c>
      <c r="E3" t="s">
        <v>492</v>
      </c>
      <c r="F3" t="s">
        <v>492</v>
      </c>
      <c r="G3" s="28">
        <v>4528</v>
      </c>
      <c r="H3">
        <v>0</v>
      </c>
      <c r="I3" s="29">
        <f t="shared" ref="I3:I66" si="0">SUM(G3:H3)</f>
        <v>4528</v>
      </c>
      <c r="J3" t="str">
        <f>IFERROR(VLOOKUP(E3,'LEAID Match'!$A$2:$B$168,2,FALSE),"")</f>
        <v/>
      </c>
    </row>
    <row r="4" spans="1:10">
      <c r="A4">
        <v>2017</v>
      </c>
      <c r="B4" t="s">
        <v>1429</v>
      </c>
      <c r="C4" t="s">
        <v>1431</v>
      </c>
      <c r="D4" t="s">
        <v>1433</v>
      </c>
      <c r="E4" t="s">
        <v>492</v>
      </c>
      <c r="F4" t="s">
        <v>492</v>
      </c>
      <c r="G4" s="28">
        <v>4484</v>
      </c>
      <c r="H4">
        <v>0</v>
      </c>
      <c r="I4" s="29">
        <f t="shared" si="0"/>
        <v>4484</v>
      </c>
      <c r="J4" t="str">
        <f>IFERROR(VLOOKUP(E4,'LEAID Match'!$A$2:$B$168,2,FALSE),"")</f>
        <v/>
      </c>
    </row>
    <row r="5" spans="1:10">
      <c r="A5" s="27">
        <v>2018</v>
      </c>
      <c r="B5" t="s">
        <v>1429</v>
      </c>
      <c r="C5" t="s">
        <v>1431</v>
      </c>
      <c r="D5" t="s">
        <v>1433</v>
      </c>
      <c r="E5" t="s">
        <v>492</v>
      </c>
      <c r="F5" s="9" t="s">
        <v>492</v>
      </c>
      <c r="G5" s="18">
        <v>4662</v>
      </c>
      <c r="H5">
        <v>0</v>
      </c>
      <c r="I5" s="29">
        <f t="shared" si="0"/>
        <v>4662</v>
      </c>
      <c r="J5" t="str">
        <f>IFERROR(VLOOKUP(E5,'LEAID Match'!$A$2:$B$168,2,FALSE),"")</f>
        <v/>
      </c>
    </row>
    <row r="6" spans="1:10">
      <c r="A6">
        <v>2019</v>
      </c>
      <c r="B6" t="s">
        <v>1429</v>
      </c>
      <c r="C6" t="s">
        <v>1431</v>
      </c>
      <c r="D6" t="s">
        <v>1433</v>
      </c>
      <c r="E6" t="s">
        <v>492</v>
      </c>
      <c r="F6" s="9" t="s">
        <v>492</v>
      </c>
      <c r="G6" s="18">
        <v>4839</v>
      </c>
      <c r="H6">
        <v>0</v>
      </c>
      <c r="I6" s="29">
        <f t="shared" si="0"/>
        <v>4839</v>
      </c>
      <c r="J6" t="str">
        <f>IFERROR(VLOOKUP(E6,'LEAID Match'!$A$2:$B$168,2,FALSE),"")</f>
        <v/>
      </c>
    </row>
    <row r="7" spans="1:10">
      <c r="A7">
        <v>2015</v>
      </c>
      <c r="B7" t="s">
        <v>1429</v>
      </c>
      <c r="C7" t="s">
        <v>1431</v>
      </c>
      <c r="D7" t="s">
        <v>1433</v>
      </c>
      <c r="E7" t="s">
        <v>493</v>
      </c>
      <c r="F7" s="9" t="s">
        <v>945</v>
      </c>
      <c r="G7" s="18">
        <v>35431.440000000002</v>
      </c>
      <c r="H7">
        <v>0</v>
      </c>
      <c r="I7" s="29">
        <f t="shared" si="0"/>
        <v>35431.440000000002</v>
      </c>
      <c r="J7" t="str">
        <f>IFERROR(VLOOKUP(E7,'LEAID Match'!$A$2:$B$168,2,FALSE),"")</f>
        <v/>
      </c>
    </row>
    <row r="8" spans="1:10">
      <c r="A8">
        <v>2016</v>
      </c>
      <c r="B8" t="s">
        <v>1429</v>
      </c>
      <c r="C8" t="s">
        <v>1431</v>
      </c>
      <c r="D8" t="s">
        <v>1433</v>
      </c>
      <c r="E8" t="s">
        <v>493</v>
      </c>
      <c r="F8" t="s">
        <v>493</v>
      </c>
      <c r="G8" s="28">
        <v>42440</v>
      </c>
      <c r="H8">
        <v>0</v>
      </c>
      <c r="I8" s="29">
        <f t="shared" si="0"/>
        <v>42440</v>
      </c>
      <c r="J8" t="str">
        <f>IFERROR(VLOOKUP(E8,'LEAID Match'!$A$2:$B$168,2,FALSE),"")</f>
        <v/>
      </c>
    </row>
    <row r="9" spans="1:10">
      <c r="A9">
        <v>2017</v>
      </c>
      <c r="B9" t="s">
        <v>1429</v>
      </c>
      <c r="C9" t="s">
        <v>1431</v>
      </c>
      <c r="D9" t="s">
        <v>1433</v>
      </c>
      <c r="E9" t="s">
        <v>493</v>
      </c>
      <c r="F9" t="s">
        <v>493</v>
      </c>
      <c r="G9" s="28">
        <v>42952</v>
      </c>
      <c r="H9">
        <v>0</v>
      </c>
      <c r="I9" s="29">
        <f t="shared" si="0"/>
        <v>42952</v>
      </c>
      <c r="J9" t="str">
        <f>IFERROR(VLOOKUP(E9,'LEAID Match'!$A$2:$B$168,2,FALSE),"")</f>
        <v/>
      </c>
    </row>
    <row r="10" spans="1:10">
      <c r="A10" s="27">
        <v>2018</v>
      </c>
      <c r="B10" t="s">
        <v>1429</v>
      </c>
      <c r="C10" t="s">
        <v>1431</v>
      </c>
      <c r="D10" t="s">
        <v>1433</v>
      </c>
      <c r="E10" t="s">
        <v>493</v>
      </c>
      <c r="F10" s="9" t="s">
        <v>493</v>
      </c>
      <c r="G10" s="18">
        <v>47287</v>
      </c>
      <c r="H10">
        <v>0</v>
      </c>
      <c r="I10" s="29">
        <f t="shared" si="0"/>
        <v>47287</v>
      </c>
      <c r="J10" t="str">
        <f>IFERROR(VLOOKUP(E10,'LEAID Match'!$A$2:$B$168,2,FALSE),"")</f>
        <v/>
      </c>
    </row>
    <row r="11" spans="1:10">
      <c r="A11">
        <v>2019</v>
      </c>
      <c r="B11" t="s">
        <v>1429</v>
      </c>
      <c r="C11" t="s">
        <v>1431</v>
      </c>
      <c r="D11" t="s">
        <v>1433</v>
      </c>
      <c r="E11" t="s">
        <v>493</v>
      </c>
      <c r="F11" s="9" t="s">
        <v>493</v>
      </c>
      <c r="G11" s="18">
        <v>50980</v>
      </c>
      <c r="H11">
        <v>0</v>
      </c>
      <c r="I11" s="29">
        <f t="shared" si="0"/>
        <v>50980</v>
      </c>
      <c r="J11" t="str">
        <f>IFERROR(VLOOKUP(E11,'LEAID Match'!$A$2:$B$168,2,FALSE),"")</f>
        <v/>
      </c>
    </row>
    <row r="12" spans="1:10">
      <c r="A12">
        <v>2015</v>
      </c>
      <c r="B12" t="s">
        <v>1429</v>
      </c>
      <c r="C12" t="s">
        <v>1431</v>
      </c>
      <c r="D12" t="s">
        <v>1433</v>
      </c>
      <c r="E12" t="s">
        <v>494</v>
      </c>
      <c r="F12" s="9" t="s">
        <v>946</v>
      </c>
      <c r="G12" s="18">
        <v>185934.67</v>
      </c>
      <c r="H12">
        <v>0</v>
      </c>
      <c r="I12" s="29">
        <f t="shared" si="0"/>
        <v>185934.67</v>
      </c>
      <c r="J12" t="str">
        <f>IFERROR(VLOOKUP(E12,'LEAID Match'!$A$2:$B$168,2,FALSE),"")</f>
        <v/>
      </c>
    </row>
    <row r="13" spans="1:10">
      <c r="A13">
        <v>2016</v>
      </c>
      <c r="B13" t="s">
        <v>1429</v>
      </c>
      <c r="C13" t="s">
        <v>1431</v>
      </c>
      <c r="D13" t="s">
        <v>1433</v>
      </c>
      <c r="E13" t="s">
        <v>494</v>
      </c>
      <c r="F13" t="s">
        <v>494</v>
      </c>
      <c r="G13" s="28">
        <v>207076</v>
      </c>
      <c r="H13">
        <v>0</v>
      </c>
      <c r="I13" s="29">
        <f t="shared" si="0"/>
        <v>207076</v>
      </c>
      <c r="J13" t="str">
        <f>IFERROR(VLOOKUP(E13,'LEAID Match'!$A$2:$B$168,2,FALSE),"")</f>
        <v/>
      </c>
    </row>
    <row r="14" spans="1:10">
      <c r="A14">
        <v>2017</v>
      </c>
      <c r="B14" t="s">
        <v>1429</v>
      </c>
      <c r="C14" t="s">
        <v>1431</v>
      </c>
      <c r="D14" t="s">
        <v>1433</v>
      </c>
      <c r="E14" t="s">
        <v>494</v>
      </c>
      <c r="F14" t="s">
        <v>494</v>
      </c>
      <c r="G14" s="28">
        <v>234685</v>
      </c>
      <c r="H14">
        <v>0</v>
      </c>
      <c r="I14" s="29">
        <f t="shared" si="0"/>
        <v>234685</v>
      </c>
      <c r="J14" t="str">
        <f>IFERROR(VLOOKUP(E14,'LEAID Match'!$A$2:$B$168,2,FALSE),"")</f>
        <v/>
      </c>
    </row>
    <row r="15" spans="1:10">
      <c r="A15" s="27">
        <v>2018</v>
      </c>
      <c r="B15" t="s">
        <v>1429</v>
      </c>
      <c r="C15" t="s">
        <v>1431</v>
      </c>
      <c r="D15" t="s">
        <v>1433</v>
      </c>
      <c r="E15" t="s">
        <v>494</v>
      </c>
      <c r="F15" s="9" t="s">
        <v>494</v>
      </c>
      <c r="G15" s="18">
        <v>268821</v>
      </c>
      <c r="H15">
        <v>0</v>
      </c>
      <c r="I15" s="29">
        <f t="shared" si="0"/>
        <v>268821</v>
      </c>
      <c r="J15" t="str">
        <f>IFERROR(VLOOKUP(E15,'LEAID Match'!$A$2:$B$168,2,FALSE),"")</f>
        <v/>
      </c>
    </row>
    <row r="16" spans="1:10">
      <c r="A16">
        <v>2019</v>
      </c>
      <c r="B16" t="s">
        <v>1429</v>
      </c>
      <c r="C16" t="s">
        <v>1431</v>
      </c>
      <c r="D16" t="s">
        <v>1433</v>
      </c>
      <c r="E16" t="s">
        <v>494</v>
      </c>
      <c r="F16" s="9" t="s">
        <v>494</v>
      </c>
      <c r="G16" s="18">
        <v>271092</v>
      </c>
      <c r="H16">
        <v>0</v>
      </c>
      <c r="I16" s="29">
        <f t="shared" si="0"/>
        <v>271092</v>
      </c>
      <c r="J16" t="str">
        <f>IFERROR(VLOOKUP(E16,'LEAID Match'!$A$2:$B$168,2,FALSE),"")</f>
        <v/>
      </c>
    </row>
    <row r="17" spans="1:10">
      <c r="A17">
        <v>2015</v>
      </c>
      <c r="B17" t="s">
        <v>1429</v>
      </c>
      <c r="C17" t="s">
        <v>1431</v>
      </c>
      <c r="D17" t="s">
        <v>1433</v>
      </c>
      <c r="E17" t="s">
        <v>0</v>
      </c>
      <c r="F17" s="9" t="s">
        <v>947</v>
      </c>
      <c r="G17" s="18">
        <v>300445.40999999997</v>
      </c>
      <c r="H17">
        <v>0</v>
      </c>
      <c r="I17" s="29">
        <f t="shared" si="0"/>
        <v>300445.40999999997</v>
      </c>
      <c r="J17">
        <f>IFERROR(VLOOKUP(E17,'LEAID Match'!$A$2:$B$168,2,FALSE),"")</f>
        <v>3301380</v>
      </c>
    </row>
    <row r="18" spans="1:10">
      <c r="A18">
        <v>2016</v>
      </c>
      <c r="B18" t="s">
        <v>1429</v>
      </c>
      <c r="C18" t="s">
        <v>1431</v>
      </c>
      <c r="D18" t="s">
        <v>1433</v>
      </c>
      <c r="E18" t="s">
        <v>0</v>
      </c>
      <c r="F18" t="s">
        <v>495</v>
      </c>
      <c r="G18" s="28">
        <v>318434</v>
      </c>
      <c r="H18">
        <v>0</v>
      </c>
      <c r="I18" s="29">
        <f t="shared" si="0"/>
        <v>318434</v>
      </c>
      <c r="J18">
        <f>IFERROR(VLOOKUP(E18,'LEAID Match'!$A$2:$B$168,2,FALSE),"")</f>
        <v>3301380</v>
      </c>
    </row>
    <row r="19" spans="1:10">
      <c r="A19">
        <v>2017</v>
      </c>
      <c r="B19" t="s">
        <v>1429</v>
      </c>
      <c r="C19" t="s">
        <v>1431</v>
      </c>
      <c r="D19" t="s">
        <v>1433</v>
      </c>
      <c r="E19" t="s">
        <v>0</v>
      </c>
      <c r="F19" t="s">
        <v>495</v>
      </c>
      <c r="G19" s="28">
        <v>308891</v>
      </c>
      <c r="H19">
        <v>0</v>
      </c>
      <c r="I19" s="29">
        <f t="shared" si="0"/>
        <v>308891</v>
      </c>
      <c r="J19">
        <f>IFERROR(VLOOKUP(E19,'LEAID Match'!$A$2:$B$168,2,FALSE),"")</f>
        <v>3301380</v>
      </c>
    </row>
    <row r="20" spans="1:10">
      <c r="A20" s="27">
        <v>2018</v>
      </c>
      <c r="B20" t="s">
        <v>1429</v>
      </c>
      <c r="C20" t="s">
        <v>1431</v>
      </c>
      <c r="D20" t="s">
        <v>1433</v>
      </c>
      <c r="E20" t="s">
        <v>0</v>
      </c>
      <c r="F20" s="9" t="s">
        <v>495</v>
      </c>
      <c r="G20" s="18">
        <v>381768</v>
      </c>
      <c r="H20">
        <v>0</v>
      </c>
      <c r="I20" s="29">
        <f t="shared" si="0"/>
        <v>381768</v>
      </c>
      <c r="J20">
        <f>IFERROR(VLOOKUP(E20,'LEAID Match'!$A$2:$B$168,2,FALSE),"")</f>
        <v>3301380</v>
      </c>
    </row>
    <row r="21" spans="1:10">
      <c r="A21">
        <v>2019</v>
      </c>
      <c r="B21" t="s">
        <v>1429</v>
      </c>
      <c r="C21" t="s">
        <v>1431</v>
      </c>
      <c r="D21" t="s">
        <v>1433</v>
      </c>
      <c r="E21" t="s">
        <v>0</v>
      </c>
      <c r="F21" s="9" t="s">
        <v>495</v>
      </c>
      <c r="G21" s="18">
        <v>383431</v>
      </c>
      <c r="H21">
        <v>0</v>
      </c>
      <c r="I21" s="29">
        <f t="shared" si="0"/>
        <v>383431</v>
      </c>
      <c r="J21">
        <f>IFERROR(VLOOKUP(E21,'LEAID Match'!$A$2:$B$168,2,FALSE),"")</f>
        <v>3301380</v>
      </c>
    </row>
    <row r="22" spans="1:10">
      <c r="A22" s="27">
        <v>2020</v>
      </c>
      <c r="B22" t="s">
        <v>1429</v>
      </c>
      <c r="C22" t="s">
        <v>1431</v>
      </c>
      <c r="D22" t="s">
        <v>1433</v>
      </c>
      <c r="E22" t="s">
        <v>0</v>
      </c>
      <c r="F22" s="9" t="s">
        <v>0</v>
      </c>
      <c r="G22" s="18">
        <v>398686</v>
      </c>
      <c r="H22">
        <v>0</v>
      </c>
      <c r="I22" s="29">
        <f t="shared" si="0"/>
        <v>398686</v>
      </c>
      <c r="J22">
        <f>IFERROR(VLOOKUP(E22,'LEAID Match'!$A$2:$B$168,2,FALSE),"")</f>
        <v>3301380</v>
      </c>
    </row>
    <row r="23" spans="1:10">
      <c r="A23">
        <v>2021</v>
      </c>
      <c r="B23" t="s">
        <v>1429</v>
      </c>
      <c r="C23" t="s">
        <v>1431</v>
      </c>
      <c r="D23" t="s">
        <v>1433</v>
      </c>
      <c r="E23" t="s">
        <v>0</v>
      </c>
      <c r="F23" s="9" t="s">
        <v>0</v>
      </c>
      <c r="G23" s="18">
        <v>403813</v>
      </c>
      <c r="H23">
        <v>0</v>
      </c>
      <c r="I23" s="29">
        <f t="shared" si="0"/>
        <v>403813</v>
      </c>
      <c r="J23">
        <f>IFERROR(VLOOKUP(E23,'LEAID Match'!$A$2:$B$168,2,FALSE),"")</f>
        <v>3301380</v>
      </c>
    </row>
    <row r="24" spans="1:10">
      <c r="A24">
        <v>2022</v>
      </c>
      <c r="B24" t="s">
        <v>1429</v>
      </c>
      <c r="C24" t="s">
        <v>1431</v>
      </c>
      <c r="D24" t="s">
        <v>1433</v>
      </c>
      <c r="E24" t="s">
        <v>0</v>
      </c>
      <c r="F24" s="9" t="s">
        <v>0</v>
      </c>
      <c r="G24" s="18">
        <v>519261</v>
      </c>
      <c r="H24">
        <v>0</v>
      </c>
      <c r="I24" s="29">
        <f t="shared" si="0"/>
        <v>519261</v>
      </c>
      <c r="J24">
        <f>IFERROR(VLOOKUP(E24,'LEAID Match'!$A$2:$B$168,2,FALSE),"")</f>
        <v>3301380</v>
      </c>
    </row>
    <row r="25" spans="1:10">
      <c r="A25">
        <v>2023</v>
      </c>
      <c r="B25" t="s">
        <v>1429</v>
      </c>
      <c r="C25" t="s">
        <v>1431</v>
      </c>
      <c r="D25" t="s">
        <v>1433</v>
      </c>
      <c r="E25" t="s">
        <v>0</v>
      </c>
      <c r="F25" t="s">
        <v>0</v>
      </c>
      <c r="G25" s="28">
        <v>522842</v>
      </c>
      <c r="H25">
        <v>0</v>
      </c>
      <c r="I25" s="29">
        <f t="shared" si="0"/>
        <v>522842</v>
      </c>
      <c r="J25">
        <f>IFERROR(VLOOKUP(E25,'LEAID Match'!$A$2:$B$168,2,FALSE),"")</f>
        <v>3301380</v>
      </c>
    </row>
    <row r="26" spans="1:10">
      <c r="A26">
        <v>2015</v>
      </c>
      <c r="B26" t="s">
        <v>1429</v>
      </c>
      <c r="C26" t="s">
        <v>1431</v>
      </c>
      <c r="D26" t="s">
        <v>1433</v>
      </c>
      <c r="E26" t="s">
        <v>420</v>
      </c>
      <c r="F26" s="9" t="s">
        <v>948</v>
      </c>
      <c r="G26" s="18">
        <v>40260.82</v>
      </c>
      <c r="H26">
        <v>0</v>
      </c>
      <c r="I26" s="29">
        <f t="shared" si="0"/>
        <v>40260.82</v>
      </c>
      <c r="J26" t="str">
        <f>IFERROR(VLOOKUP(E26,'LEAID Match'!$A$2:$B$168,2,FALSE),"")</f>
        <v/>
      </c>
    </row>
    <row r="27" spans="1:10">
      <c r="A27">
        <v>2016</v>
      </c>
      <c r="B27" t="s">
        <v>1429</v>
      </c>
      <c r="C27" t="s">
        <v>1431</v>
      </c>
      <c r="D27" t="s">
        <v>1433</v>
      </c>
      <c r="E27" t="s">
        <v>420</v>
      </c>
      <c r="F27" t="s">
        <v>420</v>
      </c>
      <c r="G27" s="28">
        <v>42629</v>
      </c>
      <c r="H27">
        <v>0</v>
      </c>
      <c r="I27" s="29">
        <f t="shared" si="0"/>
        <v>42629</v>
      </c>
      <c r="J27" t="str">
        <f>IFERROR(VLOOKUP(E27,'LEAID Match'!$A$2:$B$168,2,FALSE),"")</f>
        <v/>
      </c>
    </row>
    <row r="28" spans="1:10">
      <c r="A28">
        <v>2017</v>
      </c>
      <c r="B28" t="s">
        <v>1429</v>
      </c>
      <c r="C28" t="s">
        <v>1431</v>
      </c>
      <c r="D28" t="s">
        <v>1433</v>
      </c>
      <c r="E28" t="s">
        <v>420</v>
      </c>
      <c r="F28" t="s">
        <v>420</v>
      </c>
      <c r="G28" s="28">
        <v>19632</v>
      </c>
      <c r="H28">
        <v>0</v>
      </c>
      <c r="I28" s="29">
        <f t="shared" si="0"/>
        <v>19632</v>
      </c>
      <c r="J28" t="str">
        <f>IFERROR(VLOOKUP(E28,'LEAID Match'!$A$2:$B$168,2,FALSE),"")</f>
        <v/>
      </c>
    </row>
    <row r="29" spans="1:10">
      <c r="A29" s="27">
        <v>2018</v>
      </c>
      <c r="B29" t="s">
        <v>1429</v>
      </c>
      <c r="C29" t="s">
        <v>1431</v>
      </c>
      <c r="D29" t="s">
        <v>1433</v>
      </c>
      <c r="E29" t="s">
        <v>420</v>
      </c>
      <c r="F29" s="9" t="s">
        <v>420</v>
      </c>
      <c r="G29" s="18"/>
      <c r="H29">
        <v>0</v>
      </c>
      <c r="I29" s="29">
        <f t="shared" si="0"/>
        <v>0</v>
      </c>
      <c r="J29" t="str">
        <f>IFERROR(VLOOKUP(E29,'LEAID Match'!$A$2:$B$168,2,FALSE),"")</f>
        <v/>
      </c>
    </row>
    <row r="30" spans="1:10">
      <c r="A30">
        <v>2019</v>
      </c>
      <c r="B30" t="s">
        <v>1429</v>
      </c>
      <c r="C30" t="s">
        <v>1431</v>
      </c>
      <c r="D30" t="s">
        <v>1433</v>
      </c>
      <c r="E30" t="s">
        <v>420</v>
      </c>
      <c r="F30" s="9" t="s">
        <v>420</v>
      </c>
      <c r="G30" s="18"/>
      <c r="H30">
        <v>0</v>
      </c>
      <c r="I30" s="29">
        <f t="shared" si="0"/>
        <v>0</v>
      </c>
      <c r="J30" t="str">
        <f>IFERROR(VLOOKUP(E30,'LEAID Match'!$A$2:$B$168,2,FALSE),"")</f>
        <v/>
      </c>
    </row>
    <row r="31" spans="1:10">
      <c r="A31" s="27">
        <v>2020</v>
      </c>
      <c r="B31" t="s">
        <v>1429</v>
      </c>
      <c r="C31" t="s">
        <v>1431</v>
      </c>
      <c r="D31" t="s">
        <v>1433</v>
      </c>
      <c r="E31" t="s">
        <v>420</v>
      </c>
      <c r="F31" s="9" t="s">
        <v>420</v>
      </c>
      <c r="G31" s="18"/>
      <c r="H31">
        <v>0</v>
      </c>
      <c r="I31" s="29">
        <f t="shared" si="0"/>
        <v>0</v>
      </c>
      <c r="J31" t="str">
        <f>IFERROR(VLOOKUP(E31,'LEAID Match'!$A$2:$B$168,2,FALSE),"")</f>
        <v/>
      </c>
    </row>
    <row r="32" spans="1:10">
      <c r="A32">
        <v>2021</v>
      </c>
      <c r="B32" t="s">
        <v>1429</v>
      </c>
      <c r="C32" t="s">
        <v>1431</v>
      </c>
      <c r="D32" t="s">
        <v>1433</v>
      </c>
      <c r="E32" t="s">
        <v>420</v>
      </c>
      <c r="F32" s="9" t="s">
        <v>420</v>
      </c>
      <c r="G32" s="18"/>
      <c r="H32">
        <v>0</v>
      </c>
      <c r="I32" s="29">
        <f t="shared" si="0"/>
        <v>0</v>
      </c>
      <c r="J32" t="str">
        <f>IFERROR(VLOOKUP(E32,'LEAID Match'!$A$2:$B$168,2,FALSE),"")</f>
        <v/>
      </c>
    </row>
    <row r="33" spans="1:10">
      <c r="A33">
        <v>2015</v>
      </c>
      <c r="B33" t="s">
        <v>1429</v>
      </c>
      <c r="C33" t="s">
        <v>1431</v>
      </c>
      <c r="D33" t="s">
        <v>1433</v>
      </c>
      <c r="E33" t="s">
        <v>496</v>
      </c>
      <c r="F33" s="9" t="s">
        <v>949</v>
      </c>
      <c r="G33" s="18">
        <v>17607.59</v>
      </c>
      <c r="H33">
        <v>0</v>
      </c>
      <c r="I33" s="29">
        <f t="shared" si="0"/>
        <v>17607.59</v>
      </c>
      <c r="J33" t="str">
        <f>IFERROR(VLOOKUP(E33,'LEAID Match'!$A$2:$B$168,2,FALSE),"")</f>
        <v/>
      </c>
    </row>
    <row r="34" spans="1:10">
      <c r="A34">
        <v>2016</v>
      </c>
      <c r="B34" t="s">
        <v>1429</v>
      </c>
      <c r="C34" t="s">
        <v>1431</v>
      </c>
      <c r="D34" t="s">
        <v>1433</v>
      </c>
      <c r="E34" t="s">
        <v>496</v>
      </c>
      <c r="F34" t="s">
        <v>496</v>
      </c>
      <c r="G34" s="28">
        <v>14318</v>
      </c>
      <c r="H34">
        <v>0</v>
      </c>
      <c r="I34" s="29">
        <f t="shared" si="0"/>
        <v>14318</v>
      </c>
      <c r="J34" t="str">
        <f>IFERROR(VLOOKUP(E34,'LEAID Match'!$A$2:$B$168,2,FALSE),"")</f>
        <v/>
      </c>
    </row>
    <row r="35" spans="1:10">
      <c r="A35">
        <v>2017</v>
      </c>
      <c r="B35" t="s">
        <v>1429</v>
      </c>
      <c r="C35" t="s">
        <v>1431</v>
      </c>
      <c r="D35" t="s">
        <v>1433</v>
      </c>
      <c r="E35" t="s">
        <v>496</v>
      </c>
      <c r="F35" t="s">
        <v>496</v>
      </c>
      <c r="G35" s="28">
        <v>17349</v>
      </c>
      <c r="H35">
        <v>0</v>
      </c>
      <c r="I35" s="29">
        <f t="shared" si="0"/>
        <v>17349</v>
      </c>
      <c r="J35" t="str">
        <f>IFERROR(VLOOKUP(E35,'LEAID Match'!$A$2:$B$168,2,FALSE),"")</f>
        <v/>
      </c>
    </row>
    <row r="36" spans="1:10">
      <c r="A36" s="27">
        <v>2018</v>
      </c>
      <c r="B36" t="s">
        <v>1429</v>
      </c>
      <c r="C36" t="s">
        <v>1431</v>
      </c>
      <c r="D36" t="s">
        <v>1433</v>
      </c>
      <c r="E36" t="s">
        <v>496</v>
      </c>
      <c r="F36" s="9" t="s">
        <v>496</v>
      </c>
      <c r="G36" s="18">
        <v>26431</v>
      </c>
      <c r="H36">
        <v>0</v>
      </c>
      <c r="I36" s="29">
        <f t="shared" si="0"/>
        <v>26431</v>
      </c>
      <c r="J36" t="str">
        <f>IFERROR(VLOOKUP(E36,'LEAID Match'!$A$2:$B$168,2,FALSE),"")</f>
        <v/>
      </c>
    </row>
    <row r="37" spans="1:10">
      <c r="A37">
        <v>2019</v>
      </c>
      <c r="B37" t="s">
        <v>1429</v>
      </c>
      <c r="C37" t="s">
        <v>1431</v>
      </c>
      <c r="D37" t="s">
        <v>1433</v>
      </c>
      <c r="E37" t="s">
        <v>496</v>
      </c>
      <c r="F37" s="9" t="s">
        <v>496</v>
      </c>
      <c r="G37" s="18">
        <v>28710</v>
      </c>
      <c r="H37">
        <v>0</v>
      </c>
      <c r="I37" s="29">
        <f t="shared" si="0"/>
        <v>28710</v>
      </c>
      <c r="J37" t="str">
        <f>IFERROR(VLOOKUP(E37,'LEAID Match'!$A$2:$B$168,2,FALSE),"")</f>
        <v/>
      </c>
    </row>
    <row r="38" spans="1:10">
      <c r="A38">
        <v>2015</v>
      </c>
      <c r="B38" t="s">
        <v>1429</v>
      </c>
      <c r="C38" t="s">
        <v>1431</v>
      </c>
      <c r="D38" t="s">
        <v>1433</v>
      </c>
      <c r="E38" t="s">
        <v>497</v>
      </c>
      <c r="F38" s="9" t="s">
        <v>950</v>
      </c>
      <c r="G38" s="18">
        <v>384134.46</v>
      </c>
      <c r="H38">
        <v>0</v>
      </c>
      <c r="I38" s="29">
        <f t="shared" si="0"/>
        <v>384134.46</v>
      </c>
      <c r="J38" t="str">
        <f>IFERROR(VLOOKUP(E38,'LEAID Match'!$A$2:$B$168,2,FALSE),"")</f>
        <v/>
      </c>
    </row>
    <row r="39" spans="1:10">
      <c r="A39">
        <v>2016</v>
      </c>
      <c r="B39" t="s">
        <v>1429</v>
      </c>
      <c r="C39" t="s">
        <v>1431</v>
      </c>
      <c r="D39" t="s">
        <v>1433</v>
      </c>
      <c r="E39" t="s">
        <v>497</v>
      </c>
      <c r="F39" t="s">
        <v>497</v>
      </c>
      <c r="G39" s="28">
        <v>408396</v>
      </c>
      <c r="H39">
        <v>0</v>
      </c>
      <c r="I39" s="29">
        <f t="shared" si="0"/>
        <v>408396</v>
      </c>
      <c r="J39" t="str">
        <f>IFERROR(VLOOKUP(E39,'LEAID Match'!$A$2:$B$168,2,FALSE),"")</f>
        <v/>
      </c>
    </row>
    <row r="40" spans="1:10">
      <c r="A40">
        <v>2017</v>
      </c>
      <c r="B40" t="s">
        <v>1429</v>
      </c>
      <c r="C40" t="s">
        <v>1431</v>
      </c>
      <c r="D40" t="s">
        <v>1433</v>
      </c>
      <c r="E40" t="s">
        <v>497</v>
      </c>
      <c r="F40" t="s">
        <v>497</v>
      </c>
      <c r="G40" s="28">
        <v>385599</v>
      </c>
      <c r="H40">
        <v>0</v>
      </c>
      <c r="I40" s="29">
        <f t="shared" si="0"/>
        <v>385599</v>
      </c>
      <c r="J40" t="str">
        <f>IFERROR(VLOOKUP(E40,'LEAID Match'!$A$2:$B$168,2,FALSE),"")</f>
        <v/>
      </c>
    </row>
    <row r="41" spans="1:10">
      <c r="A41" s="27">
        <v>2018</v>
      </c>
      <c r="B41" t="s">
        <v>1429</v>
      </c>
      <c r="C41" t="s">
        <v>1431</v>
      </c>
      <c r="D41" t="s">
        <v>1433</v>
      </c>
      <c r="E41" t="s">
        <v>497</v>
      </c>
      <c r="F41" s="9" t="s">
        <v>497</v>
      </c>
      <c r="G41" s="18">
        <v>423616</v>
      </c>
      <c r="H41">
        <v>0</v>
      </c>
      <c r="I41" s="29">
        <f t="shared" si="0"/>
        <v>423616</v>
      </c>
      <c r="J41" t="str">
        <f>IFERROR(VLOOKUP(E41,'LEAID Match'!$A$2:$B$168,2,FALSE),"")</f>
        <v/>
      </c>
    </row>
    <row r="42" spans="1:10">
      <c r="A42">
        <v>2019</v>
      </c>
      <c r="B42" t="s">
        <v>1429</v>
      </c>
      <c r="C42" t="s">
        <v>1431</v>
      </c>
      <c r="D42" t="s">
        <v>1433</v>
      </c>
      <c r="E42" t="s">
        <v>497</v>
      </c>
      <c r="F42" s="9" t="s">
        <v>497</v>
      </c>
      <c r="G42" s="18">
        <v>464330</v>
      </c>
      <c r="H42">
        <v>0</v>
      </c>
      <c r="I42" s="29">
        <f t="shared" si="0"/>
        <v>464330</v>
      </c>
      <c r="J42" t="str">
        <f>IFERROR(VLOOKUP(E42,'LEAID Match'!$A$2:$B$168,2,FALSE),"")</f>
        <v/>
      </c>
    </row>
    <row r="43" spans="1:10">
      <c r="A43">
        <v>2015</v>
      </c>
      <c r="B43" t="s">
        <v>1429</v>
      </c>
      <c r="C43" t="s">
        <v>1431</v>
      </c>
      <c r="D43" t="s">
        <v>1433</v>
      </c>
      <c r="E43" t="s">
        <v>1</v>
      </c>
      <c r="F43" s="9" t="s">
        <v>951</v>
      </c>
      <c r="G43" s="18">
        <v>500661.01</v>
      </c>
      <c r="H43">
        <v>0</v>
      </c>
      <c r="I43" s="29">
        <f t="shared" si="0"/>
        <v>500661.01</v>
      </c>
      <c r="J43">
        <f>IFERROR(VLOOKUP(E43,'LEAID Match'!$A$2:$B$168,2,FALSE),"")</f>
        <v>3301440</v>
      </c>
    </row>
    <row r="44" spans="1:10">
      <c r="A44">
        <v>2016</v>
      </c>
      <c r="B44" t="s">
        <v>1429</v>
      </c>
      <c r="C44" t="s">
        <v>1431</v>
      </c>
      <c r="D44" t="s">
        <v>1433</v>
      </c>
      <c r="E44" t="s">
        <v>1</v>
      </c>
      <c r="F44" t="s">
        <v>498</v>
      </c>
      <c r="G44" s="28">
        <v>536840</v>
      </c>
      <c r="H44">
        <v>0</v>
      </c>
      <c r="I44" s="29">
        <f t="shared" si="0"/>
        <v>536840</v>
      </c>
      <c r="J44">
        <f>IFERROR(VLOOKUP(E44,'LEAID Match'!$A$2:$B$168,2,FALSE),"")</f>
        <v>3301440</v>
      </c>
    </row>
    <row r="45" spans="1:10">
      <c r="A45">
        <v>2017</v>
      </c>
      <c r="B45" t="s">
        <v>1429</v>
      </c>
      <c r="C45" t="s">
        <v>1431</v>
      </c>
      <c r="D45" t="s">
        <v>1433</v>
      </c>
      <c r="E45" t="s">
        <v>1</v>
      </c>
      <c r="F45" t="s">
        <v>498</v>
      </c>
      <c r="G45" s="28">
        <v>550245</v>
      </c>
      <c r="H45">
        <v>0</v>
      </c>
      <c r="I45" s="29">
        <f t="shared" si="0"/>
        <v>550245</v>
      </c>
      <c r="J45">
        <f>IFERROR(VLOOKUP(E45,'LEAID Match'!$A$2:$B$168,2,FALSE),"")</f>
        <v>3301440</v>
      </c>
    </row>
    <row r="46" spans="1:10">
      <c r="A46" s="27">
        <v>2018</v>
      </c>
      <c r="B46" t="s">
        <v>1429</v>
      </c>
      <c r="C46" t="s">
        <v>1431</v>
      </c>
      <c r="D46" t="s">
        <v>1433</v>
      </c>
      <c r="E46" t="s">
        <v>1</v>
      </c>
      <c r="F46" s="9" t="s">
        <v>498</v>
      </c>
      <c r="G46" s="18">
        <v>613113</v>
      </c>
      <c r="H46">
        <v>0</v>
      </c>
      <c r="I46" s="29">
        <f t="shared" si="0"/>
        <v>613113</v>
      </c>
      <c r="J46">
        <f>IFERROR(VLOOKUP(E46,'LEAID Match'!$A$2:$B$168,2,FALSE),"")</f>
        <v>3301440</v>
      </c>
    </row>
    <row r="47" spans="1:10">
      <c r="A47">
        <v>2019</v>
      </c>
      <c r="B47" t="s">
        <v>1429</v>
      </c>
      <c r="C47" t="s">
        <v>1431</v>
      </c>
      <c r="D47" t="s">
        <v>1433</v>
      </c>
      <c r="E47" t="s">
        <v>1</v>
      </c>
      <c r="F47" s="9" t="s">
        <v>498</v>
      </c>
      <c r="G47" s="18">
        <v>630478</v>
      </c>
      <c r="H47">
        <v>0</v>
      </c>
      <c r="I47" s="29">
        <f t="shared" si="0"/>
        <v>630478</v>
      </c>
      <c r="J47">
        <f>IFERROR(VLOOKUP(E47,'LEAID Match'!$A$2:$B$168,2,FALSE),"")</f>
        <v>3301440</v>
      </c>
    </row>
    <row r="48" spans="1:10">
      <c r="A48" s="27">
        <v>2020</v>
      </c>
      <c r="B48" t="s">
        <v>1429</v>
      </c>
      <c r="C48" t="s">
        <v>1431</v>
      </c>
      <c r="D48" t="s">
        <v>1433</v>
      </c>
      <c r="E48" t="s">
        <v>1</v>
      </c>
      <c r="F48" s="9" t="s">
        <v>1</v>
      </c>
      <c r="G48" s="18">
        <v>633688</v>
      </c>
      <c r="H48">
        <v>0</v>
      </c>
      <c r="I48" s="29">
        <f t="shared" si="0"/>
        <v>633688</v>
      </c>
      <c r="J48">
        <f>IFERROR(VLOOKUP(E48,'LEAID Match'!$A$2:$B$168,2,FALSE),"")</f>
        <v>3301440</v>
      </c>
    </row>
    <row r="49" spans="1:10">
      <c r="A49">
        <v>2021</v>
      </c>
      <c r="B49" t="s">
        <v>1429</v>
      </c>
      <c r="C49" t="s">
        <v>1431</v>
      </c>
      <c r="D49" t="s">
        <v>1433</v>
      </c>
      <c r="E49" t="s">
        <v>1</v>
      </c>
      <c r="F49" s="9" t="s">
        <v>1</v>
      </c>
      <c r="G49" s="18">
        <v>686106</v>
      </c>
      <c r="H49">
        <v>0</v>
      </c>
      <c r="I49" s="29">
        <f t="shared" si="0"/>
        <v>686106</v>
      </c>
      <c r="J49">
        <f>IFERROR(VLOOKUP(E49,'LEAID Match'!$A$2:$B$168,2,FALSE),"")</f>
        <v>3301440</v>
      </c>
    </row>
    <row r="50" spans="1:10">
      <c r="A50">
        <v>2022</v>
      </c>
      <c r="B50" t="s">
        <v>1429</v>
      </c>
      <c r="C50" t="s">
        <v>1431</v>
      </c>
      <c r="D50" t="s">
        <v>1433</v>
      </c>
      <c r="E50" t="s">
        <v>1</v>
      </c>
      <c r="F50" s="9" t="s">
        <v>1</v>
      </c>
      <c r="G50" s="18">
        <v>834939</v>
      </c>
      <c r="H50">
        <v>0</v>
      </c>
      <c r="I50" s="29">
        <f t="shared" si="0"/>
        <v>834939</v>
      </c>
      <c r="J50">
        <f>IFERROR(VLOOKUP(E50,'LEAID Match'!$A$2:$B$168,2,FALSE),"")</f>
        <v>3301440</v>
      </c>
    </row>
    <row r="51" spans="1:10">
      <c r="A51">
        <v>2023</v>
      </c>
      <c r="B51" t="s">
        <v>1429</v>
      </c>
      <c r="C51" t="s">
        <v>1431</v>
      </c>
      <c r="D51" t="s">
        <v>1433</v>
      </c>
      <c r="E51" t="s">
        <v>1</v>
      </c>
      <c r="F51" t="s">
        <v>1</v>
      </c>
      <c r="G51" s="28">
        <v>810441</v>
      </c>
      <c r="H51">
        <v>0</v>
      </c>
      <c r="I51" s="29">
        <f t="shared" si="0"/>
        <v>810441</v>
      </c>
      <c r="J51">
        <f>IFERROR(VLOOKUP(E51,'LEAID Match'!$A$2:$B$168,2,FALSE),"")</f>
        <v>3301440</v>
      </c>
    </row>
    <row r="52" spans="1:10">
      <c r="A52">
        <v>2015</v>
      </c>
      <c r="B52" t="s">
        <v>1429</v>
      </c>
      <c r="C52" t="s">
        <v>1431</v>
      </c>
      <c r="D52" t="s">
        <v>1433</v>
      </c>
      <c r="E52" t="s">
        <v>499</v>
      </c>
      <c r="F52" s="9" t="s">
        <v>952</v>
      </c>
      <c r="G52" s="18">
        <v>272728.94</v>
      </c>
      <c r="H52">
        <v>0</v>
      </c>
      <c r="I52" s="29">
        <f t="shared" si="0"/>
        <v>272728.94</v>
      </c>
      <c r="J52" t="str">
        <f>IFERROR(VLOOKUP(E52,'LEAID Match'!$A$2:$B$168,2,FALSE),"")</f>
        <v/>
      </c>
    </row>
    <row r="53" spans="1:10">
      <c r="A53">
        <v>2016</v>
      </c>
      <c r="B53" t="s">
        <v>1429</v>
      </c>
      <c r="C53" t="s">
        <v>1431</v>
      </c>
      <c r="D53" t="s">
        <v>1433</v>
      </c>
      <c r="E53" t="s">
        <v>499</v>
      </c>
      <c r="F53" t="s">
        <v>499</v>
      </c>
      <c r="G53" s="28">
        <v>318016</v>
      </c>
      <c r="H53">
        <v>0</v>
      </c>
      <c r="I53" s="29">
        <f t="shared" si="0"/>
        <v>318016</v>
      </c>
      <c r="J53" t="str">
        <f>IFERROR(VLOOKUP(E53,'LEAID Match'!$A$2:$B$168,2,FALSE),"")</f>
        <v/>
      </c>
    </row>
    <row r="54" spans="1:10">
      <c r="A54">
        <v>2017</v>
      </c>
      <c r="B54" t="s">
        <v>1429</v>
      </c>
      <c r="C54" t="s">
        <v>1431</v>
      </c>
      <c r="D54" t="s">
        <v>1433</v>
      </c>
      <c r="E54" t="s">
        <v>499</v>
      </c>
      <c r="F54" t="s">
        <v>499</v>
      </c>
      <c r="G54" s="28">
        <v>336060</v>
      </c>
      <c r="H54">
        <v>0</v>
      </c>
      <c r="I54" s="29">
        <f t="shared" si="0"/>
        <v>336060</v>
      </c>
      <c r="J54" t="str">
        <f>IFERROR(VLOOKUP(E54,'LEAID Match'!$A$2:$B$168,2,FALSE),"")</f>
        <v/>
      </c>
    </row>
    <row r="55" spans="1:10">
      <c r="A55" s="27">
        <v>2018</v>
      </c>
      <c r="B55" t="s">
        <v>1429</v>
      </c>
      <c r="C55" t="s">
        <v>1431</v>
      </c>
      <c r="D55" t="s">
        <v>1433</v>
      </c>
      <c r="E55" t="s">
        <v>499</v>
      </c>
      <c r="F55" s="9" t="s">
        <v>499</v>
      </c>
      <c r="G55" s="18">
        <v>388044</v>
      </c>
      <c r="H55">
        <v>0</v>
      </c>
      <c r="I55" s="29">
        <f t="shared" si="0"/>
        <v>388044</v>
      </c>
      <c r="J55" t="str">
        <f>IFERROR(VLOOKUP(E55,'LEAID Match'!$A$2:$B$168,2,FALSE),"")</f>
        <v/>
      </c>
    </row>
    <row r="56" spans="1:10">
      <c r="A56">
        <v>2019</v>
      </c>
      <c r="B56" t="s">
        <v>1429</v>
      </c>
      <c r="C56" t="s">
        <v>1431</v>
      </c>
      <c r="D56" t="s">
        <v>1433</v>
      </c>
      <c r="E56" t="s">
        <v>499</v>
      </c>
      <c r="F56" s="9" t="s">
        <v>499</v>
      </c>
      <c r="G56" s="18">
        <v>415805</v>
      </c>
      <c r="H56">
        <v>0</v>
      </c>
      <c r="I56" s="29">
        <f t="shared" si="0"/>
        <v>415805</v>
      </c>
      <c r="J56" t="str">
        <f>IFERROR(VLOOKUP(E56,'LEAID Match'!$A$2:$B$168,2,FALSE),"")</f>
        <v/>
      </c>
    </row>
    <row r="57" spans="1:10">
      <c r="A57">
        <v>2015</v>
      </c>
      <c r="B57" t="s">
        <v>1429</v>
      </c>
      <c r="C57" t="s">
        <v>1431</v>
      </c>
      <c r="D57" t="s">
        <v>1433</v>
      </c>
      <c r="E57" t="s">
        <v>2</v>
      </c>
      <c r="F57" s="9" t="s">
        <v>953</v>
      </c>
      <c r="G57" s="18">
        <v>1375117.56</v>
      </c>
      <c r="H57">
        <v>0</v>
      </c>
      <c r="I57" s="29">
        <f t="shared" si="0"/>
        <v>1375117.56</v>
      </c>
      <c r="J57">
        <f>IFERROR(VLOOKUP(E57,'LEAID Match'!$A$2:$B$168,2,FALSE),"")</f>
        <v>3399939</v>
      </c>
    </row>
    <row r="58" spans="1:10">
      <c r="A58">
        <v>2016</v>
      </c>
      <c r="B58" t="s">
        <v>1429</v>
      </c>
      <c r="C58" t="s">
        <v>1431</v>
      </c>
      <c r="D58" t="s">
        <v>1433</v>
      </c>
      <c r="E58" t="s">
        <v>2</v>
      </c>
      <c r="F58" t="s">
        <v>500</v>
      </c>
      <c r="G58" s="28">
        <v>1467727</v>
      </c>
      <c r="H58">
        <v>0</v>
      </c>
      <c r="I58" s="29">
        <f t="shared" si="0"/>
        <v>1467727</v>
      </c>
      <c r="J58">
        <f>IFERROR(VLOOKUP(E58,'LEAID Match'!$A$2:$B$168,2,FALSE),"")</f>
        <v>3399939</v>
      </c>
    </row>
    <row r="59" spans="1:10">
      <c r="A59">
        <v>2017</v>
      </c>
      <c r="B59" t="s">
        <v>1429</v>
      </c>
      <c r="C59" t="s">
        <v>1431</v>
      </c>
      <c r="D59" t="s">
        <v>1433</v>
      </c>
      <c r="E59" t="s">
        <v>2</v>
      </c>
      <c r="F59" t="s">
        <v>500</v>
      </c>
      <c r="G59" s="28">
        <v>1464946</v>
      </c>
      <c r="H59">
        <v>0</v>
      </c>
      <c r="I59" s="29">
        <f t="shared" si="0"/>
        <v>1464946</v>
      </c>
      <c r="J59">
        <f>IFERROR(VLOOKUP(E59,'LEAID Match'!$A$2:$B$168,2,FALSE),"")</f>
        <v>3399939</v>
      </c>
    </row>
    <row r="60" spans="1:10">
      <c r="A60" s="27">
        <v>2018</v>
      </c>
      <c r="B60" t="s">
        <v>1429</v>
      </c>
      <c r="C60" t="s">
        <v>1431</v>
      </c>
      <c r="D60" t="s">
        <v>1433</v>
      </c>
      <c r="E60" t="s">
        <v>2</v>
      </c>
      <c r="F60" s="9" t="s">
        <v>500</v>
      </c>
      <c r="G60" s="18">
        <v>1806788</v>
      </c>
      <c r="H60">
        <v>0</v>
      </c>
      <c r="I60" s="29">
        <f t="shared" si="0"/>
        <v>1806788</v>
      </c>
      <c r="J60">
        <f>IFERROR(VLOOKUP(E60,'LEAID Match'!$A$2:$B$168,2,FALSE),"")</f>
        <v>3399939</v>
      </c>
    </row>
    <row r="61" spans="1:10">
      <c r="A61">
        <v>2019</v>
      </c>
      <c r="B61" t="s">
        <v>1429</v>
      </c>
      <c r="C61" t="s">
        <v>1431</v>
      </c>
      <c r="D61" t="s">
        <v>1433</v>
      </c>
      <c r="E61" t="s">
        <v>2</v>
      </c>
      <c r="F61" s="9" t="s">
        <v>500</v>
      </c>
      <c r="G61" s="18">
        <v>1916022</v>
      </c>
      <c r="H61">
        <v>0</v>
      </c>
      <c r="I61" s="29">
        <f t="shared" si="0"/>
        <v>1916022</v>
      </c>
      <c r="J61">
        <f>IFERROR(VLOOKUP(E61,'LEAID Match'!$A$2:$B$168,2,FALSE),"")</f>
        <v>3399939</v>
      </c>
    </row>
    <row r="62" spans="1:10">
      <c r="A62" s="27">
        <v>2020</v>
      </c>
      <c r="B62" t="s">
        <v>1429</v>
      </c>
      <c r="C62" t="s">
        <v>1431</v>
      </c>
      <c r="D62" t="s">
        <v>1433</v>
      </c>
      <c r="E62" t="s">
        <v>2</v>
      </c>
      <c r="F62" s="9" t="s">
        <v>2</v>
      </c>
      <c r="G62" s="18">
        <v>1985874</v>
      </c>
      <c r="H62">
        <v>0</v>
      </c>
      <c r="I62" s="29">
        <f t="shared" si="0"/>
        <v>1985874</v>
      </c>
      <c r="J62">
        <f>IFERROR(VLOOKUP(E62,'LEAID Match'!$A$2:$B$168,2,FALSE),"")</f>
        <v>3399939</v>
      </c>
    </row>
    <row r="63" spans="1:10">
      <c r="A63">
        <v>2021</v>
      </c>
      <c r="B63" t="s">
        <v>1429</v>
      </c>
      <c r="C63" t="s">
        <v>1431</v>
      </c>
      <c r="D63" t="s">
        <v>1433</v>
      </c>
      <c r="E63" t="s">
        <v>2</v>
      </c>
      <c r="F63" s="9" t="s">
        <v>2</v>
      </c>
      <c r="G63" s="18">
        <v>2105222</v>
      </c>
      <c r="H63">
        <v>0</v>
      </c>
      <c r="I63" s="29">
        <f t="shared" si="0"/>
        <v>2105222</v>
      </c>
      <c r="J63">
        <f>IFERROR(VLOOKUP(E63,'LEAID Match'!$A$2:$B$168,2,FALSE),"")</f>
        <v>3399939</v>
      </c>
    </row>
    <row r="64" spans="1:10">
      <c r="A64">
        <v>2022</v>
      </c>
      <c r="B64" t="s">
        <v>1429</v>
      </c>
      <c r="C64" t="s">
        <v>1431</v>
      </c>
      <c r="D64" t="s">
        <v>1433</v>
      </c>
      <c r="E64" t="s">
        <v>2</v>
      </c>
      <c r="F64" s="9" t="s">
        <v>2</v>
      </c>
      <c r="G64" s="18">
        <v>2738262</v>
      </c>
      <c r="H64">
        <v>0</v>
      </c>
      <c r="I64" s="29">
        <f t="shared" si="0"/>
        <v>2738262</v>
      </c>
      <c r="J64">
        <f>IFERROR(VLOOKUP(E64,'LEAID Match'!$A$2:$B$168,2,FALSE),"")</f>
        <v>3399939</v>
      </c>
    </row>
    <row r="65" spans="1:10">
      <c r="A65">
        <v>2023</v>
      </c>
      <c r="B65" t="s">
        <v>1429</v>
      </c>
      <c r="C65" t="s">
        <v>1431</v>
      </c>
      <c r="D65" t="s">
        <v>1433</v>
      </c>
      <c r="E65" t="s">
        <v>2</v>
      </c>
      <c r="F65" t="s">
        <v>2</v>
      </c>
      <c r="G65" s="28">
        <v>2691798</v>
      </c>
      <c r="H65">
        <v>0</v>
      </c>
      <c r="I65" s="29">
        <f t="shared" si="0"/>
        <v>2691798</v>
      </c>
      <c r="J65">
        <f>IFERROR(VLOOKUP(E65,'LEAID Match'!$A$2:$B$168,2,FALSE),"")</f>
        <v>3399939</v>
      </c>
    </row>
    <row r="66" spans="1:10">
      <c r="A66">
        <v>2015</v>
      </c>
      <c r="B66" t="s">
        <v>1429</v>
      </c>
      <c r="C66" t="s">
        <v>1431</v>
      </c>
      <c r="D66" t="s">
        <v>1433</v>
      </c>
      <c r="E66" t="s">
        <v>501</v>
      </c>
      <c r="F66" s="9" t="s">
        <v>954</v>
      </c>
      <c r="G66" s="18">
        <v>11930.06</v>
      </c>
      <c r="H66">
        <v>0</v>
      </c>
      <c r="I66" s="29">
        <f t="shared" si="0"/>
        <v>11930.06</v>
      </c>
      <c r="J66" t="str">
        <f>IFERROR(VLOOKUP(E66,'LEAID Match'!$A$2:$B$168,2,FALSE),"")</f>
        <v/>
      </c>
    </row>
    <row r="67" spans="1:10">
      <c r="A67">
        <v>2016</v>
      </c>
      <c r="B67" t="s">
        <v>1429</v>
      </c>
      <c r="C67" t="s">
        <v>1431</v>
      </c>
      <c r="D67" t="s">
        <v>1433</v>
      </c>
      <c r="E67" t="s">
        <v>501</v>
      </c>
      <c r="F67" t="s">
        <v>501</v>
      </c>
      <c r="G67" s="28">
        <v>12592</v>
      </c>
      <c r="H67">
        <v>0</v>
      </c>
      <c r="I67" s="29">
        <f t="shared" ref="I67:I130" si="1">SUM(G67:H67)</f>
        <v>12592</v>
      </c>
      <c r="J67" t="str">
        <f>IFERROR(VLOOKUP(E67,'LEAID Match'!$A$2:$B$168,2,FALSE),"")</f>
        <v/>
      </c>
    </row>
    <row r="68" spans="1:10">
      <c r="A68">
        <v>2017</v>
      </c>
      <c r="B68" t="s">
        <v>1429</v>
      </c>
      <c r="C68" t="s">
        <v>1431</v>
      </c>
      <c r="D68" t="s">
        <v>1433</v>
      </c>
      <c r="E68" t="s">
        <v>501</v>
      </c>
      <c r="F68" t="s">
        <v>501</v>
      </c>
      <c r="G68" s="28">
        <v>13500</v>
      </c>
      <c r="H68">
        <v>0</v>
      </c>
      <c r="I68" s="29">
        <f t="shared" si="1"/>
        <v>13500</v>
      </c>
      <c r="J68" t="str">
        <f>IFERROR(VLOOKUP(E68,'LEAID Match'!$A$2:$B$168,2,FALSE),"")</f>
        <v/>
      </c>
    </row>
    <row r="69" spans="1:10">
      <c r="A69" s="27">
        <v>2018</v>
      </c>
      <c r="B69" t="s">
        <v>1429</v>
      </c>
      <c r="C69" t="s">
        <v>1431</v>
      </c>
      <c r="D69" t="s">
        <v>1433</v>
      </c>
      <c r="E69" t="s">
        <v>501</v>
      </c>
      <c r="F69" s="9" t="s">
        <v>501</v>
      </c>
      <c r="G69" s="18">
        <v>16452</v>
      </c>
      <c r="H69">
        <v>0</v>
      </c>
      <c r="I69" s="29">
        <f t="shared" si="1"/>
        <v>16452</v>
      </c>
      <c r="J69" t="str">
        <f>IFERROR(VLOOKUP(E69,'LEAID Match'!$A$2:$B$168,2,FALSE),"")</f>
        <v/>
      </c>
    </row>
    <row r="70" spans="1:10">
      <c r="A70">
        <v>2019</v>
      </c>
      <c r="B70" t="s">
        <v>1429</v>
      </c>
      <c r="C70" t="s">
        <v>1431</v>
      </c>
      <c r="D70" t="s">
        <v>1433</v>
      </c>
      <c r="E70" t="s">
        <v>501</v>
      </c>
      <c r="F70" s="9" t="s">
        <v>501</v>
      </c>
      <c r="G70" s="18">
        <v>17549</v>
      </c>
      <c r="H70">
        <v>0</v>
      </c>
      <c r="I70" s="29">
        <f t="shared" si="1"/>
        <v>17549</v>
      </c>
      <c r="J70" t="str">
        <f>IFERROR(VLOOKUP(E70,'LEAID Match'!$A$2:$B$168,2,FALSE),"")</f>
        <v/>
      </c>
    </row>
    <row r="71" spans="1:10">
      <c r="A71">
        <v>2015</v>
      </c>
      <c r="B71" t="s">
        <v>1429</v>
      </c>
      <c r="C71" t="s">
        <v>1431</v>
      </c>
      <c r="D71" t="s">
        <v>1433</v>
      </c>
      <c r="E71" t="s">
        <v>3</v>
      </c>
      <c r="F71" s="9" t="s">
        <v>955</v>
      </c>
      <c r="G71" s="18">
        <v>165748.54</v>
      </c>
      <c r="H71">
        <v>0</v>
      </c>
      <c r="I71" s="29">
        <f t="shared" si="1"/>
        <v>165748.54</v>
      </c>
      <c r="J71">
        <f>IFERROR(VLOOKUP(E71,'LEAID Match'!$A$2:$B$168,2,FALSE),"")</f>
        <v>3301500</v>
      </c>
    </row>
    <row r="72" spans="1:10">
      <c r="A72">
        <v>2016</v>
      </c>
      <c r="B72" t="s">
        <v>1429</v>
      </c>
      <c r="C72" t="s">
        <v>1431</v>
      </c>
      <c r="D72" t="s">
        <v>1433</v>
      </c>
      <c r="E72" t="s">
        <v>3</v>
      </c>
      <c r="F72" t="s">
        <v>502</v>
      </c>
      <c r="G72" s="28">
        <v>187415</v>
      </c>
      <c r="H72">
        <v>0</v>
      </c>
      <c r="I72" s="29">
        <f t="shared" si="1"/>
        <v>187415</v>
      </c>
      <c r="J72">
        <f>IFERROR(VLOOKUP(E72,'LEAID Match'!$A$2:$B$168,2,FALSE),"")</f>
        <v>3301500</v>
      </c>
    </row>
    <row r="73" spans="1:10">
      <c r="A73">
        <v>2017</v>
      </c>
      <c r="B73" t="s">
        <v>1429</v>
      </c>
      <c r="C73" t="s">
        <v>1431</v>
      </c>
      <c r="D73" t="s">
        <v>1433</v>
      </c>
      <c r="E73" t="s">
        <v>3</v>
      </c>
      <c r="F73" t="s">
        <v>502</v>
      </c>
      <c r="G73" s="28">
        <v>187775</v>
      </c>
      <c r="H73">
        <v>0</v>
      </c>
      <c r="I73" s="29">
        <f t="shared" si="1"/>
        <v>187775</v>
      </c>
      <c r="J73">
        <f>IFERROR(VLOOKUP(E73,'LEAID Match'!$A$2:$B$168,2,FALSE),"")</f>
        <v>3301500</v>
      </c>
    </row>
    <row r="74" spans="1:10">
      <c r="A74" s="27">
        <v>2018</v>
      </c>
      <c r="B74" t="s">
        <v>1429</v>
      </c>
      <c r="C74" t="s">
        <v>1431</v>
      </c>
      <c r="D74" t="s">
        <v>1433</v>
      </c>
      <c r="E74" t="s">
        <v>3</v>
      </c>
      <c r="F74" s="9" t="s">
        <v>502</v>
      </c>
      <c r="G74" s="18">
        <v>245256</v>
      </c>
      <c r="H74">
        <v>0</v>
      </c>
      <c r="I74" s="29">
        <f t="shared" si="1"/>
        <v>245256</v>
      </c>
      <c r="J74">
        <f>IFERROR(VLOOKUP(E74,'LEAID Match'!$A$2:$B$168,2,FALSE),"")</f>
        <v>3301500</v>
      </c>
    </row>
    <row r="75" spans="1:10">
      <c r="A75">
        <v>2019</v>
      </c>
      <c r="B75" t="s">
        <v>1429</v>
      </c>
      <c r="C75" t="s">
        <v>1431</v>
      </c>
      <c r="D75" t="s">
        <v>1433</v>
      </c>
      <c r="E75" t="s">
        <v>3</v>
      </c>
      <c r="F75" s="9" t="s">
        <v>502</v>
      </c>
      <c r="G75" s="18">
        <v>260917</v>
      </c>
      <c r="H75">
        <v>0</v>
      </c>
      <c r="I75" s="29">
        <f t="shared" si="1"/>
        <v>260917</v>
      </c>
      <c r="J75">
        <f>IFERROR(VLOOKUP(E75,'LEAID Match'!$A$2:$B$168,2,FALSE),"")</f>
        <v>3301500</v>
      </c>
    </row>
    <row r="76" spans="1:10">
      <c r="A76" s="27">
        <v>2020</v>
      </c>
      <c r="B76" t="s">
        <v>1429</v>
      </c>
      <c r="C76" t="s">
        <v>1431</v>
      </c>
      <c r="D76" t="s">
        <v>1433</v>
      </c>
      <c r="E76" t="s">
        <v>3</v>
      </c>
      <c r="F76" s="9" t="s">
        <v>3</v>
      </c>
      <c r="G76" s="18">
        <v>280520</v>
      </c>
      <c r="H76">
        <v>0</v>
      </c>
      <c r="I76" s="29">
        <f t="shared" si="1"/>
        <v>280520</v>
      </c>
      <c r="J76">
        <f>IFERROR(VLOOKUP(E76,'LEAID Match'!$A$2:$B$168,2,FALSE),"")</f>
        <v>3301500</v>
      </c>
    </row>
    <row r="77" spans="1:10">
      <c r="A77">
        <v>2021</v>
      </c>
      <c r="B77" t="s">
        <v>1429</v>
      </c>
      <c r="C77" t="s">
        <v>1431</v>
      </c>
      <c r="D77" t="s">
        <v>1433</v>
      </c>
      <c r="E77" t="s">
        <v>3</v>
      </c>
      <c r="F77" s="9" t="s">
        <v>3</v>
      </c>
      <c r="G77" s="18">
        <v>281559</v>
      </c>
      <c r="H77">
        <v>0</v>
      </c>
      <c r="I77" s="29">
        <f t="shared" si="1"/>
        <v>281559</v>
      </c>
      <c r="J77">
        <f>IFERROR(VLOOKUP(E77,'LEAID Match'!$A$2:$B$168,2,FALSE),"")</f>
        <v>3301500</v>
      </c>
    </row>
    <row r="78" spans="1:10">
      <c r="A78">
        <v>2022</v>
      </c>
      <c r="B78" t="s">
        <v>1429</v>
      </c>
      <c r="C78" t="s">
        <v>1431</v>
      </c>
      <c r="D78" t="s">
        <v>1433</v>
      </c>
      <c r="E78" t="s">
        <v>3</v>
      </c>
      <c r="F78" s="9" t="s">
        <v>3</v>
      </c>
      <c r="G78" s="18">
        <v>338223</v>
      </c>
      <c r="H78">
        <v>0</v>
      </c>
      <c r="I78" s="29">
        <f t="shared" si="1"/>
        <v>338223</v>
      </c>
      <c r="J78">
        <f>IFERROR(VLOOKUP(E78,'LEAID Match'!$A$2:$B$168,2,FALSE),"")</f>
        <v>3301500</v>
      </c>
    </row>
    <row r="79" spans="1:10">
      <c r="A79">
        <v>2023</v>
      </c>
      <c r="B79" t="s">
        <v>1429</v>
      </c>
      <c r="C79" t="s">
        <v>1431</v>
      </c>
      <c r="D79" t="s">
        <v>1433</v>
      </c>
      <c r="E79" t="s">
        <v>3</v>
      </c>
      <c r="F79" t="s">
        <v>3</v>
      </c>
      <c r="G79" s="28">
        <v>340073</v>
      </c>
      <c r="H79">
        <v>0</v>
      </c>
      <c r="I79" s="29">
        <f t="shared" si="1"/>
        <v>340073</v>
      </c>
      <c r="J79">
        <f>IFERROR(VLOOKUP(E79,'LEAID Match'!$A$2:$B$168,2,FALSE),"")</f>
        <v>3301500</v>
      </c>
    </row>
    <row r="80" spans="1:10">
      <c r="A80">
        <v>2015</v>
      </c>
      <c r="B80" t="s">
        <v>1429</v>
      </c>
      <c r="C80" t="s">
        <v>1431</v>
      </c>
      <c r="D80" t="s">
        <v>1433</v>
      </c>
      <c r="E80" t="s">
        <v>4</v>
      </c>
      <c r="F80" s="9" t="s">
        <v>956</v>
      </c>
      <c r="G80" s="18">
        <v>63422.82</v>
      </c>
      <c r="H80">
        <v>0</v>
      </c>
      <c r="I80" s="29">
        <f t="shared" si="1"/>
        <v>63422.82</v>
      </c>
      <c r="J80" t="str">
        <f>IFERROR(VLOOKUP(E80,'LEAID Match'!$A$2:$B$168,2,FALSE),"")</f>
        <v/>
      </c>
    </row>
    <row r="81" spans="1:10">
      <c r="A81">
        <v>2016</v>
      </c>
      <c r="B81" t="s">
        <v>1429</v>
      </c>
      <c r="C81" t="s">
        <v>1431</v>
      </c>
      <c r="D81" t="s">
        <v>1433</v>
      </c>
      <c r="E81" t="s">
        <v>4</v>
      </c>
      <c r="F81" t="s">
        <v>4</v>
      </c>
      <c r="G81" s="28">
        <v>62257</v>
      </c>
      <c r="H81">
        <v>0</v>
      </c>
      <c r="I81" s="29">
        <f t="shared" si="1"/>
        <v>62257</v>
      </c>
      <c r="J81" t="str">
        <f>IFERROR(VLOOKUP(E81,'LEAID Match'!$A$2:$B$168,2,FALSE),"")</f>
        <v/>
      </c>
    </row>
    <row r="82" spans="1:10">
      <c r="A82">
        <v>2017</v>
      </c>
      <c r="B82" t="s">
        <v>1429</v>
      </c>
      <c r="C82" t="s">
        <v>1431</v>
      </c>
      <c r="D82" t="s">
        <v>1433</v>
      </c>
      <c r="E82" t="s">
        <v>4</v>
      </c>
      <c r="F82" t="s">
        <v>4</v>
      </c>
      <c r="G82" s="28">
        <v>62141</v>
      </c>
      <c r="H82">
        <v>0</v>
      </c>
      <c r="I82" s="29">
        <f t="shared" si="1"/>
        <v>62141</v>
      </c>
      <c r="J82" t="str">
        <f>IFERROR(VLOOKUP(E82,'LEAID Match'!$A$2:$B$168,2,FALSE),"")</f>
        <v/>
      </c>
    </row>
    <row r="83" spans="1:10">
      <c r="A83" s="27">
        <v>2018</v>
      </c>
      <c r="B83" t="s">
        <v>1429</v>
      </c>
      <c r="C83" t="s">
        <v>1431</v>
      </c>
      <c r="D83" t="s">
        <v>1433</v>
      </c>
      <c r="E83" t="s">
        <v>4</v>
      </c>
      <c r="F83" s="9" t="s">
        <v>4</v>
      </c>
      <c r="G83" s="18">
        <v>67119</v>
      </c>
      <c r="H83">
        <v>0</v>
      </c>
      <c r="I83" s="29">
        <f t="shared" si="1"/>
        <v>67119</v>
      </c>
      <c r="J83" t="str">
        <f>IFERROR(VLOOKUP(E83,'LEAID Match'!$A$2:$B$168,2,FALSE),"")</f>
        <v/>
      </c>
    </row>
    <row r="84" spans="1:10">
      <c r="A84">
        <v>2019</v>
      </c>
      <c r="B84" t="s">
        <v>1429</v>
      </c>
      <c r="C84" t="s">
        <v>1431</v>
      </c>
      <c r="D84" t="s">
        <v>1433</v>
      </c>
      <c r="E84" t="s">
        <v>4</v>
      </c>
      <c r="F84" s="9" t="s">
        <v>4</v>
      </c>
      <c r="G84" s="18">
        <v>69976</v>
      </c>
      <c r="H84">
        <v>0</v>
      </c>
      <c r="I84" s="29">
        <f t="shared" si="1"/>
        <v>69976</v>
      </c>
      <c r="J84" t="str">
        <f>IFERROR(VLOOKUP(E84,'LEAID Match'!$A$2:$B$168,2,FALSE),"")</f>
        <v/>
      </c>
    </row>
    <row r="85" spans="1:10">
      <c r="A85" s="27">
        <v>2020</v>
      </c>
      <c r="B85" t="s">
        <v>1429</v>
      </c>
      <c r="C85" t="s">
        <v>1431</v>
      </c>
      <c r="D85" t="s">
        <v>1433</v>
      </c>
      <c r="E85" t="s">
        <v>4</v>
      </c>
      <c r="F85" s="9" t="s">
        <v>4</v>
      </c>
      <c r="G85" s="18">
        <v>70000</v>
      </c>
      <c r="H85">
        <v>0</v>
      </c>
      <c r="I85" s="29">
        <f t="shared" si="1"/>
        <v>70000</v>
      </c>
      <c r="J85" t="str">
        <f>IFERROR(VLOOKUP(E85,'LEAID Match'!$A$2:$B$168,2,FALSE),"")</f>
        <v/>
      </c>
    </row>
    <row r="86" spans="1:10">
      <c r="A86">
        <v>2021</v>
      </c>
      <c r="B86" t="s">
        <v>1429</v>
      </c>
      <c r="C86" t="s">
        <v>1431</v>
      </c>
      <c r="D86" t="s">
        <v>1433</v>
      </c>
      <c r="E86" t="s">
        <v>4</v>
      </c>
      <c r="F86" s="9" t="s">
        <v>4</v>
      </c>
      <c r="G86" s="18">
        <v>77920</v>
      </c>
      <c r="H86">
        <v>0</v>
      </c>
      <c r="I86" s="29">
        <f t="shared" si="1"/>
        <v>77920</v>
      </c>
      <c r="J86" t="str">
        <f>IFERROR(VLOOKUP(E86,'LEAID Match'!$A$2:$B$168,2,FALSE),"")</f>
        <v/>
      </c>
    </row>
    <row r="87" spans="1:10">
      <c r="A87">
        <v>2022</v>
      </c>
      <c r="B87" t="s">
        <v>1429</v>
      </c>
      <c r="C87" t="s">
        <v>1431</v>
      </c>
      <c r="D87" t="s">
        <v>1433</v>
      </c>
      <c r="E87" t="s">
        <v>4</v>
      </c>
      <c r="F87" s="9" t="s">
        <v>4</v>
      </c>
      <c r="G87" s="18">
        <v>107946</v>
      </c>
      <c r="H87">
        <v>0</v>
      </c>
      <c r="I87" s="29">
        <f t="shared" si="1"/>
        <v>107946</v>
      </c>
      <c r="J87" t="str">
        <f>IFERROR(VLOOKUP(E87,'LEAID Match'!$A$2:$B$168,2,FALSE),"")</f>
        <v/>
      </c>
    </row>
    <row r="88" spans="1:10">
      <c r="A88">
        <v>2023</v>
      </c>
      <c r="B88" t="s">
        <v>1429</v>
      </c>
      <c r="C88" t="s">
        <v>1431</v>
      </c>
      <c r="D88" t="s">
        <v>1433</v>
      </c>
      <c r="E88" t="s">
        <v>4</v>
      </c>
      <c r="F88" t="s">
        <v>4</v>
      </c>
      <c r="G88" s="28">
        <v>118659</v>
      </c>
      <c r="H88">
        <v>0</v>
      </c>
      <c r="I88" s="29">
        <f t="shared" si="1"/>
        <v>118659</v>
      </c>
      <c r="J88" t="str">
        <f>IFERROR(VLOOKUP(E88,'LEAID Match'!$A$2:$B$168,2,FALSE),"")</f>
        <v/>
      </c>
    </row>
    <row r="89" spans="1:10">
      <c r="A89">
        <v>2015</v>
      </c>
      <c r="B89" t="s">
        <v>1429</v>
      </c>
      <c r="C89" t="s">
        <v>1431</v>
      </c>
      <c r="D89" t="s">
        <v>1433</v>
      </c>
      <c r="E89" t="s">
        <v>503</v>
      </c>
      <c r="F89" s="9" t="s">
        <v>957</v>
      </c>
      <c r="G89" s="18">
        <v>145861.93</v>
      </c>
      <c r="H89">
        <v>0</v>
      </c>
      <c r="I89" s="29">
        <f t="shared" si="1"/>
        <v>145861.93</v>
      </c>
      <c r="J89" t="str">
        <f>IFERROR(VLOOKUP(E89,'LEAID Match'!$A$2:$B$168,2,FALSE),"")</f>
        <v/>
      </c>
    </row>
    <row r="90" spans="1:10">
      <c r="A90">
        <v>2016</v>
      </c>
      <c r="B90" t="s">
        <v>1429</v>
      </c>
      <c r="C90" t="s">
        <v>1431</v>
      </c>
      <c r="D90" t="s">
        <v>1433</v>
      </c>
      <c r="E90" t="s">
        <v>503</v>
      </c>
      <c r="F90" t="s">
        <v>503</v>
      </c>
      <c r="G90" s="28">
        <v>149705</v>
      </c>
      <c r="H90">
        <v>0</v>
      </c>
      <c r="I90" s="29">
        <f t="shared" si="1"/>
        <v>149705</v>
      </c>
      <c r="J90" t="str">
        <f>IFERROR(VLOOKUP(E90,'LEAID Match'!$A$2:$B$168,2,FALSE),"")</f>
        <v/>
      </c>
    </row>
    <row r="91" spans="1:10">
      <c r="A91">
        <v>2017</v>
      </c>
      <c r="B91" t="s">
        <v>1429</v>
      </c>
      <c r="C91" t="s">
        <v>1431</v>
      </c>
      <c r="D91" t="s">
        <v>1433</v>
      </c>
      <c r="E91" t="s">
        <v>503</v>
      </c>
      <c r="F91" t="s">
        <v>503</v>
      </c>
      <c r="G91" s="28">
        <v>152226</v>
      </c>
      <c r="H91">
        <v>0</v>
      </c>
      <c r="I91" s="29">
        <f t="shared" si="1"/>
        <v>152226</v>
      </c>
      <c r="J91" t="str">
        <f>IFERROR(VLOOKUP(E91,'LEAID Match'!$A$2:$B$168,2,FALSE),"")</f>
        <v/>
      </c>
    </row>
    <row r="92" spans="1:10">
      <c r="A92" s="27">
        <v>2018</v>
      </c>
      <c r="B92" t="s">
        <v>1429</v>
      </c>
      <c r="C92" t="s">
        <v>1431</v>
      </c>
      <c r="D92" t="s">
        <v>1433</v>
      </c>
      <c r="E92" t="s">
        <v>503</v>
      </c>
      <c r="F92" s="9" t="s">
        <v>503</v>
      </c>
      <c r="G92" s="18">
        <v>157453</v>
      </c>
      <c r="H92">
        <v>0</v>
      </c>
      <c r="I92" s="29">
        <f t="shared" si="1"/>
        <v>157453</v>
      </c>
      <c r="J92" t="str">
        <f>IFERROR(VLOOKUP(E92,'LEAID Match'!$A$2:$B$168,2,FALSE),"")</f>
        <v/>
      </c>
    </row>
    <row r="93" spans="1:10">
      <c r="A93">
        <v>2019</v>
      </c>
      <c r="B93" t="s">
        <v>1429</v>
      </c>
      <c r="C93" t="s">
        <v>1431</v>
      </c>
      <c r="D93" t="s">
        <v>1433</v>
      </c>
      <c r="E93" t="s">
        <v>503</v>
      </c>
      <c r="F93" s="9" t="s">
        <v>503</v>
      </c>
      <c r="G93" s="18">
        <v>161430</v>
      </c>
      <c r="H93">
        <v>0</v>
      </c>
      <c r="I93" s="29">
        <f t="shared" si="1"/>
        <v>161430</v>
      </c>
      <c r="J93" t="str">
        <f>IFERROR(VLOOKUP(E93,'LEAID Match'!$A$2:$B$168,2,FALSE),"")</f>
        <v/>
      </c>
    </row>
    <row r="94" spans="1:10">
      <c r="A94">
        <v>2015</v>
      </c>
      <c r="B94" t="s">
        <v>1429</v>
      </c>
      <c r="C94" t="s">
        <v>1431</v>
      </c>
      <c r="D94" t="s">
        <v>1433</v>
      </c>
      <c r="E94" t="s">
        <v>504</v>
      </c>
      <c r="F94" s="9" t="s">
        <v>958</v>
      </c>
      <c r="G94" s="18">
        <v>97537.44</v>
      </c>
      <c r="H94">
        <v>0</v>
      </c>
      <c r="I94" s="29">
        <f t="shared" si="1"/>
        <v>97537.44</v>
      </c>
      <c r="J94" t="str">
        <f>IFERROR(VLOOKUP(E94,'LEAID Match'!$A$2:$B$168,2,FALSE),"")</f>
        <v/>
      </c>
    </row>
    <row r="95" spans="1:10">
      <c r="A95">
        <v>2016</v>
      </c>
      <c r="B95" t="s">
        <v>1429</v>
      </c>
      <c r="C95" t="s">
        <v>1431</v>
      </c>
      <c r="D95" t="s">
        <v>1433</v>
      </c>
      <c r="E95" t="s">
        <v>504</v>
      </c>
      <c r="F95" t="s">
        <v>504</v>
      </c>
      <c r="G95" s="28">
        <v>100746</v>
      </c>
      <c r="H95">
        <v>0</v>
      </c>
      <c r="I95" s="29">
        <f t="shared" si="1"/>
        <v>100746</v>
      </c>
      <c r="J95" t="str">
        <f>IFERROR(VLOOKUP(E95,'LEAID Match'!$A$2:$B$168,2,FALSE),"")</f>
        <v/>
      </c>
    </row>
    <row r="96" spans="1:10">
      <c r="A96">
        <v>2017</v>
      </c>
      <c r="B96" t="s">
        <v>1429</v>
      </c>
      <c r="C96" t="s">
        <v>1431</v>
      </c>
      <c r="D96" t="s">
        <v>1433</v>
      </c>
      <c r="E96" t="s">
        <v>504</v>
      </c>
      <c r="F96" t="s">
        <v>504</v>
      </c>
      <c r="G96" s="28">
        <v>103964</v>
      </c>
      <c r="H96">
        <v>0</v>
      </c>
      <c r="I96" s="29">
        <f t="shared" si="1"/>
        <v>103964</v>
      </c>
      <c r="J96" t="str">
        <f>IFERROR(VLOOKUP(E96,'LEAID Match'!$A$2:$B$168,2,FALSE),"")</f>
        <v/>
      </c>
    </row>
    <row r="97" spans="1:10">
      <c r="A97" s="27">
        <v>2018</v>
      </c>
      <c r="B97" t="s">
        <v>1429</v>
      </c>
      <c r="C97" t="s">
        <v>1431</v>
      </c>
      <c r="D97" t="s">
        <v>1433</v>
      </c>
      <c r="E97" t="s">
        <v>504</v>
      </c>
      <c r="F97" s="9" t="s">
        <v>504</v>
      </c>
      <c r="G97" s="18">
        <v>117209</v>
      </c>
      <c r="H97">
        <v>0</v>
      </c>
      <c r="I97" s="29">
        <f t="shared" si="1"/>
        <v>117209</v>
      </c>
      <c r="J97" t="str">
        <f>IFERROR(VLOOKUP(E97,'LEAID Match'!$A$2:$B$168,2,FALSE),"")</f>
        <v/>
      </c>
    </row>
    <row r="98" spans="1:10">
      <c r="A98">
        <v>2019</v>
      </c>
      <c r="B98" t="s">
        <v>1429</v>
      </c>
      <c r="C98" t="s">
        <v>1431</v>
      </c>
      <c r="D98" t="s">
        <v>1433</v>
      </c>
      <c r="E98" t="s">
        <v>504</v>
      </c>
      <c r="F98" s="9" t="s">
        <v>504</v>
      </c>
      <c r="G98" s="18">
        <v>126340</v>
      </c>
      <c r="H98">
        <v>0</v>
      </c>
      <c r="I98" s="29">
        <f t="shared" si="1"/>
        <v>126340</v>
      </c>
      <c r="J98" t="str">
        <f>IFERROR(VLOOKUP(E98,'LEAID Match'!$A$2:$B$168,2,FALSE),"")</f>
        <v/>
      </c>
    </row>
    <row r="99" spans="1:10">
      <c r="A99">
        <v>2015</v>
      </c>
      <c r="B99" t="s">
        <v>1429</v>
      </c>
      <c r="C99" t="s">
        <v>1431</v>
      </c>
      <c r="D99" t="s">
        <v>1433</v>
      </c>
      <c r="E99" t="s">
        <v>421</v>
      </c>
      <c r="F99" s="9" t="s">
        <v>959</v>
      </c>
      <c r="G99" s="18">
        <v>27581.46</v>
      </c>
      <c r="H99">
        <v>0</v>
      </c>
      <c r="I99" s="29">
        <f t="shared" si="1"/>
        <v>27581.46</v>
      </c>
      <c r="J99" t="str">
        <f>IFERROR(VLOOKUP(E99,'LEAID Match'!$A$2:$B$168,2,FALSE),"")</f>
        <v/>
      </c>
    </row>
    <row r="100" spans="1:10">
      <c r="A100">
        <v>2016</v>
      </c>
      <c r="B100" t="s">
        <v>1429</v>
      </c>
      <c r="C100" t="s">
        <v>1431</v>
      </c>
      <c r="D100" t="s">
        <v>1433</v>
      </c>
      <c r="E100" t="s">
        <v>421</v>
      </c>
      <c r="F100" t="s">
        <v>421</v>
      </c>
      <c r="G100" s="28">
        <v>29151</v>
      </c>
      <c r="H100">
        <v>0</v>
      </c>
      <c r="I100" s="29">
        <f t="shared" si="1"/>
        <v>29151</v>
      </c>
      <c r="J100" t="str">
        <f>IFERROR(VLOOKUP(E100,'LEAID Match'!$A$2:$B$168,2,FALSE),"")</f>
        <v/>
      </c>
    </row>
    <row r="101" spans="1:10">
      <c r="A101">
        <v>2017</v>
      </c>
      <c r="B101" t="s">
        <v>1429</v>
      </c>
      <c r="C101" t="s">
        <v>1431</v>
      </c>
      <c r="D101" t="s">
        <v>1433</v>
      </c>
      <c r="E101" t="s">
        <v>421</v>
      </c>
      <c r="F101" t="s">
        <v>421</v>
      </c>
      <c r="G101" s="28">
        <v>30761</v>
      </c>
      <c r="H101">
        <v>0</v>
      </c>
      <c r="I101" s="29">
        <f t="shared" si="1"/>
        <v>30761</v>
      </c>
      <c r="J101" t="str">
        <f>IFERROR(VLOOKUP(E101,'LEAID Match'!$A$2:$B$168,2,FALSE),"")</f>
        <v/>
      </c>
    </row>
    <row r="102" spans="1:10">
      <c r="A102" s="27">
        <v>2018</v>
      </c>
      <c r="B102" t="s">
        <v>1429</v>
      </c>
      <c r="C102" t="s">
        <v>1431</v>
      </c>
      <c r="D102" t="s">
        <v>1433</v>
      </c>
      <c r="E102" t="s">
        <v>421</v>
      </c>
      <c r="F102" s="9" t="s">
        <v>421</v>
      </c>
      <c r="G102" s="18">
        <v>32653</v>
      </c>
      <c r="H102">
        <v>0</v>
      </c>
      <c r="I102" s="29">
        <f t="shared" si="1"/>
        <v>32653</v>
      </c>
      <c r="J102" t="str">
        <f>IFERROR(VLOOKUP(E102,'LEAID Match'!$A$2:$B$168,2,FALSE),"")</f>
        <v/>
      </c>
    </row>
    <row r="103" spans="1:10">
      <c r="A103">
        <v>2019</v>
      </c>
      <c r="B103" t="s">
        <v>1429</v>
      </c>
      <c r="C103" t="s">
        <v>1431</v>
      </c>
      <c r="D103" t="s">
        <v>1433</v>
      </c>
      <c r="E103" t="s">
        <v>421</v>
      </c>
      <c r="F103" s="9" t="s">
        <v>421</v>
      </c>
      <c r="G103" s="18">
        <v>30535</v>
      </c>
      <c r="H103">
        <v>0</v>
      </c>
      <c r="I103" s="29">
        <f t="shared" si="1"/>
        <v>30535</v>
      </c>
      <c r="J103" t="str">
        <f>IFERROR(VLOOKUP(E103,'LEAID Match'!$A$2:$B$168,2,FALSE),"")</f>
        <v/>
      </c>
    </row>
    <row r="104" spans="1:10">
      <c r="A104" s="27">
        <v>2020</v>
      </c>
      <c r="B104" t="s">
        <v>1429</v>
      </c>
      <c r="C104" t="s">
        <v>1431</v>
      </c>
      <c r="D104" t="s">
        <v>1433</v>
      </c>
      <c r="E104" t="s">
        <v>421</v>
      </c>
      <c r="F104" s="9" t="s">
        <v>421</v>
      </c>
      <c r="G104" s="18">
        <v>12012</v>
      </c>
      <c r="H104">
        <v>0</v>
      </c>
      <c r="I104" s="29">
        <f t="shared" si="1"/>
        <v>12012</v>
      </c>
      <c r="J104" t="str">
        <f>IFERROR(VLOOKUP(E104,'LEAID Match'!$A$2:$B$168,2,FALSE),"")</f>
        <v/>
      </c>
    </row>
    <row r="105" spans="1:10">
      <c r="A105">
        <v>2021</v>
      </c>
      <c r="B105" t="s">
        <v>1429</v>
      </c>
      <c r="C105" t="s">
        <v>1431</v>
      </c>
      <c r="D105" t="s">
        <v>1433</v>
      </c>
      <c r="E105" t="s">
        <v>421</v>
      </c>
      <c r="F105" s="9" t="s">
        <v>421</v>
      </c>
      <c r="G105" s="18"/>
      <c r="H105">
        <v>0</v>
      </c>
      <c r="I105" s="29">
        <f t="shared" si="1"/>
        <v>0</v>
      </c>
      <c r="J105" t="str">
        <f>IFERROR(VLOOKUP(E105,'LEAID Match'!$A$2:$B$168,2,FALSE),"")</f>
        <v/>
      </c>
    </row>
    <row r="106" spans="1:10">
      <c r="A106">
        <v>2015</v>
      </c>
      <c r="B106" t="s">
        <v>1429</v>
      </c>
      <c r="C106" t="s">
        <v>1431</v>
      </c>
      <c r="D106" t="s">
        <v>1433</v>
      </c>
      <c r="E106" t="s">
        <v>5</v>
      </c>
      <c r="F106" s="9" t="s">
        <v>960</v>
      </c>
      <c r="G106" s="18">
        <v>158958.18</v>
      </c>
      <c r="H106">
        <v>0</v>
      </c>
      <c r="I106" s="29">
        <f t="shared" si="1"/>
        <v>158958.18</v>
      </c>
      <c r="J106">
        <f>IFERROR(VLOOKUP(E106,'LEAID Match'!$A$2:$B$168,2,FALSE),"")</f>
        <v>3301560</v>
      </c>
    </row>
    <row r="107" spans="1:10">
      <c r="A107">
        <v>2016</v>
      </c>
      <c r="B107" t="s">
        <v>1429</v>
      </c>
      <c r="C107" t="s">
        <v>1431</v>
      </c>
      <c r="D107" t="s">
        <v>1433</v>
      </c>
      <c r="E107" t="s">
        <v>5</v>
      </c>
      <c r="F107" t="s">
        <v>505</v>
      </c>
      <c r="G107" s="28">
        <v>167612</v>
      </c>
      <c r="H107">
        <v>0</v>
      </c>
      <c r="I107" s="29">
        <f t="shared" si="1"/>
        <v>167612</v>
      </c>
      <c r="J107">
        <f>IFERROR(VLOOKUP(E107,'LEAID Match'!$A$2:$B$168,2,FALSE),"")</f>
        <v>3301560</v>
      </c>
    </row>
    <row r="108" spans="1:10">
      <c r="A108">
        <v>2017</v>
      </c>
      <c r="B108" t="s">
        <v>1429</v>
      </c>
      <c r="C108" t="s">
        <v>1431</v>
      </c>
      <c r="D108" t="s">
        <v>1433</v>
      </c>
      <c r="E108" t="s">
        <v>5</v>
      </c>
      <c r="F108" t="s">
        <v>505</v>
      </c>
      <c r="G108" s="28">
        <v>178164</v>
      </c>
      <c r="H108">
        <v>0</v>
      </c>
      <c r="I108" s="29">
        <f t="shared" si="1"/>
        <v>178164</v>
      </c>
      <c r="J108">
        <f>IFERROR(VLOOKUP(E108,'LEAID Match'!$A$2:$B$168,2,FALSE),"")</f>
        <v>3301560</v>
      </c>
    </row>
    <row r="109" spans="1:10">
      <c r="A109" s="27">
        <v>2018</v>
      </c>
      <c r="B109" t="s">
        <v>1429</v>
      </c>
      <c r="C109" t="s">
        <v>1431</v>
      </c>
      <c r="D109" t="s">
        <v>1433</v>
      </c>
      <c r="E109" t="s">
        <v>5</v>
      </c>
      <c r="F109" s="9" t="s">
        <v>505</v>
      </c>
      <c r="G109" s="18">
        <v>217688</v>
      </c>
      <c r="H109">
        <v>0</v>
      </c>
      <c r="I109" s="29">
        <f t="shared" si="1"/>
        <v>217688</v>
      </c>
      <c r="J109">
        <f>IFERROR(VLOOKUP(E109,'LEAID Match'!$A$2:$B$168,2,FALSE),"")</f>
        <v>3301560</v>
      </c>
    </row>
    <row r="110" spans="1:10">
      <c r="A110">
        <v>2019</v>
      </c>
      <c r="B110" t="s">
        <v>1429</v>
      </c>
      <c r="C110" t="s">
        <v>1431</v>
      </c>
      <c r="D110" t="s">
        <v>1433</v>
      </c>
      <c r="E110" t="s">
        <v>5</v>
      </c>
      <c r="F110" s="9" t="s">
        <v>505</v>
      </c>
      <c r="G110" s="18">
        <v>229681</v>
      </c>
      <c r="H110">
        <v>0</v>
      </c>
      <c r="I110" s="29">
        <f t="shared" si="1"/>
        <v>229681</v>
      </c>
      <c r="J110">
        <f>IFERROR(VLOOKUP(E110,'LEAID Match'!$A$2:$B$168,2,FALSE),"")</f>
        <v>3301560</v>
      </c>
    </row>
    <row r="111" spans="1:10">
      <c r="A111" s="27">
        <v>2020</v>
      </c>
      <c r="B111" t="s">
        <v>1429</v>
      </c>
      <c r="C111" t="s">
        <v>1431</v>
      </c>
      <c r="D111" t="s">
        <v>1433</v>
      </c>
      <c r="E111" t="s">
        <v>5</v>
      </c>
      <c r="F111" s="9" t="s">
        <v>5</v>
      </c>
      <c r="G111" s="18">
        <v>246870</v>
      </c>
      <c r="H111">
        <v>0</v>
      </c>
      <c r="I111" s="29">
        <f t="shared" si="1"/>
        <v>246870</v>
      </c>
      <c r="J111">
        <f>IFERROR(VLOOKUP(E111,'LEAID Match'!$A$2:$B$168,2,FALSE),"")</f>
        <v>3301560</v>
      </c>
    </row>
    <row r="112" spans="1:10">
      <c r="A112">
        <v>2021</v>
      </c>
      <c r="B112" t="s">
        <v>1429</v>
      </c>
      <c r="C112" t="s">
        <v>1431</v>
      </c>
      <c r="D112" t="s">
        <v>1433</v>
      </c>
      <c r="E112" t="s">
        <v>5</v>
      </c>
      <c r="F112" s="9" t="s">
        <v>5</v>
      </c>
      <c r="G112" s="18">
        <v>250299</v>
      </c>
      <c r="H112">
        <v>0</v>
      </c>
      <c r="I112" s="29">
        <f t="shared" si="1"/>
        <v>250299</v>
      </c>
      <c r="J112">
        <f>IFERROR(VLOOKUP(E112,'LEAID Match'!$A$2:$B$168,2,FALSE),"")</f>
        <v>3301560</v>
      </c>
    </row>
    <row r="113" spans="1:10">
      <c r="A113">
        <v>2022</v>
      </c>
      <c r="B113" t="s">
        <v>1429</v>
      </c>
      <c r="C113" t="s">
        <v>1431</v>
      </c>
      <c r="D113" t="s">
        <v>1433</v>
      </c>
      <c r="E113" t="s">
        <v>5</v>
      </c>
      <c r="F113" s="9" t="s">
        <v>5</v>
      </c>
      <c r="G113" s="18">
        <v>331478</v>
      </c>
      <c r="H113">
        <v>0</v>
      </c>
      <c r="I113" s="29">
        <f t="shared" si="1"/>
        <v>331478</v>
      </c>
      <c r="J113">
        <f>IFERROR(VLOOKUP(E113,'LEAID Match'!$A$2:$B$168,2,FALSE),"")</f>
        <v>3301560</v>
      </c>
    </row>
    <row r="114" spans="1:10">
      <c r="A114">
        <v>2023</v>
      </c>
      <c r="B114" t="s">
        <v>1429</v>
      </c>
      <c r="C114" t="s">
        <v>1431</v>
      </c>
      <c r="D114" t="s">
        <v>1433</v>
      </c>
      <c r="E114" t="s">
        <v>5</v>
      </c>
      <c r="F114" t="s">
        <v>5</v>
      </c>
      <c r="G114" s="28">
        <v>349587</v>
      </c>
      <c r="H114">
        <v>0</v>
      </c>
      <c r="I114" s="29">
        <f t="shared" si="1"/>
        <v>349587</v>
      </c>
      <c r="J114">
        <f>IFERROR(VLOOKUP(E114,'LEAID Match'!$A$2:$B$168,2,FALSE),"")</f>
        <v>3301560</v>
      </c>
    </row>
    <row r="115" spans="1:10">
      <c r="A115">
        <v>2015</v>
      </c>
      <c r="B115" t="s">
        <v>1429</v>
      </c>
      <c r="C115" t="s">
        <v>1431</v>
      </c>
      <c r="D115" t="s">
        <v>1433</v>
      </c>
      <c r="E115" t="s">
        <v>506</v>
      </c>
      <c r="F115" s="9" t="s">
        <v>961</v>
      </c>
      <c r="G115" s="18">
        <v>111615.46</v>
      </c>
      <c r="H115">
        <v>0</v>
      </c>
      <c r="I115" s="29">
        <f t="shared" si="1"/>
        <v>111615.46</v>
      </c>
      <c r="J115" t="str">
        <f>IFERROR(VLOOKUP(E115,'LEAID Match'!$A$2:$B$168,2,FALSE),"")</f>
        <v/>
      </c>
    </row>
    <row r="116" spans="1:10">
      <c r="A116">
        <v>2016</v>
      </c>
      <c r="B116" t="s">
        <v>1429</v>
      </c>
      <c r="C116" t="s">
        <v>1431</v>
      </c>
      <c r="D116" t="s">
        <v>1433</v>
      </c>
      <c r="E116" t="s">
        <v>506</v>
      </c>
      <c r="F116" t="s">
        <v>506</v>
      </c>
      <c r="G116" s="28">
        <v>140941</v>
      </c>
      <c r="H116">
        <v>0</v>
      </c>
      <c r="I116" s="29">
        <f t="shared" si="1"/>
        <v>140941</v>
      </c>
      <c r="J116" t="str">
        <f>IFERROR(VLOOKUP(E116,'LEAID Match'!$A$2:$B$168,2,FALSE),"")</f>
        <v/>
      </c>
    </row>
    <row r="117" spans="1:10">
      <c r="A117">
        <v>2017</v>
      </c>
      <c r="B117" t="s">
        <v>1429</v>
      </c>
      <c r="C117" t="s">
        <v>1431</v>
      </c>
      <c r="D117" t="s">
        <v>1433</v>
      </c>
      <c r="E117" t="s">
        <v>506</v>
      </c>
      <c r="F117" t="s">
        <v>506</v>
      </c>
      <c r="G117" s="28">
        <v>142802</v>
      </c>
      <c r="H117">
        <v>0</v>
      </c>
      <c r="I117" s="29">
        <f t="shared" si="1"/>
        <v>142802</v>
      </c>
      <c r="J117" t="str">
        <f>IFERROR(VLOOKUP(E117,'LEAID Match'!$A$2:$B$168,2,FALSE),"")</f>
        <v/>
      </c>
    </row>
    <row r="118" spans="1:10">
      <c r="A118" s="27">
        <v>2018</v>
      </c>
      <c r="B118" t="s">
        <v>1429</v>
      </c>
      <c r="C118" t="s">
        <v>1431</v>
      </c>
      <c r="D118" t="s">
        <v>1433</v>
      </c>
      <c r="E118" t="s">
        <v>506</v>
      </c>
      <c r="F118" s="9" t="s">
        <v>506</v>
      </c>
      <c r="G118" s="18">
        <v>158953</v>
      </c>
      <c r="H118">
        <v>0</v>
      </c>
      <c r="I118" s="29">
        <f t="shared" si="1"/>
        <v>158953</v>
      </c>
      <c r="J118" t="str">
        <f>IFERROR(VLOOKUP(E118,'LEAID Match'!$A$2:$B$168,2,FALSE),"")</f>
        <v/>
      </c>
    </row>
    <row r="119" spans="1:10">
      <c r="A119">
        <v>2019</v>
      </c>
      <c r="B119" t="s">
        <v>1429</v>
      </c>
      <c r="C119" t="s">
        <v>1431</v>
      </c>
      <c r="D119" t="s">
        <v>1433</v>
      </c>
      <c r="E119" t="s">
        <v>506</v>
      </c>
      <c r="F119" s="9" t="s">
        <v>506</v>
      </c>
      <c r="G119" s="18">
        <v>197420</v>
      </c>
      <c r="H119">
        <v>0</v>
      </c>
      <c r="I119" s="29">
        <f t="shared" si="1"/>
        <v>197420</v>
      </c>
      <c r="J119" t="str">
        <f>IFERROR(VLOOKUP(E119,'LEAID Match'!$A$2:$B$168,2,FALSE),"")</f>
        <v/>
      </c>
    </row>
    <row r="120" spans="1:10">
      <c r="A120">
        <v>2015</v>
      </c>
      <c r="B120" t="s">
        <v>1429</v>
      </c>
      <c r="C120" t="s">
        <v>1431</v>
      </c>
      <c r="D120" t="s">
        <v>1433</v>
      </c>
      <c r="E120" t="s">
        <v>507</v>
      </c>
      <c r="F120" s="9" t="s">
        <v>962</v>
      </c>
      <c r="G120" s="18">
        <v>188708.44</v>
      </c>
      <c r="H120">
        <v>0</v>
      </c>
      <c r="I120" s="29">
        <f t="shared" si="1"/>
        <v>188708.44</v>
      </c>
      <c r="J120" t="str">
        <f>IFERROR(VLOOKUP(E120,'LEAID Match'!$A$2:$B$168,2,FALSE),"")</f>
        <v/>
      </c>
    </row>
    <row r="121" spans="1:10">
      <c r="A121">
        <v>2016</v>
      </c>
      <c r="B121" t="s">
        <v>1429</v>
      </c>
      <c r="C121" t="s">
        <v>1431</v>
      </c>
      <c r="D121" t="s">
        <v>1433</v>
      </c>
      <c r="E121" t="s">
        <v>507</v>
      </c>
      <c r="F121" t="s">
        <v>507</v>
      </c>
      <c r="G121" s="28">
        <v>212988</v>
      </c>
      <c r="H121">
        <v>0</v>
      </c>
      <c r="I121" s="29">
        <f t="shared" si="1"/>
        <v>212988</v>
      </c>
      <c r="J121" t="str">
        <f>IFERROR(VLOOKUP(E121,'LEAID Match'!$A$2:$B$168,2,FALSE),"")</f>
        <v/>
      </c>
    </row>
    <row r="122" spans="1:10">
      <c r="A122">
        <v>2017</v>
      </c>
      <c r="B122" t="s">
        <v>1429</v>
      </c>
      <c r="C122" t="s">
        <v>1431</v>
      </c>
      <c r="D122" t="s">
        <v>1433</v>
      </c>
      <c r="E122" t="s">
        <v>507</v>
      </c>
      <c r="F122" t="s">
        <v>507</v>
      </c>
      <c r="G122" s="28">
        <v>200581</v>
      </c>
      <c r="H122">
        <v>0</v>
      </c>
      <c r="I122" s="29">
        <f t="shared" si="1"/>
        <v>200581</v>
      </c>
      <c r="J122" t="str">
        <f>IFERROR(VLOOKUP(E122,'LEAID Match'!$A$2:$B$168,2,FALSE),"")</f>
        <v/>
      </c>
    </row>
    <row r="123" spans="1:10">
      <c r="A123" s="27">
        <v>2018</v>
      </c>
      <c r="B123" t="s">
        <v>1429</v>
      </c>
      <c r="C123" t="s">
        <v>1431</v>
      </c>
      <c r="D123" t="s">
        <v>1433</v>
      </c>
      <c r="E123" t="s">
        <v>507</v>
      </c>
      <c r="F123" s="9" t="s">
        <v>507</v>
      </c>
      <c r="G123" s="18">
        <v>244953</v>
      </c>
      <c r="H123">
        <v>0</v>
      </c>
      <c r="I123" s="29">
        <f t="shared" si="1"/>
        <v>244953</v>
      </c>
      <c r="J123" t="str">
        <f>IFERROR(VLOOKUP(E123,'LEAID Match'!$A$2:$B$168,2,FALSE),"")</f>
        <v/>
      </c>
    </row>
    <row r="124" spans="1:10">
      <c r="A124">
        <v>2019</v>
      </c>
      <c r="B124" t="s">
        <v>1429</v>
      </c>
      <c r="C124" t="s">
        <v>1431</v>
      </c>
      <c r="D124" t="s">
        <v>1433</v>
      </c>
      <c r="E124" t="s">
        <v>507</v>
      </c>
      <c r="F124" s="9" t="s">
        <v>507</v>
      </c>
      <c r="G124" s="18">
        <v>274145</v>
      </c>
      <c r="H124">
        <v>0</v>
      </c>
      <c r="I124" s="29">
        <f t="shared" si="1"/>
        <v>274145</v>
      </c>
      <c r="J124" t="str">
        <f>IFERROR(VLOOKUP(E124,'LEAID Match'!$A$2:$B$168,2,FALSE),"")</f>
        <v/>
      </c>
    </row>
    <row r="125" spans="1:10">
      <c r="A125">
        <v>2015</v>
      </c>
      <c r="B125" t="s">
        <v>1429</v>
      </c>
      <c r="C125" t="s">
        <v>1431</v>
      </c>
      <c r="D125" t="s">
        <v>1433</v>
      </c>
      <c r="E125" t="s">
        <v>6</v>
      </c>
      <c r="F125" s="9" t="s">
        <v>963</v>
      </c>
      <c r="G125" s="18">
        <v>396525.07</v>
      </c>
      <c r="H125">
        <v>0</v>
      </c>
      <c r="I125" s="29">
        <f t="shared" si="1"/>
        <v>396525.07</v>
      </c>
      <c r="J125">
        <f>IFERROR(VLOOKUP(E125,'LEAID Match'!$A$2:$B$168,2,FALSE),"")</f>
        <v>3301590</v>
      </c>
    </row>
    <row r="126" spans="1:10">
      <c r="A126">
        <v>2016</v>
      </c>
      <c r="B126" t="s">
        <v>1429</v>
      </c>
      <c r="C126" t="s">
        <v>1431</v>
      </c>
      <c r="D126" t="s">
        <v>1433</v>
      </c>
      <c r="E126" t="s">
        <v>6</v>
      </c>
      <c r="F126" t="s">
        <v>508</v>
      </c>
      <c r="G126" s="28">
        <v>434015</v>
      </c>
      <c r="H126">
        <v>0</v>
      </c>
      <c r="I126" s="29">
        <f t="shared" si="1"/>
        <v>434015</v>
      </c>
      <c r="J126">
        <f>IFERROR(VLOOKUP(E126,'LEAID Match'!$A$2:$B$168,2,FALSE),"")</f>
        <v>3301590</v>
      </c>
    </row>
    <row r="127" spans="1:10">
      <c r="A127">
        <v>2017</v>
      </c>
      <c r="B127" t="s">
        <v>1429</v>
      </c>
      <c r="C127" t="s">
        <v>1431</v>
      </c>
      <c r="D127" t="s">
        <v>1433</v>
      </c>
      <c r="E127" t="s">
        <v>6</v>
      </c>
      <c r="F127" t="s">
        <v>508</v>
      </c>
      <c r="G127" s="28">
        <v>448436</v>
      </c>
      <c r="H127">
        <v>0</v>
      </c>
      <c r="I127" s="29">
        <f t="shared" si="1"/>
        <v>448436</v>
      </c>
      <c r="J127">
        <f>IFERROR(VLOOKUP(E127,'LEAID Match'!$A$2:$B$168,2,FALSE),"")</f>
        <v>3301590</v>
      </c>
    </row>
    <row r="128" spans="1:10">
      <c r="A128" s="27">
        <v>2018</v>
      </c>
      <c r="B128" t="s">
        <v>1429</v>
      </c>
      <c r="C128" t="s">
        <v>1431</v>
      </c>
      <c r="D128" t="s">
        <v>1433</v>
      </c>
      <c r="E128" t="s">
        <v>6</v>
      </c>
      <c r="F128" s="9" t="s">
        <v>508</v>
      </c>
      <c r="G128" s="18">
        <v>544718</v>
      </c>
      <c r="H128">
        <v>0</v>
      </c>
      <c r="I128" s="29">
        <f t="shared" si="1"/>
        <v>544718</v>
      </c>
      <c r="J128">
        <f>IFERROR(VLOOKUP(E128,'LEAID Match'!$A$2:$B$168,2,FALSE),"")</f>
        <v>3301590</v>
      </c>
    </row>
    <row r="129" spans="1:10">
      <c r="A129">
        <v>2019</v>
      </c>
      <c r="B129" t="s">
        <v>1429</v>
      </c>
      <c r="C129" t="s">
        <v>1431</v>
      </c>
      <c r="D129" t="s">
        <v>1433</v>
      </c>
      <c r="E129" t="s">
        <v>6</v>
      </c>
      <c r="F129" s="9" t="s">
        <v>508</v>
      </c>
      <c r="G129" s="18">
        <v>570624</v>
      </c>
      <c r="H129">
        <v>0</v>
      </c>
      <c r="I129" s="29">
        <f t="shared" si="1"/>
        <v>570624</v>
      </c>
      <c r="J129">
        <f>IFERROR(VLOOKUP(E129,'LEAID Match'!$A$2:$B$168,2,FALSE),"")</f>
        <v>3301590</v>
      </c>
    </row>
    <row r="130" spans="1:10">
      <c r="A130" s="27">
        <v>2020</v>
      </c>
      <c r="B130" t="s">
        <v>1429</v>
      </c>
      <c r="C130" t="s">
        <v>1431</v>
      </c>
      <c r="D130" t="s">
        <v>1433</v>
      </c>
      <c r="E130" t="s">
        <v>6</v>
      </c>
      <c r="F130" s="9" t="s">
        <v>6</v>
      </c>
      <c r="G130" s="18">
        <v>562917</v>
      </c>
      <c r="H130">
        <v>0</v>
      </c>
      <c r="I130" s="29">
        <f t="shared" si="1"/>
        <v>562917</v>
      </c>
      <c r="J130">
        <f>IFERROR(VLOOKUP(E130,'LEAID Match'!$A$2:$B$168,2,FALSE),"")</f>
        <v>3301590</v>
      </c>
    </row>
    <row r="131" spans="1:10">
      <c r="A131">
        <v>2021</v>
      </c>
      <c r="B131" t="s">
        <v>1429</v>
      </c>
      <c r="C131" t="s">
        <v>1431</v>
      </c>
      <c r="D131" t="s">
        <v>1433</v>
      </c>
      <c r="E131" t="s">
        <v>6</v>
      </c>
      <c r="F131" s="9" t="s">
        <v>6</v>
      </c>
      <c r="G131" s="18">
        <v>609948</v>
      </c>
      <c r="H131">
        <v>0</v>
      </c>
      <c r="I131" s="29">
        <f t="shared" ref="I131:I194" si="2">SUM(G131:H131)</f>
        <v>609948</v>
      </c>
      <c r="J131">
        <f>IFERROR(VLOOKUP(E131,'LEAID Match'!$A$2:$B$168,2,FALSE),"")</f>
        <v>3301590</v>
      </c>
    </row>
    <row r="132" spans="1:10">
      <c r="A132">
        <v>2022</v>
      </c>
      <c r="B132" t="s">
        <v>1429</v>
      </c>
      <c r="C132" t="s">
        <v>1431</v>
      </c>
      <c r="D132" t="s">
        <v>1433</v>
      </c>
      <c r="E132" t="s">
        <v>6</v>
      </c>
      <c r="F132" s="9" t="s">
        <v>6</v>
      </c>
      <c r="G132" s="18">
        <v>791606</v>
      </c>
      <c r="H132">
        <v>0</v>
      </c>
      <c r="I132" s="29">
        <f t="shared" si="2"/>
        <v>791606</v>
      </c>
      <c r="J132">
        <f>IFERROR(VLOOKUP(E132,'LEAID Match'!$A$2:$B$168,2,FALSE),"")</f>
        <v>3301590</v>
      </c>
    </row>
    <row r="133" spans="1:10">
      <c r="A133">
        <v>2023</v>
      </c>
      <c r="B133" t="s">
        <v>1429</v>
      </c>
      <c r="C133" t="s">
        <v>1431</v>
      </c>
      <c r="D133" t="s">
        <v>1433</v>
      </c>
      <c r="E133" t="s">
        <v>6</v>
      </c>
      <c r="F133" t="s">
        <v>6</v>
      </c>
      <c r="G133" s="28">
        <v>768265</v>
      </c>
      <c r="H133">
        <v>0</v>
      </c>
      <c r="I133" s="29">
        <f t="shared" si="2"/>
        <v>768265</v>
      </c>
      <c r="J133">
        <f>IFERROR(VLOOKUP(E133,'LEAID Match'!$A$2:$B$168,2,FALSE),"")</f>
        <v>3301590</v>
      </c>
    </row>
    <row r="134" spans="1:10">
      <c r="A134">
        <v>2015</v>
      </c>
      <c r="B134" t="s">
        <v>1429</v>
      </c>
      <c r="C134" t="s">
        <v>1431</v>
      </c>
      <c r="D134" t="s">
        <v>1433</v>
      </c>
      <c r="E134" t="s">
        <v>422</v>
      </c>
      <c r="F134" s="9" t="s">
        <v>964</v>
      </c>
      <c r="G134" s="18">
        <v>12212.85</v>
      </c>
      <c r="H134">
        <v>0</v>
      </c>
      <c r="I134" s="29">
        <f t="shared" si="2"/>
        <v>12212.85</v>
      </c>
      <c r="J134" t="str">
        <f>IFERROR(VLOOKUP(E134,'LEAID Match'!$A$2:$B$168,2,FALSE),"")</f>
        <v/>
      </c>
    </row>
    <row r="135" spans="1:10">
      <c r="A135">
        <v>2016</v>
      </c>
      <c r="B135" t="s">
        <v>1429</v>
      </c>
      <c r="C135" t="s">
        <v>1431</v>
      </c>
      <c r="D135" t="s">
        <v>1433</v>
      </c>
      <c r="E135" t="s">
        <v>422</v>
      </c>
      <c r="F135" t="s">
        <v>422</v>
      </c>
      <c r="G135" s="28">
        <v>12965</v>
      </c>
      <c r="H135">
        <v>0</v>
      </c>
      <c r="I135" s="29">
        <f t="shared" si="2"/>
        <v>12965</v>
      </c>
      <c r="J135" t="str">
        <f>IFERROR(VLOOKUP(E135,'LEAID Match'!$A$2:$B$168,2,FALSE),"")</f>
        <v/>
      </c>
    </row>
    <row r="136" spans="1:10">
      <c r="A136">
        <v>2017</v>
      </c>
      <c r="B136" t="s">
        <v>1429</v>
      </c>
      <c r="C136" t="s">
        <v>1431</v>
      </c>
      <c r="D136" t="s">
        <v>1433</v>
      </c>
      <c r="E136" t="s">
        <v>422</v>
      </c>
      <c r="F136" t="s">
        <v>422</v>
      </c>
      <c r="G136" s="28">
        <v>13171</v>
      </c>
      <c r="H136">
        <v>0</v>
      </c>
      <c r="I136" s="29">
        <f t="shared" si="2"/>
        <v>13171</v>
      </c>
      <c r="J136" t="str">
        <f>IFERROR(VLOOKUP(E136,'LEAID Match'!$A$2:$B$168,2,FALSE),"")</f>
        <v/>
      </c>
    </row>
    <row r="137" spans="1:10">
      <c r="A137" s="27">
        <v>2018</v>
      </c>
      <c r="B137" t="s">
        <v>1429</v>
      </c>
      <c r="C137" t="s">
        <v>1431</v>
      </c>
      <c r="D137" t="s">
        <v>1433</v>
      </c>
      <c r="E137" t="s">
        <v>422</v>
      </c>
      <c r="F137" s="9" t="s">
        <v>422</v>
      </c>
      <c r="G137" s="18"/>
      <c r="H137">
        <v>0</v>
      </c>
      <c r="I137" s="29">
        <f t="shared" si="2"/>
        <v>0</v>
      </c>
      <c r="J137" t="str">
        <f>IFERROR(VLOOKUP(E137,'LEAID Match'!$A$2:$B$168,2,FALSE),"")</f>
        <v/>
      </c>
    </row>
    <row r="138" spans="1:10">
      <c r="A138">
        <v>2019</v>
      </c>
      <c r="B138" t="s">
        <v>1429</v>
      </c>
      <c r="C138" t="s">
        <v>1431</v>
      </c>
      <c r="D138" t="s">
        <v>1433</v>
      </c>
      <c r="E138" t="s">
        <v>422</v>
      </c>
      <c r="F138" s="9" t="s">
        <v>422</v>
      </c>
      <c r="G138" s="18"/>
      <c r="H138">
        <v>0</v>
      </c>
      <c r="I138" s="29">
        <f t="shared" si="2"/>
        <v>0</v>
      </c>
      <c r="J138" t="str">
        <f>IFERROR(VLOOKUP(E138,'LEAID Match'!$A$2:$B$168,2,FALSE),"")</f>
        <v/>
      </c>
    </row>
    <row r="139" spans="1:10">
      <c r="A139" s="27">
        <v>2020</v>
      </c>
      <c r="B139" t="s">
        <v>1429</v>
      </c>
      <c r="C139" t="s">
        <v>1431</v>
      </c>
      <c r="D139" t="s">
        <v>1433</v>
      </c>
      <c r="E139" t="s">
        <v>422</v>
      </c>
      <c r="F139" s="9" t="s">
        <v>422</v>
      </c>
      <c r="G139" s="18"/>
      <c r="H139">
        <v>0</v>
      </c>
      <c r="I139" s="29">
        <f t="shared" si="2"/>
        <v>0</v>
      </c>
      <c r="J139" t="str">
        <f>IFERROR(VLOOKUP(E139,'LEAID Match'!$A$2:$B$168,2,FALSE),"")</f>
        <v/>
      </c>
    </row>
    <row r="140" spans="1:10">
      <c r="A140">
        <v>2021</v>
      </c>
      <c r="B140" t="s">
        <v>1429</v>
      </c>
      <c r="C140" t="s">
        <v>1431</v>
      </c>
      <c r="D140" t="s">
        <v>1433</v>
      </c>
      <c r="E140" t="s">
        <v>422</v>
      </c>
      <c r="F140" s="9" t="s">
        <v>422</v>
      </c>
      <c r="G140" s="18"/>
      <c r="H140">
        <v>0</v>
      </c>
      <c r="I140" s="29">
        <f t="shared" si="2"/>
        <v>0</v>
      </c>
      <c r="J140" t="str">
        <f>IFERROR(VLOOKUP(E140,'LEAID Match'!$A$2:$B$168,2,FALSE),"")</f>
        <v/>
      </c>
    </row>
    <row r="141" spans="1:10">
      <c r="A141">
        <v>2015</v>
      </c>
      <c r="B141" t="s">
        <v>1429</v>
      </c>
      <c r="C141" t="s">
        <v>1431</v>
      </c>
      <c r="D141" t="s">
        <v>1433</v>
      </c>
      <c r="E141" t="s">
        <v>509</v>
      </c>
      <c r="F141" s="9" t="s">
        <v>965</v>
      </c>
      <c r="G141" s="18">
        <v>162309.60999999999</v>
      </c>
      <c r="H141">
        <v>0</v>
      </c>
      <c r="I141" s="29">
        <f t="shared" si="2"/>
        <v>162309.60999999999</v>
      </c>
      <c r="J141" t="str">
        <f>IFERROR(VLOOKUP(E141,'LEAID Match'!$A$2:$B$168,2,FALSE),"")</f>
        <v/>
      </c>
    </row>
    <row r="142" spans="1:10">
      <c r="A142">
        <v>2016</v>
      </c>
      <c r="B142" t="s">
        <v>1429</v>
      </c>
      <c r="C142" t="s">
        <v>1431</v>
      </c>
      <c r="D142" t="s">
        <v>1433</v>
      </c>
      <c r="E142" t="s">
        <v>509</v>
      </c>
      <c r="F142" t="s">
        <v>509</v>
      </c>
      <c r="G142" s="28">
        <v>166447</v>
      </c>
      <c r="H142">
        <v>0</v>
      </c>
      <c r="I142" s="29">
        <f t="shared" si="2"/>
        <v>166447</v>
      </c>
      <c r="J142" t="str">
        <f>IFERROR(VLOOKUP(E142,'LEAID Match'!$A$2:$B$168,2,FALSE),"")</f>
        <v/>
      </c>
    </row>
    <row r="143" spans="1:10">
      <c r="A143">
        <v>2017</v>
      </c>
      <c r="B143" t="s">
        <v>1429</v>
      </c>
      <c r="C143" t="s">
        <v>1431</v>
      </c>
      <c r="D143" t="s">
        <v>1433</v>
      </c>
      <c r="E143" t="s">
        <v>509</v>
      </c>
      <c r="F143" t="s">
        <v>509</v>
      </c>
      <c r="G143" s="28">
        <v>172129</v>
      </c>
      <c r="H143">
        <v>0</v>
      </c>
      <c r="I143" s="29">
        <f t="shared" si="2"/>
        <v>172129</v>
      </c>
      <c r="J143" t="str">
        <f>IFERROR(VLOOKUP(E143,'LEAID Match'!$A$2:$B$168,2,FALSE),"")</f>
        <v/>
      </c>
    </row>
    <row r="144" spans="1:10">
      <c r="A144" s="27">
        <v>2018</v>
      </c>
      <c r="B144" t="s">
        <v>1429</v>
      </c>
      <c r="C144" t="s">
        <v>1431</v>
      </c>
      <c r="D144" t="s">
        <v>1433</v>
      </c>
      <c r="E144" t="s">
        <v>509</v>
      </c>
      <c r="F144" s="9" t="s">
        <v>509</v>
      </c>
      <c r="G144" s="18">
        <v>200249</v>
      </c>
      <c r="H144">
        <v>0</v>
      </c>
      <c r="I144" s="29">
        <f t="shared" si="2"/>
        <v>200249</v>
      </c>
      <c r="J144" t="str">
        <f>IFERROR(VLOOKUP(E144,'LEAID Match'!$A$2:$B$168,2,FALSE),"")</f>
        <v/>
      </c>
    </row>
    <row r="145" spans="1:10">
      <c r="A145">
        <v>2019</v>
      </c>
      <c r="B145" t="s">
        <v>1429</v>
      </c>
      <c r="C145" t="s">
        <v>1431</v>
      </c>
      <c r="D145" t="s">
        <v>1433</v>
      </c>
      <c r="E145" t="s">
        <v>509</v>
      </c>
      <c r="F145" s="9" t="s">
        <v>509</v>
      </c>
      <c r="G145" s="18">
        <v>207702</v>
      </c>
      <c r="H145">
        <v>0</v>
      </c>
      <c r="I145" s="29">
        <f t="shared" si="2"/>
        <v>207702</v>
      </c>
      <c r="J145" t="str">
        <f>IFERROR(VLOOKUP(E145,'LEAID Match'!$A$2:$B$168,2,FALSE),"")</f>
        <v/>
      </c>
    </row>
    <row r="146" spans="1:10">
      <c r="A146">
        <v>2015</v>
      </c>
      <c r="B146" t="s">
        <v>1429</v>
      </c>
      <c r="C146" t="s">
        <v>1431</v>
      </c>
      <c r="D146" t="s">
        <v>1433</v>
      </c>
      <c r="E146" t="s">
        <v>7</v>
      </c>
      <c r="F146" s="9" t="s">
        <v>966</v>
      </c>
      <c r="G146" s="18">
        <v>423328.74</v>
      </c>
      <c r="H146">
        <v>0</v>
      </c>
      <c r="I146" s="29">
        <f t="shared" si="2"/>
        <v>423328.74</v>
      </c>
      <c r="J146">
        <f>IFERROR(VLOOKUP(E146,'LEAID Match'!$A$2:$B$168,2,FALSE),"")</f>
        <v>3301620</v>
      </c>
    </row>
    <row r="147" spans="1:10">
      <c r="A147">
        <v>2016</v>
      </c>
      <c r="B147" t="s">
        <v>1429</v>
      </c>
      <c r="C147" t="s">
        <v>1431</v>
      </c>
      <c r="D147" t="s">
        <v>1433</v>
      </c>
      <c r="E147" t="s">
        <v>7</v>
      </c>
      <c r="F147" t="s">
        <v>510</v>
      </c>
      <c r="G147" s="28">
        <v>463423</v>
      </c>
      <c r="H147">
        <v>0</v>
      </c>
      <c r="I147" s="29">
        <f t="shared" si="2"/>
        <v>463423</v>
      </c>
      <c r="J147">
        <f>IFERROR(VLOOKUP(E147,'LEAID Match'!$A$2:$B$168,2,FALSE),"")</f>
        <v>3301620</v>
      </c>
    </row>
    <row r="148" spans="1:10">
      <c r="A148">
        <v>2017</v>
      </c>
      <c r="B148" t="s">
        <v>1429</v>
      </c>
      <c r="C148" t="s">
        <v>1431</v>
      </c>
      <c r="D148" t="s">
        <v>1433</v>
      </c>
      <c r="E148" t="s">
        <v>7</v>
      </c>
      <c r="F148" t="s">
        <v>510</v>
      </c>
      <c r="G148" s="28">
        <v>452795</v>
      </c>
      <c r="H148">
        <v>0</v>
      </c>
      <c r="I148" s="29">
        <f t="shared" si="2"/>
        <v>452795</v>
      </c>
      <c r="J148">
        <f>IFERROR(VLOOKUP(E148,'LEAID Match'!$A$2:$B$168,2,FALSE),"")</f>
        <v>3301620</v>
      </c>
    </row>
    <row r="149" spans="1:10">
      <c r="A149" s="27">
        <v>2018</v>
      </c>
      <c r="B149" t="s">
        <v>1429</v>
      </c>
      <c r="C149" t="s">
        <v>1431</v>
      </c>
      <c r="D149" t="s">
        <v>1433</v>
      </c>
      <c r="E149" t="s">
        <v>7</v>
      </c>
      <c r="F149" s="9" t="s">
        <v>510</v>
      </c>
      <c r="G149" s="18">
        <v>519474</v>
      </c>
      <c r="H149">
        <v>0</v>
      </c>
      <c r="I149" s="29">
        <f t="shared" si="2"/>
        <v>519474</v>
      </c>
      <c r="J149">
        <f>IFERROR(VLOOKUP(E149,'LEAID Match'!$A$2:$B$168,2,FALSE),"")</f>
        <v>3301620</v>
      </c>
    </row>
    <row r="150" spans="1:10">
      <c r="A150">
        <v>2019</v>
      </c>
      <c r="B150" t="s">
        <v>1429</v>
      </c>
      <c r="C150" t="s">
        <v>1431</v>
      </c>
      <c r="D150" t="s">
        <v>1433</v>
      </c>
      <c r="E150" t="s">
        <v>7</v>
      </c>
      <c r="F150" s="9" t="s">
        <v>510</v>
      </c>
      <c r="G150" s="18">
        <v>558781</v>
      </c>
      <c r="H150">
        <v>0</v>
      </c>
      <c r="I150" s="29">
        <f t="shared" si="2"/>
        <v>558781</v>
      </c>
      <c r="J150">
        <f>IFERROR(VLOOKUP(E150,'LEAID Match'!$A$2:$B$168,2,FALSE),"")</f>
        <v>3301620</v>
      </c>
    </row>
    <row r="151" spans="1:10">
      <c r="A151" s="27">
        <v>2020</v>
      </c>
      <c r="B151" t="s">
        <v>1429</v>
      </c>
      <c r="C151" t="s">
        <v>1431</v>
      </c>
      <c r="D151" t="s">
        <v>1433</v>
      </c>
      <c r="E151" t="s">
        <v>7</v>
      </c>
      <c r="F151" s="9" t="s">
        <v>7</v>
      </c>
      <c r="G151" s="18">
        <v>628826</v>
      </c>
      <c r="H151">
        <v>0</v>
      </c>
      <c r="I151" s="29">
        <f t="shared" si="2"/>
        <v>628826</v>
      </c>
      <c r="J151">
        <f>IFERROR(VLOOKUP(E151,'LEAID Match'!$A$2:$B$168,2,FALSE),"")</f>
        <v>3301620</v>
      </c>
    </row>
    <row r="152" spans="1:10">
      <c r="A152">
        <v>2021</v>
      </c>
      <c r="B152" t="s">
        <v>1429</v>
      </c>
      <c r="C152" t="s">
        <v>1431</v>
      </c>
      <c r="D152" t="s">
        <v>1433</v>
      </c>
      <c r="E152" t="s">
        <v>7</v>
      </c>
      <c r="F152" s="9" t="s">
        <v>7</v>
      </c>
      <c r="G152" s="18">
        <v>643935</v>
      </c>
      <c r="H152">
        <v>0</v>
      </c>
      <c r="I152" s="29">
        <f t="shared" si="2"/>
        <v>643935</v>
      </c>
      <c r="J152">
        <f>IFERROR(VLOOKUP(E152,'LEAID Match'!$A$2:$B$168,2,FALSE),"")</f>
        <v>3301620</v>
      </c>
    </row>
    <row r="153" spans="1:10">
      <c r="A153">
        <v>2022</v>
      </c>
      <c r="B153" t="s">
        <v>1429</v>
      </c>
      <c r="C153" t="s">
        <v>1431</v>
      </c>
      <c r="D153" t="s">
        <v>1433</v>
      </c>
      <c r="E153" t="s">
        <v>7</v>
      </c>
      <c r="F153" s="9" t="s">
        <v>7</v>
      </c>
      <c r="G153" s="18">
        <v>786707</v>
      </c>
      <c r="H153">
        <v>0</v>
      </c>
      <c r="I153" s="29">
        <f t="shared" si="2"/>
        <v>786707</v>
      </c>
      <c r="J153">
        <f>IFERROR(VLOOKUP(E153,'LEAID Match'!$A$2:$B$168,2,FALSE),"")</f>
        <v>3301620</v>
      </c>
    </row>
    <row r="154" spans="1:10">
      <c r="A154">
        <v>2023</v>
      </c>
      <c r="B154" t="s">
        <v>1429</v>
      </c>
      <c r="C154" t="s">
        <v>1431</v>
      </c>
      <c r="D154" t="s">
        <v>1433</v>
      </c>
      <c r="E154" t="s">
        <v>7</v>
      </c>
      <c r="F154" t="s">
        <v>7</v>
      </c>
      <c r="G154" s="28">
        <v>680775</v>
      </c>
      <c r="H154">
        <v>0</v>
      </c>
      <c r="I154" s="29">
        <f t="shared" si="2"/>
        <v>680775</v>
      </c>
      <c r="J154">
        <f>IFERROR(VLOOKUP(E154,'LEAID Match'!$A$2:$B$168,2,FALSE),"")</f>
        <v>3301620</v>
      </c>
    </row>
    <row r="155" spans="1:10">
      <c r="A155">
        <v>2015</v>
      </c>
      <c r="B155" t="s">
        <v>1429</v>
      </c>
      <c r="C155" t="s">
        <v>1431</v>
      </c>
      <c r="D155" t="s">
        <v>1433</v>
      </c>
      <c r="E155" t="s">
        <v>511</v>
      </c>
      <c r="F155" s="9" t="s">
        <v>967</v>
      </c>
      <c r="G155" s="18">
        <v>287738.90999999997</v>
      </c>
      <c r="H155">
        <v>0</v>
      </c>
      <c r="I155" s="29">
        <f t="shared" si="2"/>
        <v>287738.90999999997</v>
      </c>
      <c r="J155" t="str">
        <f>IFERROR(VLOOKUP(E155,'LEAID Match'!$A$2:$B$168,2,FALSE),"")</f>
        <v/>
      </c>
    </row>
    <row r="156" spans="1:10">
      <c r="A156">
        <v>2016</v>
      </c>
      <c r="B156" t="s">
        <v>1429</v>
      </c>
      <c r="C156" t="s">
        <v>1431</v>
      </c>
      <c r="D156" t="s">
        <v>1433</v>
      </c>
      <c r="E156" t="s">
        <v>511</v>
      </c>
      <c r="F156" t="s">
        <v>511</v>
      </c>
      <c r="G156" s="28">
        <v>303788</v>
      </c>
      <c r="H156">
        <v>0</v>
      </c>
      <c r="I156" s="29">
        <f t="shared" si="2"/>
        <v>303788</v>
      </c>
      <c r="J156" t="str">
        <f>IFERROR(VLOOKUP(E156,'LEAID Match'!$A$2:$B$168,2,FALSE),"")</f>
        <v/>
      </c>
    </row>
    <row r="157" spans="1:10">
      <c r="A157">
        <v>2017</v>
      </c>
      <c r="B157" t="s">
        <v>1429</v>
      </c>
      <c r="C157" t="s">
        <v>1431</v>
      </c>
      <c r="D157" t="s">
        <v>1433</v>
      </c>
      <c r="E157" t="s">
        <v>511</v>
      </c>
      <c r="F157" t="s">
        <v>511</v>
      </c>
      <c r="G157" s="28">
        <v>314328</v>
      </c>
      <c r="H157">
        <v>0</v>
      </c>
      <c r="I157" s="29">
        <f t="shared" si="2"/>
        <v>314328</v>
      </c>
      <c r="J157" t="str">
        <f>IFERROR(VLOOKUP(E157,'LEAID Match'!$A$2:$B$168,2,FALSE),"")</f>
        <v/>
      </c>
    </row>
    <row r="158" spans="1:10">
      <c r="A158" s="27">
        <v>2018</v>
      </c>
      <c r="B158" t="s">
        <v>1429</v>
      </c>
      <c r="C158" t="s">
        <v>1431</v>
      </c>
      <c r="D158" t="s">
        <v>1433</v>
      </c>
      <c r="E158" t="s">
        <v>511</v>
      </c>
      <c r="F158" s="9" t="s">
        <v>511</v>
      </c>
      <c r="G158" s="18">
        <v>335148</v>
      </c>
      <c r="H158">
        <v>0</v>
      </c>
      <c r="I158" s="29">
        <f t="shared" si="2"/>
        <v>335148</v>
      </c>
      <c r="J158" t="str">
        <f>IFERROR(VLOOKUP(E158,'LEAID Match'!$A$2:$B$168,2,FALSE),"")</f>
        <v/>
      </c>
    </row>
    <row r="159" spans="1:10">
      <c r="A159">
        <v>2019</v>
      </c>
      <c r="B159" t="s">
        <v>1429</v>
      </c>
      <c r="C159" t="s">
        <v>1431</v>
      </c>
      <c r="D159" t="s">
        <v>1433</v>
      </c>
      <c r="E159" t="s">
        <v>511</v>
      </c>
      <c r="F159" s="9" t="s">
        <v>511</v>
      </c>
      <c r="G159" s="18">
        <v>362696</v>
      </c>
      <c r="H159">
        <v>0</v>
      </c>
      <c r="I159" s="29">
        <f t="shared" si="2"/>
        <v>362696</v>
      </c>
      <c r="J159" t="str">
        <f>IFERROR(VLOOKUP(E159,'LEAID Match'!$A$2:$B$168,2,FALSE),"")</f>
        <v/>
      </c>
    </row>
    <row r="160" spans="1:10">
      <c r="A160">
        <v>2015</v>
      </c>
      <c r="B160" t="s">
        <v>1429</v>
      </c>
      <c r="C160" t="s">
        <v>1431</v>
      </c>
      <c r="D160" t="s">
        <v>1433</v>
      </c>
      <c r="E160" t="s">
        <v>8</v>
      </c>
      <c r="F160" s="9" t="s">
        <v>968</v>
      </c>
      <c r="G160" s="18">
        <v>778187.79</v>
      </c>
      <c r="H160">
        <v>0</v>
      </c>
      <c r="I160" s="29">
        <f t="shared" si="2"/>
        <v>778187.79</v>
      </c>
      <c r="J160">
        <f>IFERROR(VLOOKUP(E160,'LEAID Match'!$A$2:$B$168,2,FALSE),"")</f>
        <v>3301650</v>
      </c>
    </row>
    <row r="161" spans="1:10">
      <c r="A161">
        <v>2016</v>
      </c>
      <c r="B161" t="s">
        <v>1429</v>
      </c>
      <c r="C161" t="s">
        <v>1431</v>
      </c>
      <c r="D161" t="s">
        <v>1433</v>
      </c>
      <c r="E161" t="s">
        <v>8</v>
      </c>
      <c r="F161" t="s">
        <v>512</v>
      </c>
      <c r="G161" s="28">
        <v>838784</v>
      </c>
      <c r="H161">
        <v>0</v>
      </c>
      <c r="I161" s="29">
        <f t="shared" si="2"/>
        <v>838784</v>
      </c>
      <c r="J161">
        <f>IFERROR(VLOOKUP(E161,'LEAID Match'!$A$2:$B$168,2,FALSE),"")</f>
        <v>3301650</v>
      </c>
    </row>
    <row r="162" spans="1:10">
      <c r="A162">
        <v>2017</v>
      </c>
      <c r="B162" t="s">
        <v>1429</v>
      </c>
      <c r="C162" t="s">
        <v>1431</v>
      </c>
      <c r="D162" t="s">
        <v>1433</v>
      </c>
      <c r="E162" t="s">
        <v>8</v>
      </c>
      <c r="F162" t="s">
        <v>512</v>
      </c>
      <c r="G162" s="28">
        <v>901065</v>
      </c>
      <c r="H162">
        <v>0</v>
      </c>
      <c r="I162" s="29">
        <f t="shared" si="2"/>
        <v>901065</v>
      </c>
      <c r="J162">
        <f>IFERROR(VLOOKUP(E162,'LEAID Match'!$A$2:$B$168,2,FALSE),"")</f>
        <v>3301650</v>
      </c>
    </row>
    <row r="163" spans="1:10">
      <c r="A163" s="27">
        <v>2018</v>
      </c>
      <c r="B163" t="s">
        <v>1429</v>
      </c>
      <c r="C163" t="s">
        <v>1431</v>
      </c>
      <c r="D163" t="s">
        <v>1433</v>
      </c>
      <c r="E163" t="s">
        <v>8</v>
      </c>
      <c r="F163" s="9" t="s">
        <v>512</v>
      </c>
      <c r="G163" s="18">
        <v>1070439</v>
      </c>
      <c r="H163">
        <v>0</v>
      </c>
      <c r="I163" s="29">
        <f t="shared" si="2"/>
        <v>1070439</v>
      </c>
      <c r="J163">
        <f>IFERROR(VLOOKUP(E163,'LEAID Match'!$A$2:$B$168,2,FALSE),"")</f>
        <v>3301650</v>
      </c>
    </row>
    <row r="164" spans="1:10">
      <c r="A164">
        <v>2019</v>
      </c>
      <c r="B164" t="s">
        <v>1429</v>
      </c>
      <c r="C164" t="s">
        <v>1431</v>
      </c>
      <c r="D164" t="s">
        <v>1433</v>
      </c>
      <c r="E164" t="s">
        <v>8</v>
      </c>
      <c r="F164" s="9" t="s">
        <v>512</v>
      </c>
      <c r="G164" s="18">
        <v>1110657</v>
      </c>
      <c r="H164">
        <v>0</v>
      </c>
      <c r="I164" s="29">
        <f t="shared" si="2"/>
        <v>1110657</v>
      </c>
      <c r="J164">
        <f>IFERROR(VLOOKUP(E164,'LEAID Match'!$A$2:$B$168,2,FALSE),"")</f>
        <v>3301650</v>
      </c>
    </row>
    <row r="165" spans="1:10">
      <c r="A165" s="27">
        <v>2020</v>
      </c>
      <c r="B165" t="s">
        <v>1429</v>
      </c>
      <c r="C165" t="s">
        <v>1431</v>
      </c>
      <c r="D165" t="s">
        <v>1433</v>
      </c>
      <c r="E165" t="s">
        <v>8</v>
      </c>
      <c r="F165" s="9" t="s">
        <v>8</v>
      </c>
      <c r="G165" s="18">
        <v>1170380</v>
      </c>
      <c r="H165">
        <v>0</v>
      </c>
      <c r="I165" s="29">
        <f t="shared" si="2"/>
        <v>1170380</v>
      </c>
      <c r="J165">
        <f>IFERROR(VLOOKUP(E165,'LEAID Match'!$A$2:$B$168,2,FALSE),"")</f>
        <v>3301650</v>
      </c>
    </row>
    <row r="166" spans="1:10">
      <c r="A166">
        <v>2021</v>
      </c>
      <c r="B166" t="s">
        <v>1429</v>
      </c>
      <c r="C166" t="s">
        <v>1431</v>
      </c>
      <c r="D166" t="s">
        <v>1433</v>
      </c>
      <c r="E166" t="s">
        <v>8</v>
      </c>
      <c r="F166" s="9" t="s">
        <v>8</v>
      </c>
      <c r="G166" s="18">
        <v>1209681</v>
      </c>
      <c r="H166">
        <v>0</v>
      </c>
      <c r="I166" s="29">
        <f t="shared" si="2"/>
        <v>1209681</v>
      </c>
      <c r="J166">
        <f>IFERROR(VLOOKUP(E166,'LEAID Match'!$A$2:$B$168,2,FALSE),"")</f>
        <v>3301650</v>
      </c>
    </row>
    <row r="167" spans="1:10">
      <c r="A167">
        <v>2022</v>
      </c>
      <c r="B167" t="s">
        <v>1429</v>
      </c>
      <c r="C167" t="s">
        <v>1431</v>
      </c>
      <c r="D167" t="s">
        <v>1433</v>
      </c>
      <c r="E167" t="s">
        <v>8</v>
      </c>
      <c r="F167" s="9" t="s">
        <v>8</v>
      </c>
      <c r="G167" s="18">
        <v>1567097</v>
      </c>
      <c r="H167">
        <v>0</v>
      </c>
      <c r="I167" s="29">
        <f t="shared" si="2"/>
        <v>1567097</v>
      </c>
      <c r="J167">
        <f>IFERROR(VLOOKUP(E167,'LEAID Match'!$A$2:$B$168,2,FALSE),"")</f>
        <v>3301650</v>
      </c>
    </row>
    <row r="168" spans="1:10">
      <c r="A168">
        <v>2023</v>
      </c>
      <c r="B168" t="s">
        <v>1429</v>
      </c>
      <c r="C168" t="s">
        <v>1431</v>
      </c>
      <c r="D168" t="s">
        <v>1433</v>
      </c>
      <c r="E168" t="s">
        <v>8</v>
      </c>
      <c r="F168" t="s">
        <v>8</v>
      </c>
      <c r="G168" s="28">
        <v>1623198</v>
      </c>
      <c r="H168">
        <v>0</v>
      </c>
      <c r="I168" s="29">
        <f t="shared" si="2"/>
        <v>1623198</v>
      </c>
      <c r="J168">
        <f>IFERROR(VLOOKUP(E168,'LEAID Match'!$A$2:$B$168,2,FALSE),"")</f>
        <v>3301650</v>
      </c>
    </row>
    <row r="169" spans="1:10">
      <c r="A169">
        <v>2015</v>
      </c>
      <c r="B169" t="s">
        <v>1429</v>
      </c>
      <c r="C169" t="s">
        <v>1431</v>
      </c>
      <c r="D169" t="s">
        <v>1433</v>
      </c>
      <c r="E169" t="s">
        <v>513</v>
      </c>
      <c r="F169" s="9" t="s">
        <v>969</v>
      </c>
      <c r="G169" s="18">
        <v>30871.53</v>
      </c>
      <c r="H169">
        <v>0</v>
      </c>
      <c r="I169" s="29">
        <f t="shared" si="2"/>
        <v>30871.53</v>
      </c>
      <c r="J169" t="str">
        <f>IFERROR(VLOOKUP(E169,'LEAID Match'!$A$2:$B$168,2,FALSE),"")</f>
        <v/>
      </c>
    </row>
    <row r="170" spans="1:10">
      <c r="A170">
        <v>2016</v>
      </c>
      <c r="B170" t="s">
        <v>1429</v>
      </c>
      <c r="C170" t="s">
        <v>1431</v>
      </c>
      <c r="D170" t="s">
        <v>1433</v>
      </c>
      <c r="E170" t="s">
        <v>513</v>
      </c>
      <c r="F170" t="s">
        <v>513</v>
      </c>
      <c r="G170" s="28">
        <v>35114</v>
      </c>
      <c r="H170">
        <v>0</v>
      </c>
      <c r="I170" s="29">
        <f t="shared" si="2"/>
        <v>35114</v>
      </c>
      <c r="J170" t="str">
        <f>IFERROR(VLOOKUP(E170,'LEAID Match'!$A$2:$B$168,2,FALSE),"")</f>
        <v/>
      </c>
    </row>
    <row r="171" spans="1:10">
      <c r="A171">
        <v>2017</v>
      </c>
      <c r="B171" t="s">
        <v>1429</v>
      </c>
      <c r="C171" t="s">
        <v>1431</v>
      </c>
      <c r="D171" t="s">
        <v>1433</v>
      </c>
      <c r="E171" t="s">
        <v>513</v>
      </c>
      <c r="F171" t="s">
        <v>513</v>
      </c>
      <c r="G171" s="28">
        <v>51947</v>
      </c>
      <c r="H171">
        <v>0</v>
      </c>
      <c r="I171" s="29">
        <f t="shared" si="2"/>
        <v>51947</v>
      </c>
      <c r="J171" t="str">
        <f>IFERROR(VLOOKUP(E171,'LEAID Match'!$A$2:$B$168,2,FALSE),"")</f>
        <v/>
      </c>
    </row>
    <row r="172" spans="1:10">
      <c r="A172" s="27">
        <v>2018</v>
      </c>
      <c r="B172" t="s">
        <v>1429</v>
      </c>
      <c r="C172" t="s">
        <v>1431</v>
      </c>
      <c r="D172" t="s">
        <v>1433</v>
      </c>
      <c r="E172" t="s">
        <v>513</v>
      </c>
      <c r="F172" s="9" t="s">
        <v>513</v>
      </c>
      <c r="G172" s="18">
        <v>54719</v>
      </c>
      <c r="H172">
        <v>0</v>
      </c>
      <c r="I172" s="29">
        <f t="shared" si="2"/>
        <v>54719</v>
      </c>
      <c r="J172" t="str">
        <f>IFERROR(VLOOKUP(E172,'LEAID Match'!$A$2:$B$168,2,FALSE),"")</f>
        <v/>
      </c>
    </row>
    <row r="173" spans="1:10">
      <c r="A173">
        <v>2019</v>
      </c>
      <c r="B173" t="s">
        <v>1429</v>
      </c>
      <c r="C173" t="s">
        <v>1431</v>
      </c>
      <c r="D173" t="s">
        <v>1433</v>
      </c>
      <c r="E173" t="s">
        <v>513</v>
      </c>
      <c r="F173" s="9" t="s">
        <v>513</v>
      </c>
      <c r="G173" s="18">
        <v>66896</v>
      </c>
      <c r="H173">
        <v>0</v>
      </c>
      <c r="I173" s="29">
        <f t="shared" si="2"/>
        <v>66896</v>
      </c>
      <c r="J173" t="str">
        <f>IFERROR(VLOOKUP(E173,'LEAID Match'!$A$2:$B$168,2,FALSE),"")</f>
        <v/>
      </c>
    </row>
    <row r="174" spans="1:10">
      <c r="A174">
        <v>2015</v>
      </c>
      <c r="B174" t="s">
        <v>1429</v>
      </c>
      <c r="C174" t="s">
        <v>1431</v>
      </c>
      <c r="D174" t="s">
        <v>1433</v>
      </c>
      <c r="E174" t="s">
        <v>9</v>
      </c>
      <c r="F174" s="9" t="s">
        <v>970</v>
      </c>
      <c r="G174" s="18">
        <v>286674.08</v>
      </c>
      <c r="H174">
        <v>0</v>
      </c>
      <c r="I174" s="29">
        <f t="shared" si="2"/>
        <v>286674.08</v>
      </c>
      <c r="J174">
        <f>IFERROR(VLOOKUP(E174,'LEAID Match'!$A$2:$B$168,2,FALSE),"")</f>
        <v>3301680</v>
      </c>
    </row>
    <row r="175" spans="1:10">
      <c r="A175">
        <v>2016</v>
      </c>
      <c r="B175" t="s">
        <v>1429</v>
      </c>
      <c r="C175" t="s">
        <v>1431</v>
      </c>
      <c r="D175" t="s">
        <v>1433</v>
      </c>
      <c r="E175" t="s">
        <v>9</v>
      </c>
      <c r="F175" t="s">
        <v>514</v>
      </c>
      <c r="G175" s="28">
        <v>313225</v>
      </c>
      <c r="H175">
        <v>0</v>
      </c>
      <c r="I175" s="29">
        <f t="shared" si="2"/>
        <v>313225</v>
      </c>
      <c r="J175">
        <f>IFERROR(VLOOKUP(E175,'LEAID Match'!$A$2:$B$168,2,FALSE),"")</f>
        <v>3301680</v>
      </c>
    </row>
    <row r="176" spans="1:10">
      <c r="A176">
        <v>2017</v>
      </c>
      <c r="B176" t="s">
        <v>1429</v>
      </c>
      <c r="C176" t="s">
        <v>1431</v>
      </c>
      <c r="D176" t="s">
        <v>1433</v>
      </c>
      <c r="E176" t="s">
        <v>9</v>
      </c>
      <c r="F176" t="s">
        <v>514</v>
      </c>
      <c r="G176" s="28">
        <v>296602</v>
      </c>
      <c r="H176">
        <v>0</v>
      </c>
      <c r="I176" s="29">
        <f t="shared" si="2"/>
        <v>296602</v>
      </c>
      <c r="J176">
        <f>IFERROR(VLOOKUP(E176,'LEAID Match'!$A$2:$B$168,2,FALSE),"")</f>
        <v>3301680</v>
      </c>
    </row>
    <row r="177" spans="1:10">
      <c r="A177" s="27">
        <v>2018</v>
      </c>
      <c r="B177" t="s">
        <v>1429</v>
      </c>
      <c r="C177" t="s">
        <v>1431</v>
      </c>
      <c r="D177" t="s">
        <v>1433</v>
      </c>
      <c r="E177" t="s">
        <v>9</v>
      </c>
      <c r="F177" s="9" t="s">
        <v>514</v>
      </c>
      <c r="G177" s="18">
        <v>373988</v>
      </c>
      <c r="H177">
        <v>0</v>
      </c>
      <c r="I177" s="29">
        <f t="shared" si="2"/>
        <v>373988</v>
      </c>
      <c r="J177">
        <f>IFERROR(VLOOKUP(E177,'LEAID Match'!$A$2:$B$168,2,FALSE),"")</f>
        <v>3301680</v>
      </c>
    </row>
    <row r="178" spans="1:10">
      <c r="A178">
        <v>2019</v>
      </c>
      <c r="B178" t="s">
        <v>1429</v>
      </c>
      <c r="C178" t="s">
        <v>1431</v>
      </c>
      <c r="D178" t="s">
        <v>1433</v>
      </c>
      <c r="E178" t="s">
        <v>9</v>
      </c>
      <c r="F178" s="9" t="s">
        <v>514</v>
      </c>
      <c r="G178" s="18">
        <v>370715</v>
      </c>
      <c r="H178">
        <v>0</v>
      </c>
      <c r="I178" s="29">
        <f t="shared" si="2"/>
        <v>370715</v>
      </c>
      <c r="J178">
        <f>IFERROR(VLOOKUP(E178,'LEAID Match'!$A$2:$B$168,2,FALSE),"")</f>
        <v>3301680</v>
      </c>
    </row>
    <row r="179" spans="1:10">
      <c r="A179" s="27">
        <v>2020</v>
      </c>
      <c r="B179" t="s">
        <v>1429</v>
      </c>
      <c r="C179" t="s">
        <v>1431</v>
      </c>
      <c r="D179" t="s">
        <v>1433</v>
      </c>
      <c r="E179" t="s">
        <v>9</v>
      </c>
      <c r="F179" s="9" t="s">
        <v>9</v>
      </c>
      <c r="G179" s="18">
        <v>382434</v>
      </c>
      <c r="H179">
        <v>0</v>
      </c>
      <c r="I179" s="29">
        <f t="shared" si="2"/>
        <v>382434</v>
      </c>
      <c r="J179">
        <f>IFERROR(VLOOKUP(E179,'LEAID Match'!$A$2:$B$168,2,FALSE),"")</f>
        <v>3301680</v>
      </c>
    </row>
    <row r="180" spans="1:10">
      <c r="A180">
        <v>2021</v>
      </c>
      <c r="B180" t="s">
        <v>1429</v>
      </c>
      <c r="C180" t="s">
        <v>1431</v>
      </c>
      <c r="D180" t="s">
        <v>1433</v>
      </c>
      <c r="E180" t="s">
        <v>9</v>
      </c>
      <c r="F180" s="9" t="s">
        <v>9</v>
      </c>
      <c r="G180" s="18">
        <v>391006</v>
      </c>
      <c r="H180">
        <v>0</v>
      </c>
      <c r="I180" s="29">
        <f t="shared" si="2"/>
        <v>391006</v>
      </c>
      <c r="J180">
        <f>IFERROR(VLOOKUP(E180,'LEAID Match'!$A$2:$B$168,2,FALSE),"")</f>
        <v>3301680</v>
      </c>
    </row>
    <row r="181" spans="1:10">
      <c r="A181">
        <v>2022</v>
      </c>
      <c r="B181" t="s">
        <v>1429</v>
      </c>
      <c r="C181" t="s">
        <v>1431</v>
      </c>
      <c r="D181" t="s">
        <v>1433</v>
      </c>
      <c r="E181" t="s">
        <v>9</v>
      </c>
      <c r="F181" s="9" t="s">
        <v>9</v>
      </c>
      <c r="G181" s="18">
        <v>479290</v>
      </c>
      <c r="H181">
        <v>0</v>
      </c>
      <c r="I181" s="29">
        <f t="shared" si="2"/>
        <v>479290</v>
      </c>
      <c r="J181">
        <f>IFERROR(VLOOKUP(E181,'LEAID Match'!$A$2:$B$168,2,FALSE),"")</f>
        <v>3301680</v>
      </c>
    </row>
    <row r="182" spans="1:10">
      <c r="A182">
        <v>2023</v>
      </c>
      <c r="B182" t="s">
        <v>1429</v>
      </c>
      <c r="C182" t="s">
        <v>1431</v>
      </c>
      <c r="D182" t="s">
        <v>1433</v>
      </c>
      <c r="E182" t="s">
        <v>9</v>
      </c>
      <c r="F182" t="s">
        <v>9</v>
      </c>
      <c r="G182" s="28">
        <v>415676</v>
      </c>
      <c r="H182">
        <v>0</v>
      </c>
      <c r="I182" s="29">
        <f t="shared" si="2"/>
        <v>415676</v>
      </c>
      <c r="J182">
        <f>IFERROR(VLOOKUP(E182,'LEAID Match'!$A$2:$B$168,2,FALSE),"")</f>
        <v>3301680</v>
      </c>
    </row>
    <row r="183" spans="1:10">
      <c r="A183">
        <v>2015</v>
      </c>
      <c r="B183" t="s">
        <v>1429</v>
      </c>
      <c r="C183" t="s">
        <v>1431</v>
      </c>
      <c r="D183" t="s">
        <v>1433</v>
      </c>
      <c r="E183" t="s">
        <v>10</v>
      </c>
      <c r="F183" s="9" t="s">
        <v>971</v>
      </c>
      <c r="G183" s="18">
        <v>55860.04</v>
      </c>
      <c r="H183">
        <v>0</v>
      </c>
      <c r="I183" s="29">
        <f t="shared" si="2"/>
        <v>55860.04</v>
      </c>
      <c r="J183">
        <f>IFERROR(VLOOKUP(E183,'LEAID Match'!$A$2:$B$168,2,FALSE),"")</f>
        <v>3301710</v>
      </c>
    </row>
    <row r="184" spans="1:10">
      <c r="A184">
        <v>2016</v>
      </c>
      <c r="B184" t="s">
        <v>1429</v>
      </c>
      <c r="C184" t="s">
        <v>1431</v>
      </c>
      <c r="D184" t="s">
        <v>1433</v>
      </c>
      <c r="E184" t="s">
        <v>10</v>
      </c>
      <c r="F184" t="s">
        <v>515</v>
      </c>
      <c r="G184" s="28">
        <v>61875</v>
      </c>
      <c r="H184">
        <v>0</v>
      </c>
      <c r="I184" s="29">
        <f t="shared" si="2"/>
        <v>61875</v>
      </c>
      <c r="J184">
        <f>IFERROR(VLOOKUP(E184,'LEAID Match'!$A$2:$B$168,2,FALSE),"")</f>
        <v>3301710</v>
      </c>
    </row>
    <row r="185" spans="1:10">
      <c r="A185">
        <v>2017</v>
      </c>
      <c r="B185" t="s">
        <v>1429</v>
      </c>
      <c r="C185" t="s">
        <v>1431</v>
      </c>
      <c r="D185" t="s">
        <v>1433</v>
      </c>
      <c r="E185" t="s">
        <v>10</v>
      </c>
      <c r="F185" t="s">
        <v>515</v>
      </c>
      <c r="G185" s="28">
        <v>62850</v>
      </c>
      <c r="H185">
        <v>0</v>
      </c>
      <c r="I185" s="29">
        <f t="shared" si="2"/>
        <v>62850</v>
      </c>
      <c r="J185">
        <f>IFERROR(VLOOKUP(E185,'LEAID Match'!$A$2:$B$168,2,FALSE),"")</f>
        <v>3301710</v>
      </c>
    </row>
    <row r="186" spans="1:10">
      <c r="A186" s="27">
        <v>2018</v>
      </c>
      <c r="B186" t="s">
        <v>1429</v>
      </c>
      <c r="C186" t="s">
        <v>1431</v>
      </c>
      <c r="D186" t="s">
        <v>1433</v>
      </c>
      <c r="E186" t="s">
        <v>10</v>
      </c>
      <c r="F186" s="9" t="s">
        <v>515</v>
      </c>
      <c r="G186" s="18">
        <v>77720</v>
      </c>
      <c r="H186">
        <v>0</v>
      </c>
      <c r="I186" s="29">
        <f t="shared" si="2"/>
        <v>77720</v>
      </c>
      <c r="J186">
        <f>IFERROR(VLOOKUP(E186,'LEAID Match'!$A$2:$B$168,2,FALSE),"")</f>
        <v>3301710</v>
      </c>
    </row>
    <row r="187" spans="1:10">
      <c r="A187">
        <v>2019</v>
      </c>
      <c r="B187" t="s">
        <v>1429</v>
      </c>
      <c r="C187" t="s">
        <v>1431</v>
      </c>
      <c r="D187" t="s">
        <v>1433</v>
      </c>
      <c r="E187" t="s">
        <v>10</v>
      </c>
      <c r="F187" s="9" t="s">
        <v>515</v>
      </c>
      <c r="G187" s="18">
        <v>82651</v>
      </c>
      <c r="H187">
        <v>0</v>
      </c>
      <c r="I187" s="29">
        <f t="shared" si="2"/>
        <v>82651</v>
      </c>
      <c r="J187">
        <f>IFERROR(VLOOKUP(E187,'LEAID Match'!$A$2:$B$168,2,FALSE),"")</f>
        <v>3301710</v>
      </c>
    </row>
    <row r="188" spans="1:10">
      <c r="A188" s="27">
        <v>2020</v>
      </c>
      <c r="B188" t="s">
        <v>1429</v>
      </c>
      <c r="C188" t="s">
        <v>1431</v>
      </c>
      <c r="D188" t="s">
        <v>1433</v>
      </c>
      <c r="E188" t="s">
        <v>10</v>
      </c>
      <c r="F188" s="9" t="s">
        <v>10</v>
      </c>
      <c r="G188" s="18">
        <v>88973</v>
      </c>
      <c r="H188">
        <v>0</v>
      </c>
      <c r="I188" s="29">
        <f t="shared" si="2"/>
        <v>88973</v>
      </c>
      <c r="J188">
        <f>IFERROR(VLOOKUP(E188,'LEAID Match'!$A$2:$B$168,2,FALSE),"")</f>
        <v>3301710</v>
      </c>
    </row>
    <row r="189" spans="1:10">
      <c r="A189">
        <v>2021</v>
      </c>
      <c r="B189" t="s">
        <v>1429</v>
      </c>
      <c r="C189" t="s">
        <v>1431</v>
      </c>
      <c r="D189" t="s">
        <v>1433</v>
      </c>
      <c r="E189" t="s">
        <v>10</v>
      </c>
      <c r="F189" s="9" t="s">
        <v>10</v>
      </c>
      <c r="G189" s="18">
        <v>95874</v>
      </c>
      <c r="H189">
        <v>0</v>
      </c>
      <c r="I189" s="29">
        <f t="shared" si="2"/>
        <v>95874</v>
      </c>
      <c r="J189">
        <f>IFERROR(VLOOKUP(E189,'LEAID Match'!$A$2:$B$168,2,FALSE),"")</f>
        <v>3301710</v>
      </c>
    </row>
    <row r="190" spans="1:10">
      <c r="A190">
        <v>2022</v>
      </c>
      <c r="B190" t="s">
        <v>1429</v>
      </c>
      <c r="C190" t="s">
        <v>1431</v>
      </c>
      <c r="D190" t="s">
        <v>1433</v>
      </c>
      <c r="E190" t="s">
        <v>10</v>
      </c>
      <c r="F190" s="9" t="s">
        <v>10</v>
      </c>
      <c r="G190" s="18">
        <v>125648</v>
      </c>
      <c r="H190">
        <v>0</v>
      </c>
      <c r="I190" s="29">
        <f t="shared" si="2"/>
        <v>125648</v>
      </c>
      <c r="J190">
        <f>IFERROR(VLOOKUP(E190,'LEAID Match'!$A$2:$B$168,2,FALSE),"")</f>
        <v>3301710</v>
      </c>
    </row>
    <row r="191" spans="1:10">
      <c r="A191">
        <v>2023</v>
      </c>
      <c r="B191" t="s">
        <v>1429</v>
      </c>
      <c r="C191" t="s">
        <v>1431</v>
      </c>
      <c r="D191" t="s">
        <v>1433</v>
      </c>
      <c r="E191" t="s">
        <v>10</v>
      </c>
      <c r="F191" t="s">
        <v>10</v>
      </c>
      <c r="G191" s="28">
        <v>120388</v>
      </c>
      <c r="H191">
        <v>0</v>
      </c>
      <c r="I191" s="29">
        <f t="shared" si="2"/>
        <v>120388</v>
      </c>
      <c r="J191">
        <f>IFERROR(VLOOKUP(E191,'LEAID Match'!$A$2:$B$168,2,FALSE),"")</f>
        <v>3301710</v>
      </c>
    </row>
    <row r="192" spans="1:10">
      <c r="A192">
        <v>2015</v>
      </c>
      <c r="B192" t="s">
        <v>1429</v>
      </c>
      <c r="C192" t="s">
        <v>1431</v>
      </c>
      <c r="D192" t="s">
        <v>1433</v>
      </c>
      <c r="E192" t="s">
        <v>11</v>
      </c>
      <c r="F192" s="9" t="s">
        <v>972</v>
      </c>
      <c r="G192" s="18">
        <v>36386.78</v>
      </c>
      <c r="H192">
        <v>0</v>
      </c>
      <c r="I192" s="29">
        <f t="shared" si="2"/>
        <v>36386.78</v>
      </c>
      <c r="J192" t="str">
        <f>IFERROR(VLOOKUP(E192,'LEAID Match'!$A$2:$B$168,2,FALSE),"")</f>
        <v/>
      </c>
    </row>
    <row r="193" spans="1:10">
      <c r="A193">
        <v>2016</v>
      </c>
      <c r="B193" t="s">
        <v>1429</v>
      </c>
      <c r="C193" t="s">
        <v>1431</v>
      </c>
      <c r="D193" t="s">
        <v>1433</v>
      </c>
      <c r="E193" t="s">
        <v>11</v>
      </c>
      <c r="F193" t="s">
        <v>11</v>
      </c>
      <c r="G193" s="28">
        <v>39879</v>
      </c>
      <c r="H193">
        <v>0</v>
      </c>
      <c r="I193" s="29">
        <f t="shared" si="2"/>
        <v>39879</v>
      </c>
      <c r="J193" t="str">
        <f>IFERROR(VLOOKUP(E193,'LEAID Match'!$A$2:$B$168,2,FALSE),"")</f>
        <v/>
      </c>
    </row>
    <row r="194" spans="1:10">
      <c r="A194">
        <v>2017</v>
      </c>
      <c r="B194" t="s">
        <v>1429</v>
      </c>
      <c r="C194" t="s">
        <v>1431</v>
      </c>
      <c r="D194" t="s">
        <v>1433</v>
      </c>
      <c r="E194" t="s">
        <v>11</v>
      </c>
      <c r="F194" t="s">
        <v>11</v>
      </c>
      <c r="G194" s="28">
        <v>40554</v>
      </c>
      <c r="H194">
        <v>0</v>
      </c>
      <c r="I194" s="29">
        <f t="shared" si="2"/>
        <v>40554</v>
      </c>
      <c r="J194" t="str">
        <f>IFERROR(VLOOKUP(E194,'LEAID Match'!$A$2:$B$168,2,FALSE),"")</f>
        <v/>
      </c>
    </row>
    <row r="195" spans="1:10">
      <c r="A195" s="27">
        <v>2018</v>
      </c>
      <c r="B195" t="s">
        <v>1429</v>
      </c>
      <c r="C195" t="s">
        <v>1431</v>
      </c>
      <c r="D195" t="s">
        <v>1433</v>
      </c>
      <c r="E195" t="s">
        <v>11</v>
      </c>
      <c r="F195" s="9" t="s">
        <v>11</v>
      </c>
      <c r="G195" s="18">
        <v>33315</v>
      </c>
      <c r="H195">
        <v>0</v>
      </c>
      <c r="I195" s="29">
        <f t="shared" ref="I195:I258" si="3">SUM(G195:H195)</f>
        <v>33315</v>
      </c>
      <c r="J195" t="str">
        <f>IFERROR(VLOOKUP(E195,'LEAID Match'!$A$2:$B$168,2,FALSE),"")</f>
        <v/>
      </c>
    </row>
    <row r="196" spans="1:10">
      <c r="A196">
        <v>2019</v>
      </c>
      <c r="B196" t="s">
        <v>1429</v>
      </c>
      <c r="C196" t="s">
        <v>1431</v>
      </c>
      <c r="D196" t="s">
        <v>1433</v>
      </c>
      <c r="E196" t="s">
        <v>11</v>
      </c>
      <c r="F196" s="9" t="s">
        <v>11</v>
      </c>
      <c r="G196" s="18">
        <v>30461</v>
      </c>
      <c r="H196">
        <v>0</v>
      </c>
      <c r="I196" s="29">
        <f t="shared" si="3"/>
        <v>30461</v>
      </c>
      <c r="J196" t="str">
        <f>IFERROR(VLOOKUP(E196,'LEAID Match'!$A$2:$B$168,2,FALSE),"")</f>
        <v/>
      </c>
    </row>
    <row r="197" spans="1:10">
      <c r="A197" s="27">
        <v>2020</v>
      </c>
      <c r="B197" t="s">
        <v>1429</v>
      </c>
      <c r="C197" t="s">
        <v>1431</v>
      </c>
      <c r="D197" t="s">
        <v>1433</v>
      </c>
      <c r="E197" t="s">
        <v>11</v>
      </c>
      <c r="F197" s="9" t="s">
        <v>11</v>
      </c>
      <c r="G197" s="18">
        <v>29679</v>
      </c>
      <c r="H197">
        <v>0</v>
      </c>
      <c r="I197" s="29">
        <f t="shared" si="3"/>
        <v>29679</v>
      </c>
      <c r="J197" t="str">
        <f>IFERROR(VLOOKUP(E197,'LEAID Match'!$A$2:$B$168,2,FALSE),"")</f>
        <v/>
      </c>
    </row>
    <row r="198" spans="1:10">
      <c r="A198">
        <v>2021</v>
      </c>
      <c r="B198" t="s">
        <v>1429</v>
      </c>
      <c r="C198" t="s">
        <v>1431</v>
      </c>
      <c r="D198" t="s">
        <v>1433</v>
      </c>
      <c r="E198" t="s">
        <v>11</v>
      </c>
      <c r="F198" s="9" t="s">
        <v>11</v>
      </c>
      <c r="G198" s="18">
        <v>22333</v>
      </c>
      <c r="H198">
        <v>0</v>
      </c>
      <c r="I198" s="29">
        <f t="shared" si="3"/>
        <v>22333</v>
      </c>
      <c r="J198" t="str">
        <f>IFERROR(VLOOKUP(E198,'LEAID Match'!$A$2:$B$168,2,FALSE),"")</f>
        <v/>
      </c>
    </row>
    <row r="199" spans="1:10">
      <c r="A199">
        <v>2022</v>
      </c>
      <c r="B199" t="s">
        <v>1429</v>
      </c>
      <c r="C199" t="s">
        <v>1431</v>
      </c>
      <c r="D199" t="s">
        <v>1433</v>
      </c>
      <c r="E199" t="s">
        <v>11</v>
      </c>
      <c r="F199" s="9" t="s">
        <v>11</v>
      </c>
      <c r="G199" s="18">
        <v>41869</v>
      </c>
      <c r="H199">
        <v>0</v>
      </c>
      <c r="I199" s="29">
        <f t="shared" si="3"/>
        <v>41869</v>
      </c>
      <c r="J199" t="str">
        <f>IFERROR(VLOOKUP(E199,'LEAID Match'!$A$2:$B$168,2,FALSE),"")</f>
        <v/>
      </c>
    </row>
    <row r="200" spans="1:10">
      <c r="A200">
        <v>2023</v>
      </c>
      <c r="B200" t="s">
        <v>1429</v>
      </c>
      <c r="C200" t="s">
        <v>1431</v>
      </c>
      <c r="D200" t="s">
        <v>1433</v>
      </c>
      <c r="E200" t="s">
        <v>11</v>
      </c>
      <c r="F200" t="s">
        <v>11</v>
      </c>
      <c r="G200" s="28">
        <v>45025</v>
      </c>
      <c r="H200">
        <v>0</v>
      </c>
      <c r="I200" s="29">
        <f t="shared" si="3"/>
        <v>45025</v>
      </c>
      <c r="J200" t="str">
        <f>IFERROR(VLOOKUP(E200,'LEAID Match'!$A$2:$B$168,2,FALSE),"")</f>
        <v/>
      </c>
    </row>
    <row r="201" spans="1:10">
      <c r="A201">
        <v>2015</v>
      </c>
      <c r="B201" t="s">
        <v>1429</v>
      </c>
      <c r="C201" t="s">
        <v>1431</v>
      </c>
      <c r="D201" t="s">
        <v>1433</v>
      </c>
      <c r="E201" t="s">
        <v>516</v>
      </c>
      <c r="F201" s="9" t="s">
        <v>973</v>
      </c>
      <c r="G201" s="18">
        <v>1398116.19</v>
      </c>
      <c r="H201">
        <v>0</v>
      </c>
      <c r="I201" s="29">
        <f t="shared" si="3"/>
        <v>1398116.19</v>
      </c>
      <c r="J201" t="str">
        <f>IFERROR(VLOOKUP(E201,'LEAID Match'!$A$2:$B$168,2,FALSE),"")</f>
        <v/>
      </c>
    </row>
    <row r="202" spans="1:10">
      <c r="A202">
        <v>2016</v>
      </c>
      <c r="B202" t="s">
        <v>1429</v>
      </c>
      <c r="C202" t="s">
        <v>1431</v>
      </c>
      <c r="D202" t="s">
        <v>1433</v>
      </c>
      <c r="E202" t="s">
        <v>516</v>
      </c>
      <c r="F202" t="s">
        <v>516</v>
      </c>
      <c r="G202" s="28">
        <v>1515039</v>
      </c>
      <c r="H202">
        <v>0</v>
      </c>
      <c r="I202" s="29">
        <f t="shared" si="3"/>
        <v>1515039</v>
      </c>
      <c r="J202" t="str">
        <f>IFERROR(VLOOKUP(E202,'LEAID Match'!$A$2:$B$168,2,FALSE),"")</f>
        <v/>
      </c>
    </row>
    <row r="203" spans="1:10">
      <c r="A203">
        <v>2017</v>
      </c>
      <c r="B203" t="s">
        <v>1429</v>
      </c>
      <c r="C203" t="s">
        <v>1431</v>
      </c>
      <c r="D203" t="s">
        <v>1433</v>
      </c>
      <c r="E203" t="s">
        <v>516</v>
      </c>
      <c r="F203" t="s">
        <v>516</v>
      </c>
      <c r="G203" s="28">
        <v>1656188</v>
      </c>
      <c r="H203">
        <v>0</v>
      </c>
      <c r="I203" s="29">
        <f t="shared" si="3"/>
        <v>1656188</v>
      </c>
      <c r="J203" t="str">
        <f>IFERROR(VLOOKUP(E203,'LEAID Match'!$A$2:$B$168,2,FALSE),"")</f>
        <v/>
      </c>
    </row>
    <row r="204" spans="1:10">
      <c r="A204" s="27">
        <v>2018</v>
      </c>
      <c r="B204" t="s">
        <v>1429</v>
      </c>
      <c r="C204" t="s">
        <v>1431</v>
      </c>
      <c r="D204" t="s">
        <v>1433</v>
      </c>
      <c r="E204" t="s">
        <v>516</v>
      </c>
      <c r="F204" s="9" t="s">
        <v>516</v>
      </c>
      <c r="G204" s="18">
        <v>1859338</v>
      </c>
      <c r="H204">
        <v>0</v>
      </c>
      <c r="I204" s="29">
        <f t="shared" si="3"/>
        <v>1859338</v>
      </c>
      <c r="J204" t="str">
        <f>IFERROR(VLOOKUP(E204,'LEAID Match'!$A$2:$B$168,2,FALSE),"")</f>
        <v/>
      </c>
    </row>
    <row r="205" spans="1:10">
      <c r="A205">
        <v>2019</v>
      </c>
      <c r="B205" t="s">
        <v>1429</v>
      </c>
      <c r="C205" t="s">
        <v>1431</v>
      </c>
      <c r="D205" t="s">
        <v>1433</v>
      </c>
      <c r="E205" t="s">
        <v>516</v>
      </c>
      <c r="F205" s="9" t="s">
        <v>516</v>
      </c>
      <c r="G205" s="18">
        <v>1926893</v>
      </c>
      <c r="H205">
        <v>0</v>
      </c>
      <c r="I205" s="29">
        <f t="shared" si="3"/>
        <v>1926893</v>
      </c>
      <c r="J205" t="str">
        <f>IFERROR(VLOOKUP(E205,'LEAID Match'!$A$2:$B$168,2,FALSE),"")</f>
        <v/>
      </c>
    </row>
    <row r="206" spans="1:10">
      <c r="A206" s="27">
        <v>2020</v>
      </c>
      <c r="B206" t="s">
        <v>1429</v>
      </c>
      <c r="C206" t="s">
        <v>1431</v>
      </c>
      <c r="D206" t="s">
        <v>1433</v>
      </c>
      <c r="E206" t="s">
        <v>12</v>
      </c>
      <c r="F206" s="9" t="s">
        <v>12</v>
      </c>
      <c r="G206" s="18">
        <v>4872213</v>
      </c>
      <c r="H206">
        <v>0</v>
      </c>
      <c r="I206" s="29">
        <f t="shared" si="3"/>
        <v>4872213</v>
      </c>
      <c r="J206">
        <f>IFERROR(VLOOKUP(E206,'LEAID Match'!$A$2:$B$168,2,FALSE),"")</f>
        <v>3301740</v>
      </c>
    </row>
    <row r="207" spans="1:10">
      <c r="A207">
        <v>2021</v>
      </c>
      <c r="B207" t="s">
        <v>1429</v>
      </c>
      <c r="C207" t="s">
        <v>1431</v>
      </c>
      <c r="D207" t="s">
        <v>1433</v>
      </c>
      <c r="E207" t="s">
        <v>12</v>
      </c>
      <c r="F207" s="9" t="s">
        <v>12</v>
      </c>
      <c r="G207" s="18">
        <v>5108512</v>
      </c>
      <c r="H207">
        <v>0</v>
      </c>
      <c r="I207" s="29">
        <f t="shared" si="3"/>
        <v>5108512</v>
      </c>
      <c r="J207">
        <f>IFERROR(VLOOKUP(E207,'LEAID Match'!$A$2:$B$168,2,FALSE),"")</f>
        <v>3301740</v>
      </c>
    </row>
    <row r="208" spans="1:10">
      <c r="A208">
        <v>2022</v>
      </c>
      <c r="B208" t="s">
        <v>1429</v>
      </c>
      <c r="C208" t="s">
        <v>1431</v>
      </c>
      <c r="D208" t="s">
        <v>1433</v>
      </c>
      <c r="E208" t="s">
        <v>12</v>
      </c>
      <c r="F208" s="9" t="s">
        <v>12</v>
      </c>
      <c r="G208" s="18">
        <v>6244874</v>
      </c>
      <c r="H208">
        <v>0</v>
      </c>
      <c r="I208" s="29">
        <f t="shared" si="3"/>
        <v>6244874</v>
      </c>
      <c r="J208">
        <f>IFERROR(VLOOKUP(E208,'LEAID Match'!$A$2:$B$168,2,FALSE),"")</f>
        <v>3301740</v>
      </c>
    </row>
    <row r="209" spans="1:10">
      <c r="A209">
        <v>2023</v>
      </c>
      <c r="B209" t="s">
        <v>1429</v>
      </c>
      <c r="C209" t="s">
        <v>1431</v>
      </c>
      <c r="D209" t="s">
        <v>1433</v>
      </c>
      <c r="E209" t="s">
        <v>12</v>
      </c>
      <c r="F209" t="s">
        <v>12</v>
      </c>
      <c r="G209" s="28">
        <v>6272374</v>
      </c>
      <c r="H209">
        <v>0</v>
      </c>
      <c r="I209" s="29">
        <f t="shared" si="3"/>
        <v>6272374</v>
      </c>
      <c r="J209">
        <f>IFERROR(VLOOKUP(E209,'LEAID Match'!$A$2:$B$168,2,FALSE),"")</f>
        <v>3301740</v>
      </c>
    </row>
    <row r="210" spans="1:10">
      <c r="A210">
        <v>2015</v>
      </c>
      <c r="B210" t="s">
        <v>1429</v>
      </c>
      <c r="C210" t="s">
        <v>1431</v>
      </c>
      <c r="D210" t="s">
        <v>1433</v>
      </c>
      <c r="E210" t="s">
        <v>12</v>
      </c>
      <c r="F210" s="9" t="s">
        <v>974</v>
      </c>
      <c r="G210" s="18">
        <v>3085282.9</v>
      </c>
      <c r="H210">
        <v>0</v>
      </c>
      <c r="I210" s="29">
        <f t="shared" si="3"/>
        <v>3085282.9</v>
      </c>
      <c r="J210">
        <f>IFERROR(VLOOKUP(E210,'LEAID Match'!$A$2:$B$168,2,FALSE),"")</f>
        <v>3301740</v>
      </c>
    </row>
    <row r="211" spans="1:10">
      <c r="A211">
        <v>2016</v>
      </c>
      <c r="B211" t="s">
        <v>1429</v>
      </c>
      <c r="C211" t="s">
        <v>1431</v>
      </c>
      <c r="D211" t="s">
        <v>1433</v>
      </c>
      <c r="E211" t="s">
        <v>12</v>
      </c>
      <c r="F211" t="s">
        <v>517</v>
      </c>
      <c r="G211" s="28">
        <v>3386873</v>
      </c>
      <c r="H211">
        <v>0</v>
      </c>
      <c r="I211" s="29">
        <f t="shared" si="3"/>
        <v>3386873</v>
      </c>
      <c r="J211">
        <f>IFERROR(VLOOKUP(E211,'LEAID Match'!$A$2:$B$168,2,FALSE),"")</f>
        <v>3301740</v>
      </c>
    </row>
    <row r="212" spans="1:10">
      <c r="A212">
        <v>2017</v>
      </c>
      <c r="B212" t="s">
        <v>1429</v>
      </c>
      <c r="C212" t="s">
        <v>1431</v>
      </c>
      <c r="D212" t="s">
        <v>1433</v>
      </c>
      <c r="E212" t="s">
        <v>12</v>
      </c>
      <c r="F212" t="s">
        <v>517</v>
      </c>
      <c r="G212" s="28">
        <v>3473104</v>
      </c>
      <c r="H212">
        <v>0</v>
      </c>
      <c r="I212" s="29">
        <f t="shared" si="3"/>
        <v>3473104</v>
      </c>
      <c r="J212">
        <f>IFERROR(VLOOKUP(E212,'LEAID Match'!$A$2:$B$168,2,FALSE),"")</f>
        <v>3301740</v>
      </c>
    </row>
    <row r="213" spans="1:10">
      <c r="A213" s="27">
        <v>2018</v>
      </c>
      <c r="B213" t="s">
        <v>1429</v>
      </c>
      <c r="C213" t="s">
        <v>1431</v>
      </c>
      <c r="D213" t="s">
        <v>1433</v>
      </c>
      <c r="E213" t="s">
        <v>12</v>
      </c>
      <c r="F213" s="9" t="s">
        <v>517</v>
      </c>
      <c r="G213" s="18">
        <v>4527132</v>
      </c>
      <c r="H213">
        <v>0</v>
      </c>
      <c r="I213" s="29">
        <f t="shared" si="3"/>
        <v>4527132</v>
      </c>
      <c r="J213">
        <f>IFERROR(VLOOKUP(E213,'LEAID Match'!$A$2:$B$168,2,FALSE),"")</f>
        <v>3301740</v>
      </c>
    </row>
    <row r="214" spans="1:10">
      <c r="A214">
        <v>2019</v>
      </c>
      <c r="B214" t="s">
        <v>1429</v>
      </c>
      <c r="C214" t="s">
        <v>1431</v>
      </c>
      <c r="D214" t="s">
        <v>1433</v>
      </c>
      <c r="E214" t="s">
        <v>12</v>
      </c>
      <c r="F214" s="9" t="s">
        <v>517</v>
      </c>
      <c r="G214" s="18">
        <v>4753822</v>
      </c>
      <c r="H214">
        <v>0</v>
      </c>
      <c r="I214" s="29">
        <f t="shared" si="3"/>
        <v>4753822</v>
      </c>
      <c r="J214">
        <f>IFERROR(VLOOKUP(E214,'LEAID Match'!$A$2:$B$168,2,FALSE),"")</f>
        <v>3301740</v>
      </c>
    </row>
    <row r="215" spans="1:10">
      <c r="A215" s="27">
        <v>2020</v>
      </c>
      <c r="B215" t="s">
        <v>1429</v>
      </c>
      <c r="C215" t="s">
        <v>1431</v>
      </c>
      <c r="D215" t="s">
        <v>1433</v>
      </c>
      <c r="E215" t="s">
        <v>13</v>
      </c>
      <c r="F215" s="9" t="s">
        <v>13</v>
      </c>
      <c r="G215" s="18">
        <v>1186092</v>
      </c>
      <c r="H215">
        <v>0</v>
      </c>
      <c r="I215" s="29">
        <f t="shared" si="3"/>
        <v>1186092</v>
      </c>
      <c r="J215" t="str">
        <f>IFERROR(VLOOKUP(E215,'LEAID Match'!$A$2:$B$168,2,FALSE),"")</f>
        <v/>
      </c>
    </row>
    <row r="216" spans="1:10">
      <c r="A216">
        <v>2021</v>
      </c>
      <c r="B216" t="s">
        <v>1429</v>
      </c>
      <c r="C216" t="s">
        <v>1431</v>
      </c>
      <c r="D216" t="s">
        <v>1433</v>
      </c>
      <c r="E216" t="s">
        <v>13</v>
      </c>
      <c r="F216" s="9" t="s">
        <v>13</v>
      </c>
      <c r="G216" s="18">
        <v>1205240</v>
      </c>
      <c r="H216">
        <v>0</v>
      </c>
      <c r="I216" s="29">
        <f t="shared" si="3"/>
        <v>1205240</v>
      </c>
      <c r="J216" t="str">
        <f>IFERROR(VLOOKUP(E216,'LEAID Match'!$A$2:$B$168,2,FALSE),"")</f>
        <v/>
      </c>
    </row>
    <row r="217" spans="1:10">
      <c r="A217">
        <v>2022</v>
      </c>
      <c r="B217" t="s">
        <v>1429</v>
      </c>
      <c r="C217" t="s">
        <v>1431</v>
      </c>
      <c r="D217" t="s">
        <v>1433</v>
      </c>
      <c r="E217" t="s">
        <v>13</v>
      </c>
      <c r="F217" s="9" t="s">
        <v>13</v>
      </c>
      <c r="G217" s="18">
        <v>1702672</v>
      </c>
      <c r="H217">
        <v>0</v>
      </c>
      <c r="I217" s="29">
        <f t="shared" si="3"/>
        <v>1702672</v>
      </c>
      <c r="J217" t="str">
        <f>IFERROR(VLOOKUP(E217,'LEAID Match'!$A$2:$B$168,2,FALSE),"")</f>
        <v/>
      </c>
    </row>
    <row r="218" spans="1:10">
      <c r="A218">
        <v>2023</v>
      </c>
      <c r="B218" t="s">
        <v>1429</v>
      </c>
      <c r="C218" t="s">
        <v>1431</v>
      </c>
      <c r="D218" t="s">
        <v>1433</v>
      </c>
      <c r="E218" t="s">
        <v>13</v>
      </c>
      <c r="F218" t="s">
        <v>13</v>
      </c>
      <c r="G218" s="28">
        <v>1811184</v>
      </c>
      <c r="H218">
        <v>0</v>
      </c>
      <c r="I218" s="29">
        <f t="shared" si="3"/>
        <v>1811184</v>
      </c>
      <c r="J218" t="str">
        <f>IFERROR(VLOOKUP(E218,'LEAID Match'!$A$2:$B$168,2,FALSE),"")</f>
        <v/>
      </c>
    </row>
    <row r="219" spans="1:10">
      <c r="A219">
        <v>2015</v>
      </c>
      <c r="B219" t="s">
        <v>1429</v>
      </c>
      <c r="C219" t="s">
        <v>1431</v>
      </c>
      <c r="D219" t="s">
        <v>1433</v>
      </c>
      <c r="E219" t="s">
        <v>518</v>
      </c>
      <c r="F219" s="9" t="s">
        <v>975</v>
      </c>
      <c r="G219" s="18">
        <v>986547.27</v>
      </c>
      <c r="H219">
        <v>0</v>
      </c>
      <c r="I219" s="29">
        <f t="shared" si="3"/>
        <v>986547.27</v>
      </c>
      <c r="J219" t="str">
        <f>IFERROR(VLOOKUP(E219,'LEAID Match'!$A$2:$B$168,2,FALSE),"")</f>
        <v/>
      </c>
    </row>
    <row r="220" spans="1:10">
      <c r="A220">
        <v>2016</v>
      </c>
      <c r="B220" t="s">
        <v>1429</v>
      </c>
      <c r="C220" t="s">
        <v>1431</v>
      </c>
      <c r="D220" t="s">
        <v>1433</v>
      </c>
      <c r="E220" t="s">
        <v>518</v>
      </c>
      <c r="F220" t="s">
        <v>518</v>
      </c>
      <c r="G220" s="28">
        <v>1044701</v>
      </c>
      <c r="H220">
        <v>0</v>
      </c>
      <c r="I220" s="29">
        <f t="shared" si="3"/>
        <v>1044701</v>
      </c>
      <c r="J220" t="str">
        <f>IFERROR(VLOOKUP(E220,'LEAID Match'!$A$2:$B$168,2,FALSE),"")</f>
        <v/>
      </c>
    </row>
    <row r="221" spans="1:10">
      <c r="A221">
        <v>2017</v>
      </c>
      <c r="B221" t="s">
        <v>1429</v>
      </c>
      <c r="C221" t="s">
        <v>1431</v>
      </c>
      <c r="D221" t="s">
        <v>1433</v>
      </c>
      <c r="E221" t="s">
        <v>518</v>
      </c>
      <c r="F221" t="s">
        <v>518</v>
      </c>
      <c r="G221" s="28">
        <v>1086760</v>
      </c>
      <c r="H221">
        <v>0</v>
      </c>
      <c r="I221" s="29">
        <f t="shared" si="3"/>
        <v>1086760</v>
      </c>
      <c r="J221" t="str">
        <f>IFERROR(VLOOKUP(E221,'LEAID Match'!$A$2:$B$168,2,FALSE),"")</f>
        <v/>
      </c>
    </row>
    <row r="222" spans="1:10">
      <c r="A222" s="27">
        <v>2018</v>
      </c>
      <c r="B222" t="s">
        <v>1429</v>
      </c>
      <c r="C222" t="s">
        <v>1431</v>
      </c>
      <c r="D222" t="s">
        <v>1433</v>
      </c>
      <c r="E222" t="s">
        <v>518</v>
      </c>
      <c r="F222" s="9" t="s">
        <v>518</v>
      </c>
      <c r="G222" s="18">
        <v>1187740</v>
      </c>
      <c r="H222">
        <v>0</v>
      </c>
      <c r="I222" s="29">
        <f t="shared" si="3"/>
        <v>1187740</v>
      </c>
      <c r="J222" t="str">
        <f>IFERROR(VLOOKUP(E222,'LEAID Match'!$A$2:$B$168,2,FALSE),"")</f>
        <v/>
      </c>
    </row>
    <row r="223" spans="1:10">
      <c r="A223">
        <v>2019</v>
      </c>
      <c r="B223" t="s">
        <v>1429</v>
      </c>
      <c r="C223" t="s">
        <v>1431</v>
      </c>
      <c r="D223" t="s">
        <v>1433</v>
      </c>
      <c r="E223" t="s">
        <v>518</v>
      </c>
      <c r="F223" s="9" t="s">
        <v>518</v>
      </c>
      <c r="G223" s="18">
        <v>1214705</v>
      </c>
      <c r="H223">
        <v>0</v>
      </c>
      <c r="I223" s="29">
        <f t="shared" si="3"/>
        <v>1214705</v>
      </c>
      <c r="J223" t="str">
        <f>IFERROR(VLOOKUP(E223,'LEAID Match'!$A$2:$B$168,2,FALSE),"")</f>
        <v/>
      </c>
    </row>
    <row r="224" spans="1:10">
      <c r="A224">
        <v>2015</v>
      </c>
      <c r="B224" t="s">
        <v>1429</v>
      </c>
      <c r="C224" t="s">
        <v>1431</v>
      </c>
      <c r="D224" t="s">
        <v>1433</v>
      </c>
      <c r="E224" t="s">
        <v>14</v>
      </c>
      <c r="F224" s="9" t="s">
        <v>976</v>
      </c>
      <c r="G224" s="18">
        <v>5721.16</v>
      </c>
      <c r="H224">
        <v>0</v>
      </c>
      <c r="I224" s="29">
        <f t="shared" si="3"/>
        <v>5721.16</v>
      </c>
      <c r="J224" t="str">
        <f>IFERROR(VLOOKUP(E224,'LEAID Match'!$A$2:$B$168,2,FALSE),"")</f>
        <v/>
      </c>
    </row>
    <row r="225" spans="1:10">
      <c r="A225">
        <v>2016</v>
      </c>
      <c r="B225" t="s">
        <v>1429</v>
      </c>
      <c r="C225" t="s">
        <v>1431</v>
      </c>
      <c r="D225" t="s">
        <v>1433</v>
      </c>
      <c r="E225" t="s">
        <v>14</v>
      </c>
      <c r="F225" t="s">
        <v>14</v>
      </c>
      <c r="G225" s="28">
        <v>5951</v>
      </c>
      <c r="H225">
        <v>0</v>
      </c>
      <c r="I225" s="29">
        <f t="shared" si="3"/>
        <v>5951</v>
      </c>
      <c r="J225" t="str">
        <f>IFERROR(VLOOKUP(E225,'LEAID Match'!$A$2:$B$168,2,FALSE),"")</f>
        <v/>
      </c>
    </row>
    <row r="226" spans="1:10">
      <c r="A226">
        <v>2017</v>
      </c>
      <c r="B226" t="s">
        <v>1429</v>
      </c>
      <c r="C226" t="s">
        <v>1431</v>
      </c>
      <c r="D226" t="s">
        <v>1433</v>
      </c>
      <c r="E226" t="s">
        <v>14</v>
      </c>
      <c r="F226" t="s">
        <v>14</v>
      </c>
      <c r="G226" s="28">
        <v>5951</v>
      </c>
      <c r="H226">
        <v>0</v>
      </c>
      <c r="I226" s="29">
        <f t="shared" si="3"/>
        <v>5951</v>
      </c>
      <c r="J226" t="str">
        <f>IFERROR(VLOOKUP(E226,'LEAID Match'!$A$2:$B$168,2,FALSE),"")</f>
        <v/>
      </c>
    </row>
    <row r="227" spans="1:10">
      <c r="A227" s="27">
        <v>2018</v>
      </c>
      <c r="B227" t="s">
        <v>1429</v>
      </c>
      <c r="C227" t="s">
        <v>1431</v>
      </c>
      <c r="D227" t="s">
        <v>1433</v>
      </c>
      <c r="E227" t="s">
        <v>14</v>
      </c>
      <c r="F227" s="9" t="s">
        <v>14</v>
      </c>
      <c r="G227" s="18">
        <v>5838</v>
      </c>
      <c r="H227">
        <v>0</v>
      </c>
      <c r="I227" s="29">
        <f t="shared" si="3"/>
        <v>5838</v>
      </c>
      <c r="J227" t="str">
        <f>IFERROR(VLOOKUP(E227,'LEAID Match'!$A$2:$B$168,2,FALSE),"")</f>
        <v/>
      </c>
    </row>
    <row r="228" spans="1:10">
      <c r="A228">
        <v>2019</v>
      </c>
      <c r="B228" t="s">
        <v>1429</v>
      </c>
      <c r="C228" t="s">
        <v>1431</v>
      </c>
      <c r="D228" t="s">
        <v>1433</v>
      </c>
      <c r="E228" t="s">
        <v>14</v>
      </c>
      <c r="F228" s="9" t="s">
        <v>14</v>
      </c>
      <c r="G228" s="18">
        <v>6072</v>
      </c>
      <c r="H228">
        <v>0</v>
      </c>
      <c r="I228" s="29">
        <f t="shared" si="3"/>
        <v>6072</v>
      </c>
      <c r="J228" t="str">
        <f>IFERROR(VLOOKUP(E228,'LEAID Match'!$A$2:$B$168,2,FALSE),"")</f>
        <v/>
      </c>
    </row>
    <row r="229" spans="1:10">
      <c r="A229" s="27">
        <v>2020</v>
      </c>
      <c r="B229" t="s">
        <v>1429</v>
      </c>
      <c r="C229" t="s">
        <v>1431</v>
      </c>
      <c r="D229" t="s">
        <v>1433</v>
      </c>
      <c r="E229" t="s">
        <v>14</v>
      </c>
      <c r="F229" s="9" t="s">
        <v>14</v>
      </c>
      <c r="G229" s="18">
        <v>5962</v>
      </c>
      <c r="H229">
        <v>0</v>
      </c>
      <c r="I229" s="29">
        <f t="shared" si="3"/>
        <v>5962</v>
      </c>
      <c r="J229" t="str">
        <f>IFERROR(VLOOKUP(E229,'LEAID Match'!$A$2:$B$168,2,FALSE),"")</f>
        <v/>
      </c>
    </row>
    <row r="230" spans="1:10">
      <c r="A230">
        <v>2021</v>
      </c>
      <c r="B230" t="s">
        <v>1429</v>
      </c>
      <c r="C230" t="s">
        <v>1431</v>
      </c>
      <c r="D230" t="s">
        <v>1433</v>
      </c>
      <c r="E230" t="s">
        <v>14</v>
      </c>
      <c r="F230" s="9" t="s">
        <v>14</v>
      </c>
      <c r="G230" s="18">
        <v>5962</v>
      </c>
      <c r="H230">
        <v>0</v>
      </c>
      <c r="I230" s="29">
        <f t="shared" si="3"/>
        <v>5962</v>
      </c>
      <c r="J230" t="str">
        <f>IFERROR(VLOOKUP(E230,'LEAID Match'!$A$2:$B$168,2,FALSE),"")</f>
        <v/>
      </c>
    </row>
    <row r="231" spans="1:10">
      <c r="A231">
        <v>2022</v>
      </c>
      <c r="B231" t="s">
        <v>1429</v>
      </c>
      <c r="C231" t="s">
        <v>1431</v>
      </c>
      <c r="D231" t="s">
        <v>1433</v>
      </c>
      <c r="E231" t="s">
        <v>14</v>
      </c>
      <c r="F231" s="9" t="s">
        <v>14</v>
      </c>
      <c r="G231" s="18">
        <v>6955</v>
      </c>
      <c r="H231">
        <v>0</v>
      </c>
      <c r="I231" s="29">
        <f t="shared" si="3"/>
        <v>6955</v>
      </c>
      <c r="J231" t="str">
        <f>IFERROR(VLOOKUP(E231,'LEAID Match'!$A$2:$B$168,2,FALSE),"")</f>
        <v/>
      </c>
    </row>
    <row r="232" spans="1:10">
      <c r="A232">
        <v>2023</v>
      </c>
      <c r="B232" t="s">
        <v>1429</v>
      </c>
      <c r="C232" t="s">
        <v>1431</v>
      </c>
      <c r="D232" t="s">
        <v>1433</v>
      </c>
      <c r="E232" t="s">
        <v>14</v>
      </c>
      <c r="F232" t="s">
        <v>14</v>
      </c>
      <c r="G232" s="28">
        <v>7245</v>
      </c>
      <c r="H232">
        <v>0</v>
      </c>
      <c r="I232" s="29">
        <f t="shared" si="3"/>
        <v>7245</v>
      </c>
      <c r="J232" t="str">
        <f>IFERROR(VLOOKUP(E232,'LEAID Match'!$A$2:$B$168,2,FALSE),"")</f>
        <v/>
      </c>
    </row>
    <row r="233" spans="1:10">
      <c r="A233">
        <v>2015</v>
      </c>
      <c r="B233" t="s">
        <v>1429</v>
      </c>
      <c r="C233" t="s">
        <v>1431</v>
      </c>
      <c r="D233" t="s">
        <v>1433</v>
      </c>
      <c r="E233" t="s">
        <v>519</v>
      </c>
      <c r="F233" s="9" t="s">
        <v>977</v>
      </c>
      <c r="G233" s="18">
        <v>509389.65</v>
      </c>
      <c r="H233">
        <v>0</v>
      </c>
      <c r="I233" s="29">
        <f t="shared" si="3"/>
        <v>509389.65</v>
      </c>
      <c r="J233" t="str">
        <f>IFERROR(VLOOKUP(E233,'LEAID Match'!$A$2:$B$168,2,FALSE),"")</f>
        <v/>
      </c>
    </row>
    <row r="234" spans="1:10">
      <c r="A234">
        <v>2016</v>
      </c>
      <c r="B234" t="s">
        <v>1429</v>
      </c>
      <c r="C234" t="s">
        <v>1431</v>
      </c>
      <c r="D234" t="s">
        <v>1433</v>
      </c>
      <c r="E234" t="s">
        <v>519</v>
      </c>
      <c r="F234" t="s">
        <v>519</v>
      </c>
      <c r="G234" s="28">
        <v>541375</v>
      </c>
      <c r="H234">
        <v>0</v>
      </c>
      <c r="I234" s="29">
        <f t="shared" si="3"/>
        <v>541375</v>
      </c>
      <c r="J234" t="str">
        <f>IFERROR(VLOOKUP(E234,'LEAID Match'!$A$2:$B$168,2,FALSE),"")</f>
        <v/>
      </c>
    </row>
    <row r="235" spans="1:10">
      <c r="A235">
        <v>2017</v>
      </c>
      <c r="B235" t="s">
        <v>1429</v>
      </c>
      <c r="C235" t="s">
        <v>1431</v>
      </c>
      <c r="D235" t="s">
        <v>1433</v>
      </c>
      <c r="E235" t="s">
        <v>519</v>
      </c>
      <c r="F235" t="s">
        <v>519</v>
      </c>
      <c r="G235" s="28">
        <v>543230</v>
      </c>
      <c r="H235">
        <v>0</v>
      </c>
      <c r="I235" s="29">
        <f t="shared" si="3"/>
        <v>543230</v>
      </c>
      <c r="J235" t="str">
        <f>IFERROR(VLOOKUP(E235,'LEAID Match'!$A$2:$B$168,2,FALSE),"")</f>
        <v/>
      </c>
    </row>
    <row r="236" spans="1:10">
      <c r="A236" s="27">
        <v>2018</v>
      </c>
      <c r="B236" t="s">
        <v>1429</v>
      </c>
      <c r="C236" t="s">
        <v>1431</v>
      </c>
      <c r="D236" t="s">
        <v>1433</v>
      </c>
      <c r="E236" t="s">
        <v>519</v>
      </c>
      <c r="F236" s="9" t="s">
        <v>519</v>
      </c>
      <c r="G236" s="18">
        <v>592089</v>
      </c>
      <c r="H236">
        <v>0</v>
      </c>
      <c r="I236" s="29">
        <f t="shared" si="3"/>
        <v>592089</v>
      </c>
      <c r="J236" t="str">
        <f>IFERROR(VLOOKUP(E236,'LEAID Match'!$A$2:$B$168,2,FALSE),"")</f>
        <v/>
      </c>
    </row>
    <row r="237" spans="1:10">
      <c r="A237">
        <v>2019</v>
      </c>
      <c r="B237" t="s">
        <v>1429</v>
      </c>
      <c r="C237" t="s">
        <v>1431</v>
      </c>
      <c r="D237" t="s">
        <v>1433</v>
      </c>
      <c r="E237" t="s">
        <v>519</v>
      </c>
      <c r="F237" s="9" t="s">
        <v>519</v>
      </c>
      <c r="G237" s="18">
        <v>592536</v>
      </c>
      <c r="H237">
        <v>0</v>
      </c>
      <c r="I237" s="29">
        <f t="shared" si="3"/>
        <v>592536</v>
      </c>
      <c r="J237" t="str">
        <f>IFERROR(VLOOKUP(E237,'LEAID Match'!$A$2:$B$168,2,FALSE),"")</f>
        <v/>
      </c>
    </row>
    <row r="238" spans="1:10">
      <c r="A238">
        <v>2015</v>
      </c>
      <c r="B238" t="s">
        <v>1429</v>
      </c>
      <c r="C238" t="s">
        <v>1431</v>
      </c>
      <c r="D238" t="s">
        <v>1433</v>
      </c>
      <c r="E238" t="s">
        <v>520</v>
      </c>
      <c r="F238" s="9" t="s">
        <v>978</v>
      </c>
      <c r="G238" s="18">
        <v>58938.07</v>
      </c>
      <c r="H238">
        <v>0</v>
      </c>
      <c r="I238" s="29">
        <f t="shared" si="3"/>
        <v>58938.07</v>
      </c>
      <c r="J238" t="str">
        <f>IFERROR(VLOOKUP(E238,'LEAID Match'!$A$2:$B$168,2,FALSE),"")</f>
        <v/>
      </c>
    </row>
    <row r="239" spans="1:10">
      <c r="A239">
        <v>2016</v>
      </c>
      <c r="B239" t="s">
        <v>1429</v>
      </c>
      <c r="C239" t="s">
        <v>1431</v>
      </c>
      <c r="D239" t="s">
        <v>1433</v>
      </c>
      <c r="E239" t="s">
        <v>520</v>
      </c>
      <c r="F239" t="s">
        <v>520</v>
      </c>
      <c r="G239" s="28">
        <v>59296</v>
      </c>
      <c r="H239">
        <v>0</v>
      </c>
      <c r="I239" s="29">
        <f t="shared" si="3"/>
        <v>59296</v>
      </c>
      <c r="J239" t="str">
        <f>IFERROR(VLOOKUP(E239,'LEAID Match'!$A$2:$B$168,2,FALSE),"")</f>
        <v/>
      </c>
    </row>
    <row r="240" spans="1:10">
      <c r="A240">
        <v>2017</v>
      </c>
      <c r="B240" t="s">
        <v>1429</v>
      </c>
      <c r="C240" t="s">
        <v>1431</v>
      </c>
      <c r="D240" t="s">
        <v>1433</v>
      </c>
      <c r="E240" t="s">
        <v>520</v>
      </c>
      <c r="F240" t="s">
        <v>520</v>
      </c>
      <c r="G240" s="28">
        <v>58561</v>
      </c>
      <c r="H240">
        <v>0</v>
      </c>
      <c r="I240" s="29">
        <f t="shared" si="3"/>
        <v>58561</v>
      </c>
      <c r="J240" t="str">
        <f>IFERROR(VLOOKUP(E240,'LEAID Match'!$A$2:$B$168,2,FALSE),"")</f>
        <v/>
      </c>
    </row>
    <row r="241" spans="1:10">
      <c r="A241" s="27">
        <v>2018</v>
      </c>
      <c r="B241" t="s">
        <v>1429</v>
      </c>
      <c r="C241" t="s">
        <v>1431</v>
      </c>
      <c r="D241" t="s">
        <v>1433</v>
      </c>
      <c r="E241" t="s">
        <v>520</v>
      </c>
      <c r="F241" s="9" t="s">
        <v>520</v>
      </c>
      <c r="G241" s="18">
        <v>65251</v>
      </c>
      <c r="H241">
        <v>0</v>
      </c>
      <c r="I241" s="29">
        <f t="shared" si="3"/>
        <v>65251</v>
      </c>
      <c r="J241" t="str">
        <f>IFERROR(VLOOKUP(E241,'LEAID Match'!$A$2:$B$168,2,FALSE),"")</f>
        <v/>
      </c>
    </row>
    <row r="242" spans="1:10">
      <c r="A242">
        <v>2019</v>
      </c>
      <c r="B242" t="s">
        <v>1429</v>
      </c>
      <c r="C242" t="s">
        <v>1431</v>
      </c>
      <c r="D242" t="s">
        <v>1433</v>
      </c>
      <c r="E242" t="s">
        <v>520</v>
      </c>
      <c r="F242" s="9" t="s">
        <v>520</v>
      </c>
      <c r="G242" s="18">
        <v>63801</v>
      </c>
      <c r="H242">
        <v>0</v>
      </c>
      <c r="I242" s="29">
        <f t="shared" si="3"/>
        <v>63801</v>
      </c>
      <c r="J242" t="str">
        <f>IFERROR(VLOOKUP(E242,'LEAID Match'!$A$2:$B$168,2,FALSE),"")</f>
        <v/>
      </c>
    </row>
    <row r="243" spans="1:10">
      <c r="A243">
        <v>2015</v>
      </c>
      <c r="B243" t="s">
        <v>1429</v>
      </c>
      <c r="C243" t="s">
        <v>1431</v>
      </c>
      <c r="D243" t="s">
        <v>1433</v>
      </c>
      <c r="E243" t="s">
        <v>423</v>
      </c>
      <c r="F243" s="9" t="s">
        <v>979</v>
      </c>
      <c r="G243" s="18">
        <v>916495.48</v>
      </c>
      <c r="H243">
        <v>0</v>
      </c>
      <c r="I243" s="29">
        <f t="shared" si="3"/>
        <v>916495.48</v>
      </c>
      <c r="J243" t="str">
        <f>IFERROR(VLOOKUP(E243,'LEAID Match'!$A$2:$B$168,2,FALSE),"")</f>
        <v/>
      </c>
    </row>
    <row r="244" spans="1:10">
      <c r="A244">
        <v>2016</v>
      </c>
      <c r="B244" t="s">
        <v>1429</v>
      </c>
      <c r="C244" t="s">
        <v>1431</v>
      </c>
      <c r="D244" t="s">
        <v>1433</v>
      </c>
      <c r="E244" t="s">
        <v>423</v>
      </c>
      <c r="F244" t="s">
        <v>423</v>
      </c>
      <c r="G244" s="28">
        <v>1018008</v>
      </c>
      <c r="H244">
        <v>0</v>
      </c>
      <c r="I244" s="29">
        <f t="shared" si="3"/>
        <v>1018008</v>
      </c>
      <c r="J244" t="str">
        <f>IFERROR(VLOOKUP(E244,'LEAID Match'!$A$2:$B$168,2,FALSE),"")</f>
        <v/>
      </c>
    </row>
    <row r="245" spans="1:10">
      <c r="A245">
        <v>2017</v>
      </c>
      <c r="B245" t="s">
        <v>1429</v>
      </c>
      <c r="C245" t="s">
        <v>1431</v>
      </c>
      <c r="D245" t="s">
        <v>1433</v>
      </c>
      <c r="E245" t="s">
        <v>423</v>
      </c>
      <c r="F245" t="s">
        <v>423</v>
      </c>
      <c r="G245" s="28">
        <v>1025920</v>
      </c>
      <c r="H245">
        <v>0</v>
      </c>
      <c r="I245" s="29">
        <f t="shared" si="3"/>
        <v>1025920</v>
      </c>
      <c r="J245" t="str">
        <f>IFERROR(VLOOKUP(E245,'LEAID Match'!$A$2:$B$168,2,FALSE),"")</f>
        <v/>
      </c>
    </row>
    <row r="246" spans="1:10">
      <c r="A246" s="27">
        <v>2018</v>
      </c>
      <c r="B246" t="s">
        <v>1429</v>
      </c>
      <c r="C246" t="s">
        <v>1431</v>
      </c>
      <c r="D246" t="s">
        <v>1433</v>
      </c>
      <c r="E246" t="s">
        <v>423</v>
      </c>
      <c r="F246" s="9" t="s">
        <v>423</v>
      </c>
      <c r="G246" s="18">
        <v>1062439</v>
      </c>
      <c r="H246">
        <v>0</v>
      </c>
      <c r="I246" s="29">
        <f t="shared" si="3"/>
        <v>1062439</v>
      </c>
      <c r="J246" t="str">
        <f>IFERROR(VLOOKUP(E246,'LEAID Match'!$A$2:$B$168,2,FALSE),"")</f>
        <v/>
      </c>
    </row>
    <row r="247" spans="1:10">
      <c r="A247">
        <v>2019</v>
      </c>
      <c r="B247" t="s">
        <v>1429</v>
      </c>
      <c r="C247" t="s">
        <v>1431</v>
      </c>
      <c r="D247" t="s">
        <v>1433</v>
      </c>
      <c r="E247" t="s">
        <v>423</v>
      </c>
      <c r="F247" s="9" t="s">
        <v>423</v>
      </c>
      <c r="G247" s="18">
        <v>1071741</v>
      </c>
      <c r="H247">
        <v>0</v>
      </c>
      <c r="I247" s="29">
        <f t="shared" si="3"/>
        <v>1071741</v>
      </c>
      <c r="J247" t="str">
        <f>IFERROR(VLOOKUP(E247,'LEAID Match'!$A$2:$B$168,2,FALSE),"")</f>
        <v/>
      </c>
    </row>
    <row r="248" spans="1:10">
      <c r="A248" s="27">
        <v>2020</v>
      </c>
      <c r="B248" t="s">
        <v>1429</v>
      </c>
      <c r="C248" t="s">
        <v>1431</v>
      </c>
      <c r="D248" t="s">
        <v>1433</v>
      </c>
      <c r="E248" t="s">
        <v>423</v>
      </c>
      <c r="F248" s="9" t="s">
        <v>423</v>
      </c>
      <c r="G248" s="18">
        <v>1048292</v>
      </c>
      <c r="H248">
        <v>0</v>
      </c>
      <c r="I248" s="29">
        <f t="shared" si="3"/>
        <v>1048292</v>
      </c>
      <c r="J248" t="str">
        <f>IFERROR(VLOOKUP(E248,'LEAID Match'!$A$2:$B$168,2,FALSE),"")</f>
        <v/>
      </c>
    </row>
    <row r="249" spans="1:10">
      <c r="A249">
        <v>2021</v>
      </c>
      <c r="B249" t="s">
        <v>1429</v>
      </c>
      <c r="C249" t="s">
        <v>1431</v>
      </c>
      <c r="D249" t="s">
        <v>1433</v>
      </c>
      <c r="E249" t="s">
        <v>423</v>
      </c>
      <c r="F249" s="9" t="s">
        <v>423</v>
      </c>
      <c r="G249" s="18">
        <v>1074225</v>
      </c>
      <c r="H249">
        <v>0</v>
      </c>
      <c r="I249" s="29">
        <f t="shared" si="3"/>
        <v>1074225</v>
      </c>
      <c r="J249" t="str">
        <f>IFERROR(VLOOKUP(E249,'LEAID Match'!$A$2:$B$168,2,FALSE),"")</f>
        <v/>
      </c>
    </row>
    <row r="250" spans="1:10">
      <c r="A250">
        <v>2015</v>
      </c>
      <c r="B250" t="s">
        <v>1429</v>
      </c>
      <c r="C250" t="s">
        <v>1431</v>
      </c>
      <c r="D250" t="s">
        <v>1433</v>
      </c>
      <c r="E250" t="s">
        <v>15</v>
      </c>
      <c r="F250" s="9" t="s">
        <v>980</v>
      </c>
      <c r="G250" s="18">
        <v>24617.14</v>
      </c>
      <c r="H250">
        <v>0</v>
      </c>
      <c r="I250" s="29">
        <f t="shared" si="3"/>
        <v>24617.14</v>
      </c>
      <c r="J250" t="str">
        <f>IFERROR(VLOOKUP(E250,'LEAID Match'!$A$2:$B$168,2,FALSE),"")</f>
        <v/>
      </c>
    </row>
    <row r="251" spans="1:10">
      <c r="A251">
        <v>2016</v>
      </c>
      <c r="B251" t="s">
        <v>1429</v>
      </c>
      <c r="C251" t="s">
        <v>1431</v>
      </c>
      <c r="D251" t="s">
        <v>1433</v>
      </c>
      <c r="E251" t="s">
        <v>15</v>
      </c>
      <c r="F251" t="s">
        <v>521</v>
      </c>
      <c r="G251" s="28">
        <v>26567</v>
      </c>
      <c r="H251">
        <v>0</v>
      </c>
      <c r="I251" s="29">
        <f t="shared" si="3"/>
        <v>26567</v>
      </c>
      <c r="J251" t="str">
        <f>IFERROR(VLOOKUP(E251,'LEAID Match'!$A$2:$B$168,2,FALSE),"")</f>
        <v/>
      </c>
    </row>
    <row r="252" spans="1:10">
      <c r="A252">
        <v>2017</v>
      </c>
      <c r="B252" t="s">
        <v>1429</v>
      </c>
      <c r="C252" t="s">
        <v>1431</v>
      </c>
      <c r="D252" t="s">
        <v>1433</v>
      </c>
      <c r="E252" t="s">
        <v>15</v>
      </c>
      <c r="F252" t="s">
        <v>521</v>
      </c>
      <c r="G252" s="28">
        <v>27467</v>
      </c>
      <c r="H252">
        <v>0</v>
      </c>
      <c r="I252" s="29">
        <f t="shared" si="3"/>
        <v>27467</v>
      </c>
      <c r="J252" t="str">
        <f>IFERROR(VLOOKUP(E252,'LEAID Match'!$A$2:$B$168,2,FALSE),"")</f>
        <v/>
      </c>
    </row>
    <row r="253" spans="1:10">
      <c r="A253" s="27">
        <v>2018</v>
      </c>
      <c r="B253" t="s">
        <v>1429</v>
      </c>
      <c r="C253" t="s">
        <v>1431</v>
      </c>
      <c r="D253" t="s">
        <v>1433</v>
      </c>
      <c r="E253" t="s">
        <v>15</v>
      </c>
      <c r="F253" s="9" t="s">
        <v>521</v>
      </c>
      <c r="G253" s="18">
        <v>28658</v>
      </c>
      <c r="H253">
        <v>0</v>
      </c>
      <c r="I253" s="29">
        <f t="shared" si="3"/>
        <v>28658</v>
      </c>
      <c r="J253" t="str">
        <f>IFERROR(VLOOKUP(E253,'LEAID Match'!$A$2:$B$168,2,FALSE),"")</f>
        <v/>
      </c>
    </row>
    <row r="254" spans="1:10">
      <c r="A254">
        <v>2019</v>
      </c>
      <c r="B254" t="s">
        <v>1429</v>
      </c>
      <c r="C254" t="s">
        <v>1431</v>
      </c>
      <c r="D254" t="s">
        <v>1433</v>
      </c>
      <c r="E254" t="s">
        <v>15</v>
      </c>
      <c r="F254" s="9" t="s">
        <v>521</v>
      </c>
      <c r="G254" s="18">
        <v>27812</v>
      </c>
      <c r="H254">
        <v>0</v>
      </c>
      <c r="I254" s="29">
        <f t="shared" si="3"/>
        <v>27812</v>
      </c>
      <c r="J254" t="str">
        <f>IFERROR(VLOOKUP(E254,'LEAID Match'!$A$2:$B$168,2,FALSE),"")</f>
        <v/>
      </c>
    </row>
    <row r="255" spans="1:10">
      <c r="A255" s="27">
        <v>2020</v>
      </c>
      <c r="B255" t="s">
        <v>1429</v>
      </c>
      <c r="C255" t="s">
        <v>1431</v>
      </c>
      <c r="D255" t="s">
        <v>1433</v>
      </c>
      <c r="E255" t="s">
        <v>15</v>
      </c>
      <c r="F255" s="9" t="s">
        <v>15</v>
      </c>
      <c r="G255" s="18">
        <v>29135</v>
      </c>
      <c r="H255">
        <v>0</v>
      </c>
      <c r="I255" s="29">
        <f t="shared" si="3"/>
        <v>29135</v>
      </c>
      <c r="J255" t="str">
        <f>IFERROR(VLOOKUP(E255,'LEAID Match'!$A$2:$B$168,2,FALSE),"")</f>
        <v/>
      </c>
    </row>
    <row r="256" spans="1:10">
      <c r="A256">
        <v>2021</v>
      </c>
      <c r="B256" t="s">
        <v>1429</v>
      </c>
      <c r="C256" t="s">
        <v>1431</v>
      </c>
      <c r="D256" t="s">
        <v>1433</v>
      </c>
      <c r="E256" t="s">
        <v>15</v>
      </c>
      <c r="F256" s="9" t="s">
        <v>15</v>
      </c>
      <c r="G256" s="18">
        <v>30437</v>
      </c>
      <c r="H256">
        <v>0</v>
      </c>
      <c r="I256" s="29">
        <f t="shared" si="3"/>
        <v>30437</v>
      </c>
      <c r="J256" t="str">
        <f>IFERROR(VLOOKUP(E256,'LEAID Match'!$A$2:$B$168,2,FALSE),"")</f>
        <v/>
      </c>
    </row>
    <row r="257" spans="1:10">
      <c r="A257">
        <v>2022</v>
      </c>
      <c r="B257" t="s">
        <v>1429</v>
      </c>
      <c r="C257" t="s">
        <v>1431</v>
      </c>
      <c r="D257" t="s">
        <v>1433</v>
      </c>
      <c r="E257" t="s">
        <v>15</v>
      </c>
      <c r="F257" s="9" t="s">
        <v>15</v>
      </c>
      <c r="G257" s="18">
        <v>41556</v>
      </c>
      <c r="H257">
        <v>0</v>
      </c>
      <c r="I257" s="29">
        <f t="shared" si="3"/>
        <v>41556</v>
      </c>
      <c r="J257" t="str">
        <f>IFERROR(VLOOKUP(E257,'LEAID Match'!$A$2:$B$168,2,FALSE),"")</f>
        <v/>
      </c>
    </row>
    <row r="258" spans="1:10">
      <c r="A258">
        <v>2023</v>
      </c>
      <c r="B258" t="s">
        <v>1429</v>
      </c>
      <c r="C258" t="s">
        <v>1431</v>
      </c>
      <c r="D258" t="s">
        <v>1433</v>
      </c>
      <c r="E258" t="s">
        <v>15</v>
      </c>
      <c r="F258" t="s">
        <v>15</v>
      </c>
      <c r="G258" s="28">
        <v>47577</v>
      </c>
      <c r="H258">
        <v>0</v>
      </c>
      <c r="I258" s="29">
        <f t="shared" si="3"/>
        <v>47577</v>
      </c>
      <c r="J258" t="str">
        <f>IFERROR(VLOOKUP(E258,'LEAID Match'!$A$2:$B$168,2,FALSE),"")</f>
        <v/>
      </c>
    </row>
    <row r="259" spans="1:10">
      <c r="A259">
        <v>2015</v>
      </c>
      <c r="B259" t="s">
        <v>1429</v>
      </c>
      <c r="C259" t="s">
        <v>1431</v>
      </c>
      <c r="D259" t="s">
        <v>1433</v>
      </c>
      <c r="E259" t="s">
        <v>16</v>
      </c>
      <c r="F259" s="9" t="s">
        <v>981</v>
      </c>
      <c r="G259" s="18">
        <v>86896.76</v>
      </c>
      <c r="H259">
        <v>0</v>
      </c>
      <c r="I259" s="29">
        <f t="shared" ref="I259:I322" si="4">SUM(G259:H259)</f>
        <v>86896.76</v>
      </c>
      <c r="J259" t="str">
        <f>IFERROR(VLOOKUP(E259,'LEAID Match'!$A$2:$B$168,2,FALSE),"")</f>
        <v/>
      </c>
    </row>
    <row r="260" spans="1:10">
      <c r="A260">
        <v>2016</v>
      </c>
      <c r="B260" t="s">
        <v>1429</v>
      </c>
      <c r="C260" t="s">
        <v>1431</v>
      </c>
      <c r="D260" t="s">
        <v>1433</v>
      </c>
      <c r="E260" t="s">
        <v>16</v>
      </c>
      <c r="F260" t="s">
        <v>522</v>
      </c>
      <c r="G260" s="28">
        <v>78297</v>
      </c>
      <c r="H260">
        <v>0</v>
      </c>
      <c r="I260" s="29">
        <f t="shared" si="4"/>
        <v>78297</v>
      </c>
      <c r="J260" t="str">
        <f>IFERROR(VLOOKUP(E260,'LEAID Match'!$A$2:$B$168,2,FALSE),"")</f>
        <v/>
      </c>
    </row>
    <row r="261" spans="1:10">
      <c r="A261">
        <v>2017</v>
      </c>
      <c r="B261" t="s">
        <v>1429</v>
      </c>
      <c r="C261" t="s">
        <v>1431</v>
      </c>
      <c r="D261" t="s">
        <v>1433</v>
      </c>
      <c r="E261" t="s">
        <v>16</v>
      </c>
      <c r="F261" t="s">
        <v>522</v>
      </c>
      <c r="G261" s="28">
        <v>69932</v>
      </c>
      <c r="H261">
        <v>0</v>
      </c>
      <c r="I261" s="29">
        <f t="shared" si="4"/>
        <v>69932</v>
      </c>
      <c r="J261" t="str">
        <f>IFERROR(VLOOKUP(E261,'LEAID Match'!$A$2:$B$168,2,FALSE),"")</f>
        <v/>
      </c>
    </row>
    <row r="262" spans="1:10">
      <c r="A262" s="27">
        <v>2018</v>
      </c>
      <c r="B262" t="s">
        <v>1429</v>
      </c>
      <c r="C262" t="s">
        <v>1431</v>
      </c>
      <c r="D262" t="s">
        <v>1433</v>
      </c>
      <c r="E262" t="s">
        <v>16</v>
      </c>
      <c r="F262" s="9" t="s">
        <v>522</v>
      </c>
      <c r="G262" s="18">
        <v>67808</v>
      </c>
      <c r="H262">
        <v>0</v>
      </c>
      <c r="I262" s="29">
        <f t="shared" si="4"/>
        <v>67808</v>
      </c>
      <c r="J262" t="str">
        <f>IFERROR(VLOOKUP(E262,'LEAID Match'!$A$2:$B$168,2,FALSE),"")</f>
        <v/>
      </c>
    </row>
    <row r="263" spans="1:10">
      <c r="A263">
        <v>2019</v>
      </c>
      <c r="B263" t="s">
        <v>1429</v>
      </c>
      <c r="C263" t="s">
        <v>1431</v>
      </c>
      <c r="D263" t="s">
        <v>1433</v>
      </c>
      <c r="E263" t="s">
        <v>16</v>
      </c>
      <c r="F263" s="9" t="s">
        <v>522</v>
      </c>
      <c r="G263" s="18">
        <v>71906</v>
      </c>
      <c r="H263">
        <v>0</v>
      </c>
      <c r="I263" s="29">
        <f t="shared" si="4"/>
        <v>71906</v>
      </c>
      <c r="J263" t="str">
        <f>IFERROR(VLOOKUP(E263,'LEAID Match'!$A$2:$B$168,2,FALSE),"")</f>
        <v/>
      </c>
    </row>
    <row r="264" spans="1:10">
      <c r="A264" s="27">
        <v>2020</v>
      </c>
      <c r="B264" t="s">
        <v>1429</v>
      </c>
      <c r="C264" t="s">
        <v>1431</v>
      </c>
      <c r="D264" t="s">
        <v>1433</v>
      </c>
      <c r="E264" t="s">
        <v>16</v>
      </c>
      <c r="F264" s="9" t="s">
        <v>16</v>
      </c>
      <c r="G264" s="18">
        <v>71172</v>
      </c>
      <c r="H264">
        <v>0</v>
      </c>
      <c r="I264" s="29">
        <f t="shared" si="4"/>
        <v>71172</v>
      </c>
      <c r="J264" t="str">
        <f>IFERROR(VLOOKUP(E264,'LEAID Match'!$A$2:$B$168,2,FALSE),"")</f>
        <v/>
      </c>
    </row>
    <row r="265" spans="1:10">
      <c r="A265">
        <v>2021</v>
      </c>
      <c r="B265" t="s">
        <v>1429</v>
      </c>
      <c r="C265" t="s">
        <v>1431</v>
      </c>
      <c r="D265" t="s">
        <v>1433</v>
      </c>
      <c r="E265" t="s">
        <v>16</v>
      </c>
      <c r="F265" s="9" t="s">
        <v>16</v>
      </c>
      <c r="G265" s="18">
        <v>73553</v>
      </c>
      <c r="H265">
        <v>0</v>
      </c>
      <c r="I265" s="29">
        <f t="shared" si="4"/>
        <v>73553</v>
      </c>
      <c r="J265" t="str">
        <f>IFERROR(VLOOKUP(E265,'LEAID Match'!$A$2:$B$168,2,FALSE),"")</f>
        <v/>
      </c>
    </row>
    <row r="266" spans="1:10">
      <c r="A266">
        <v>2022</v>
      </c>
      <c r="B266" t="s">
        <v>1429</v>
      </c>
      <c r="C266" t="s">
        <v>1431</v>
      </c>
      <c r="D266" t="s">
        <v>1433</v>
      </c>
      <c r="E266" t="s">
        <v>16</v>
      </c>
      <c r="F266" s="9" t="s">
        <v>16</v>
      </c>
      <c r="G266" s="18">
        <v>85205</v>
      </c>
      <c r="H266">
        <v>0</v>
      </c>
      <c r="I266" s="29">
        <f t="shared" si="4"/>
        <v>85205</v>
      </c>
      <c r="J266" t="str">
        <f>IFERROR(VLOOKUP(E266,'LEAID Match'!$A$2:$B$168,2,FALSE),"")</f>
        <v/>
      </c>
    </row>
    <row r="267" spans="1:10">
      <c r="A267">
        <v>2023</v>
      </c>
      <c r="B267" t="s">
        <v>1429</v>
      </c>
      <c r="C267" t="s">
        <v>1431</v>
      </c>
      <c r="D267" t="s">
        <v>1433</v>
      </c>
      <c r="E267" t="s">
        <v>16</v>
      </c>
      <c r="F267" t="s">
        <v>16</v>
      </c>
      <c r="G267" s="28">
        <v>81477</v>
      </c>
      <c r="H267">
        <v>0</v>
      </c>
      <c r="I267" s="29">
        <f t="shared" si="4"/>
        <v>81477</v>
      </c>
      <c r="J267" t="str">
        <f>IFERROR(VLOOKUP(E267,'LEAID Match'!$A$2:$B$168,2,FALSE),"")</f>
        <v/>
      </c>
    </row>
    <row r="268" spans="1:10">
      <c r="A268">
        <v>2015</v>
      </c>
      <c r="B268" t="s">
        <v>1429</v>
      </c>
      <c r="C268" t="s">
        <v>1431</v>
      </c>
      <c r="D268" t="s">
        <v>1433</v>
      </c>
      <c r="E268" t="s">
        <v>523</v>
      </c>
      <c r="F268" s="9" t="s">
        <v>982</v>
      </c>
      <c r="G268" s="18">
        <v>98711.44</v>
      </c>
      <c r="H268">
        <v>0</v>
      </c>
      <c r="I268" s="29">
        <f t="shared" si="4"/>
        <v>98711.44</v>
      </c>
      <c r="J268" t="str">
        <f>IFERROR(VLOOKUP(E268,'LEAID Match'!$A$2:$B$168,2,FALSE),"")</f>
        <v/>
      </c>
    </row>
    <row r="269" spans="1:10">
      <c r="A269">
        <v>2016</v>
      </c>
      <c r="B269" t="s">
        <v>1429</v>
      </c>
      <c r="C269" t="s">
        <v>1431</v>
      </c>
      <c r="D269" t="s">
        <v>1433</v>
      </c>
      <c r="E269" t="s">
        <v>523</v>
      </c>
      <c r="F269" t="s">
        <v>523</v>
      </c>
      <c r="G269" s="28">
        <v>113777</v>
      </c>
      <c r="H269">
        <v>0</v>
      </c>
      <c r="I269" s="29">
        <f t="shared" si="4"/>
        <v>113777</v>
      </c>
      <c r="J269" t="str">
        <f>IFERROR(VLOOKUP(E269,'LEAID Match'!$A$2:$B$168,2,FALSE),"")</f>
        <v/>
      </c>
    </row>
    <row r="270" spans="1:10">
      <c r="A270">
        <v>2017</v>
      </c>
      <c r="B270" t="s">
        <v>1429</v>
      </c>
      <c r="C270" t="s">
        <v>1431</v>
      </c>
      <c r="D270" t="s">
        <v>1433</v>
      </c>
      <c r="E270" t="s">
        <v>523</v>
      </c>
      <c r="F270" t="s">
        <v>523</v>
      </c>
      <c r="G270" s="28">
        <v>108273</v>
      </c>
      <c r="H270">
        <v>0</v>
      </c>
      <c r="I270" s="29">
        <f t="shared" si="4"/>
        <v>108273</v>
      </c>
      <c r="J270" t="str">
        <f>IFERROR(VLOOKUP(E270,'LEAID Match'!$A$2:$B$168,2,FALSE),"")</f>
        <v/>
      </c>
    </row>
    <row r="271" spans="1:10">
      <c r="A271" s="27">
        <v>2018</v>
      </c>
      <c r="B271" t="s">
        <v>1429</v>
      </c>
      <c r="C271" t="s">
        <v>1431</v>
      </c>
      <c r="D271" t="s">
        <v>1433</v>
      </c>
      <c r="E271" t="s">
        <v>523</v>
      </c>
      <c r="F271" s="9" t="s">
        <v>523</v>
      </c>
      <c r="G271" s="18">
        <v>126745</v>
      </c>
      <c r="H271">
        <v>0</v>
      </c>
      <c r="I271" s="29">
        <f t="shared" si="4"/>
        <v>126745</v>
      </c>
      <c r="J271" t="str">
        <f>IFERROR(VLOOKUP(E271,'LEAID Match'!$A$2:$B$168,2,FALSE),"")</f>
        <v/>
      </c>
    </row>
    <row r="272" spans="1:10">
      <c r="A272">
        <v>2019</v>
      </c>
      <c r="B272" t="s">
        <v>1429</v>
      </c>
      <c r="C272" t="s">
        <v>1431</v>
      </c>
      <c r="D272" t="s">
        <v>1433</v>
      </c>
      <c r="E272" t="s">
        <v>523</v>
      </c>
      <c r="F272" s="9" t="s">
        <v>523</v>
      </c>
      <c r="G272" s="18">
        <v>136398</v>
      </c>
      <c r="H272">
        <v>0</v>
      </c>
      <c r="I272" s="29">
        <f t="shared" si="4"/>
        <v>136398</v>
      </c>
      <c r="J272" t="str">
        <f>IFERROR(VLOOKUP(E272,'LEAID Match'!$A$2:$B$168,2,FALSE),"")</f>
        <v/>
      </c>
    </row>
    <row r="273" spans="1:10">
      <c r="A273">
        <v>2015</v>
      </c>
      <c r="B273" t="s">
        <v>1429</v>
      </c>
      <c r="C273" t="s">
        <v>1431</v>
      </c>
      <c r="D273" t="s">
        <v>1433</v>
      </c>
      <c r="E273" t="s">
        <v>17</v>
      </c>
      <c r="F273" s="9" t="s">
        <v>983</v>
      </c>
      <c r="G273" s="18">
        <v>157237.60999999999</v>
      </c>
      <c r="H273">
        <v>0</v>
      </c>
      <c r="I273" s="29">
        <f t="shared" si="4"/>
        <v>157237.60999999999</v>
      </c>
      <c r="J273">
        <f>IFERROR(VLOOKUP(E273,'LEAID Match'!$A$2:$B$168,2,FALSE),"")</f>
        <v>3301890</v>
      </c>
    </row>
    <row r="274" spans="1:10">
      <c r="A274">
        <v>2016</v>
      </c>
      <c r="B274" t="s">
        <v>1429</v>
      </c>
      <c r="C274" t="s">
        <v>1431</v>
      </c>
      <c r="D274" t="s">
        <v>1433</v>
      </c>
      <c r="E274" t="s">
        <v>17</v>
      </c>
      <c r="F274" t="s">
        <v>524</v>
      </c>
      <c r="G274" s="28">
        <v>185253</v>
      </c>
      <c r="H274">
        <v>0</v>
      </c>
      <c r="I274" s="29">
        <f t="shared" si="4"/>
        <v>185253</v>
      </c>
      <c r="J274">
        <f>IFERROR(VLOOKUP(E274,'LEAID Match'!$A$2:$B$168,2,FALSE),"")</f>
        <v>3301890</v>
      </c>
    </row>
    <row r="275" spans="1:10">
      <c r="A275">
        <v>2017</v>
      </c>
      <c r="B275" t="s">
        <v>1429</v>
      </c>
      <c r="C275" t="s">
        <v>1431</v>
      </c>
      <c r="D275" t="s">
        <v>1433</v>
      </c>
      <c r="E275" t="s">
        <v>17</v>
      </c>
      <c r="F275" t="s">
        <v>524</v>
      </c>
      <c r="G275" s="28">
        <v>186703</v>
      </c>
      <c r="H275">
        <v>0</v>
      </c>
      <c r="I275" s="29">
        <f t="shared" si="4"/>
        <v>186703</v>
      </c>
      <c r="J275">
        <f>IFERROR(VLOOKUP(E275,'LEAID Match'!$A$2:$B$168,2,FALSE),"")</f>
        <v>3301890</v>
      </c>
    </row>
    <row r="276" spans="1:10">
      <c r="A276" s="27">
        <v>2018</v>
      </c>
      <c r="B276" t="s">
        <v>1429</v>
      </c>
      <c r="C276" t="s">
        <v>1431</v>
      </c>
      <c r="D276" t="s">
        <v>1433</v>
      </c>
      <c r="E276" t="s">
        <v>17</v>
      </c>
      <c r="F276" s="9" t="s">
        <v>524</v>
      </c>
      <c r="G276" s="18">
        <v>228765</v>
      </c>
      <c r="H276">
        <v>0</v>
      </c>
      <c r="I276" s="29">
        <f t="shared" si="4"/>
        <v>228765</v>
      </c>
      <c r="J276">
        <f>IFERROR(VLOOKUP(E276,'LEAID Match'!$A$2:$B$168,2,FALSE),"")</f>
        <v>3301890</v>
      </c>
    </row>
    <row r="277" spans="1:10">
      <c r="A277">
        <v>2019</v>
      </c>
      <c r="B277" t="s">
        <v>1429</v>
      </c>
      <c r="C277" t="s">
        <v>1431</v>
      </c>
      <c r="D277" t="s">
        <v>1433</v>
      </c>
      <c r="E277" t="s">
        <v>17</v>
      </c>
      <c r="F277" s="9" t="s">
        <v>524</v>
      </c>
      <c r="G277" s="18">
        <v>221159</v>
      </c>
      <c r="H277">
        <v>0</v>
      </c>
      <c r="I277" s="29">
        <f t="shared" si="4"/>
        <v>221159</v>
      </c>
      <c r="J277">
        <f>IFERROR(VLOOKUP(E277,'LEAID Match'!$A$2:$B$168,2,FALSE),"")</f>
        <v>3301890</v>
      </c>
    </row>
    <row r="278" spans="1:10">
      <c r="A278" s="27">
        <v>2020</v>
      </c>
      <c r="B278" t="s">
        <v>1429</v>
      </c>
      <c r="C278" t="s">
        <v>1431</v>
      </c>
      <c r="D278" t="s">
        <v>1433</v>
      </c>
      <c r="E278" t="s">
        <v>17</v>
      </c>
      <c r="F278" s="9" t="s">
        <v>17</v>
      </c>
      <c r="G278" s="18">
        <v>227935</v>
      </c>
      <c r="H278">
        <v>0</v>
      </c>
      <c r="I278" s="29">
        <f t="shared" si="4"/>
        <v>227935</v>
      </c>
      <c r="J278">
        <f>IFERROR(VLOOKUP(E278,'LEAID Match'!$A$2:$B$168,2,FALSE),"")</f>
        <v>3301890</v>
      </c>
    </row>
    <row r="279" spans="1:10">
      <c r="A279">
        <v>2021</v>
      </c>
      <c r="B279" t="s">
        <v>1429</v>
      </c>
      <c r="C279" t="s">
        <v>1431</v>
      </c>
      <c r="D279" t="s">
        <v>1433</v>
      </c>
      <c r="E279" t="s">
        <v>17</v>
      </c>
      <c r="F279" s="9" t="s">
        <v>17</v>
      </c>
      <c r="G279" s="18">
        <v>256747</v>
      </c>
      <c r="H279">
        <v>0</v>
      </c>
      <c r="I279" s="29">
        <f t="shared" si="4"/>
        <v>256747</v>
      </c>
      <c r="J279">
        <f>IFERROR(VLOOKUP(E279,'LEAID Match'!$A$2:$B$168,2,FALSE),"")</f>
        <v>3301890</v>
      </c>
    </row>
    <row r="280" spans="1:10">
      <c r="A280">
        <v>2022</v>
      </c>
      <c r="B280" t="s">
        <v>1429</v>
      </c>
      <c r="C280" t="s">
        <v>1431</v>
      </c>
      <c r="D280" t="s">
        <v>1433</v>
      </c>
      <c r="E280" t="s">
        <v>17</v>
      </c>
      <c r="F280" s="9" t="s">
        <v>17</v>
      </c>
      <c r="G280" s="18">
        <v>352607</v>
      </c>
      <c r="H280">
        <v>0</v>
      </c>
      <c r="I280" s="29">
        <f t="shared" si="4"/>
        <v>352607</v>
      </c>
      <c r="J280">
        <f>IFERROR(VLOOKUP(E280,'LEAID Match'!$A$2:$B$168,2,FALSE),"")</f>
        <v>3301890</v>
      </c>
    </row>
    <row r="281" spans="1:10">
      <c r="A281">
        <v>2023</v>
      </c>
      <c r="B281" t="s">
        <v>1429</v>
      </c>
      <c r="C281" t="s">
        <v>1431</v>
      </c>
      <c r="D281" t="s">
        <v>1433</v>
      </c>
      <c r="E281" t="s">
        <v>17</v>
      </c>
      <c r="F281" t="s">
        <v>17</v>
      </c>
      <c r="G281" s="28">
        <v>332355</v>
      </c>
      <c r="H281">
        <v>0</v>
      </c>
      <c r="I281" s="29">
        <f t="shared" si="4"/>
        <v>332355</v>
      </c>
      <c r="J281">
        <f>IFERROR(VLOOKUP(E281,'LEAID Match'!$A$2:$B$168,2,FALSE),"")</f>
        <v>3301890</v>
      </c>
    </row>
    <row r="282" spans="1:10">
      <c r="A282">
        <v>2015</v>
      </c>
      <c r="B282" t="s">
        <v>1429</v>
      </c>
      <c r="C282" t="s">
        <v>1431</v>
      </c>
      <c r="D282" t="s">
        <v>1433</v>
      </c>
      <c r="E282" t="s">
        <v>525</v>
      </c>
      <c r="F282" s="9" t="s">
        <v>984</v>
      </c>
      <c r="G282" s="18">
        <v>127995.51</v>
      </c>
      <c r="H282">
        <v>0</v>
      </c>
      <c r="I282" s="29">
        <f t="shared" si="4"/>
        <v>127995.51</v>
      </c>
      <c r="J282" t="str">
        <f>IFERROR(VLOOKUP(E282,'LEAID Match'!$A$2:$B$168,2,FALSE),"")</f>
        <v/>
      </c>
    </row>
    <row r="283" spans="1:10">
      <c r="A283">
        <v>2015</v>
      </c>
      <c r="B283" t="s">
        <v>1429</v>
      </c>
      <c r="C283" t="s">
        <v>1431</v>
      </c>
      <c r="D283" t="s">
        <v>1433</v>
      </c>
      <c r="E283" t="s">
        <v>525</v>
      </c>
      <c r="F283" s="9" t="s">
        <v>985</v>
      </c>
      <c r="G283" s="18">
        <v>424510.9</v>
      </c>
      <c r="H283">
        <v>0</v>
      </c>
      <c r="I283" s="29">
        <f t="shared" si="4"/>
        <v>424510.9</v>
      </c>
      <c r="J283" t="str">
        <f>IFERROR(VLOOKUP(E283,'LEAID Match'!$A$2:$B$168,2,FALSE),"")</f>
        <v/>
      </c>
    </row>
    <row r="284" spans="1:10">
      <c r="A284">
        <v>2016</v>
      </c>
      <c r="B284" t="s">
        <v>1429</v>
      </c>
      <c r="C284" t="s">
        <v>1431</v>
      </c>
      <c r="D284" t="s">
        <v>1433</v>
      </c>
      <c r="E284" t="s">
        <v>525</v>
      </c>
      <c r="F284" t="s">
        <v>525</v>
      </c>
      <c r="G284" s="28">
        <v>134537</v>
      </c>
      <c r="H284">
        <v>0</v>
      </c>
      <c r="I284" s="29">
        <f t="shared" si="4"/>
        <v>134537</v>
      </c>
      <c r="J284" t="str">
        <f>IFERROR(VLOOKUP(E284,'LEAID Match'!$A$2:$B$168,2,FALSE),"")</f>
        <v/>
      </c>
    </row>
    <row r="285" spans="1:10">
      <c r="A285">
        <v>2017</v>
      </c>
      <c r="B285" t="s">
        <v>1429</v>
      </c>
      <c r="C285" t="s">
        <v>1431</v>
      </c>
      <c r="D285" t="s">
        <v>1433</v>
      </c>
      <c r="E285" t="s">
        <v>525</v>
      </c>
      <c r="F285" t="s">
        <v>525</v>
      </c>
      <c r="G285" s="28">
        <v>160092</v>
      </c>
      <c r="H285">
        <v>0</v>
      </c>
      <c r="I285" s="29">
        <f t="shared" si="4"/>
        <v>160092</v>
      </c>
      <c r="J285" t="str">
        <f>IFERROR(VLOOKUP(E285,'LEAID Match'!$A$2:$B$168,2,FALSE),"")</f>
        <v/>
      </c>
    </row>
    <row r="286" spans="1:10">
      <c r="A286" s="27">
        <v>2018</v>
      </c>
      <c r="B286" t="s">
        <v>1429</v>
      </c>
      <c r="C286" t="s">
        <v>1431</v>
      </c>
      <c r="D286" t="s">
        <v>1433</v>
      </c>
      <c r="E286" t="s">
        <v>525</v>
      </c>
      <c r="F286" s="9" t="s">
        <v>525</v>
      </c>
      <c r="G286" s="18">
        <v>176499</v>
      </c>
      <c r="H286">
        <v>0</v>
      </c>
      <c r="I286" s="29">
        <f t="shared" si="4"/>
        <v>176499</v>
      </c>
      <c r="J286" t="str">
        <f>IFERROR(VLOOKUP(E286,'LEAID Match'!$A$2:$B$168,2,FALSE),"")</f>
        <v/>
      </c>
    </row>
    <row r="287" spans="1:10">
      <c r="A287">
        <v>2019</v>
      </c>
      <c r="B287" t="s">
        <v>1429</v>
      </c>
      <c r="C287" t="s">
        <v>1431</v>
      </c>
      <c r="D287" t="s">
        <v>1433</v>
      </c>
      <c r="E287" t="s">
        <v>525</v>
      </c>
      <c r="F287" s="9" t="s">
        <v>525</v>
      </c>
      <c r="G287" s="18">
        <v>179304</v>
      </c>
      <c r="H287">
        <v>0</v>
      </c>
      <c r="I287" s="29">
        <f t="shared" si="4"/>
        <v>179304</v>
      </c>
      <c r="J287" t="str">
        <f>IFERROR(VLOOKUP(E287,'LEAID Match'!$A$2:$B$168,2,FALSE),"")</f>
        <v/>
      </c>
    </row>
    <row r="288" spans="1:10">
      <c r="A288">
        <v>2016</v>
      </c>
      <c r="B288" t="s">
        <v>1429</v>
      </c>
      <c r="C288" t="s">
        <v>1431</v>
      </c>
      <c r="D288" t="s">
        <v>1433</v>
      </c>
      <c r="E288" t="s">
        <v>526</v>
      </c>
      <c r="F288" t="s">
        <v>526</v>
      </c>
      <c r="G288" s="28">
        <v>466401</v>
      </c>
      <c r="H288">
        <v>0</v>
      </c>
      <c r="I288" s="29">
        <f t="shared" si="4"/>
        <v>466401</v>
      </c>
      <c r="J288" t="str">
        <f>IFERROR(VLOOKUP(E288,'LEAID Match'!$A$2:$B$168,2,FALSE),"")</f>
        <v/>
      </c>
    </row>
    <row r="289" spans="1:10">
      <c r="A289">
        <v>2017</v>
      </c>
      <c r="B289" t="s">
        <v>1429</v>
      </c>
      <c r="C289" t="s">
        <v>1431</v>
      </c>
      <c r="D289" t="s">
        <v>1433</v>
      </c>
      <c r="E289" t="s">
        <v>526</v>
      </c>
      <c r="F289" t="s">
        <v>526</v>
      </c>
      <c r="G289" s="28">
        <v>469451</v>
      </c>
      <c r="H289">
        <v>0</v>
      </c>
      <c r="I289" s="29">
        <f t="shared" si="4"/>
        <v>469451</v>
      </c>
      <c r="J289" t="str">
        <f>IFERROR(VLOOKUP(E289,'LEAID Match'!$A$2:$B$168,2,FALSE),"")</f>
        <v/>
      </c>
    </row>
    <row r="290" spans="1:10">
      <c r="A290" s="27">
        <v>2018</v>
      </c>
      <c r="B290" t="s">
        <v>1429</v>
      </c>
      <c r="C290" t="s">
        <v>1431</v>
      </c>
      <c r="D290" t="s">
        <v>1433</v>
      </c>
      <c r="E290" t="s">
        <v>526</v>
      </c>
      <c r="F290" s="9" t="s">
        <v>526</v>
      </c>
      <c r="G290" s="18">
        <v>546636</v>
      </c>
      <c r="H290">
        <v>0</v>
      </c>
      <c r="I290" s="29">
        <f t="shared" si="4"/>
        <v>546636</v>
      </c>
      <c r="J290" t="str">
        <f>IFERROR(VLOOKUP(E290,'LEAID Match'!$A$2:$B$168,2,FALSE),"")</f>
        <v/>
      </c>
    </row>
    <row r="291" spans="1:10">
      <c r="A291">
        <v>2019</v>
      </c>
      <c r="B291" t="s">
        <v>1429</v>
      </c>
      <c r="C291" t="s">
        <v>1431</v>
      </c>
      <c r="D291" t="s">
        <v>1433</v>
      </c>
      <c r="E291" t="s">
        <v>526</v>
      </c>
      <c r="F291" s="9" t="s">
        <v>526</v>
      </c>
      <c r="G291" s="18">
        <v>571702</v>
      </c>
      <c r="H291">
        <v>0</v>
      </c>
      <c r="I291" s="29">
        <f t="shared" si="4"/>
        <v>571702</v>
      </c>
      <c r="J291" t="str">
        <f>IFERROR(VLOOKUP(E291,'LEAID Match'!$A$2:$B$168,2,FALSE),"")</f>
        <v/>
      </c>
    </row>
    <row r="292" spans="1:10">
      <c r="A292">
        <v>2015</v>
      </c>
      <c r="B292" t="s">
        <v>1429</v>
      </c>
      <c r="C292" t="s">
        <v>1431</v>
      </c>
      <c r="D292" t="s">
        <v>1433</v>
      </c>
      <c r="E292" t="s">
        <v>18</v>
      </c>
      <c r="F292" s="9" t="s">
        <v>986</v>
      </c>
      <c r="G292" s="18">
        <v>1456028.91</v>
      </c>
      <c r="H292">
        <v>0</v>
      </c>
      <c r="I292" s="29">
        <f t="shared" si="4"/>
        <v>1456028.91</v>
      </c>
      <c r="J292">
        <f>IFERROR(VLOOKUP(E292,'LEAID Match'!$A$2:$B$168,2,FALSE),"")</f>
        <v>3301950</v>
      </c>
    </row>
    <row r="293" spans="1:10">
      <c r="A293">
        <v>2016</v>
      </c>
      <c r="B293" t="s">
        <v>1429</v>
      </c>
      <c r="C293" t="s">
        <v>1431</v>
      </c>
      <c r="D293" t="s">
        <v>1433</v>
      </c>
      <c r="E293" t="s">
        <v>18</v>
      </c>
      <c r="F293" t="s">
        <v>527</v>
      </c>
      <c r="G293" s="28">
        <v>1624519</v>
      </c>
      <c r="H293">
        <v>0</v>
      </c>
      <c r="I293" s="29">
        <f t="shared" si="4"/>
        <v>1624519</v>
      </c>
      <c r="J293">
        <f>IFERROR(VLOOKUP(E293,'LEAID Match'!$A$2:$B$168,2,FALSE),"")</f>
        <v>3301950</v>
      </c>
    </row>
    <row r="294" spans="1:10">
      <c r="A294">
        <v>2017</v>
      </c>
      <c r="B294" t="s">
        <v>1429</v>
      </c>
      <c r="C294" t="s">
        <v>1431</v>
      </c>
      <c r="D294" t="s">
        <v>1433</v>
      </c>
      <c r="E294" t="s">
        <v>18</v>
      </c>
      <c r="F294" t="s">
        <v>527</v>
      </c>
      <c r="G294" s="28">
        <v>1668380</v>
      </c>
      <c r="H294">
        <v>0</v>
      </c>
      <c r="I294" s="29">
        <f t="shared" si="4"/>
        <v>1668380</v>
      </c>
      <c r="J294">
        <f>IFERROR(VLOOKUP(E294,'LEAID Match'!$A$2:$B$168,2,FALSE),"")</f>
        <v>3301950</v>
      </c>
    </row>
    <row r="295" spans="1:10">
      <c r="A295" s="27">
        <v>2018</v>
      </c>
      <c r="B295" t="s">
        <v>1429</v>
      </c>
      <c r="C295" t="s">
        <v>1431</v>
      </c>
      <c r="D295" t="s">
        <v>1433</v>
      </c>
      <c r="E295" t="s">
        <v>18</v>
      </c>
      <c r="F295" s="9" t="s">
        <v>527</v>
      </c>
      <c r="G295" s="18">
        <v>2030871</v>
      </c>
      <c r="H295">
        <v>0</v>
      </c>
      <c r="I295" s="29">
        <f t="shared" si="4"/>
        <v>2030871</v>
      </c>
      <c r="J295">
        <f>IFERROR(VLOOKUP(E295,'LEAID Match'!$A$2:$B$168,2,FALSE),"")</f>
        <v>3301950</v>
      </c>
    </row>
    <row r="296" spans="1:10">
      <c r="A296">
        <v>2019</v>
      </c>
      <c r="B296" t="s">
        <v>1429</v>
      </c>
      <c r="C296" t="s">
        <v>1431</v>
      </c>
      <c r="D296" t="s">
        <v>1433</v>
      </c>
      <c r="E296" t="s">
        <v>18</v>
      </c>
      <c r="F296" s="9" t="s">
        <v>527</v>
      </c>
      <c r="G296" s="18">
        <v>2098165</v>
      </c>
      <c r="H296">
        <v>0</v>
      </c>
      <c r="I296" s="29">
        <f t="shared" si="4"/>
        <v>2098165</v>
      </c>
      <c r="J296">
        <f>IFERROR(VLOOKUP(E296,'LEAID Match'!$A$2:$B$168,2,FALSE),"")</f>
        <v>3301950</v>
      </c>
    </row>
    <row r="297" spans="1:10">
      <c r="A297" s="27">
        <v>2020</v>
      </c>
      <c r="B297" t="s">
        <v>1429</v>
      </c>
      <c r="C297" t="s">
        <v>1431</v>
      </c>
      <c r="D297" t="s">
        <v>1433</v>
      </c>
      <c r="E297" t="s">
        <v>18</v>
      </c>
      <c r="F297" s="9" t="s">
        <v>18</v>
      </c>
      <c r="G297" s="18">
        <v>2174309</v>
      </c>
      <c r="H297">
        <v>0</v>
      </c>
      <c r="I297" s="29">
        <f t="shared" si="4"/>
        <v>2174309</v>
      </c>
      <c r="J297">
        <f>IFERROR(VLOOKUP(E297,'LEAID Match'!$A$2:$B$168,2,FALSE),"")</f>
        <v>3301950</v>
      </c>
    </row>
    <row r="298" spans="1:10">
      <c r="A298">
        <v>2021</v>
      </c>
      <c r="B298" t="s">
        <v>1429</v>
      </c>
      <c r="C298" t="s">
        <v>1431</v>
      </c>
      <c r="D298" t="s">
        <v>1433</v>
      </c>
      <c r="E298" t="s">
        <v>18</v>
      </c>
      <c r="F298" s="9" t="s">
        <v>18</v>
      </c>
      <c r="G298" s="18">
        <v>2239284</v>
      </c>
      <c r="H298">
        <v>0</v>
      </c>
      <c r="I298" s="29">
        <f t="shared" si="4"/>
        <v>2239284</v>
      </c>
      <c r="J298">
        <f>IFERROR(VLOOKUP(E298,'LEAID Match'!$A$2:$B$168,2,FALSE),"")</f>
        <v>3301950</v>
      </c>
    </row>
    <row r="299" spans="1:10">
      <c r="A299">
        <v>2022</v>
      </c>
      <c r="B299" t="s">
        <v>1429</v>
      </c>
      <c r="C299" t="s">
        <v>1431</v>
      </c>
      <c r="D299" t="s">
        <v>1433</v>
      </c>
      <c r="E299" t="s">
        <v>18</v>
      </c>
      <c r="F299" s="9" t="s">
        <v>18</v>
      </c>
      <c r="G299" s="18">
        <v>2815990</v>
      </c>
      <c r="H299">
        <v>0</v>
      </c>
      <c r="I299" s="29">
        <f t="shared" si="4"/>
        <v>2815990</v>
      </c>
      <c r="J299">
        <f>IFERROR(VLOOKUP(E299,'LEAID Match'!$A$2:$B$168,2,FALSE),"")</f>
        <v>3301950</v>
      </c>
    </row>
    <row r="300" spans="1:10">
      <c r="A300">
        <v>2023</v>
      </c>
      <c r="B300" t="s">
        <v>1429</v>
      </c>
      <c r="C300" t="s">
        <v>1431</v>
      </c>
      <c r="D300" t="s">
        <v>1433</v>
      </c>
      <c r="E300" t="s">
        <v>18</v>
      </c>
      <c r="F300" t="s">
        <v>18</v>
      </c>
      <c r="G300" s="28">
        <v>2893483</v>
      </c>
      <c r="H300">
        <v>0</v>
      </c>
      <c r="I300" s="29">
        <f t="shared" si="4"/>
        <v>2893483</v>
      </c>
      <c r="J300">
        <f>IFERROR(VLOOKUP(E300,'LEAID Match'!$A$2:$B$168,2,FALSE),"")</f>
        <v>3301950</v>
      </c>
    </row>
    <row r="301" spans="1:10">
      <c r="A301">
        <v>2015</v>
      </c>
      <c r="B301" t="s">
        <v>1429</v>
      </c>
      <c r="C301" t="s">
        <v>1431</v>
      </c>
      <c r="D301" t="s">
        <v>1433</v>
      </c>
      <c r="E301" t="s">
        <v>528</v>
      </c>
      <c r="F301" s="9" t="s">
        <v>987</v>
      </c>
      <c r="G301" s="18">
        <v>38163.78</v>
      </c>
      <c r="H301">
        <v>0</v>
      </c>
      <c r="I301" s="29">
        <f t="shared" si="4"/>
        <v>38163.78</v>
      </c>
      <c r="J301" t="str">
        <f>IFERROR(VLOOKUP(E301,'LEAID Match'!$A$2:$B$168,2,FALSE),"")</f>
        <v/>
      </c>
    </row>
    <row r="302" spans="1:10">
      <c r="A302">
        <v>2016</v>
      </c>
      <c r="B302" t="s">
        <v>1429</v>
      </c>
      <c r="C302" t="s">
        <v>1431</v>
      </c>
      <c r="D302" t="s">
        <v>1433</v>
      </c>
      <c r="E302" t="s">
        <v>528</v>
      </c>
      <c r="F302" t="s">
        <v>528</v>
      </c>
      <c r="G302" s="28">
        <v>37737</v>
      </c>
      <c r="H302">
        <v>0</v>
      </c>
      <c r="I302" s="29">
        <f t="shared" si="4"/>
        <v>37737</v>
      </c>
      <c r="J302" t="str">
        <f>IFERROR(VLOOKUP(E302,'LEAID Match'!$A$2:$B$168,2,FALSE),"")</f>
        <v/>
      </c>
    </row>
    <row r="303" spans="1:10">
      <c r="A303">
        <v>2017</v>
      </c>
      <c r="B303" t="s">
        <v>1429</v>
      </c>
      <c r="C303" t="s">
        <v>1431</v>
      </c>
      <c r="D303" t="s">
        <v>1433</v>
      </c>
      <c r="E303" t="s">
        <v>528</v>
      </c>
      <c r="F303" t="s">
        <v>528</v>
      </c>
      <c r="G303" s="28">
        <v>40916</v>
      </c>
      <c r="H303">
        <v>0</v>
      </c>
      <c r="I303" s="29">
        <f t="shared" si="4"/>
        <v>40916</v>
      </c>
      <c r="J303" t="str">
        <f>IFERROR(VLOOKUP(E303,'LEAID Match'!$A$2:$B$168,2,FALSE),"")</f>
        <v/>
      </c>
    </row>
    <row r="304" spans="1:10">
      <c r="A304" s="27">
        <v>2018</v>
      </c>
      <c r="B304" t="s">
        <v>1429</v>
      </c>
      <c r="C304" t="s">
        <v>1431</v>
      </c>
      <c r="D304" t="s">
        <v>1433</v>
      </c>
      <c r="E304" t="s">
        <v>528</v>
      </c>
      <c r="F304" s="9" t="s">
        <v>528</v>
      </c>
      <c r="G304" s="18">
        <v>46731</v>
      </c>
      <c r="H304">
        <v>0</v>
      </c>
      <c r="I304" s="29">
        <f t="shared" si="4"/>
        <v>46731</v>
      </c>
      <c r="J304" t="str">
        <f>IFERROR(VLOOKUP(E304,'LEAID Match'!$A$2:$B$168,2,FALSE),"")</f>
        <v/>
      </c>
    </row>
    <row r="305" spans="1:10">
      <c r="A305">
        <v>2019</v>
      </c>
      <c r="B305" t="s">
        <v>1429</v>
      </c>
      <c r="C305" t="s">
        <v>1431</v>
      </c>
      <c r="D305" t="s">
        <v>1433</v>
      </c>
      <c r="E305" t="s">
        <v>528</v>
      </c>
      <c r="F305" s="9" t="s">
        <v>528</v>
      </c>
      <c r="G305" s="18">
        <v>49538</v>
      </c>
      <c r="H305">
        <v>0</v>
      </c>
      <c r="I305" s="29">
        <f t="shared" si="4"/>
        <v>49538</v>
      </c>
      <c r="J305" t="str">
        <f>IFERROR(VLOOKUP(E305,'LEAID Match'!$A$2:$B$168,2,FALSE),"")</f>
        <v/>
      </c>
    </row>
    <row r="306" spans="1:10">
      <c r="A306">
        <v>2015</v>
      </c>
      <c r="B306" t="s">
        <v>1429</v>
      </c>
      <c r="C306" t="s">
        <v>1431</v>
      </c>
      <c r="D306" t="s">
        <v>1433</v>
      </c>
      <c r="E306" t="s">
        <v>529</v>
      </c>
      <c r="F306" s="9" t="s">
        <v>988</v>
      </c>
      <c r="G306" s="18">
        <v>121534.8</v>
      </c>
      <c r="H306">
        <v>0</v>
      </c>
      <c r="I306" s="29">
        <f t="shared" si="4"/>
        <v>121534.8</v>
      </c>
      <c r="J306" t="str">
        <f>IFERROR(VLOOKUP(E306,'LEAID Match'!$A$2:$B$168,2,FALSE),"")</f>
        <v/>
      </c>
    </row>
    <row r="307" spans="1:10">
      <c r="A307">
        <v>2016</v>
      </c>
      <c r="B307" t="s">
        <v>1429</v>
      </c>
      <c r="C307" t="s">
        <v>1431</v>
      </c>
      <c r="D307" t="s">
        <v>1433</v>
      </c>
      <c r="E307" t="s">
        <v>529</v>
      </c>
      <c r="F307" t="s">
        <v>529</v>
      </c>
      <c r="G307" s="28">
        <v>139580</v>
      </c>
      <c r="H307">
        <v>0</v>
      </c>
      <c r="I307" s="29">
        <f t="shared" si="4"/>
        <v>139580</v>
      </c>
      <c r="J307" t="str">
        <f>IFERROR(VLOOKUP(E307,'LEAID Match'!$A$2:$B$168,2,FALSE),"")</f>
        <v/>
      </c>
    </row>
    <row r="308" spans="1:10">
      <c r="A308">
        <v>2017</v>
      </c>
      <c r="B308" t="s">
        <v>1429</v>
      </c>
      <c r="C308" t="s">
        <v>1431</v>
      </c>
      <c r="D308" t="s">
        <v>1433</v>
      </c>
      <c r="E308" t="s">
        <v>529</v>
      </c>
      <c r="F308" t="s">
        <v>529</v>
      </c>
      <c r="G308" s="28">
        <v>147346</v>
      </c>
      <c r="H308">
        <v>0</v>
      </c>
      <c r="I308" s="29">
        <f t="shared" si="4"/>
        <v>147346</v>
      </c>
      <c r="J308" t="str">
        <f>IFERROR(VLOOKUP(E308,'LEAID Match'!$A$2:$B$168,2,FALSE),"")</f>
        <v/>
      </c>
    </row>
    <row r="309" spans="1:10">
      <c r="A309" s="27">
        <v>2018</v>
      </c>
      <c r="B309" t="s">
        <v>1429</v>
      </c>
      <c r="C309" t="s">
        <v>1431</v>
      </c>
      <c r="D309" t="s">
        <v>1433</v>
      </c>
      <c r="E309" t="s">
        <v>529</v>
      </c>
      <c r="F309" s="9" t="s">
        <v>529</v>
      </c>
      <c r="G309" s="18">
        <v>167930</v>
      </c>
      <c r="H309">
        <v>0</v>
      </c>
      <c r="I309" s="29">
        <f t="shared" si="4"/>
        <v>167930</v>
      </c>
      <c r="J309" t="str">
        <f>IFERROR(VLOOKUP(E309,'LEAID Match'!$A$2:$B$168,2,FALSE),"")</f>
        <v/>
      </c>
    </row>
    <row r="310" spans="1:10">
      <c r="A310">
        <v>2019</v>
      </c>
      <c r="B310" t="s">
        <v>1429</v>
      </c>
      <c r="C310" t="s">
        <v>1431</v>
      </c>
      <c r="D310" t="s">
        <v>1433</v>
      </c>
      <c r="E310" t="s">
        <v>529</v>
      </c>
      <c r="F310" s="9" t="s">
        <v>529</v>
      </c>
      <c r="G310" s="18">
        <v>167571</v>
      </c>
      <c r="H310">
        <v>0</v>
      </c>
      <c r="I310" s="29">
        <f t="shared" si="4"/>
        <v>167571</v>
      </c>
      <c r="J310" t="str">
        <f>IFERROR(VLOOKUP(E310,'LEAID Match'!$A$2:$B$168,2,FALSE),"")</f>
        <v/>
      </c>
    </row>
    <row r="311" spans="1:10">
      <c r="A311">
        <v>2015</v>
      </c>
      <c r="B311" t="s">
        <v>1429</v>
      </c>
      <c r="C311" t="s">
        <v>1431</v>
      </c>
      <c r="D311" t="s">
        <v>1433</v>
      </c>
      <c r="E311" t="s">
        <v>19</v>
      </c>
      <c r="F311" s="9" t="s">
        <v>989</v>
      </c>
      <c r="G311" s="18">
        <v>251568.83</v>
      </c>
      <c r="H311">
        <v>0</v>
      </c>
      <c r="I311" s="29">
        <f t="shared" si="4"/>
        <v>251568.83</v>
      </c>
      <c r="J311">
        <f>IFERROR(VLOOKUP(E311,'LEAID Match'!$A$2:$B$168,2,FALSE),"")</f>
        <v>3302010</v>
      </c>
    </row>
    <row r="312" spans="1:10">
      <c r="A312">
        <v>2016</v>
      </c>
      <c r="B312" t="s">
        <v>1429</v>
      </c>
      <c r="C312" t="s">
        <v>1431</v>
      </c>
      <c r="D312" t="s">
        <v>1433</v>
      </c>
      <c r="E312" t="s">
        <v>19</v>
      </c>
      <c r="F312" t="s">
        <v>530</v>
      </c>
      <c r="G312" s="28">
        <v>248273</v>
      </c>
      <c r="H312">
        <v>0</v>
      </c>
      <c r="I312" s="29">
        <f t="shared" si="4"/>
        <v>248273</v>
      </c>
      <c r="J312">
        <f>IFERROR(VLOOKUP(E312,'LEAID Match'!$A$2:$B$168,2,FALSE),"")</f>
        <v>3302010</v>
      </c>
    </row>
    <row r="313" spans="1:10">
      <c r="A313">
        <v>2017</v>
      </c>
      <c r="B313" t="s">
        <v>1429</v>
      </c>
      <c r="C313" t="s">
        <v>1431</v>
      </c>
      <c r="D313" t="s">
        <v>1433</v>
      </c>
      <c r="E313" t="s">
        <v>19</v>
      </c>
      <c r="F313" t="s">
        <v>530</v>
      </c>
      <c r="G313" s="28">
        <v>251579</v>
      </c>
      <c r="H313">
        <v>0</v>
      </c>
      <c r="I313" s="29">
        <f t="shared" si="4"/>
        <v>251579</v>
      </c>
      <c r="J313">
        <f>IFERROR(VLOOKUP(E313,'LEAID Match'!$A$2:$B$168,2,FALSE),"")</f>
        <v>3302010</v>
      </c>
    </row>
    <row r="314" spans="1:10">
      <c r="A314" s="27">
        <v>2018</v>
      </c>
      <c r="B314" t="s">
        <v>1429</v>
      </c>
      <c r="C314" t="s">
        <v>1431</v>
      </c>
      <c r="D314" t="s">
        <v>1433</v>
      </c>
      <c r="E314" t="s">
        <v>19</v>
      </c>
      <c r="F314" s="9" t="s">
        <v>530</v>
      </c>
      <c r="G314" s="18">
        <v>318532</v>
      </c>
      <c r="H314">
        <v>0</v>
      </c>
      <c r="I314" s="29">
        <f t="shared" si="4"/>
        <v>318532</v>
      </c>
      <c r="J314">
        <f>IFERROR(VLOOKUP(E314,'LEAID Match'!$A$2:$B$168,2,FALSE),"")</f>
        <v>3302010</v>
      </c>
    </row>
    <row r="315" spans="1:10">
      <c r="A315">
        <v>2019</v>
      </c>
      <c r="B315" t="s">
        <v>1429</v>
      </c>
      <c r="C315" t="s">
        <v>1431</v>
      </c>
      <c r="D315" t="s">
        <v>1433</v>
      </c>
      <c r="E315" t="s">
        <v>19</v>
      </c>
      <c r="F315" s="9" t="s">
        <v>530</v>
      </c>
      <c r="G315" s="18">
        <v>346089</v>
      </c>
      <c r="H315">
        <v>0</v>
      </c>
      <c r="I315" s="29">
        <f t="shared" si="4"/>
        <v>346089</v>
      </c>
      <c r="J315">
        <f>IFERROR(VLOOKUP(E315,'LEAID Match'!$A$2:$B$168,2,FALSE),"")</f>
        <v>3302010</v>
      </c>
    </row>
    <row r="316" spans="1:10">
      <c r="A316" s="27">
        <v>2020</v>
      </c>
      <c r="B316" t="s">
        <v>1429</v>
      </c>
      <c r="C316" t="s">
        <v>1431</v>
      </c>
      <c r="D316" t="s">
        <v>1433</v>
      </c>
      <c r="E316" t="s">
        <v>19</v>
      </c>
      <c r="F316" s="9" t="s">
        <v>19</v>
      </c>
      <c r="G316" s="18">
        <v>367973</v>
      </c>
      <c r="H316">
        <v>0</v>
      </c>
      <c r="I316" s="29">
        <f t="shared" si="4"/>
        <v>367973</v>
      </c>
      <c r="J316">
        <f>IFERROR(VLOOKUP(E316,'LEAID Match'!$A$2:$B$168,2,FALSE),"")</f>
        <v>3302010</v>
      </c>
    </row>
    <row r="317" spans="1:10">
      <c r="A317">
        <v>2021</v>
      </c>
      <c r="B317" t="s">
        <v>1429</v>
      </c>
      <c r="C317" t="s">
        <v>1431</v>
      </c>
      <c r="D317" t="s">
        <v>1433</v>
      </c>
      <c r="E317" t="s">
        <v>19</v>
      </c>
      <c r="F317" s="9" t="s">
        <v>19</v>
      </c>
      <c r="G317" s="18">
        <v>388045</v>
      </c>
      <c r="H317">
        <v>0</v>
      </c>
      <c r="I317" s="29">
        <f t="shared" si="4"/>
        <v>388045</v>
      </c>
      <c r="J317">
        <f>IFERROR(VLOOKUP(E317,'LEAID Match'!$A$2:$B$168,2,FALSE),"")</f>
        <v>3302010</v>
      </c>
    </row>
    <row r="318" spans="1:10">
      <c r="A318">
        <v>2022</v>
      </c>
      <c r="B318" t="s">
        <v>1429</v>
      </c>
      <c r="C318" t="s">
        <v>1431</v>
      </c>
      <c r="D318" t="s">
        <v>1433</v>
      </c>
      <c r="E318" t="s">
        <v>19</v>
      </c>
      <c r="F318" s="9" t="s">
        <v>19</v>
      </c>
      <c r="G318" s="18">
        <v>494052</v>
      </c>
      <c r="H318">
        <v>0</v>
      </c>
      <c r="I318" s="29">
        <f t="shared" si="4"/>
        <v>494052</v>
      </c>
      <c r="J318">
        <f>IFERROR(VLOOKUP(E318,'LEAID Match'!$A$2:$B$168,2,FALSE),"")</f>
        <v>3302010</v>
      </c>
    </row>
    <row r="319" spans="1:10">
      <c r="A319">
        <v>2023</v>
      </c>
      <c r="B319" t="s">
        <v>1429</v>
      </c>
      <c r="C319" t="s">
        <v>1431</v>
      </c>
      <c r="D319" t="s">
        <v>1433</v>
      </c>
      <c r="E319" t="s">
        <v>19</v>
      </c>
      <c r="F319" t="s">
        <v>19</v>
      </c>
      <c r="G319" s="28">
        <v>519240</v>
      </c>
      <c r="H319">
        <v>0</v>
      </c>
      <c r="I319" s="29">
        <f t="shared" si="4"/>
        <v>519240</v>
      </c>
      <c r="J319">
        <f>IFERROR(VLOOKUP(E319,'LEAID Match'!$A$2:$B$168,2,FALSE),"")</f>
        <v>3302010</v>
      </c>
    </row>
    <row r="320" spans="1:10">
      <c r="A320">
        <v>2015</v>
      </c>
      <c r="B320" t="s">
        <v>1429</v>
      </c>
      <c r="C320" t="s">
        <v>1431</v>
      </c>
      <c r="D320" t="s">
        <v>1433</v>
      </c>
      <c r="E320" t="s">
        <v>531</v>
      </c>
      <c r="F320" s="9" t="s">
        <v>990</v>
      </c>
      <c r="G320" s="18">
        <v>0</v>
      </c>
      <c r="H320">
        <v>0</v>
      </c>
      <c r="I320" s="29">
        <f t="shared" si="4"/>
        <v>0</v>
      </c>
      <c r="J320" t="str">
        <f>IFERROR(VLOOKUP(E320,'LEAID Match'!$A$2:$B$168,2,FALSE),"")</f>
        <v/>
      </c>
    </row>
    <row r="321" spans="1:10">
      <c r="A321">
        <v>2016</v>
      </c>
      <c r="B321" t="s">
        <v>1429</v>
      </c>
      <c r="C321" t="s">
        <v>1431</v>
      </c>
      <c r="D321" t="s">
        <v>1433</v>
      </c>
      <c r="E321" t="s">
        <v>531</v>
      </c>
      <c r="F321" t="s">
        <v>531</v>
      </c>
      <c r="H321">
        <v>0</v>
      </c>
      <c r="I321" s="29">
        <f t="shared" si="4"/>
        <v>0</v>
      </c>
      <c r="J321" t="str">
        <f>IFERROR(VLOOKUP(E321,'LEAID Match'!$A$2:$B$168,2,FALSE),"")</f>
        <v/>
      </c>
    </row>
    <row r="322" spans="1:10">
      <c r="A322">
        <v>2017</v>
      </c>
      <c r="B322" t="s">
        <v>1429</v>
      </c>
      <c r="C322" t="s">
        <v>1431</v>
      </c>
      <c r="D322" t="s">
        <v>1433</v>
      </c>
      <c r="E322" t="s">
        <v>531</v>
      </c>
      <c r="F322" t="s">
        <v>531</v>
      </c>
      <c r="G322" s="28">
        <v>0</v>
      </c>
      <c r="H322">
        <v>0</v>
      </c>
      <c r="I322" s="29">
        <f t="shared" si="4"/>
        <v>0</v>
      </c>
      <c r="J322" t="str">
        <f>IFERROR(VLOOKUP(E322,'LEAID Match'!$A$2:$B$168,2,FALSE),"")</f>
        <v/>
      </c>
    </row>
    <row r="323" spans="1:10">
      <c r="A323" s="27">
        <v>2018</v>
      </c>
      <c r="B323" t="s">
        <v>1429</v>
      </c>
      <c r="C323" t="s">
        <v>1431</v>
      </c>
      <c r="D323" t="s">
        <v>1433</v>
      </c>
      <c r="E323" t="s">
        <v>531</v>
      </c>
      <c r="F323" s="9" t="s">
        <v>531</v>
      </c>
      <c r="G323" s="18"/>
      <c r="H323">
        <v>0</v>
      </c>
      <c r="I323" s="29">
        <f t="shared" ref="I323:I386" si="5">SUM(G323:H323)</f>
        <v>0</v>
      </c>
      <c r="J323" t="str">
        <f>IFERROR(VLOOKUP(E323,'LEAID Match'!$A$2:$B$168,2,FALSE),"")</f>
        <v/>
      </c>
    </row>
    <row r="324" spans="1:10">
      <c r="A324">
        <v>2019</v>
      </c>
      <c r="B324" t="s">
        <v>1429</v>
      </c>
      <c r="C324" t="s">
        <v>1431</v>
      </c>
      <c r="D324" t="s">
        <v>1433</v>
      </c>
      <c r="E324" t="s">
        <v>531</v>
      </c>
      <c r="F324" s="9" t="s">
        <v>531</v>
      </c>
      <c r="G324" s="18"/>
      <c r="H324">
        <v>0</v>
      </c>
      <c r="I324" s="29">
        <f t="shared" si="5"/>
        <v>0</v>
      </c>
      <c r="J324" t="str">
        <f>IFERROR(VLOOKUP(E324,'LEAID Match'!$A$2:$B$168,2,FALSE),"")</f>
        <v/>
      </c>
    </row>
    <row r="325" spans="1:10">
      <c r="A325">
        <v>2015</v>
      </c>
      <c r="B325" t="s">
        <v>1429</v>
      </c>
      <c r="C325" t="s">
        <v>1431</v>
      </c>
      <c r="D325" t="s">
        <v>1433</v>
      </c>
      <c r="E325" t="s">
        <v>532</v>
      </c>
      <c r="F325" s="9" t="s">
        <v>991</v>
      </c>
      <c r="G325" s="18">
        <v>286578.2</v>
      </c>
      <c r="H325">
        <v>0</v>
      </c>
      <c r="I325" s="29">
        <f t="shared" si="5"/>
        <v>286578.2</v>
      </c>
      <c r="J325" t="str">
        <f>IFERROR(VLOOKUP(E325,'LEAID Match'!$A$2:$B$168,2,FALSE),"")</f>
        <v/>
      </c>
    </row>
    <row r="326" spans="1:10">
      <c r="A326">
        <v>2016</v>
      </c>
      <c r="B326" t="s">
        <v>1429</v>
      </c>
      <c r="C326" t="s">
        <v>1431</v>
      </c>
      <c r="D326" t="s">
        <v>1433</v>
      </c>
      <c r="E326" t="s">
        <v>532</v>
      </c>
      <c r="F326" t="s">
        <v>532</v>
      </c>
      <c r="G326" s="28">
        <v>312518</v>
      </c>
      <c r="H326">
        <v>0</v>
      </c>
      <c r="I326" s="29">
        <f t="shared" si="5"/>
        <v>312518</v>
      </c>
      <c r="J326" t="str">
        <f>IFERROR(VLOOKUP(E326,'LEAID Match'!$A$2:$B$168,2,FALSE),"")</f>
        <v/>
      </c>
    </row>
    <row r="327" spans="1:10">
      <c r="A327">
        <v>2017</v>
      </c>
      <c r="B327" t="s">
        <v>1429</v>
      </c>
      <c r="C327" t="s">
        <v>1431</v>
      </c>
      <c r="D327" t="s">
        <v>1433</v>
      </c>
      <c r="E327" t="s">
        <v>532</v>
      </c>
      <c r="F327" t="s">
        <v>532</v>
      </c>
      <c r="G327" s="28">
        <v>306943</v>
      </c>
      <c r="H327">
        <v>0</v>
      </c>
      <c r="I327" s="29">
        <f t="shared" si="5"/>
        <v>306943</v>
      </c>
      <c r="J327" t="str">
        <f>IFERROR(VLOOKUP(E327,'LEAID Match'!$A$2:$B$168,2,FALSE),"")</f>
        <v/>
      </c>
    </row>
    <row r="328" spans="1:10">
      <c r="A328" s="27">
        <v>2018</v>
      </c>
      <c r="B328" t="s">
        <v>1429</v>
      </c>
      <c r="C328" t="s">
        <v>1431</v>
      </c>
      <c r="D328" t="s">
        <v>1433</v>
      </c>
      <c r="E328" t="s">
        <v>532</v>
      </c>
      <c r="F328" s="9" t="s">
        <v>532</v>
      </c>
      <c r="G328" s="18">
        <v>383837</v>
      </c>
      <c r="H328">
        <v>0</v>
      </c>
      <c r="I328" s="29">
        <f t="shared" si="5"/>
        <v>383837</v>
      </c>
      <c r="J328" t="str">
        <f>IFERROR(VLOOKUP(E328,'LEAID Match'!$A$2:$B$168,2,FALSE),"")</f>
        <v/>
      </c>
    </row>
    <row r="329" spans="1:10">
      <c r="A329">
        <v>2019</v>
      </c>
      <c r="B329" t="s">
        <v>1429</v>
      </c>
      <c r="C329" t="s">
        <v>1431</v>
      </c>
      <c r="D329" t="s">
        <v>1433</v>
      </c>
      <c r="E329" t="s">
        <v>532</v>
      </c>
      <c r="F329" s="9" t="s">
        <v>532</v>
      </c>
      <c r="G329" s="18">
        <v>369000</v>
      </c>
      <c r="H329">
        <v>0</v>
      </c>
      <c r="I329" s="29">
        <f t="shared" si="5"/>
        <v>369000</v>
      </c>
      <c r="J329" t="str">
        <f>IFERROR(VLOOKUP(E329,'LEAID Match'!$A$2:$B$168,2,FALSE),"")</f>
        <v/>
      </c>
    </row>
    <row r="330" spans="1:10">
      <c r="A330">
        <v>2015</v>
      </c>
      <c r="B330" t="s">
        <v>1429</v>
      </c>
      <c r="C330" t="s">
        <v>1431</v>
      </c>
      <c r="D330" t="s">
        <v>1433</v>
      </c>
      <c r="E330" t="s">
        <v>533</v>
      </c>
      <c r="F330" s="9" t="s">
        <v>992</v>
      </c>
      <c r="G330" s="18">
        <v>158420.91</v>
      </c>
      <c r="H330">
        <v>0</v>
      </c>
      <c r="I330" s="29">
        <f t="shared" si="5"/>
        <v>158420.91</v>
      </c>
      <c r="J330" t="str">
        <f>IFERROR(VLOOKUP(E330,'LEAID Match'!$A$2:$B$168,2,FALSE),"")</f>
        <v/>
      </c>
    </row>
    <row r="331" spans="1:10">
      <c r="A331">
        <v>2016</v>
      </c>
      <c r="B331" t="s">
        <v>1429</v>
      </c>
      <c r="C331" t="s">
        <v>1431</v>
      </c>
      <c r="D331" t="s">
        <v>1433</v>
      </c>
      <c r="E331" t="s">
        <v>533</v>
      </c>
      <c r="F331" t="s">
        <v>533</v>
      </c>
      <c r="G331" s="28">
        <v>188256</v>
      </c>
      <c r="H331">
        <v>0</v>
      </c>
      <c r="I331" s="29">
        <f t="shared" si="5"/>
        <v>188256</v>
      </c>
      <c r="J331" t="str">
        <f>IFERROR(VLOOKUP(E331,'LEAID Match'!$A$2:$B$168,2,FALSE),"")</f>
        <v/>
      </c>
    </row>
    <row r="332" spans="1:10">
      <c r="A332">
        <v>2017</v>
      </c>
      <c r="B332" t="s">
        <v>1429</v>
      </c>
      <c r="C332" t="s">
        <v>1431</v>
      </c>
      <c r="D332" t="s">
        <v>1433</v>
      </c>
      <c r="E332" t="s">
        <v>533</v>
      </c>
      <c r="F332" t="s">
        <v>533</v>
      </c>
      <c r="G332" s="28">
        <v>213878</v>
      </c>
      <c r="H332">
        <v>0</v>
      </c>
      <c r="I332" s="29">
        <f t="shared" si="5"/>
        <v>213878</v>
      </c>
      <c r="J332" t="str">
        <f>IFERROR(VLOOKUP(E332,'LEAID Match'!$A$2:$B$168,2,FALSE),"")</f>
        <v/>
      </c>
    </row>
    <row r="333" spans="1:10">
      <c r="A333" s="27">
        <v>2018</v>
      </c>
      <c r="B333" t="s">
        <v>1429</v>
      </c>
      <c r="C333" t="s">
        <v>1431</v>
      </c>
      <c r="D333" t="s">
        <v>1433</v>
      </c>
      <c r="E333" t="s">
        <v>533</v>
      </c>
      <c r="F333" s="9" t="s">
        <v>533</v>
      </c>
      <c r="G333" s="18">
        <v>241907</v>
      </c>
      <c r="H333">
        <v>0</v>
      </c>
      <c r="I333" s="29">
        <f t="shared" si="5"/>
        <v>241907</v>
      </c>
      <c r="J333" t="str">
        <f>IFERROR(VLOOKUP(E333,'LEAID Match'!$A$2:$B$168,2,FALSE),"")</f>
        <v/>
      </c>
    </row>
    <row r="334" spans="1:10">
      <c r="A334">
        <v>2019</v>
      </c>
      <c r="B334" t="s">
        <v>1429</v>
      </c>
      <c r="C334" t="s">
        <v>1431</v>
      </c>
      <c r="D334" t="s">
        <v>1433</v>
      </c>
      <c r="E334" t="s">
        <v>533</v>
      </c>
      <c r="F334" s="9" t="s">
        <v>533</v>
      </c>
      <c r="G334" s="18">
        <v>252989</v>
      </c>
      <c r="H334">
        <v>0</v>
      </c>
      <c r="I334" s="29">
        <f t="shared" si="5"/>
        <v>252989</v>
      </c>
      <c r="J334" t="str">
        <f>IFERROR(VLOOKUP(E334,'LEAID Match'!$A$2:$B$168,2,FALSE),"")</f>
        <v/>
      </c>
    </row>
    <row r="335" spans="1:10">
      <c r="A335">
        <v>2015</v>
      </c>
      <c r="B335" t="s">
        <v>1429</v>
      </c>
      <c r="C335" t="s">
        <v>1431</v>
      </c>
      <c r="D335" t="s">
        <v>1433</v>
      </c>
      <c r="E335" t="s">
        <v>20</v>
      </c>
      <c r="F335" s="9" t="s">
        <v>993</v>
      </c>
      <c r="G335" s="18">
        <v>5335.62</v>
      </c>
      <c r="H335">
        <v>0</v>
      </c>
      <c r="I335" s="29">
        <f t="shared" si="5"/>
        <v>5335.62</v>
      </c>
      <c r="J335" t="str">
        <f>IFERROR(VLOOKUP(E335,'LEAID Match'!$A$2:$B$168,2,FALSE),"")</f>
        <v/>
      </c>
    </row>
    <row r="336" spans="1:10">
      <c r="A336">
        <v>2016</v>
      </c>
      <c r="B336" t="s">
        <v>1429</v>
      </c>
      <c r="C336" t="s">
        <v>1431</v>
      </c>
      <c r="D336" t="s">
        <v>1433</v>
      </c>
      <c r="E336" t="s">
        <v>20</v>
      </c>
      <c r="F336" t="s">
        <v>534</v>
      </c>
      <c r="G336" s="28">
        <v>6475</v>
      </c>
      <c r="H336">
        <v>0</v>
      </c>
      <c r="I336" s="29">
        <f t="shared" si="5"/>
        <v>6475</v>
      </c>
      <c r="J336" t="str">
        <f>IFERROR(VLOOKUP(E336,'LEAID Match'!$A$2:$B$168,2,FALSE),"")</f>
        <v/>
      </c>
    </row>
    <row r="337" spans="1:10">
      <c r="A337">
        <v>2017</v>
      </c>
      <c r="B337" t="s">
        <v>1429</v>
      </c>
      <c r="C337" t="s">
        <v>1431</v>
      </c>
      <c r="D337" t="s">
        <v>1433</v>
      </c>
      <c r="E337" t="s">
        <v>20</v>
      </c>
      <c r="F337" t="s">
        <v>534</v>
      </c>
      <c r="G337" s="28">
        <v>9365</v>
      </c>
      <c r="H337">
        <v>0</v>
      </c>
      <c r="I337" s="29">
        <f t="shared" si="5"/>
        <v>9365</v>
      </c>
      <c r="J337" t="str">
        <f>IFERROR(VLOOKUP(E337,'LEAID Match'!$A$2:$B$168,2,FALSE),"")</f>
        <v/>
      </c>
    </row>
    <row r="338" spans="1:10">
      <c r="A338" s="27">
        <v>2018</v>
      </c>
      <c r="B338" t="s">
        <v>1429</v>
      </c>
      <c r="C338" t="s">
        <v>1431</v>
      </c>
      <c r="D338" t="s">
        <v>1433</v>
      </c>
      <c r="E338" t="s">
        <v>20</v>
      </c>
      <c r="F338" s="9" t="s">
        <v>534</v>
      </c>
      <c r="G338" s="18">
        <v>9148</v>
      </c>
      <c r="H338">
        <v>0</v>
      </c>
      <c r="I338" s="29">
        <f t="shared" si="5"/>
        <v>9148</v>
      </c>
      <c r="J338" t="str">
        <f>IFERROR(VLOOKUP(E338,'LEAID Match'!$A$2:$B$168,2,FALSE),"")</f>
        <v/>
      </c>
    </row>
    <row r="339" spans="1:10">
      <c r="A339">
        <v>2019</v>
      </c>
      <c r="B339" t="s">
        <v>1429</v>
      </c>
      <c r="C339" t="s">
        <v>1431</v>
      </c>
      <c r="D339" t="s">
        <v>1433</v>
      </c>
      <c r="E339" t="s">
        <v>20</v>
      </c>
      <c r="F339" s="9" t="s">
        <v>534</v>
      </c>
      <c r="G339" s="18">
        <v>8369</v>
      </c>
      <c r="H339">
        <v>0</v>
      </c>
      <c r="I339" s="29">
        <f t="shared" si="5"/>
        <v>8369</v>
      </c>
      <c r="J339" t="str">
        <f>IFERROR(VLOOKUP(E339,'LEAID Match'!$A$2:$B$168,2,FALSE),"")</f>
        <v/>
      </c>
    </row>
    <row r="340" spans="1:10">
      <c r="A340" s="27">
        <v>2020</v>
      </c>
      <c r="B340" t="s">
        <v>1429</v>
      </c>
      <c r="C340" t="s">
        <v>1431</v>
      </c>
      <c r="D340" t="s">
        <v>1433</v>
      </c>
      <c r="E340" t="s">
        <v>20</v>
      </c>
      <c r="F340" s="9" t="s">
        <v>20</v>
      </c>
      <c r="G340" s="18">
        <v>9017</v>
      </c>
      <c r="H340">
        <v>0</v>
      </c>
      <c r="I340" s="29">
        <f t="shared" si="5"/>
        <v>9017</v>
      </c>
      <c r="J340" t="str">
        <f>IFERROR(VLOOKUP(E340,'LEAID Match'!$A$2:$B$168,2,FALSE),"")</f>
        <v/>
      </c>
    </row>
    <row r="341" spans="1:10">
      <c r="A341">
        <v>2021</v>
      </c>
      <c r="B341" t="s">
        <v>1429</v>
      </c>
      <c r="C341" t="s">
        <v>1431</v>
      </c>
      <c r="D341" t="s">
        <v>1433</v>
      </c>
      <c r="E341" t="s">
        <v>20</v>
      </c>
      <c r="F341" s="9" t="s">
        <v>20</v>
      </c>
      <c r="G341" s="18">
        <v>7308</v>
      </c>
      <c r="H341">
        <v>0</v>
      </c>
      <c r="I341" s="29">
        <f t="shared" si="5"/>
        <v>7308</v>
      </c>
      <c r="J341" t="str">
        <f>IFERROR(VLOOKUP(E341,'LEAID Match'!$A$2:$B$168,2,FALSE),"")</f>
        <v/>
      </c>
    </row>
    <row r="342" spans="1:10">
      <c r="A342">
        <v>2022</v>
      </c>
      <c r="B342" t="s">
        <v>1429</v>
      </c>
      <c r="C342" t="s">
        <v>1431</v>
      </c>
      <c r="D342" t="s">
        <v>1433</v>
      </c>
      <c r="E342" t="s">
        <v>20</v>
      </c>
      <c r="F342" s="9" t="s">
        <v>20</v>
      </c>
      <c r="G342" s="18">
        <v>9558</v>
      </c>
      <c r="H342">
        <v>0</v>
      </c>
      <c r="I342" s="29">
        <f t="shared" si="5"/>
        <v>9558</v>
      </c>
      <c r="J342" t="str">
        <f>IFERROR(VLOOKUP(E342,'LEAID Match'!$A$2:$B$168,2,FALSE),"")</f>
        <v/>
      </c>
    </row>
    <row r="343" spans="1:10">
      <c r="A343">
        <v>2023</v>
      </c>
      <c r="B343" t="s">
        <v>1429</v>
      </c>
      <c r="C343" t="s">
        <v>1431</v>
      </c>
      <c r="D343" t="s">
        <v>1433</v>
      </c>
      <c r="E343" t="s">
        <v>20</v>
      </c>
      <c r="F343" t="s">
        <v>20</v>
      </c>
      <c r="G343" s="28">
        <v>12247</v>
      </c>
      <c r="H343">
        <v>0</v>
      </c>
      <c r="I343" s="29">
        <f t="shared" si="5"/>
        <v>12247</v>
      </c>
      <c r="J343" t="str">
        <f>IFERROR(VLOOKUP(E343,'LEAID Match'!$A$2:$B$168,2,FALSE),"")</f>
        <v/>
      </c>
    </row>
    <row r="344" spans="1:10">
      <c r="A344">
        <v>2015</v>
      </c>
      <c r="B344" t="s">
        <v>1429</v>
      </c>
      <c r="C344" t="s">
        <v>1431</v>
      </c>
      <c r="D344" t="s">
        <v>1433</v>
      </c>
      <c r="E344" t="s">
        <v>21</v>
      </c>
      <c r="F344" s="9" t="s">
        <v>994</v>
      </c>
      <c r="G344" s="18">
        <v>431105.9</v>
      </c>
      <c r="H344">
        <v>0</v>
      </c>
      <c r="I344" s="29">
        <f t="shared" si="5"/>
        <v>431105.9</v>
      </c>
      <c r="J344">
        <f>IFERROR(VLOOKUP(E344,'LEAID Match'!$A$2:$B$168,2,FALSE),"")</f>
        <v>3302070</v>
      </c>
    </row>
    <row r="345" spans="1:10">
      <c r="A345">
        <v>2016</v>
      </c>
      <c r="B345" t="s">
        <v>1429</v>
      </c>
      <c r="C345" t="s">
        <v>1431</v>
      </c>
      <c r="D345" t="s">
        <v>1433</v>
      </c>
      <c r="E345" t="s">
        <v>21</v>
      </c>
      <c r="F345" t="s">
        <v>535</v>
      </c>
      <c r="G345" s="28">
        <v>448251</v>
      </c>
      <c r="H345">
        <v>0</v>
      </c>
      <c r="I345" s="29">
        <f t="shared" si="5"/>
        <v>448251</v>
      </c>
      <c r="J345">
        <f>IFERROR(VLOOKUP(E345,'LEAID Match'!$A$2:$B$168,2,FALSE),"")</f>
        <v>3302070</v>
      </c>
    </row>
    <row r="346" spans="1:10">
      <c r="A346">
        <v>2017</v>
      </c>
      <c r="B346" t="s">
        <v>1429</v>
      </c>
      <c r="C346" t="s">
        <v>1431</v>
      </c>
      <c r="D346" t="s">
        <v>1433</v>
      </c>
      <c r="E346" t="s">
        <v>21</v>
      </c>
      <c r="F346" t="s">
        <v>535</v>
      </c>
      <c r="G346" s="28">
        <v>466463</v>
      </c>
      <c r="H346">
        <v>0</v>
      </c>
      <c r="I346" s="29">
        <f t="shared" si="5"/>
        <v>466463</v>
      </c>
      <c r="J346">
        <f>IFERROR(VLOOKUP(E346,'LEAID Match'!$A$2:$B$168,2,FALSE),"")</f>
        <v>3302070</v>
      </c>
    </row>
    <row r="347" spans="1:10">
      <c r="A347" s="27">
        <v>2018</v>
      </c>
      <c r="B347" t="s">
        <v>1429</v>
      </c>
      <c r="C347" t="s">
        <v>1431</v>
      </c>
      <c r="D347" t="s">
        <v>1433</v>
      </c>
      <c r="E347" t="s">
        <v>21</v>
      </c>
      <c r="F347" s="9" t="s">
        <v>535</v>
      </c>
      <c r="G347" s="18">
        <v>606030</v>
      </c>
      <c r="H347">
        <v>0</v>
      </c>
      <c r="I347" s="29">
        <f t="shared" si="5"/>
        <v>606030</v>
      </c>
      <c r="J347">
        <f>IFERROR(VLOOKUP(E347,'LEAID Match'!$A$2:$B$168,2,FALSE),"")</f>
        <v>3302070</v>
      </c>
    </row>
    <row r="348" spans="1:10">
      <c r="A348">
        <v>2019</v>
      </c>
      <c r="B348" t="s">
        <v>1429</v>
      </c>
      <c r="C348" t="s">
        <v>1431</v>
      </c>
      <c r="D348" t="s">
        <v>1433</v>
      </c>
      <c r="E348" t="s">
        <v>21</v>
      </c>
      <c r="F348" s="9" t="s">
        <v>535</v>
      </c>
      <c r="G348" s="18">
        <v>628402</v>
      </c>
      <c r="H348">
        <v>0</v>
      </c>
      <c r="I348" s="29">
        <f t="shared" si="5"/>
        <v>628402</v>
      </c>
      <c r="J348">
        <f>IFERROR(VLOOKUP(E348,'LEAID Match'!$A$2:$B$168,2,FALSE),"")</f>
        <v>3302070</v>
      </c>
    </row>
    <row r="349" spans="1:10">
      <c r="A349" s="27">
        <v>2020</v>
      </c>
      <c r="B349" t="s">
        <v>1429</v>
      </c>
      <c r="C349" t="s">
        <v>1431</v>
      </c>
      <c r="D349" t="s">
        <v>1433</v>
      </c>
      <c r="E349" t="s">
        <v>21</v>
      </c>
      <c r="F349" s="9" t="s">
        <v>21</v>
      </c>
      <c r="G349" s="18">
        <v>639490</v>
      </c>
      <c r="H349">
        <v>0</v>
      </c>
      <c r="I349" s="29">
        <f t="shared" si="5"/>
        <v>639490</v>
      </c>
      <c r="J349">
        <f>IFERROR(VLOOKUP(E349,'LEAID Match'!$A$2:$B$168,2,FALSE),"")</f>
        <v>3302070</v>
      </c>
    </row>
    <row r="350" spans="1:10">
      <c r="A350">
        <v>2021</v>
      </c>
      <c r="B350" t="s">
        <v>1429</v>
      </c>
      <c r="C350" t="s">
        <v>1431</v>
      </c>
      <c r="D350" t="s">
        <v>1433</v>
      </c>
      <c r="E350" t="s">
        <v>21</v>
      </c>
      <c r="F350" s="9" t="s">
        <v>21</v>
      </c>
      <c r="G350" s="18">
        <v>658806</v>
      </c>
      <c r="H350">
        <v>0</v>
      </c>
      <c r="I350" s="29">
        <f t="shared" si="5"/>
        <v>658806</v>
      </c>
      <c r="J350">
        <f>IFERROR(VLOOKUP(E350,'LEAID Match'!$A$2:$B$168,2,FALSE),"")</f>
        <v>3302070</v>
      </c>
    </row>
    <row r="351" spans="1:10">
      <c r="A351">
        <v>2022</v>
      </c>
      <c r="B351" t="s">
        <v>1429</v>
      </c>
      <c r="C351" t="s">
        <v>1431</v>
      </c>
      <c r="D351" t="s">
        <v>1433</v>
      </c>
      <c r="E351" t="s">
        <v>21</v>
      </c>
      <c r="F351" s="9" t="s">
        <v>21</v>
      </c>
      <c r="G351" s="18">
        <v>785843</v>
      </c>
      <c r="H351">
        <v>0</v>
      </c>
      <c r="I351" s="29">
        <f t="shared" si="5"/>
        <v>785843</v>
      </c>
      <c r="J351">
        <f>IFERROR(VLOOKUP(E351,'LEAID Match'!$A$2:$B$168,2,FALSE),"")</f>
        <v>3302070</v>
      </c>
    </row>
    <row r="352" spans="1:10">
      <c r="A352">
        <v>2023</v>
      </c>
      <c r="B352" t="s">
        <v>1429</v>
      </c>
      <c r="C352" t="s">
        <v>1431</v>
      </c>
      <c r="D352" t="s">
        <v>1433</v>
      </c>
      <c r="E352" t="s">
        <v>21</v>
      </c>
      <c r="F352" t="s">
        <v>21</v>
      </c>
      <c r="G352" s="28">
        <v>810615</v>
      </c>
      <c r="H352">
        <v>0</v>
      </c>
      <c r="I352" s="29">
        <f t="shared" si="5"/>
        <v>810615</v>
      </c>
      <c r="J352">
        <f>IFERROR(VLOOKUP(E352,'LEAID Match'!$A$2:$B$168,2,FALSE),"")</f>
        <v>3302070</v>
      </c>
    </row>
    <row r="353" spans="1:10">
      <c r="A353">
        <v>2015</v>
      </c>
      <c r="B353" t="s">
        <v>1429</v>
      </c>
      <c r="C353" t="s">
        <v>1431</v>
      </c>
      <c r="D353" t="s">
        <v>1433</v>
      </c>
      <c r="E353" t="s">
        <v>933</v>
      </c>
      <c r="F353" s="9" t="s">
        <v>995</v>
      </c>
      <c r="G353" s="18">
        <v>90024.83</v>
      </c>
      <c r="H353">
        <v>0</v>
      </c>
      <c r="I353" s="29">
        <f t="shared" si="5"/>
        <v>90024.83</v>
      </c>
      <c r="J353" t="str">
        <f>IFERROR(VLOOKUP(E353,'LEAID Match'!$A$2:$B$168,2,FALSE),"")</f>
        <v/>
      </c>
    </row>
    <row r="354" spans="1:10">
      <c r="A354">
        <v>2016</v>
      </c>
      <c r="B354" t="s">
        <v>1429</v>
      </c>
      <c r="C354" t="s">
        <v>1431</v>
      </c>
      <c r="D354" t="s">
        <v>1433</v>
      </c>
      <c r="E354" t="s">
        <v>933</v>
      </c>
      <c r="F354" t="s">
        <v>933</v>
      </c>
      <c r="G354" s="28">
        <v>107119</v>
      </c>
      <c r="H354">
        <v>0</v>
      </c>
      <c r="I354" s="29">
        <f t="shared" si="5"/>
        <v>107119</v>
      </c>
      <c r="J354" t="str">
        <f>IFERROR(VLOOKUP(E354,'LEAID Match'!$A$2:$B$168,2,FALSE),"")</f>
        <v/>
      </c>
    </row>
    <row r="355" spans="1:10">
      <c r="A355">
        <v>2017</v>
      </c>
      <c r="B355" t="s">
        <v>1429</v>
      </c>
      <c r="C355" t="s">
        <v>1431</v>
      </c>
      <c r="D355" t="s">
        <v>1433</v>
      </c>
      <c r="E355" t="s">
        <v>933</v>
      </c>
      <c r="F355" t="s">
        <v>933</v>
      </c>
      <c r="G355" s="28">
        <v>119923</v>
      </c>
      <c r="H355">
        <v>0</v>
      </c>
      <c r="I355" s="29">
        <f t="shared" si="5"/>
        <v>119923</v>
      </c>
      <c r="J355" t="str">
        <f>IFERROR(VLOOKUP(E355,'LEAID Match'!$A$2:$B$168,2,FALSE),"")</f>
        <v/>
      </c>
    </row>
    <row r="356" spans="1:10">
      <c r="A356" s="27">
        <v>2018</v>
      </c>
      <c r="B356" t="s">
        <v>1429</v>
      </c>
      <c r="C356" t="s">
        <v>1431</v>
      </c>
      <c r="D356" t="s">
        <v>1433</v>
      </c>
      <c r="E356" t="s">
        <v>933</v>
      </c>
      <c r="F356" s="9" t="s">
        <v>536</v>
      </c>
      <c r="G356" s="18">
        <v>134288</v>
      </c>
      <c r="H356">
        <v>0</v>
      </c>
      <c r="I356" s="29">
        <f t="shared" si="5"/>
        <v>134288</v>
      </c>
      <c r="J356" t="str">
        <f>IFERROR(VLOOKUP(E356,'LEAID Match'!$A$2:$B$168,2,FALSE),"")</f>
        <v/>
      </c>
    </row>
    <row r="357" spans="1:10">
      <c r="A357">
        <v>2019</v>
      </c>
      <c r="B357" t="s">
        <v>1429</v>
      </c>
      <c r="C357" t="s">
        <v>1431</v>
      </c>
      <c r="D357" t="s">
        <v>1433</v>
      </c>
      <c r="E357" t="s">
        <v>933</v>
      </c>
      <c r="F357" s="9" t="s">
        <v>536</v>
      </c>
      <c r="G357" s="18">
        <v>178905</v>
      </c>
      <c r="H357">
        <v>0</v>
      </c>
      <c r="I357" s="29">
        <f t="shared" si="5"/>
        <v>178905</v>
      </c>
      <c r="J357" t="str">
        <f>IFERROR(VLOOKUP(E357,'LEAID Match'!$A$2:$B$168,2,FALSE),"")</f>
        <v/>
      </c>
    </row>
    <row r="358" spans="1:10">
      <c r="A358">
        <v>2015</v>
      </c>
      <c r="B358" t="s">
        <v>1429</v>
      </c>
      <c r="C358" t="s">
        <v>1431</v>
      </c>
      <c r="D358" t="s">
        <v>1433</v>
      </c>
      <c r="E358" t="s">
        <v>22</v>
      </c>
      <c r="F358" s="9" t="s">
        <v>996</v>
      </c>
      <c r="G358" s="18">
        <v>322110.15999999997</v>
      </c>
      <c r="H358">
        <v>0</v>
      </c>
      <c r="I358" s="29">
        <f t="shared" si="5"/>
        <v>322110.15999999997</v>
      </c>
      <c r="J358">
        <f>IFERROR(VLOOKUP(E358,'LEAID Match'!$A$2:$B$168,2,FALSE),"")</f>
        <v>3302100</v>
      </c>
    </row>
    <row r="359" spans="1:10">
      <c r="A359">
        <v>2016</v>
      </c>
      <c r="B359" t="s">
        <v>1429</v>
      </c>
      <c r="C359" t="s">
        <v>1431</v>
      </c>
      <c r="D359" t="s">
        <v>1433</v>
      </c>
      <c r="E359" t="s">
        <v>22</v>
      </c>
      <c r="F359" t="s">
        <v>537</v>
      </c>
      <c r="G359" s="28">
        <v>338384</v>
      </c>
      <c r="H359">
        <v>0</v>
      </c>
      <c r="I359" s="29">
        <f t="shared" si="5"/>
        <v>338384</v>
      </c>
      <c r="J359">
        <f>IFERROR(VLOOKUP(E359,'LEAID Match'!$A$2:$B$168,2,FALSE),"")</f>
        <v>3302100</v>
      </c>
    </row>
    <row r="360" spans="1:10">
      <c r="A360">
        <v>2017</v>
      </c>
      <c r="B360" t="s">
        <v>1429</v>
      </c>
      <c r="C360" t="s">
        <v>1431</v>
      </c>
      <c r="D360" t="s">
        <v>1433</v>
      </c>
      <c r="E360" t="s">
        <v>22</v>
      </c>
      <c r="F360" t="s">
        <v>537</v>
      </c>
      <c r="G360" s="28">
        <v>328072</v>
      </c>
      <c r="H360">
        <v>0</v>
      </c>
      <c r="I360" s="29">
        <f t="shared" si="5"/>
        <v>328072</v>
      </c>
      <c r="J360">
        <f>IFERROR(VLOOKUP(E360,'LEAID Match'!$A$2:$B$168,2,FALSE),"")</f>
        <v>3302100</v>
      </c>
    </row>
    <row r="361" spans="1:10">
      <c r="A361" s="27">
        <v>2018</v>
      </c>
      <c r="B361" t="s">
        <v>1429</v>
      </c>
      <c r="C361" t="s">
        <v>1431</v>
      </c>
      <c r="D361" t="s">
        <v>1433</v>
      </c>
      <c r="E361" t="s">
        <v>22</v>
      </c>
      <c r="F361" s="9" t="s">
        <v>537</v>
      </c>
      <c r="G361" s="18">
        <v>418694</v>
      </c>
      <c r="H361">
        <v>0</v>
      </c>
      <c r="I361" s="29">
        <f t="shared" si="5"/>
        <v>418694</v>
      </c>
      <c r="J361">
        <f>IFERROR(VLOOKUP(E361,'LEAID Match'!$A$2:$B$168,2,FALSE),"")</f>
        <v>3302100</v>
      </c>
    </row>
    <row r="362" spans="1:10">
      <c r="A362">
        <v>2019</v>
      </c>
      <c r="B362" t="s">
        <v>1429</v>
      </c>
      <c r="C362" t="s">
        <v>1431</v>
      </c>
      <c r="D362" t="s">
        <v>1433</v>
      </c>
      <c r="E362" t="s">
        <v>22</v>
      </c>
      <c r="F362" s="9" t="s">
        <v>537</v>
      </c>
      <c r="G362" s="18">
        <v>431492</v>
      </c>
      <c r="H362">
        <v>0</v>
      </c>
      <c r="I362" s="29">
        <f t="shared" si="5"/>
        <v>431492</v>
      </c>
      <c r="J362">
        <f>IFERROR(VLOOKUP(E362,'LEAID Match'!$A$2:$B$168,2,FALSE),"")</f>
        <v>3302100</v>
      </c>
    </row>
    <row r="363" spans="1:10">
      <c r="A363" s="27">
        <v>2020</v>
      </c>
      <c r="B363" t="s">
        <v>1429</v>
      </c>
      <c r="C363" t="s">
        <v>1431</v>
      </c>
      <c r="D363" t="s">
        <v>1433</v>
      </c>
      <c r="E363" t="s">
        <v>22</v>
      </c>
      <c r="F363" s="9" t="s">
        <v>22</v>
      </c>
      <c r="G363" s="18">
        <v>443423</v>
      </c>
      <c r="H363">
        <v>0</v>
      </c>
      <c r="I363" s="29">
        <f t="shared" si="5"/>
        <v>443423</v>
      </c>
      <c r="J363">
        <f>IFERROR(VLOOKUP(E363,'LEAID Match'!$A$2:$B$168,2,FALSE),"")</f>
        <v>3302100</v>
      </c>
    </row>
    <row r="364" spans="1:10">
      <c r="A364">
        <v>2021</v>
      </c>
      <c r="B364" t="s">
        <v>1429</v>
      </c>
      <c r="C364" t="s">
        <v>1431</v>
      </c>
      <c r="D364" t="s">
        <v>1433</v>
      </c>
      <c r="E364" t="s">
        <v>22</v>
      </c>
      <c r="F364" s="9" t="s">
        <v>22</v>
      </c>
      <c r="G364" s="18">
        <v>434085</v>
      </c>
      <c r="H364">
        <v>0</v>
      </c>
      <c r="I364" s="29">
        <f t="shared" si="5"/>
        <v>434085</v>
      </c>
      <c r="J364">
        <f>IFERROR(VLOOKUP(E364,'LEAID Match'!$A$2:$B$168,2,FALSE),"")</f>
        <v>3302100</v>
      </c>
    </row>
    <row r="365" spans="1:10">
      <c r="A365">
        <v>2022</v>
      </c>
      <c r="B365" t="s">
        <v>1429</v>
      </c>
      <c r="C365" t="s">
        <v>1431</v>
      </c>
      <c r="D365" t="s">
        <v>1433</v>
      </c>
      <c r="E365" t="s">
        <v>22</v>
      </c>
      <c r="F365" s="9" t="s">
        <v>22</v>
      </c>
      <c r="G365" s="18">
        <v>539011</v>
      </c>
      <c r="H365">
        <v>0</v>
      </c>
      <c r="I365" s="29">
        <f t="shared" si="5"/>
        <v>539011</v>
      </c>
      <c r="J365">
        <f>IFERROR(VLOOKUP(E365,'LEAID Match'!$A$2:$B$168,2,FALSE),"")</f>
        <v>3302100</v>
      </c>
    </row>
    <row r="366" spans="1:10">
      <c r="A366">
        <v>2023</v>
      </c>
      <c r="B366" t="s">
        <v>1429</v>
      </c>
      <c r="C366" t="s">
        <v>1431</v>
      </c>
      <c r="D366" t="s">
        <v>1433</v>
      </c>
      <c r="E366" t="s">
        <v>22</v>
      </c>
      <c r="F366" t="s">
        <v>22</v>
      </c>
      <c r="G366" s="28">
        <v>558568</v>
      </c>
      <c r="H366">
        <v>0</v>
      </c>
      <c r="I366" s="29">
        <f t="shared" si="5"/>
        <v>558568</v>
      </c>
      <c r="J366">
        <f>IFERROR(VLOOKUP(E366,'LEAID Match'!$A$2:$B$168,2,FALSE),"")</f>
        <v>3302100</v>
      </c>
    </row>
    <row r="367" spans="1:10">
      <c r="A367">
        <v>2015</v>
      </c>
      <c r="B367" t="s">
        <v>1429</v>
      </c>
      <c r="C367" t="s">
        <v>1431</v>
      </c>
      <c r="D367" t="s">
        <v>1433</v>
      </c>
      <c r="E367" t="s">
        <v>424</v>
      </c>
      <c r="F367" s="9" t="s">
        <v>997</v>
      </c>
      <c r="G367" s="18">
        <v>38550.19</v>
      </c>
      <c r="H367">
        <v>0</v>
      </c>
      <c r="I367" s="29">
        <f t="shared" si="5"/>
        <v>38550.19</v>
      </c>
      <c r="J367" t="str">
        <f>IFERROR(VLOOKUP(E367,'LEAID Match'!$A$2:$B$168,2,FALSE),"")</f>
        <v/>
      </c>
    </row>
    <row r="368" spans="1:10">
      <c r="A368">
        <v>2016</v>
      </c>
      <c r="B368" t="s">
        <v>1429</v>
      </c>
      <c r="C368" t="s">
        <v>1431</v>
      </c>
      <c r="D368" t="s">
        <v>1433</v>
      </c>
      <c r="E368" t="s">
        <v>424</v>
      </c>
      <c r="F368" t="s">
        <v>424</v>
      </c>
      <c r="G368" s="28">
        <v>40123</v>
      </c>
      <c r="H368">
        <v>0</v>
      </c>
      <c r="I368" s="29">
        <f t="shared" si="5"/>
        <v>40123</v>
      </c>
      <c r="J368" t="str">
        <f>IFERROR(VLOOKUP(E368,'LEAID Match'!$A$2:$B$168,2,FALSE),"")</f>
        <v/>
      </c>
    </row>
    <row r="369" spans="1:10">
      <c r="A369">
        <v>2017</v>
      </c>
      <c r="B369" t="s">
        <v>1429</v>
      </c>
      <c r="C369" t="s">
        <v>1431</v>
      </c>
      <c r="D369" t="s">
        <v>1433</v>
      </c>
      <c r="E369" t="s">
        <v>424</v>
      </c>
      <c r="F369" t="s">
        <v>424</v>
      </c>
      <c r="G369" s="28">
        <v>57171</v>
      </c>
      <c r="H369">
        <v>0</v>
      </c>
      <c r="I369" s="29">
        <f t="shared" si="5"/>
        <v>57171</v>
      </c>
      <c r="J369" t="str">
        <f>IFERROR(VLOOKUP(E369,'LEAID Match'!$A$2:$B$168,2,FALSE),"")</f>
        <v/>
      </c>
    </row>
    <row r="370" spans="1:10">
      <c r="A370" s="27">
        <v>2018</v>
      </c>
      <c r="B370" t="s">
        <v>1429</v>
      </c>
      <c r="C370" t="s">
        <v>1431</v>
      </c>
      <c r="D370" t="s">
        <v>1433</v>
      </c>
      <c r="E370" t="s">
        <v>424</v>
      </c>
      <c r="F370" s="9" t="s">
        <v>424</v>
      </c>
      <c r="G370" s="18">
        <v>71093</v>
      </c>
      <c r="H370">
        <v>0</v>
      </c>
      <c r="I370" s="29">
        <f t="shared" si="5"/>
        <v>71093</v>
      </c>
      <c r="J370" t="str">
        <f>IFERROR(VLOOKUP(E370,'LEAID Match'!$A$2:$B$168,2,FALSE),"")</f>
        <v/>
      </c>
    </row>
    <row r="371" spans="1:10">
      <c r="A371">
        <v>2019</v>
      </c>
      <c r="B371" t="s">
        <v>1429</v>
      </c>
      <c r="C371" t="s">
        <v>1431</v>
      </c>
      <c r="D371" t="s">
        <v>1433</v>
      </c>
      <c r="E371" t="s">
        <v>424</v>
      </c>
      <c r="F371" s="9" t="s">
        <v>424</v>
      </c>
      <c r="G371" s="18">
        <v>34347</v>
      </c>
      <c r="H371">
        <v>0</v>
      </c>
      <c r="I371" s="29">
        <f t="shared" si="5"/>
        <v>34347</v>
      </c>
      <c r="J371" t="str">
        <f>IFERROR(VLOOKUP(E371,'LEAID Match'!$A$2:$B$168,2,FALSE),"")</f>
        <v/>
      </c>
    </row>
    <row r="372" spans="1:10">
      <c r="A372" s="27">
        <v>2020</v>
      </c>
      <c r="B372" t="s">
        <v>1429</v>
      </c>
      <c r="C372" t="s">
        <v>1431</v>
      </c>
      <c r="D372" t="s">
        <v>1433</v>
      </c>
      <c r="E372" t="s">
        <v>424</v>
      </c>
      <c r="F372" s="9" t="s">
        <v>424</v>
      </c>
      <c r="G372" s="18"/>
      <c r="H372">
        <v>0</v>
      </c>
      <c r="I372" s="29">
        <f t="shared" si="5"/>
        <v>0</v>
      </c>
      <c r="J372" t="str">
        <f>IFERROR(VLOOKUP(E372,'LEAID Match'!$A$2:$B$168,2,FALSE),"")</f>
        <v/>
      </c>
    </row>
    <row r="373" spans="1:10">
      <c r="A373">
        <v>2021</v>
      </c>
      <c r="B373" t="s">
        <v>1429</v>
      </c>
      <c r="C373" t="s">
        <v>1431</v>
      </c>
      <c r="D373" t="s">
        <v>1433</v>
      </c>
      <c r="E373" t="s">
        <v>424</v>
      </c>
      <c r="F373" s="9" t="s">
        <v>424</v>
      </c>
      <c r="G373" s="18"/>
      <c r="H373">
        <v>0</v>
      </c>
      <c r="I373" s="29">
        <f t="shared" si="5"/>
        <v>0</v>
      </c>
      <c r="J373" t="str">
        <f>IFERROR(VLOOKUP(E373,'LEAID Match'!$A$2:$B$168,2,FALSE),"")</f>
        <v/>
      </c>
    </row>
    <row r="374" spans="1:10">
      <c r="A374">
        <v>2015</v>
      </c>
      <c r="B374" t="s">
        <v>1429</v>
      </c>
      <c r="C374" t="s">
        <v>1431</v>
      </c>
      <c r="D374" t="s">
        <v>1433</v>
      </c>
      <c r="E374" t="s">
        <v>538</v>
      </c>
      <c r="F374" s="9" t="s">
        <v>998</v>
      </c>
      <c r="G374" s="18">
        <v>134207.03</v>
      </c>
      <c r="H374">
        <v>0</v>
      </c>
      <c r="I374" s="29">
        <f t="shared" si="5"/>
        <v>134207.03</v>
      </c>
      <c r="J374" t="str">
        <f>IFERROR(VLOOKUP(E374,'LEAID Match'!$A$2:$B$168,2,FALSE),"")</f>
        <v/>
      </c>
    </row>
    <row r="375" spans="1:10">
      <c r="A375">
        <v>2016</v>
      </c>
      <c r="B375" t="s">
        <v>1429</v>
      </c>
      <c r="C375" t="s">
        <v>1431</v>
      </c>
      <c r="D375" t="s">
        <v>1433</v>
      </c>
      <c r="E375" t="s">
        <v>538</v>
      </c>
      <c r="F375" t="s">
        <v>538</v>
      </c>
      <c r="G375" s="28">
        <v>147461</v>
      </c>
      <c r="H375">
        <v>0</v>
      </c>
      <c r="I375" s="29">
        <f t="shared" si="5"/>
        <v>147461</v>
      </c>
      <c r="J375" t="str">
        <f>IFERROR(VLOOKUP(E375,'LEAID Match'!$A$2:$B$168,2,FALSE),"")</f>
        <v/>
      </c>
    </row>
    <row r="376" spans="1:10">
      <c r="A376">
        <v>2017</v>
      </c>
      <c r="B376" t="s">
        <v>1429</v>
      </c>
      <c r="C376" t="s">
        <v>1431</v>
      </c>
      <c r="D376" t="s">
        <v>1433</v>
      </c>
      <c r="E376" t="s">
        <v>538</v>
      </c>
      <c r="F376" t="s">
        <v>538</v>
      </c>
      <c r="G376" s="28">
        <v>154276</v>
      </c>
      <c r="H376">
        <v>0</v>
      </c>
      <c r="I376" s="29">
        <f t="shared" si="5"/>
        <v>154276</v>
      </c>
      <c r="J376" t="str">
        <f>IFERROR(VLOOKUP(E376,'LEAID Match'!$A$2:$B$168,2,FALSE),"")</f>
        <v/>
      </c>
    </row>
    <row r="377" spans="1:10">
      <c r="A377" s="27">
        <v>2018</v>
      </c>
      <c r="B377" t="s">
        <v>1429</v>
      </c>
      <c r="C377" t="s">
        <v>1431</v>
      </c>
      <c r="D377" t="s">
        <v>1433</v>
      </c>
      <c r="E377" t="s">
        <v>538</v>
      </c>
      <c r="F377" s="9" t="s">
        <v>538</v>
      </c>
      <c r="G377" s="18">
        <v>176659</v>
      </c>
      <c r="H377">
        <v>0</v>
      </c>
      <c r="I377" s="29">
        <f t="shared" si="5"/>
        <v>176659</v>
      </c>
      <c r="J377" t="str">
        <f>IFERROR(VLOOKUP(E377,'LEAID Match'!$A$2:$B$168,2,FALSE),"")</f>
        <v/>
      </c>
    </row>
    <row r="378" spans="1:10">
      <c r="A378">
        <v>2019</v>
      </c>
      <c r="B378" t="s">
        <v>1429</v>
      </c>
      <c r="C378" t="s">
        <v>1431</v>
      </c>
      <c r="D378" t="s">
        <v>1433</v>
      </c>
      <c r="E378" t="s">
        <v>538</v>
      </c>
      <c r="F378" s="9" t="s">
        <v>538</v>
      </c>
      <c r="G378" s="18">
        <v>179591</v>
      </c>
      <c r="H378">
        <v>0</v>
      </c>
      <c r="I378" s="29">
        <f t="shared" si="5"/>
        <v>179591</v>
      </c>
      <c r="J378" t="str">
        <f>IFERROR(VLOOKUP(E378,'LEAID Match'!$A$2:$B$168,2,FALSE),"")</f>
        <v/>
      </c>
    </row>
    <row r="379" spans="1:10">
      <c r="A379">
        <v>2015</v>
      </c>
      <c r="B379" t="s">
        <v>1429</v>
      </c>
      <c r="C379" t="s">
        <v>1431</v>
      </c>
      <c r="D379" t="s">
        <v>1433</v>
      </c>
      <c r="E379" t="s">
        <v>539</v>
      </c>
      <c r="F379" s="9" t="s">
        <v>999</v>
      </c>
      <c r="G379" s="18">
        <v>79229.87</v>
      </c>
      <c r="H379">
        <v>0</v>
      </c>
      <c r="I379" s="29">
        <f t="shared" si="5"/>
        <v>79229.87</v>
      </c>
      <c r="J379" t="str">
        <f>IFERROR(VLOOKUP(E379,'LEAID Match'!$A$2:$B$168,2,FALSE),"")</f>
        <v/>
      </c>
    </row>
    <row r="380" spans="1:10">
      <c r="A380">
        <v>2016</v>
      </c>
      <c r="B380" t="s">
        <v>1429</v>
      </c>
      <c r="C380" t="s">
        <v>1431</v>
      </c>
      <c r="D380" t="s">
        <v>1433</v>
      </c>
      <c r="E380" t="s">
        <v>539</v>
      </c>
      <c r="F380" t="s">
        <v>539</v>
      </c>
      <c r="G380" s="28">
        <v>88790</v>
      </c>
      <c r="H380">
        <v>0</v>
      </c>
      <c r="I380" s="29">
        <f t="shared" si="5"/>
        <v>88790</v>
      </c>
      <c r="J380" t="str">
        <f>IFERROR(VLOOKUP(E380,'LEAID Match'!$A$2:$B$168,2,FALSE),"")</f>
        <v/>
      </c>
    </row>
    <row r="381" spans="1:10">
      <c r="A381">
        <v>2017</v>
      </c>
      <c r="B381" t="s">
        <v>1429</v>
      </c>
      <c r="C381" t="s">
        <v>1431</v>
      </c>
      <c r="D381" t="s">
        <v>1433</v>
      </c>
      <c r="E381" t="s">
        <v>539</v>
      </c>
      <c r="F381" t="s">
        <v>539</v>
      </c>
      <c r="G381" s="28">
        <v>90478</v>
      </c>
      <c r="H381">
        <v>0</v>
      </c>
      <c r="I381" s="29">
        <f t="shared" si="5"/>
        <v>90478</v>
      </c>
      <c r="J381" t="str">
        <f>IFERROR(VLOOKUP(E381,'LEAID Match'!$A$2:$B$168,2,FALSE),"")</f>
        <v/>
      </c>
    </row>
    <row r="382" spans="1:10">
      <c r="A382" s="27">
        <v>2018</v>
      </c>
      <c r="B382" t="s">
        <v>1429</v>
      </c>
      <c r="C382" t="s">
        <v>1431</v>
      </c>
      <c r="D382" t="s">
        <v>1433</v>
      </c>
      <c r="E382" t="s">
        <v>539</v>
      </c>
      <c r="F382" s="9" t="s">
        <v>539</v>
      </c>
      <c r="G382" s="18">
        <v>107016</v>
      </c>
      <c r="H382">
        <v>0</v>
      </c>
      <c r="I382" s="29">
        <f t="shared" si="5"/>
        <v>107016</v>
      </c>
      <c r="J382" t="str">
        <f>IFERROR(VLOOKUP(E382,'LEAID Match'!$A$2:$B$168,2,FALSE),"")</f>
        <v/>
      </c>
    </row>
    <row r="383" spans="1:10">
      <c r="A383">
        <v>2019</v>
      </c>
      <c r="B383" t="s">
        <v>1429</v>
      </c>
      <c r="C383" t="s">
        <v>1431</v>
      </c>
      <c r="D383" t="s">
        <v>1433</v>
      </c>
      <c r="E383" t="s">
        <v>539</v>
      </c>
      <c r="F383" s="9" t="s">
        <v>539</v>
      </c>
      <c r="G383" s="18">
        <v>95752</v>
      </c>
      <c r="H383">
        <v>0</v>
      </c>
      <c r="I383" s="29">
        <f t="shared" si="5"/>
        <v>95752</v>
      </c>
      <c r="J383" t="str">
        <f>IFERROR(VLOOKUP(E383,'LEAID Match'!$A$2:$B$168,2,FALSE),"")</f>
        <v/>
      </c>
    </row>
    <row r="384" spans="1:10">
      <c r="A384">
        <v>2015</v>
      </c>
      <c r="B384" t="s">
        <v>1429</v>
      </c>
      <c r="C384" t="s">
        <v>1431</v>
      </c>
      <c r="D384" t="s">
        <v>1433</v>
      </c>
      <c r="E384" t="s">
        <v>23</v>
      </c>
      <c r="F384" s="9" t="s">
        <v>1000</v>
      </c>
      <c r="G384" s="18">
        <v>278706.68</v>
      </c>
      <c r="H384">
        <v>0</v>
      </c>
      <c r="I384" s="29">
        <f t="shared" si="5"/>
        <v>278706.68</v>
      </c>
      <c r="J384">
        <f>IFERROR(VLOOKUP(E384,'LEAID Match'!$A$2:$B$168,2,FALSE),"")</f>
        <v>3302130</v>
      </c>
    </row>
    <row r="385" spans="1:10">
      <c r="A385">
        <v>2016</v>
      </c>
      <c r="B385" t="s">
        <v>1429</v>
      </c>
      <c r="C385" t="s">
        <v>1431</v>
      </c>
      <c r="D385" t="s">
        <v>1433</v>
      </c>
      <c r="E385" t="s">
        <v>23</v>
      </c>
      <c r="F385" t="s">
        <v>540</v>
      </c>
      <c r="G385" s="28">
        <v>283800</v>
      </c>
      <c r="H385">
        <v>0</v>
      </c>
      <c r="I385" s="29">
        <f t="shared" si="5"/>
        <v>283800</v>
      </c>
      <c r="J385">
        <f>IFERROR(VLOOKUP(E385,'LEAID Match'!$A$2:$B$168,2,FALSE),"")</f>
        <v>3302130</v>
      </c>
    </row>
    <row r="386" spans="1:10">
      <c r="A386">
        <v>2017</v>
      </c>
      <c r="B386" t="s">
        <v>1429</v>
      </c>
      <c r="C386" t="s">
        <v>1431</v>
      </c>
      <c r="D386" t="s">
        <v>1433</v>
      </c>
      <c r="E386" t="s">
        <v>23</v>
      </c>
      <c r="F386" t="s">
        <v>540</v>
      </c>
      <c r="G386" s="28">
        <v>283200</v>
      </c>
      <c r="H386">
        <v>0</v>
      </c>
      <c r="I386" s="29">
        <f t="shared" si="5"/>
        <v>283200</v>
      </c>
      <c r="J386">
        <f>IFERROR(VLOOKUP(E386,'LEAID Match'!$A$2:$B$168,2,FALSE),"")</f>
        <v>3302130</v>
      </c>
    </row>
    <row r="387" spans="1:10">
      <c r="A387" s="27">
        <v>2018</v>
      </c>
      <c r="B387" t="s">
        <v>1429</v>
      </c>
      <c r="C387" t="s">
        <v>1431</v>
      </c>
      <c r="D387" t="s">
        <v>1433</v>
      </c>
      <c r="E387" t="s">
        <v>23</v>
      </c>
      <c r="F387" s="9" t="s">
        <v>540</v>
      </c>
      <c r="G387" s="18">
        <v>358861</v>
      </c>
      <c r="H387">
        <v>0</v>
      </c>
      <c r="I387" s="29">
        <f t="shared" ref="I387:I450" si="6">SUM(G387:H387)</f>
        <v>358861</v>
      </c>
      <c r="J387">
        <f>IFERROR(VLOOKUP(E387,'LEAID Match'!$A$2:$B$168,2,FALSE),"")</f>
        <v>3302130</v>
      </c>
    </row>
    <row r="388" spans="1:10">
      <c r="A388">
        <v>2019</v>
      </c>
      <c r="B388" t="s">
        <v>1429</v>
      </c>
      <c r="C388" t="s">
        <v>1431</v>
      </c>
      <c r="D388" t="s">
        <v>1433</v>
      </c>
      <c r="E388" t="s">
        <v>23</v>
      </c>
      <c r="F388" s="9" t="s">
        <v>540</v>
      </c>
      <c r="G388" s="18">
        <v>356523</v>
      </c>
      <c r="H388">
        <v>0</v>
      </c>
      <c r="I388" s="29">
        <f t="shared" si="6"/>
        <v>356523</v>
      </c>
      <c r="J388">
        <f>IFERROR(VLOOKUP(E388,'LEAID Match'!$A$2:$B$168,2,FALSE),"")</f>
        <v>3302130</v>
      </c>
    </row>
    <row r="389" spans="1:10">
      <c r="A389" s="27">
        <v>2020</v>
      </c>
      <c r="B389" t="s">
        <v>1429</v>
      </c>
      <c r="C389" t="s">
        <v>1431</v>
      </c>
      <c r="D389" t="s">
        <v>1433</v>
      </c>
      <c r="E389" t="s">
        <v>23</v>
      </c>
      <c r="F389" s="9" t="s">
        <v>23</v>
      </c>
      <c r="G389" s="18">
        <v>347852</v>
      </c>
      <c r="H389">
        <v>0</v>
      </c>
      <c r="I389" s="29">
        <f t="shared" si="6"/>
        <v>347852</v>
      </c>
      <c r="J389">
        <f>IFERROR(VLOOKUP(E389,'LEAID Match'!$A$2:$B$168,2,FALSE),"")</f>
        <v>3302130</v>
      </c>
    </row>
    <row r="390" spans="1:10">
      <c r="A390">
        <v>2021</v>
      </c>
      <c r="B390" t="s">
        <v>1429</v>
      </c>
      <c r="C390" t="s">
        <v>1431</v>
      </c>
      <c r="D390" t="s">
        <v>1433</v>
      </c>
      <c r="E390" t="s">
        <v>23</v>
      </c>
      <c r="F390" s="9" t="s">
        <v>23</v>
      </c>
      <c r="G390" s="18">
        <v>354192</v>
      </c>
      <c r="H390">
        <v>0</v>
      </c>
      <c r="I390" s="29">
        <f t="shared" si="6"/>
        <v>354192</v>
      </c>
      <c r="J390">
        <f>IFERROR(VLOOKUP(E390,'LEAID Match'!$A$2:$B$168,2,FALSE),"")</f>
        <v>3302130</v>
      </c>
    </row>
    <row r="391" spans="1:10">
      <c r="A391">
        <v>2022</v>
      </c>
      <c r="B391" t="s">
        <v>1429</v>
      </c>
      <c r="C391" t="s">
        <v>1431</v>
      </c>
      <c r="D391" t="s">
        <v>1433</v>
      </c>
      <c r="E391" t="s">
        <v>23</v>
      </c>
      <c r="F391" s="9" t="s">
        <v>23</v>
      </c>
      <c r="G391" s="18">
        <v>422148</v>
      </c>
      <c r="H391">
        <v>0</v>
      </c>
      <c r="I391" s="29">
        <f t="shared" si="6"/>
        <v>422148</v>
      </c>
      <c r="J391">
        <f>IFERROR(VLOOKUP(E391,'LEAID Match'!$A$2:$B$168,2,FALSE),"")</f>
        <v>3302130</v>
      </c>
    </row>
    <row r="392" spans="1:10">
      <c r="A392">
        <v>2023</v>
      </c>
      <c r="B392" t="s">
        <v>1429</v>
      </c>
      <c r="C392" t="s">
        <v>1431</v>
      </c>
      <c r="D392" t="s">
        <v>1433</v>
      </c>
      <c r="E392" t="s">
        <v>23</v>
      </c>
      <c r="F392" t="s">
        <v>23</v>
      </c>
      <c r="G392" s="28">
        <v>417229</v>
      </c>
      <c r="H392">
        <v>0</v>
      </c>
      <c r="I392" s="29">
        <f t="shared" si="6"/>
        <v>417229</v>
      </c>
      <c r="J392">
        <f>IFERROR(VLOOKUP(E392,'LEAID Match'!$A$2:$B$168,2,FALSE),"")</f>
        <v>3302130</v>
      </c>
    </row>
    <row r="393" spans="1:10">
      <c r="A393">
        <v>2015</v>
      </c>
      <c r="B393" t="s">
        <v>1429</v>
      </c>
      <c r="C393" t="s">
        <v>1431</v>
      </c>
      <c r="D393" t="s">
        <v>1433</v>
      </c>
      <c r="E393" t="s">
        <v>541</v>
      </c>
      <c r="F393" s="9" t="s">
        <v>1001</v>
      </c>
      <c r="G393" s="18">
        <v>54805.09</v>
      </c>
      <c r="H393">
        <v>0</v>
      </c>
      <c r="I393" s="29">
        <f t="shared" si="6"/>
        <v>54805.09</v>
      </c>
      <c r="J393" t="str">
        <f>IFERROR(VLOOKUP(E393,'LEAID Match'!$A$2:$B$168,2,FALSE),"")</f>
        <v/>
      </c>
    </row>
    <row r="394" spans="1:10">
      <c r="A394">
        <v>2016</v>
      </c>
      <c r="B394" t="s">
        <v>1429</v>
      </c>
      <c r="C394" t="s">
        <v>1431</v>
      </c>
      <c r="D394" t="s">
        <v>1433</v>
      </c>
      <c r="E394" t="s">
        <v>541</v>
      </c>
      <c r="F394" t="s">
        <v>541</v>
      </c>
      <c r="G394" s="28">
        <v>54050</v>
      </c>
      <c r="H394">
        <v>0</v>
      </c>
      <c r="I394" s="29">
        <f t="shared" si="6"/>
        <v>54050</v>
      </c>
      <c r="J394" t="str">
        <f>IFERROR(VLOOKUP(E394,'LEAID Match'!$A$2:$B$168,2,FALSE),"")</f>
        <v/>
      </c>
    </row>
    <row r="395" spans="1:10">
      <c r="A395">
        <v>2017</v>
      </c>
      <c r="B395" t="s">
        <v>1429</v>
      </c>
      <c r="C395" t="s">
        <v>1431</v>
      </c>
      <c r="D395" t="s">
        <v>1433</v>
      </c>
      <c r="E395" t="s">
        <v>541</v>
      </c>
      <c r="F395" t="s">
        <v>541</v>
      </c>
      <c r="G395" s="28">
        <v>65277</v>
      </c>
      <c r="H395">
        <v>0</v>
      </c>
      <c r="I395" s="29">
        <f t="shared" si="6"/>
        <v>65277</v>
      </c>
      <c r="J395" t="str">
        <f>IFERROR(VLOOKUP(E395,'LEAID Match'!$A$2:$B$168,2,FALSE),"")</f>
        <v/>
      </c>
    </row>
    <row r="396" spans="1:10">
      <c r="A396" s="27">
        <v>2018</v>
      </c>
      <c r="B396" t="s">
        <v>1429</v>
      </c>
      <c r="C396" t="s">
        <v>1431</v>
      </c>
      <c r="D396" t="s">
        <v>1433</v>
      </c>
      <c r="E396" t="s">
        <v>541</v>
      </c>
      <c r="F396" s="9" t="s">
        <v>541</v>
      </c>
      <c r="G396" s="18">
        <v>61964</v>
      </c>
      <c r="H396">
        <v>0</v>
      </c>
      <c r="I396" s="29">
        <f t="shared" si="6"/>
        <v>61964</v>
      </c>
      <c r="J396" t="str">
        <f>IFERROR(VLOOKUP(E396,'LEAID Match'!$A$2:$B$168,2,FALSE),"")</f>
        <v/>
      </c>
    </row>
    <row r="397" spans="1:10">
      <c r="A397">
        <v>2019</v>
      </c>
      <c r="B397" t="s">
        <v>1429</v>
      </c>
      <c r="C397" t="s">
        <v>1431</v>
      </c>
      <c r="D397" t="s">
        <v>1433</v>
      </c>
      <c r="E397" t="s">
        <v>541</v>
      </c>
      <c r="F397" s="9" t="s">
        <v>541</v>
      </c>
      <c r="G397" s="18">
        <v>67848</v>
      </c>
      <c r="H397">
        <v>0</v>
      </c>
      <c r="I397" s="29">
        <f t="shared" si="6"/>
        <v>67848</v>
      </c>
      <c r="J397" t="str">
        <f>IFERROR(VLOOKUP(E397,'LEAID Match'!$A$2:$B$168,2,FALSE),"")</f>
        <v/>
      </c>
    </row>
    <row r="398" spans="1:10">
      <c r="A398">
        <v>2015</v>
      </c>
      <c r="B398" t="s">
        <v>1429</v>
      </c>
      <c r="C398" t="s">
        <v>1431</v>
      </c>
      <c r="D398" t="s">
        <v>1433</v>
      </c>
      <c r="E398" t="s">
        <v>542</v>
      </c>
      <c r="F398" s="9" t="s">
        <v>1002</v>
      </c>
      <c r="G398" s="18">
        <v>87797.57</v>
      </c>
      <c r="H398">
        <v>0</v>
      </c>
      <c r="I398" s="29">
        <f t="shared" si="6"/>
        <v>87797.57</v>
      </c>
      <c r="J398" t="str">
        <f>IFERROR(VLOOKUP(E398,'LEAID Match'!$A$2:$B$168,2,FALSE),"")</f>
        <v/>
      </c>
    </row>
    <row r="399" spans="1:10">
      <c r="A399">
        <v>2016</v>
      </c>
      <c r="B399" t="s">
        <v>1429</v>
      </c>
      <c r="C399" t="s">
        <v>1431</v>
      </c>
      <c r="D399" t="s">
        <v>1433</v>
      </c>
      <c r="E399" t="s">
        <v>542</v>
      </c>
      <c r="F399" t="s">
        <v>542</v>
      </c>
      <c r="G399" s="28">
        <v>96669</v>
      </c>
      <c r="H399">
        <v>0</v>
      </c>
      <c r="I399" s="29">
        <f t="shared" si="6"/>
        <v>96669</v>
      </c>
      <c r="J399" t="str">
        <f>IFERROR(VLOOKUP(E399,'LEAID Match'!$A$2:$B$168,2,FALSE),"")</f>
        <v/>
      </c>
    </row>
    <row r="400" spans="1:10">
      <c r="A400">
        <v>2017</v>
      </c>
      <c r="B400" t="s">
        <v>1429</v>
      </c>
      <c r="C400" t="s">
        <v>1431</v>
      </c>
      <c r="D400" t="s">
        <v>1433</v>
      </c>
      <c r="E400" t="s">
        <v>542</v>
      </c>
      <c r="F400" t="s">
        <v>542</v>
      </c>
      <c r="G400" s="28">
        <v>101054</v>
      </c>
      <c r="H400">
        <v>0</v>
      </c>
      <c r="I400" s="29">
        <f t="shared" si="6"/>
        <v>101054</v>
      </c>
      <c r="J400" t="str">
        <f>IFERROR(VLOOKUP(E400,'LEAID Match'!$A$2:$B$168,2,FALSE),"")</f>
        <v/>
      </c>
    </row>
    <row r="401" spans="1:10">
      <c r="A401" s="27">
        <v>2018</v>
      </c>
      <c r="B401" t="s">
        <v>1429</v>
      </c>
      <c r="C401" t="s">
        <v>1431</v>
      </c>
      <c r="D401" t="s">
        <v>1433</v>
      </c>
      <c r="E401" t="s">
        <v>542</v>
      </c>
      <c r="F401" s="9" t="s">
        <v>542</v>
      </c>
      <c r="G401" s="18">
        <v>118239</v>
      </c>
      <c r="H401">
        <v>0</v>
      </c>
      <c r="I401" s="29">
        <f t="shared" si="6"/>
        <v>118239</v>
      </c>
      <c r="J401" t="str">
        <f>IFERROR(VLOOKUP(E401,'LEAID Match'!$A$2:$B$168,2,FALSE),"")</f>
        <v/>
      </c>
    </row>
    <row r="402" spans="1:10">
      <c r="A402">
        <v>2019</v>
      </c>
      <c r="B402" t="s">
        <v>1429</v>
      </c>
      <c r="C402" t="s">
        <v>1431</v>
      </c>
      <c r="D402" t="s">
        <v>1433</v>
      </c>
      <c r="E402" t="s">
        <v>542</v>
      </c>
      <c r="F402" s="9" t="s">
        <v>542</v>
      </c>
      <c r="G402" s="18">
        <v>110561</v>
      </c>
      <c r="H402">
        <v>0</v>
      </c>
      <c r="I402" s="29">
        <f t="shared" si="6"/>
        <v>110561</v>
      </c>
      <c r="J402" t="str">
        <f>IFERROR(VLOOKUP(E402,'LEAID Match'!$A$2:$B$168,2,FALSE),"")</f>
        <v/>
      </c>
    </row>
    <row r="403" spans="1:10">
      <c r="A403">
        <v>2015</v>
      </c>
      <c r="B403" t="s">
        <v>1429</v>
      </c>
      <c r="C403" t="s">
        <v>1431</v>
      </c>
      <c r="D403" t="s">
        <v>1433</v>
      </c>
      <c r="E403" t="s">
        <v>24</v>
      </c>
      <c r="F403" s="9" t="s">
        <v>1003</v>
      </c>
      <c r="G403" s="18">
        <v>1011717.91</v>
      </c>
      <c r="H403">
        <v>0</v>
      </c>
      <c r="I403" s="29">
        <f t="shared" si="6"/>
        <v>1011717.91</v>
      </c>
      <c r="J403" t="str">
        <f>IFERROR(VLOOKUP(E403,'LEAID Match'!$A$2:$B$168,2,FALSE),"")</f>
        <v/>
      </c>
    </row>
    <row r="404" spans="1:10">
      <c r="A404">
        <v>2016</v>
      </c>
      <c r="B404" t="s">
        <v>1429</v>
      </c>
      <c r="C404" t="s">
        <v>1431</v>
      </c>
      <c r="D404" t="s">
        <v>1433</v>
      </c>
      <c r="E404" t="s">
        <v>24</v>
      </c>
      <c r="F404" t="s">
        <v>543</v>
      </c>
      <c r="G404" s="28">
        <v>1057195</v>
      </c>
      <c r="H404">
        <v>0</v>
      </c>
      <c r="I404" s="29">
        <f t="shared" si="6"/>
        <v>1057195</v>
      </c>
      <c r="J404" t="str">
        <f>IFERROR(VLOOKUP(E404,'LEAID Match'!$A$2:$B$168,2,FALSE),"")</f>
        <v/>
      </c>
    </row>
    <row r="405" spans="1:10">
      <c r="A405">
        <v>2017</v>
      </c>
      <c r="B405" t="s">
        <v>1429</v>
      </c>
      <c r="C405" t="s">
        <v>1431</v>
      </c>
      <c r="D405" t="s">
        <v>1433</v>
      </c>
      <c r="E405" t="s">
        <v>24</v>
      </c>
      <c r="F405" t="s">
        <v>543</v>
      </c>
      <c r="G405" s="28">
        <v>1174965</v>
      </c>
      <c r="H405">
        <v>0</v>
      </c>
      <c r="I405" s="29">
        <f t="shared" si="6"/>
        <v>1174965</v>
      </c>
      <c r="J405" t="str">
        <f>IFERROR(VLOOKUP(E405,'LEAID Match'!$A$2:$B$168,2,FALSE),"")</f>
        <v/>
      </c>
    </row>
    <row r="406" spans="1:10">
      <c r="A406" s="27">
        <v>2018</v>
      </c>
      <c r="B406" t="s">
        <v>1429</v>
      </c>
      <c r="C406" t="s">
        <v>1431</v>
      </c>
      <c r="D406" t="s">
        <v>1433</v>
      </c>
      <c r="E406" t="s">
        <v>24</v>
      </c>
      <c r="F406" s="9" t="s">
        <v>543</v>
      </c>
      <c r="G406" s="18">
        <v>1245045</v>
      </c>
      <c r="H406">
        <v>0</v>
      </c>
      <c r="I406" s="29">
        <f t="shared" si="6"/>
        <v>1245045</v>
      </c>
      <c r="J406" t="str">
        <f>IFERROR(VLOOKUP(E406,'LEAID Match'!$A$2:$B$168,2,FALSE),"")</f>
        <v/>
      </c>
    </row>
    <row r="407" spans="1:10">
      <c r="A407">
        <v>2019</v>
      </c>
      <c r="B407" t="s">
        <v>1429</v>
      </c>
      <c r="C407" t="s">
        <v>1431</v>
      </c>
      <c r="D407" t="s">
        <v>1433</v>
      </c>
      <c r="E407" t="s">
        <v>24</v>
      </c>
      <c r="F407" s="9" t="s">
        <v>543</v>
      </c>
      <c r="G407" s="18">
        <v>1291929</v>
      </c>
      <c r="H407">
        <v>0</v>
      </c>
      <c r="I407" s="29">
        <f t="shared" si="6"/>
        <v>1291929</v>
      </c>
      <c r="J407" t="str">
        <f>IFERROR(VLOOKUP(E407,'LEAID Match'!$A$2:$B$168,2,FALSE),"")</f>
        <v/>
      </c>
    </row>
    <row r="408" spans="1:10">
      <c r="A408" s="27">
        <v>2020</v>
      </c>
      <c r="B408" t="s">
        <v>1429</v>
      </c>
      <c r="C408" t="s">
        <v>1431</v>
      </c>
      <c r="D408" t="s">
        <v>1433</v>
      </c>
      <c r="E408" t="s">
        <v>24</v>
      </c>
      <c r="F408" s="9" t="s">
        <v>24</v>
      </c>
      <c r="G408" s="18">
        <v>1390041</v>
      </c>
      <c r="H408">
        <v>0</v>
      </c>
      <c r="I408" s="29">
        <f t="shared" si="6"/>
        <v>1390041</v>
      </c>
      <c r="J408" t="str">
        <f>IFERROR(VLOOKUP(E408,'LEAID Match'!$A$2:$B$168,2,FALSE),"")</f>
        <v/>
      </c>
    </row>
    <row r="409" spans="1:10">
      <c r="A409">
        <v>2021</v>
      </c>
      <c r="B409" t="s">
        <v>1429</v>
      </c>
      <c r="C409" t="s">
        <v>1431</v>
      </c>
      <c r="D409" t="s">
        <v>1433</v>
      </c>
      <c r="E409" t="s">
        <v>24</v>
      </c>
      <c r="F409" s="9" t="s">
        <v>24</v>
      </c>
      <c r="G409" s="18">
        <v>1452826</v>
      </c>
      <c r="H409">
        <v>0</v>
      </c>
      <c r="I409" s="29">
        <f t="shared" si="6"/>
        <v>1452826</v>
      </c>
      <c r="J409" t="str">
        <f>IFERROR(VLOOKUP(E409,'LEAID Match'!$A$2:$B$168,2,FALSE),"")</f>
        <v/>
      </c>
    </row>
    <row r="410" spans="1:10">
      <c r="A410">
        <v>2022</v>
      </c>
      <c r="B410" t="s">
        <v>1429</v>
      </c>
      <c r="C410" t="s">
        <v>1431</v>
      </c>
      <c r="D410" t="s">
        <v>1433</v>
      </c>
      <c r="E410" t="s">
        <v>24</v>
      </c>
      <c r="F410" s="9" t="s">
        <v>24</v>
      </c>
      <c r="G410" s="18">
        <v>1938819</v>
      </c>
      <c r="H410">
        <v>0</v>
      </c>
      <c r="I410" s="29">
        <f t="shared" si="6"/>
        <v>1938819</v>
      </c>
      <c r="J410" t="str">
        <f>IFERROR(VLOOKUP(E410,'LEAID Match'!$A$2:$B$168,2,FALSE),"")</f>
        <v/>
      </c>
    </row>
    <row r="411" spans="1:10">
      <c r="A411">
        <v>2023</v>
      </c>
      <c r="B411" t="s">
        <v>1429</v>
      </c>
      <c r="C411" t="s">
        <v>1431</v>
      </c>
      <c r="D411" t="s">
        <v>1433</v>
      </c>
      <c r="E411" t="s">
        <v>24</v>
      </c>
      <c r="F411" t="s">
        <v>24</v>
      </c>
      <c r="G411" s="28">
        <v>1983414</v>
      </c>
      <c r="H411">
        <v>0</v>
      </c>
      <c r="I411" s="29">
        <f t="shared" si="6"/>
        <v>1983414</v>
      </c>
      <c r="J411" t="str">
        <f>IFERROR(VLOOKUP(E411,'LEAID Match'!$A$2:$B$168,2,FALSE),"")</f>
        <v/>
      </c>
    </row>
    <row r="412" spans="1:10">
      <c r="A412">
        <v>2016</v>
      </c>
      <c r="B412" t="s">
        <v>1429</v>
      </c>
      <c r="C412" t="s">
        <v>1431</v>
      </c>
      <c r="D412" t="s">
        <v>1433</v>
      </c>
      <c r="E412" t="s">
        <v>25</v>
      </c>
      <c r="F412" t="s">
        <v>25</v>
      </c>
      <c r="H412">
        <v>0</v>
      </c>
      <c r="I412" s="29">
        <f t="shared" si="6"/>
        <v>0</v>
      </c>
      <c r="J412" t="str">
        <f>IFERROR(VLOOKUP(E412,'LEAID Match'!$A$2:$B$168,2,FALSE),"")</f>
        <v/>
      </c>
    </row>
    <row r="413" spans="1:10">
      <c r="A413">
        <v>2017</v>
      </c>
      <c r="B413" t="s">
        <v>1429</v>
      </c>
      <c r="C413" t="s">
        <v>1431</v>
      </c>
      <c r="D413" t="s">
        <v>1433</v>
      </c>
      <c r="E413" t="s">
        <v>25</v>
      </c>
      <c r="F413" t="s">
        <v>25</v>
      </c>
      <c r="G413" s="28">
        <v>13755</v>
      </c>
      <c r="H413">
        <v>0</v>
      </c>
      <c r="I413" s="29">
        <f t="shared" si="6"/>
        <v>13755</v>
      </c>
      <c r="J413" t="str">
        <f>IFERROR(VLOOKUP(E413,'LEAID Match'!$A$2:$B$168,2,FALSE),"")</f>
        <v/>
      </c>
    </row>
    <row r="414" spans="1:10">
      <c r="A414" s="27">
        <v>2018</v>
      </c>
      <c r="B414" t="s">
        <v>1429</v>
      </c>
      <c r="C414" t="s">
        <v>1431</v>
      </c>
      <c r="D414" t="s">
        <v>1433</v>
      </c>
      <c r="E414" t="s">
        <v>25</v>
      </c>
      <c r="F414" s="9" t="s">
        <v>25</v>
      </c>
      <c r="G414" s="18">
        <v>14786</v>
      </c>
      <c r="H414">
        <v>0</v>
      </c>
      <c r="I414" s="29">
        <f t="shared" si="6"/>
        <v>14786</v>
      </c>
      <c r="J414" t="str">
        <f>IFERROR(VLOOKUP(E414,'LEAID Match'!$A$2:$B$168,2,FALSE),"")</f>
        <v/>
      </c>
    </row>
    <row r="415" spans="1:10">
      <c r="A415">
        <v>2019</v>
      </c>
      <c r="B415" t="s">
        <v>1429</v>
      </c>
      <c r="C415" t="s">
        <v>1431</v>
      </c>
      <c r="D415" t="s">
        <v>1433</v>
      </c>
      <c r="E415" t="s">
        <v>25</v>
      </c>
      <c r="F415" s="9" t="s">
        <v>25</v>
      </c>
      <c r="G415" s="18">
        <v>15451</v>
      </c>
      <c r="H415">
        <v>0</v>
      </c>
      <c r="I415" s="29">
        <f t="shared" si="6"/>
        <v>15451</v>
      </c>
      <c r="J415" t="str">
        <f>IFERROR(VLOOKUP(E415,'LEAID Match'!$A$2:$B$168,2,FALSE),"")</f>
        <v/>
      </c>
    </row>
    <row r="416" spans="1:10">
      <c r="A416" s="27">
        <v>2020</v>
      </c>
      <c r="B416" t="s">
        <v>1429</v>
      </c>
      <c r="C416" t="s">
        <v>1431</v>
      </c>
      <c r="D416" t="s">
        <v>1433</v>
      </c>
      <c r="E416" t="s">
        <v>25</v>
      </c>
      <c r="F416" s="9" t="s">
        <v>25</v>
      </c>
      <c r="G416" s="18">
        <v>14216</v>
      </c>
      <c r="H416">
        <v>0</v>
      </c>
      <c r="I416" s="29">
        <f t="shared" si="6"/>
        <v>14216</v>
      </c>
      <c r="J416" t="str">
        <f>IFERROR(VLOOKUP(E416,'LEAID Match'!$A$2:$B$168,2,FALSE),"")</f>
        <v/>
      </c>
    </row>
    <row r="417" spans="1:10">
      <c r="A417">
        <v>2021</v>
      </c>
      <c r="B417" t="s">
        <v>1429</v>
      </c>
      <c r="C417" t="s">
        <v>1431</v>
      </c>
      <c r="D417" t="s">
        <v>1433</v>
      </c>
      <c r="E417" t="s">
        <v>25</v>
      </c>
      <c r="F417" s="9" t="s">
        <v>25</v>
      </c>
      <c r="G417" s="18">
        <v>14841</v>
      </c>
      <c r="H417">
        <v>0</v>
      </c>
      <c r="I417" s="29">
        <f t="shared" si="6"/>
        <v>14841</v>
      </c>
      <c r="J417" t="str">
        <f>IFERROR(VLOOKUP(E417,'LEAID Match'!$A$2:$B$168,2,FALSE),"")</f>
        <v/>
      </c>
    </row>
    <row r="418" spans="1:10">
      <c r="A418">
        <v>2022</v>
      </c>
      <c r="B418" t="s">
        <v>1429</v>
      </c>
      <c r="C418" t="s">
        <v>1431</v>
      </c>
      <c r="D418" t="s">
        <v>1433</v>
      </c>
      <c r="E418" t="s">
        <v>25</v>
      </c>
      <c r="F418" s="9" t="s">
        <v>25</v>
      </c>
      <c r="G418" s="18">
        <v>17535</v>
      </c>
      <c r="H418">
        <v>0</v>
      </c>
      <c r="I418" s="29">
        <f t="shared" si="6"/>
        <v>17535</v>
      </c>
      <c r="J418" t="str">
        <f>IFERROR(VLOOKUP(E418,'LEAID Match'!$A$2:$B$168,2,FALSE),"")</f>
        <v/>
      </c>
    </row>
    <row r="419" spans="1:10">
      <c r="A419">
        <v>2023</v>
      </c>
      <c r="B419" t="s">
        <v>1429</v>
      </c>
      <c r="C419" t="s">
        <v>1431</v>
      </c>
      <c r="D419" t="s">
        <v>1433</v>
      </c>
      <c r="E419" t="s">
        <v>25</v>
      </c>
      <c r="F419" t="s">
        <v>25</v>
      </c>
      <c r="G419" s="28">
        <v>18494</v>
      </c>
      <c r="H419">
        <v>0</v>
      </c>
      <c r="I419" s="29">
        <f t="shared" si="6"/>
        <v>18494</v>
      </c>
      <c r="J419" t="str">
        <f>IFERROR(VLOOKUP(E419,'LEAID Match'!$A$2:$B$168,2,FALSE),"")</f>
        <v/>
      </c>
    </row>
    <row r="420" spans="1:10">
      <c r="A420">
        <v>2015</v>
      </c>
      <c r="B420" t="s">
        <v>1429</v>
      </c>
      <c r="C420" t="s">
        <v>1431</v>
      </c>
      <c r="D420" t="s">
        <v>1433</v>
      </c>
      <c r="E420" t="s">
        <v>544</v>
      </c>
      <c r="F420" s="9" t="s">
        <v>1004</v>
      </c>
      <c r="G420" s="18">
        <v>44980.86</v>
      </c>
      <c r="H420">
        <v>0</v>
      </c>
      <c r="I420" s="29">
        <f t="shared" si="6"/>
        <v>44980.86</v>
      </c>
      <c r="J420" t="str">
        <f>IFERROR(VLOOKUP(E420,'LEAID Match'!$A$2:$B$168,2,FALSE),"")</f>
        <v/>
      </c>
    </row>
    <row r="421" spans="1:10">
      <c r="A421">
        <v>2016</v>
      </c>
      <c r="B421" t="s">
        <v>1429</v>
      </c>
      <c r="C421" t="s">
        <v>1431</v>
      </c>
      <c r="D421" t="s">
        <v>1433</v>
      </c>
      <c r="E421" t="s">
        <v>544</v>
      </c>
      <c r="F421" t="s">
        <v>544</v>
      </c>
      <c r="G421" s="28">
        <v>48800</v>
      </c>
      <c r="H421">
        <v>0</v>
      </c>
      <c r="I421" s="29">
        <f t="shared" si="6"/>
        <v>48800</v>
      </c>
      <c r="J421" t="str">
        <f>IFERROR(VLOOKUP(E421,'LEAID Match'!$A$2:$B$168,2,FALSE),"")</f>
        <v/>
      </c>
    </row>
    <row r="422" spans="1:10">
      <c r="A422">
        <v>2017</v>
      </c>
      <c r="B422" t="s">
        <v>1429</v>
      </c>
      <c r="C422" t="s">
        <v>1431</v>
      </c>
      <c r="D422" t="s">
        <v>1433</v>
      </c>
      <c r="E422" t="s">
        <v>544</v>
      </c>
      <c r="F422" t="s">
        <v>544</v>
      </c>
      <c r="G422" s="28">
        <v>50019</v>
      </c>
      <c r="H422">
        <v>0</v>
      </c>
      <c r="I422" s="29">
        <f t="shared" si="6"/>
        <v>50019</v>
      </c>
      <c r="J422" t="str">
        <f>IFERROR(VLOOKUP(E422,'LEAID Match'!$A$2:$B$168,2,FALSE),"")</f>
        <v/>
      </c>
    </row>
    <row r="423" spans="1:10">
      <c r="A423" s="27">
        <v>2018</v>
      </c>
      <c r="B423" t="s">
        <v>1429</v>
      </c>
      <c r="C423" t="s">
        <v>1431</v>
      </c>
      <c r="D423" t="s">
        <v>1433</v>
      </c>
      <c r="E423" t="s">
        <v>544</v>
      </c>
      <c r="F423" s="9" t="s">
        <v>544</v>
      </c>
      <c r="G423" s="18">
        <v>51543</v>
      </c>
      <c r="H423">
        <v>0</v>
      </c>
      <c r="I423" s="29">
        <f t="shared" si="6"/>
        <v>51543</v>
      </c>
      <c r="J423" t="str">
        <f>IFERROR(VLOOKUP(E423,'LEAID Match'!$A$2:$B$168,2,FALSE),"")</f>
        <v/>
      </c>
    </row>
    <row r="424" spans="1:10">
      <c r="A424">
        <v>2019</v>
      </c>
      <c r="B424" t="s">
        <v>1429</v>
      </c>
      <c r="C424" t="s">
        <v>1431</v>
      </c>
      <c r="D424" t="s">
        <v>1433</v>
      </c>
      <c r="E424" t="s">
        <v>544</v>
      </c>
      <c r="F424" s="9" t="s">
        <v>544</v>
      </c>
      <c r="G424" s="18">
        <v>51275</v>
      </c>
      <c r="H424">
        <v>0</v>
      </c>
      <c r="I424" s="29">
        <f t="shared" si="6"/>
        <v>51275</v>
      </c>
      <c r="J424" t="str">
        <f>IFERROR(VLOOKUP(E424,'LEAID Match'!$A$2:$B$168,2,FALSE),"")</f>
        <v/>
      </c>
    </row>
    <row r="425" spans="1:10">
      <c r="A425">
        <v>2015</v>
      </c>
      <c r="B425" t="s">
        <v>1429</v>
      </c>
      <c r="C425" t="s">
        <v>1431</v>
      </c>
      <c r="D425" t="s">
        <v>1433</v>
      </c>
      <c r="E425" t="s">
        <v>545</v>
      </c>
      <c r="F425" s="9" t="s">
        <v>1005</v>
      </c>
      <c r="G425" s="18">
        <v>14871.74</v>
      </c>
      <c r="H425">
        <v>0</v>
      </c>
      <c r="I425" s="29">
        <f t="shared" si="6"/>
        <v>14871.74</v>
      </c>
      <c r="J425" t="str">
        <f>IFERROR(VLOOKUP(E425,'LEAID Match'!$A$2:$B$168,2,FALSE),"")</f>
        <v/>
      </c>
    </row>
    <row r="426" spans="1:10">
      <c r="A426">
        <v>2016</v>
      </c>
      <c r="B426" t="s">
        <v>1429</v>
      </c>
      <c r="C426" t="s">
        <v>1431</v>
      </c>
      <c r="D426" t="s">
        <v>1433</v>
      </c>
      <c r="E426" t="s">
        <v>545</v>
      </c>
      <c r="F426" t="s">
        <v>545</v>
      </c>
      <c r="G426" s="28">
        <v>15633</v>
      </c>
      <c r="H426">
        <v>0</v>
      </c>
      <c r="I426" s="29">
        <f t="shared" si="6"/>
        <v>15633</v>
      </c>
      <c r="J426" t="str">
        <f>IFERROR(VLOOKUP(E426,'LEAID Match'!$A$2:$B$168,2,FALSE),"")</f>
        <v/>
      </c>
    </row>
    <row r="427" spans="1:10">
      <c r="A427">
        <v>2017</v>
      </c>
      <c r="B427" t="s">
        <v>1429</v>
      </c>
      <c r="C427" t="s">
        <v>1431</v>
      </c>
      <c r="D427" t="s">
        <v>1433</v>
      </c>
      <c r="E427" t="s">
        <v>545</v>
      </c>
      <c r="F427" t="s">
        <v>545</v>
      </c>
      <c r="G427" s="28">
        <v>19331</v>
      </c>
      <c r="H427">
        <v>0</v>
      </c>
      <c r="I427" s="29">
        <f t="shared" si="6"/>
        <v>19331</v>
      </c>
      <c r="J427" t="str">
        <f>IFERROR(VLOOKUP(E427,'LEAID Match'!$A$2:$B$168,2,FALSE),"")</f>
        <v/>
      </c>
    </row>
    <row r="428" spans="1:10">
      <c r="A428" s="27">
        <v>2018</v>
      </c>
      <c r="B428" t="s">
        <v>1429</v>
      </c>
      <c r="C428" t="s">
        <v>1431</v>
      </c>
      <c r="D428" t="s">
        <v>1433</v>
      </c>
      <c r="E428" t="s">
        <v>545</v>
      </c>
      <c r="F428" s="9" t="s">
        <v>545</v>
      </c>
      <c r="G428" s="18">
        <v>23774</v>
      </c>
      <c r="H428">
        <v>0</v>
      </c>
      <c r="I428" s="29">
        <f t="shared" si="6"/>
        <v>23774</v>
      </c>
      <c r="J428" t="str">
        <f>IFERROR(VLOOKUP(E428,'LEAID Match'!$A$2:$B$168,2,FALSE),"")</f>
        <v/>
      </c>
    </row>
    <row r="429" spans="1:10">
      <c r="A429">
        <v>2019</v>
      </c>
      <c r="B429" t="s">
        <v>1429</v>
      </c>
      <c r="C429" t="s">
        <v>1431</v>
      </c>
      <c r="D429" t="s">
        <v>1433</v>
      </c>
      <c r="E429" t="s">
        <v>545</v>
      </c>
      <c r="F429" s="9" t="s">
        <v>545</v>
      </c>
      <c r="G429" s="18">
        <v>24330</v>
      </c>
      <c r="H429">
        <v>0</v>
      </c>
      <c r="I429" s="29">
        <f t="shared" si="6"/>
        <v>24330</v>
      </c>
      <c r="J429" t="str">
        <f>IFERROR(VLOOKUP(E429,'LEAID Match'!$A$2:$B$168,2,FALSE),"")</f>
        <v/>
      </c>
    </row>
    <row r="430" spans="1:10">
      <c r="A430" s="27">
        <v>2020</v>
      </c>
      <c r="B430" t="s">
        <v>1429</v>
      </c>
      <c r="C430" t="s">
        <v>1431</v>
      </c>
      <c r="D430" t="s">
        <v>1433</v>
      </c>
      <c r="E430" t="s">
        <v>545</v>
      </c>
      <c r="F430" s="9" t="s">
        <v>26</v>
      </c>
      <c r="G430" s="18">
        <v>22915</v>
      </c>
      <c r="H430">
        <v>0</v>
      </c>
      <c r="I430" s="29">
        <f t="shared" si="6"/>
        <v>22915</v>
      </c>
      <c r="J430" t="str">
        <f>IFERROR(VLOOKUP(E430,'LEAID Match'!$A$2:$B$168,2,FALSE),"")</f>
        <v/>
      </c>
    </row>
    <row r="431" spans="1:10">
      <c r="A431">
        <v>2021</v>
      </c>
      <c r="B431" t="s">
        <v>1429</v>
      </c>
      <c r="C431" t="s">
        <v>1431</v>
      </c>
      <c r="D431" t="s">
        <v>1433</v>
      </c>
      <c r="E431" t="s">
        <v>545</v>
      </c>
      <c r="F431" s="9" t="s">
        <v>26</v>
      </c>
      <c r="G431" s="18">
        <v>19134</v>
      </c>
      <c r="H431">
        <v>0</v>
      </c>
      <c r="I431" s="29">
        <f t="shared" si="6"/>
        <v>19134</v>
      </c>
      <c r="J431" t="str">
        <f>IFERROR(VLOOKUP(E431,'LEAID Match'!$A$2:$B$168,2,FALSE),"")</f>
        <v/>
      </c>
    </row>
    <row r="432" spans="1:10">
      <c r="A432">
        <v>2022</v>
      </c>
      <c r="B432" t="s">
        <v>1429</v>
      </c>
      <c r="C432" t="s">
        <v>1431</v>
      </c>
      <c r="D432" t="s">
        <v>1433</v>
      </c>
      <c r="E432" t="s">
        <v>545</v>
      </c>
      <c r="F432" s="9" t="s">
        <v>26</v>
      </c>
      <c r="G432" s="18">
        <v>28182</v>
      </c>
      <c r="H432">
        <v>0</v>
      </c>
      <c r="I432" s="29">
        <f t="shared" si="6"/>
        <v>28182</v>
      </c>
      <c r="J432" t="str">
        <f>IFERROR(VLOOKUP(E432,'LEAID Match'!$A$2:$B$168,2,FALSE),"")</f>
        <v/>
      </c>
    </row>
    <row r="433" spans="1:10">
      <c r="A433">
        <v>2023</v>
      </c>
      <c r="B433" t="s">
        <v>1429</v>
      </c>
      <c r="C433" t="s">
        <v>1431</v>
      </c>
      <c r="D433" t="s">
        <v>1433</v>
      </c>
      <c r="E433" t="s">
        <v>545</v>
      </c>
      <c r="F433" t="s">
        <v>26</v>
      </c>
      <c r="G433" s="28">
        <v>27476</v>
      </c>
      <c r="H433">
        <v>0</v>
      </c>
      <c r="I433" s="29">
        <f t="shared" si="6"/>
        <v>27476</v>
      </c>
      <c r="J433" t="str">
        <f>IFERROR(VLOOKUP(E433,'LEAID Match'!$A$2:$B$168,2,FALSE),"")</f>
        <v/>
      </c>
    </row>
    <row r="434" spans="1:10">
      <c r="A434">
        <v>2015</v>
      </c>
      <c r="B434" t="s">
        <v>1429</v>
      </c>
      <c r="C434" t="s">
        <v>1431</v>
      </c>
      <c r="D434" t="s">
        <v>1433</v>
      </c>
      <c r="E434" t="s">
        <v>546</v>
      </c>
      <c r="F434" s="9" t="s">
        <v>1006</v>
      </c>
      <c r="G434" s="18">
        <v>131510.23000000001</v>
      </c>
      <c r="H434">
        <v>0</v>
      </c>
      <c r="I434" s="29">
        <f t="shared" si="6"/>
        <v>131510.23000000001</v>
      </c>
      <c r="J434" t="str">
        <f>IFERROR(VLOOKUP(E434,'LEAID Match'!$A$2:$B$168,2,FALSE),"")</f>
        <v/>
      </c>
    </row>
    <row r="435" spans="1:10">
      <c r="A435">
        <v>2016</v>
      </c>
      <c r="B435" t="s">
        <v>1429</v>
      </c>
      <c r="C435" t="s">
        <v>1431</v>
      </c>
      <c r="D435" t="s">
        <v>1433</v>
      </c>
      <c r="E435" t="s">
        <v>546</v>
      </c>
      <c r="F435" t="s">
        <v>546</v>
      </c>
      <c r="G435" s="28">
        <v>135404</v>
      </c>
      <c r="H435">
        <v>0</v>
      </c>
      <c r="I435" s="29">
        <f t="shared" si="6"/>
        <v>135404</v>
      </c>
      <c r="J435" t="str">
        <f>IFERROR(VLOOKUP(E435,'LEAID Match'!$A$2:$B$168,2,FALSE),"")</f>
        <v/>
      </c>
    </row>
    <row r="436" spans="1:10">
      <c r="A436">
        <v>2017</v>
      </c>
      <c r="B436" t="s">
        <v>1429</v>
      </c>
      <c r="C436" t="s">
        <v>1431</v>
      </c>
      <c r="D436" t="s">
        <v>1433</v>
      </c>
      <c r="E436" t="s">
        <v>546</v>
      </c>
      <c r="F436" t="s">
        <v>546</v>
      </c>
      <c r="G436" s="28">
        <v>159025</v>
      </c>
      <c r="H436">
        <v>0</v>
      </c>
      <c r="I436" s="29">
        <f t="shared" si="6"/>
        <v>159025</v>
      </c>
      <c r="J436" t="str">
        <f>IFERROR(VLOOKUP(E436,'LEAID Match'!$A$2:$B$168,2,FALSE),"")</f>
        <v/>
      </c>
    </row>
    <row r="437" spans="1:10">
      <c r="A437" s="27">
        <v>2018</v>
      </c>
      <c r="B437" t="s">
        <v>1429</v>
      </c>
      <c r="C437" t="s">
        <v>1431</v>
      </c>
      <c r="D437" t="s">
        <v>1433</v>
      </c>
      <c r="E437" t="s">
        <v>546</v>
      </c>
      <c r="F437" s="9" t="s">
        <v>546</v>
      </c>
      <c r="G437" s="18">
        <v>182737</v>
      </c>
      <c r="H437">
        <v>0</v>
      </c>
      <c r="I437" s="29">
        <f t="shared" si="6"/>
        <v>182737</v>
      </c>
      <c r="J437" t="str">
        <f>IFERROR(VLOOKUP(E437,'LEAID Match'!$A$2:$B$168,2,FALSE),"")</f>
        <v/>
      </c>
    </row>
    <row r="438" spans="1:10">
      <c r="A438">
        <v>2019</v>
      </c>
      <c r="B438" t="s">
        <v>1429</v>
      </c>
      <c r="C438" t="s">
        <v>1431</v>
      </c>
      <c r="D438" t="s">
        <v>1433</v>
      </c>
      <c r="E438" t="s">
        <v>546</v>
      </c>
      <c r="F438" s="9" t="s">
        <v>546</v>
      </c>
      <c r="G438" s="18">
        <v>188364</v>
      </c>
      <c r="H438">
        <v>0</v>
      </c>
      <c r="I438" s="29">
        <f t="shared" si="6"/>
        <v>188364</v>
      </c>
      <c r="J438" t="str">
        <f>IFERROR(VLOOKUP(E438,'LEAID Match'!$A$2:$B$168,2,FALSE),"")</f>
        <v/>
      </c>
    </row>
    <row r="439" spans="1:10">
      <c r="A439">
        <v>2015</v>
      </c>
      <c r="B439" t="s">
        <v>1429</v>
      </c>
      <c r="C439" t="s">
        <v>1431</v>
      </c>
      <c r="D439" t="s">
        <v>1433</v>
      </c>
      <c r="E439" t="s">
        <v>27</v>
      </c>
      <c r="F439" s="9" t="s">
        <v>1007</v>
      </c>
      <c r="G439" s="18">
        <v>1680089.5</v>
      </c>
      <c r="H439">
        <v>0</v>
      </c>
      <c r="I439" s="29">
        <f t="shared" si="6"/>
        <v>1680089.5</v>
      </c>
      <c r="J439" t="str">
        <f>IFERROR(VLOOKUP(E439,'LEAID Match'!$A$2:$B$168,2,FALSE),"")</f>
        <v/>
      </c>
    </row>
    <row r="440" spans="1:10">
      <c r="A440">
        <v>2016</v>
      </c>
      <c r="B440" t="s">
        <v>1429</v>
      </c>
      <c r="C440" t="s">
        <v>1431</v>
      </c>
      <c r="D440" t="s">
        <v>1433</v>
      </c>
      <c r="E440" t="s">
        <v>27</v>
      </c>
      <c r="F440" t="s">
        <v>547</v>
      </c>
      <c r="G440" s="28">
        <v>1780113</v>
      </c>
      <c r="H440">
        <v>0</v>
      </c>
      <c r="I440" s="29">
        <f t="shared" si="6"/>
        <v>1780113</v>
      </c>
      <c r="J440" t="str">
        <f>IFERROR(VLOOKUP(E440,'LEAID Match'!$A$2:$B$168,2,FALSE),"")</f>
        <v/>
      </c>
    </row>
    <row r="441" spans="1:10">
      <c r="A441">
        <v>2017</v>
      </c>
      <c r="B441" t="s">
        <v>1429</v>
      </c>
      <c r="C441" t="s">
        <v>1431</v>
      </c>
      <c r="D441" t="s">
        <v>1433</v>
      </c>
      <c r="E441" t="s">
        <v>27</v>
      </c>
      <c r="F441" t="s">
        <v>547</v>
      </c>
      <c r="G441" s="28">
        <v>1823297</v>
      </c>
      <c r="H441">
        <v>0</v>
      </c>
      <c r="I441" s="29">
        <f t="shared" si="6"/>
        <v>1823297</v>
      </c>
      <c r="J441" t="str">
        <f>IFERROR(VLOOKUP(E441,'LEAID Match'!$A$2:$B$168,2,FALSE),"")</f>
        <v/>
      </c>
    </row>
    <row r="442" spans="1:10">
      <c r="A442" s="27">
        <v>2018</v>
      </c>
      <c r="B442" t="s">
        <v>1429</v>
      </c>
      <c r="C442" t="s">
        <v>1431</v>
      </c>
      <c r="D442" t="s">
        <v>1433</v>
      </c>
      <c r="E442" t="s">
        <v>27</v>
      </c>
      <c r="F442" s="9" t="s">
        <v>547</v>
      </c>
      <c r="G442" s="18">
        <v>1876891</v>
      </c>
      <c r="H442">
        <v>0</v>
      </c>
      <c r="I442" s="29">
        <f t="shared" si="6"/>
        <v>1876891</v>
      </c>
      <c r="J442" t="str">
        <f>IFERROR(VLOOKUP(E442,'LEAID Match'!$A$2:$B$168,2,FALSE),"")</f>
        <v/>
      </c>
    </row>
    <row r="443" spans="1:10">
      <c r="A443">
        <v>2019</v>
      </c>
      <c r="B443" t="s">
        <v>1429</v>
      </c>
      <c r="C443" t="s">
        <v>1431</v>
      </c>
      <c r="D443" t="s">
        <v>1433</v>
      </c>
      <c r="E443" t="s">
        <v>27</v>
      </c>
      <c r="F443" s="9" t="s">
        <v>547</v>
      </c>
      <c r="G443" s="18">
        <v>1915613</v>
      </c>
      <c r="H443">
        <v>0</v>
      </c>
      <c r="I443" s="29">
        <f t="shared" si="6"/>
        <v>1915613</v>
      </c>
      <c r="J443" t="str">
        <f>IFERROR(VLOOKUP(E443,'LEAID Match'!$A$2:$B$168,2,FALSE),"")</f>
        <v/>
      </c>
    </row>
    <row r="444" spans="1:10">
      <c r="A444" s="27">
        <v>2020</v>
      </c>
      <c r="B444" t="s">
        <v>1429</v>
      </c>
      <c r="C444" t="s">
        <v>1431</v>
      </c>
      <c r="D444" t="s">
        <v>1433</v>
      </c>
      <c r="E444" t="s">
        <v>27</v>
      </c>
      <c r="F444" s="9" t="s">
        <v>27</v>
      </c>
      <c r="G444" s="18">
        <v>1887585</v>
      </c>
      <c r="H444">
        <v>0</v>
      </c>
      <c r="I444" s="29">
        <f t="shared" si="6"/>
        <v>1887585</v>
      </c>
      <c r="J444" t="str">
        <f>IFERROR(VLOOKUP(E444,'LEAID Match'!$A$2:$B$168,2,FALSE),"")</f>
        <v/>
      </c>
    </row>
    <row r="445" spans="1:10">
      <c r="A445">
        <v>2021</v>
      </c>
      <c r="B445" t="s">
        <v>1429</v>
      </c>
      <c r="C445" t="s">
        <v>1431</v>
      </c>
      <c r="D445" t="s">
        <v>1433</v>
      </c>
      <c r="E445" t="s">
        <v>27</v>
      </c>
      <c r="F445" s="9" t="s">
        <v>27</v>
      </c>
      <c r="G445" s="18">
        <v>1935855</v>
      </c>
      <c r="H445">
        <v>0</v>
      </c>
      <c r="I445" s="29">
        <f t="shared" si="6"/>
        <v>1935855</v>
      </c>
      <c r="J445" t="str">
        <f>IFERROR(VLOOKUP(E445,'LEAID Match'!$A$2:$B$168,2,FALSE),"")</f>
        <v/>
      </c>
    </row>
    <row r="446" spans="1:10">
      <c r="A446">
        <v>2022</v>
      </c>
      <c r="B446" t="s">
        <v>1429</v>
      </c>
      <c r="C446" t="s">
        <v>1431</v>
      </c>
      <c r="D446" t="s">
        <v>1433</v>
      </c>
      <c r="E446" t="s">
        <v>27</v>
      </c>
      <c r="F446" s="9" t="s">
        <v>27</v>
      </c>
      <c r="G446" s="18">
        <v>2464168</v>
      </c>
      <c r="H446">
        <v>0</v>
      </c>
      <c r="I446" s="29">
        <f t="shared" si="6"/>
        <v>2464168</v>
      </c>
      <c r="J446" t="str">
        <f>IFERROR(VLOOKUP(E446,'LEAID Match'!$A$2:$B$168,2,FALSE),"")</f>
        <v/>
      </c>
    </row>
    <row r="447" spans="1:10">
      <c r="A447">
        <v>2023</v>
      </c>
      <c r="B447" t="s">
        <v>1429</v>
      </c>
      <c r="C447" t="s">
        <v>1431</v>
      </c>
      <c r="D447" t="s">
        <v>1433</v>
      </c>
      <c r="E447" t="s">
        <v>27</v>
      </c>
      <c r="F447" t="s">
        <v>27</v>
      </c>
      <c r="G447" s="28">
        <v>2681014</v>
      </c>
      <c r="H447">
        <v>0</v>
      </c>
      <c r="I447" s="29">
        <f t="shared" si="6"/>
        <v>2681014</v>
      </c>
      <c r="J447" t="str">
        <f>IFERROR(VLOOKUP(E447,'LEAID Match'!$A$2:$B$168,2,FALSE),"")</f>
        <v/>
      </c>
    </row>
    <row r="448" spans="1:10">
      <c r="A448">
        <v>2015</v>
      </c>
      <c r="B448" t="s">
        <v>1429</v>
      </c>
      <c r="C448" t="s">
        <v>1431</v>
      </c>
      <c r="D448" t="s">
        <v>1433</v>
      </c>
      <c r="E448" t="s">
        <v>548</v>
      </c>
      <c r="F448" s="9" t="s">
        <v>1008</v>
      </c>
      <c r="G448" s="18">
        <v>153442.66</v>
      </c>
      <c r="H448">
        <v>0</v>
      </c>
      <c r="I448" s="29">
        <f t="shared" si="6"/>
        <v>153442.66</v>
      </c>
      <c r="J448" t="str">
        <f>IFERROR(VLOOKUP(E448,'LEAID Match'!$A$2:$B$168,2,FALSE),"")</f>
        <v/>
      </c>
    </row>
    <row r="449" spans="1:10">
      <c r="A449">
        <v>2016</v>
      </c>
      <c r="B449" t="s">
        <v>1429</v>
      </c>
      <c r="C449" t="s">
        <v>1431</v>
      </c>
      <c r="D449" t="s">
        <v>1433</v>
      </c>
      <c r="E449" t="s">
        <v>548</v>
      </c>
      <c r="F449" t="s">
        <v>548</v>
      </c>
      <c r="G449" s="28">
        <v>165260</v>
      </c>
      <c r="H449">
        <v>0</v>
      </c>
      <c r="I449" s="29">
        <f t="shared" si="6"/>
        <v>165260</v>
      </c>
      <c r="J449" t="str">
        <f>IFERROR(VLOOKUP(E449,'LEAID Match'!$A$2:$B$168,2,FALSE),"")</f>
        <v/>
      </c>
    </row>
    <row r="450" spans="1:10">
      <c r="A450">
        <v>2017</v>
      </c>
      <c r="B450" t="s">
        <v>1429</v>
      </c>
      <c r="C450" t="s">
        <v>1431</v>
      </c>
      <c r="D450" t="s">
        <v>1433</v>
      </c>
      <c r="E450" t="s">
        <v>548</v>
      </c>
      <c r="F450" t="s">
        <v>548</v>
      </c>
      <c r="G450" s="28">
        <v>179631</v>
      </c>
      <c r="H450">
        <v>0</v>
      </c>
      <c r="I450" s="29">
        <f t="shared" si="6"/>
        <v>179631</v>
      </c>
      <c r="J450" t="str">
        <f>IFERROR(VLOOKUP(E450,'LEAID Match'!$A$2:$B$168,2,FALSE),"")</f>
        <v/>
      </c>
    </row>
    <row r="451" spans="1:10">
      <c r="A451" s="27">
        <v>2018</v>
      </c>
      <c r="B451" t="s">
        <v>1429</v>
      </c>
      <c r="C451" t="s">
        <v>1431</v>
      </c>
      <c r="D451" t="s">
        <v>1433</v>
      </c>
      <c r="E451" t="s">
        <v>548</v>
      </c>
      <c r="F451" s="9" t="s">
        <v>548</v>
      </c>
      <c r="G451" s="18">
        <v>214593</v>
      </c>
      <c r="H451">
        <v>0</v>
      </c>
      <c r="I451" s="29">
        <f t="shared" ref="I451:I514" si="7">SUM(G451:H451)</f>
        <v>214593</v>
      </c>
      <c r="J451" t="str">
        <f>IFERROR(VLOOKUP(E451,'LEAID Match'!$A$2:$B$168,2,FALSE),"")</f>
        <v/>
      </c>
    </row>
    <row r="452" spans="1:10">
      <c r="A452">
        <v>2019</v>
      </c>
      <c r="B452" t="s">
        <v>1429</v>
      </c>
      <c r="C452" t="s">
        <v>1431</v>
      </c>
      <c r="D452" t="s">
        <v>1433</v>
      </c>
      <c r="E452" t="s">
        <v>548</v>
      </c>
      <c r="F452" s="9" t="s">
        <v>548</v>
      </c>
      <c r="G452" s="18">
        <v>229826</v>
      </c>
      <c r="H452">
        <v>0</v>
      </c>
      <c r="I452" s="29">
        <f t="shared" si="7"/>
        <v>229826</v>
      </c>
      <c r="J452" t="str">
        <f>IFERROR(VLOOKUP(E452,'LEAID Match'!$A$2:$B$168,2,FALSE),"")</f>
        <v/>
      </c>
    </row>
    <row r="453" spans="1:10">
      <c r="A453">
        <v>2015</v>
      </c>
      <c r="B453" t="s">
        <v>1429</v>
      </c>
      <c r="C453" t="s">
        <v>1431</v>
      </c>
      <c r="D453" t="s">
        <v>1433</v>
      </c>
      <c r="E453" t="s">
        <v>549</v>
      </c>
      <c r="F453" s="9" t="s">
        <v>1009</v>
      </c>
      <c r="G453" s="18">
        <v>346567.91</v>
      </c>
      <c r="H453">
        <v>0</v>
      </c>
      <c r="I453" s="29">
        <f t="shared" si="7"/>
        <v>346567.91</v>
      </c>
      <c r="J453">
        <f>IFERROR(VLOOKUP(E453,'LEAID Match'!$A$2:$B$168,2,FALSE),"")</f>
        <v>3302250</v>
      </c>
    </row>
    <row r="454" spans="1:10">
      <c r="A454">
        <v>2016</v>
      </c>
      <c r="B454" t="s">
        <v>1429</v>
      </c>
      <c r="C454" t="s">
        <v>1431</v>
      </c>
      <c r="D454" t="s">
        <v>1433</v>
      </c>
      <c r="E454" t="s">
        <v>549</v>
      </c>
      <c r="F454" t="s">
        <v>549</v>
      </c>
      <c r="G454" s="28">
        <v>386956</v>
      </c>
      <c r="H454">
        <v>0</v>
      </c>
      <c r="I454" s="29">
        <f t="shared" si="7"/>
        <v>386956</v>
      </c>
      <c r="J454">
        <f>IFERROR(VLOOKUP(E454,'LEAID Match'!$A$2:$B$168,2,FALSE),"")</f>
        <v>3302250</v>
      </c>
    </row>
    <row r="455" spans="1:10">
      <c r="A455">
        <v>2017</v>
      </c>
      <c r="B455" t="s">
        <v>1429</v>
      </c>
      <c r="C455" t="s">
        <v>1431</v>
      </c>
      <c r="D455" t="s">
        <v>1433</v>
      </c>
      <c r="E455" t="s">
        <v>549</v>
      </c>
      <c r="F455" t="s">
        <v>549</v>
      </c>
      <c r="G455" s="28">
        <v>403597</v>
      </c>
      <c r="H455">
        <v>0</v>
      </c>
      <c r="I455" s="29">
        <f t="shared" si="7"/>
        <v>403597</v>
      </c>
      <c r="J455">
        <f>IFERROR(VLOOKUP(E455,'LEAID Match'!$A$2:$B$168,2,FALSE),"")</f>
        <v>3302250</v>
      </c>
    </row>
    <row r="456" spans="1:10">
      <c r="A456" s="27">
        <v>2018</v>
      </c>
      <c r="B456" t="s">
        <v>1429</v>
      </c>
      <c r="C456" t="s">
        <v>1431</v>
      </c>
      <c r="D456" t="s">
        <v>1433</v>
      </c>
      <c r="E456" t="s">
        <v>549</v>
      </c>
      <c r="F456" s="9" t="s">
        <v>549</v>
      </c>
      <c r="G456" s="18">
        <v>468255</v>
      </c>
      <c r="H456">
        <v>0</v>
      </c>
      <c r="I456" s="29">
        <f t="shared" si="7"/>
        <v>468255</v>
      </c>
      <c r="J456">
        <f>IFERROR(VLOOKUP(E456,'LEAID Match'!$A$2:$B$168,2,FALSE),"")</f>
        <v>3302250</v>
      </c>
    </row>
    <row r="457" spans="1:10">
      <c r="A457">
        <v>2019</v>
      </c>
      <c r="B457" t="s">
        <v>1429</v>
      </c>
      <c r="C457" t="s">
        <v>1431</v>
      </c>
      <c r="D457" t="s">
        <v>1433</v>
      </c>
      <c r="E457" t="s">
        <v>549</v>
      </c>
      <c r="F457" s="9" t="s">
        <v>549</v>
      </c>
      <c r="G457" s="18">
        <v>505966</v>
      </c>
      <c r="H457">
        <v>0</v>
      </c>
      <c r="I457" s="29">
        <f t="shared" si="7"/>
        <v>505966</v>
      </c>
      <c r="J457">
        <f>IFERROR(VLOOKUP(E457,'LEAID Match'!$A$2:$B$168,2,FALSE),"")</f>
        <v>3302250</v>
      </c>
    </row>
    <row r="458" spans="1:10">
      <c r="A458" s="27">
        <v>2020</v>
      </c>
      <c r="B458" t="s">
        <v>1429</v>
      </c>
      <c r="C458" t="s">
        <v>1431</v>
      </c>
      <c r="D458" t="s">
        <v>1433</v>
      </c>
      <c r="E458" t="s">
        <v>549</v>
      </c>
      <c r="F458" s="9" t="s">
        <v>28</v>
      </c>
      <c r="G458" s="18">
        <v>539186</v>
      </c>
      <c r="H458">
        <v>0</v>
      </c>
      <c r="I458" s="29">
        <f t="shared" si="7"/>
        <v>539186</v>
      </c>
      <c r="J458">
        <f>IFERROR(VLOOKUP(E458,'LEAID Match'!$A$2:$B$168,2,FALSE),"")</f>
        <v>3302250</v>
      </c>
    </row>
    <row r="459" spans="1:10">
      <c r="A459">
        <v>2021</v>
      </c>
      <c r="B459" t="s">
        <v>1429</v>
      </c>
      <c r="C459" t="s">
        <v>1431</v>
      </c>
      <c r="D459" t="s">
        <v>1433</v>
      </c>
      <c r="E459" t="s">
        <v>549</v>
      </c>
      <c r="F459" s="9" t="s">
        <v>28</v>
      </c>
      <c r="G459" s="18">
        <v>572543</v>
      </c>
      <c r="H459">
        <v>0</v>
      </c>
      <c r="I459" s="29">
        <f t="shared" si="7"/>
        <v>572543</v>
      </c>
      <c r="J459">
        <f>IFERROR(VLOOKUP(E459,'LEAID Match'!$A$2:$B$168,2,FALSE),"")</f>
        <v>3302250</v>
      </c>
    </row>
    <row r="460" spans="1:10">
      <c r="A460">
        <v>2022</v>
      </c>
      <c r="B460" t="s">
        <v>1429</v>
      </c>
      <c r="C460" t="s">
        <v>1431</v>
      </c>
      <c r="D460" t="s">
        <v>1433</v>
      </c>
      <c r="E460" t="s">
        <v>549</v>
      </c>
      <c r="F460" s="9" t="s">
        <v>28</v>
      </c>
      <c r="G460" s="18">
        <v>762498</v>
      </c>
      <c r="H460">
        <v>0</v>
      </c>
      <c r="I460" s="29">
        <f t="shared" si="7"/>
        <v>762498</v>
      </c>
      <c r="J460">
        <f>IFERROR(VLOOKUP(E460,'LEAID Match'!$A$2:$B$168,2,FALSE),"")</f>
        <v>3302250</v>
      </c>
    </row>
    <row r="461" spans="1:10">
      <c r="A461">
        <v>2023</v>
      </c>
      <c r="B461" t="s">
        <v>1429</v>
      </c>
      <c r="C461" t="s">
        <v>1431</v>
      </c>
      <c r="D461" t="s">
        <v>1433</v>
      </c>
      <c r="E461" t="s">
        <v>549</v>
      </c>
      <c r="F461" t="s">
        <v>28</v>
      </c>
      <c r="G461" s="28">
        <v>799127</v>
      </c>
      <c r="H461">
        <v>0</v>
      </c>
      <c r="I461" s="29">
        <f t="shared" si="7"/>
        <v>799127</v>
      </c>
      <c r="J461">
        <f>IFERROR(VLOOKUP(E461,'LEAID Match'!$A$2:$B$168,2,FALSE),"")</f>
        <v>3302250</v>
      </c>
    </row>
    <row r="462" spans="1:10">
      <c r="A462">
        <v>2015</v>
      </c>
      <c r="B462" t="s">
        <v>1429</v>
      </c>
      <c r="C462" t="s">
        <v>1431</v>
      </c>
      <c r="D462" t="s">
        <v>1433</v>
      </c>
      <c r="E462" t="s">
        <v>550</v>
      </c>
      <c r="F462" s="9" t="s">
        <v>1010</v>
      </c>
      <c r="G462" s="18">
        <v>121412.57</v>
      </c>
      <c r="H462">
        <v>0</v>
      </c>
      <c r="I462" s="29">
        <f t="shared" si="7"/>
        <v>121412.57</v>
      </c>
      <c r="J462" t="str">
        <f>IFERROR(VLOOKUP(E462,'LEAID Match'!$A$2:$B$168,2,FALSE),"")</f>
        <v/>
      </c>
    </row>
    <row r="463" spans="1:10">
      <c r="A463">
        <v>2016</v>
      </c>
      <c r="B463" t="s">
        <v>1429</v>
      </c>
      <c r="C463" t="s">
        <v>1431</v>
      </c>
      <c r="D463" t="s">
        <v>1433</v>
      </c>
      <c r="E463" t="s">
        <v>550</v>
      </c>
      <c r="F463" t="s">
        <v>550</v>
      </c>
      <c r="G463" s="28">
        <v>125610</v>
      </c>
      <c r="H463">
        <v>0</v>
      </c>
      <c r="I463" s="29">
        <f t="shared" si="7"/>
        <v>125610</v>
      </c>
      <c r="J463" t="str">
        <f>IFERROR(VLOOKUP(E463,'LEAID Match'!$A$2:$B$168,2,FALSE),"")</f>
        <v/>
      </c>
    </row>
    <row r="464" spans="1:10">
      <c r="A464">
        <v>2017</v>
      </c>
      <c r="B464" t="s">
        <v>1429</v>
      </c>
      <c r="C464" t="s">
        <v>1431</v>
      </c>
      <c r="D464" t="s">
        <v>1433</v>
      </c>
      <c r="E464" t="s">
        <v>550</v>
      </c>
      <c r="F464" t="s">
        <v>550</v>
      </c>
      <c r="G464" s="28">
        <v>126971</v>
      </c>
      <c r="H464">
        <v>0</v>
      </c>
      <c r="I464" s="29">
        <f t="shared" si="7"/>
        <v>126971</v>
      </c>
      <c r="J464" t="str">
        <f>IFERROR(VLOOKUP(E464,'LEAID Match'!$A$2:$B$168,2,FALSE),"")</f>
        <v/>
      </c>
    </row>
    <row r="465" spans="1:10">
      <c r="A465" s="27">
        <v>2018</v>
      </c>
      <c r="B465" t="s">
        <v>1429</v>
      </c>
      <c r="C465" t="s">
        <v>1431</v>
      </c>
      <c r="D465" t="s">
        <v>1433</v>
      </c>
      <c r="E465" t="s">
        <v>550</v>
      </c>
      <c r="F465" s="9" t="s">
        <v>550</v>
      </c>
      <c r="G465" s="18">
        <v>153269</v>
      </c>
      <c r="H465">
        <v>0</v>
      </c>
      <c r="I465" s="29">
        <f t="shared" si="7"/>
        <v>153269</v>
      </c>
      <c r="J465" t="str">
        <f>IFERROR(VLOOKUP(E465,'LEAID Match'!$A$2:$B$168,2,FALSE),"")</f>
        <v/>
      </c>
    </row>
    <row r="466" spans="1:10">
      <c r="A466">
        <v>2019</v>
      </c>
      <c r="B466" t="s">
        <v>1429</v>
      </c>
      <c r="C466" t="s">
        <v>1431</v>
      </c>
      <c r="D466" t="s">
        <v>1433</v>
      </c>
      <c r="E466" t="s">
        <v>550</v>
      </c>
      <c r="F466" s="9" t="s">
        <v>550</v>
      </c>
      <c r="G466" s="18">
        <v>152451</v>
      </c>
      <c r="H466">
        <v>0</v>
      </c>
      <c r="I466" s="29">
        <f t="shared" si="7"/>
        <v>152451</v>
      </c>
      <c r="J466" t="str">
        <f>IFERROR(VLOOKUP(E466,'LEAID Match'!$A$2:$B$168,2,FALSE),"")</f>
        <v/>
      </c>
    </row>
    <row r="467" spans="1:10">
      <c r="A467">
        <v>2015</v>
      </c>
      <c r="B467" t="s">
        <v>1429</v>
      </c>
      <c r="C467" t="s">
        <v>1431</v>
      </c>
      <c r="D467" t="s">
        <v>1433</v>
      </c>
      <c r="E467" t="s">
        <v>29</v>
      </c>
      <c r="F467" s="9" t="s">
        <v>1011</v>
      </c>
      <c r="G467" s="18">
        <v>223794.03</v>
      </c>
      <c r="H467">
        <v>0</v>
      </c>
      <c r="I467" s="29">
        <f t="shared" si="7"/>
        <v>223794.03</v>
      </c>
      <c r="J467">
        <f>IFERROR(VLOOKUP(E467,'LEAID Match'!$A$2:$B$168,2,FALSE),"")</f>
        <v>3302280</v>
      </c>
    </row>
    <row r="468" spans="1:10">
      <c r="A468">
        <v>2016</v>
      </c>
      <c r="B468" t="s">
        <v>1429</v>
      </c>
      <c r="C468" t="s">
        <v>1431</v>
      </c>
      <c r="D468" t="s">
        <v>1433</v>
      </c>
      <c r="E468" t="s">
        <v>29</v>
      </c>
      <c r="F468" t="s">
        <v>551</v>
      </c>
      <c r="G468" s="28">
        <v>226953</v>
      </c>
      <c r="H468">
        <v>0</v>
      </c>
      <c r="I468" s="29">
        <f t="shared" si="7"/>
        <v>226953</v>
      </c>
      <c r="J468">
        <f>IFERROR(VLOOKUP(E468,'LEAID Match'!$A$2:$B$168,2,FALSE),"")</f>
        <v>3302280</v>
      </c>
    </row>
    <row r="469" spans="1:10">
      <c r="A469">
        <v>2017</v>
      </c>
      <c r="B469" t="s">
        <v>1429</v>
      </c>
      <c r="C469" t="s">
        <v>1431</v>
      </c>
      <c r="D469" t="s">
        <v>1433</v>
      </c>
      <c r="E469" t="s">
        <v>29</v>
      </c>
      <c r="F469" t="s">
        <v>551</v>
      </c>
      <c r="G469" s="28">
        <v>235678</v>
      </c>
      <c r="H469">
        <v>0</v>
      </c>
      <c r="I469" s="29">
        <f t="shared" si="7"/>
        <v>235678</v>
      </c>
      <c r="J469">
        <f>IFERROR(VLOOKUP(E469,'LEAID Match'!$A$2:$B$168,2,FALSE),"")</f>
        <v>3302280</v>
      </c>
    </row>
    <row r="470" spans="1:10">
      <c r="A470" s="27">
        <v>2018</v>
      </c>
      <c r="B470" t="s">
        <v>1429</v>
      </c>
      <c r="C470" t="s">
        <v>1431</v>
      </c>
      <c r="D470" t="s">
        <v>1433</v>
      </c>
      <c r="E470" t="s">
        <v>29</v>
      </c>
      <c r="F470" s="9" t="s">
        <v>551</v>
      </c>
      <c r="G470" s="18">
        <v>313467</v>
      </c>
      <c r="H470">
        <v>0</v>
      </c>
      <c r="I470" s="29">
        <f t="shared" si="7"/>
        <v>313467</v>
      </c>
      <c r="J470">
        <f>IFERROR(VLOOKUP(E470,'LEAID Match'!$A$2:$B$168,2,FALSE),"")</f>
        <v>3302280</v>
      </c>
    </row>
    <row r="471" spans="1:10">
      <c r="A471">
        <v>2019</v>
      </c>
      <c r="B471" t="s">
        <v>1429</v>
      </c>
      <c r="C471" t="s">
        <v>1431</v>
      </c>
      <c r="D471" t="s">
        <v>1433</v>
      </c>
      <c r="E471" t="s">
        <v>29</v>
      </c>
      <c r="F471" s="9" t="s">
        <v>551</v>
      </c>
      <c r="G471" s="18">
        <v>323432</v>
      </c>
      <c r="H471">
        <v>0</v>
      </c>
      <c r="I471" s="29">
        <f t="shared" si="7"/>
        <v>323432</v>
      </c>
      <c r="J471">
        <f>IFERROR(VLOOKUP(E471,'LEAID Match'!$A$2:$B$168,2,FALSE),"")</f>
        <v>3302280</v>
      </c>
    </row>
    <row r="472" spans="1:10">
      <c r="A472" s="27">
        <v>2020</v>
      </c>
      <c r="B472" t="s">
        <v>1429</v>
      </c>
      <c r="C472" t="s">
        <v>1431</v>
      </c>
      <c r="D472" t="s">
        <v>1433</v>
      </c>
      <c r="E472" t="s">
        <v>29</v>
      </c>
      <c r="F472" s="9" t="s">
        <v>29</v>
      </c>
      <c r="G472" s="18">
        <v>342536</v>
      </c>
      <c r="H472">
        <v>0</v>
      </c>
      <c r="I472" s="29">
        <f t="shared" si="7"/>
        <v>342536</v>
      </c>
      <c r="J472">
        <f>IFERROR(VLOOKUP(E472,'LEAID Match'!$A$2:$B$168,2,FALSE),"")</f>
        <v>3302280</v>
      </c>
    </row>
    <row r="473" spans="1:10">
      <c r="A473">
        <v>2021</v>
      </c>
      <c r="B473" t="s">
        <v>1429</v>
      </c>
      <c r="C473" t="s">
        <v>1431</v>
      </c>
      <c r="D473" t="s">
        <v>1433</v>
      </c>
      <c r="E473" t="s">
        <v>29</v>
      </c>
      <c r="F473" s="9" t="s">
        <v>29</v>
      </c>
      <c r="G473" s="18">
        <v>344744</v>
      </c>
      <c r="H473">
        <v>0</v>
      </c>
      <c r="I473" s="29">
        <f t="shared" si="7"/>
        <v>344744</v>
      </c>
      <c r="J473">
        <f>IFERROR(VLOOKUP(E473,'LEAID Match'!$A$2:$B$168,2,FALSE),"")</f>
        <v>3302280</v>
      </c>
    </row>
    <row r="474" spans="1:10">
      <c r="A474">
        <v>2022</v>
      </c>
      <c r="B474" t="s">
        <v>1429</v>
      </c>
      <c r="C474" t="s">
        <v>1431</v>
      </c>
      <c r="D474" t="s">
        <v>1433</v>
      </c>
      <c r="E474" t="s">
        <v>29</v>
      </c>
      <c r="F474" s="9" t="s">
        <v>29</v>
      </c>
      <c r="G474" s="18">
        <v>427446</v>
      </c>
      <c r="H474">
        <v>0</v>
      </c>
      <c r="I474" s="29">
        <f t="shared" si="7"/>
        <v>427446</v>
      </c>
      <c r="J474">
        <f>IFERROR(VLOOKUP(E474,'LEAID Match'!$A$2:$B$168,2,FALSE),"")</f>
        <v>3302280</v>
      </c>
    </row>
    <row r="475" spans="1:10">
      <c r="A475">
        <v>2023</v>
      </c>
      <c r="B475" t="s">
        <v>1429</v>
      </c>
      <c r="C475" t="s">
        <v>1431</v>
      </c>
      <c r="D475" t="s">
        <v>1433</v>
      </c>
      <c r="E475" t="s">
        <v>29</v>
      </c>
      <c r="F475" t="s">
        <v>29</v>
      </c>
      <c r="G475" s="28">
        <v>430535</v>
      </c>
      <c r="H475">
        <v>0</v>
      </c>
      <c r="I475" s="29">
        <f t="shared" si="7"/>
        <v>430535</v>
      </c>
      <c r="J475">
        <f>IFERROR(VLOOKUP(E475,'LEAID Match'!$A$2:$B$168,2,FALSE),"")</f>
        <v>3302280</v>
      </c>
    </row>
    <row r="476" spans="1:10">
      <c r="A476">
        <v>2015</v>
      </c>
      <c r="B476" t="s">
        <v>1429</v>
      </c>
      <c r="C476" t="s">
        <v>1431</v>
      </c>
      <c r="D476" t="s">
        <v>1433</v>
      </c>
      <c r="E476" t="s">
        <v>552</v>
      </c>
      <c r="F476" s="9" t="s">
        <v>1012</v>
      </c>
      <c r="G476" s="18">
        <v>70002.98</v>
      </c>
      <c r="H476">
        <v>0</v>
      </c>
      <c r="I476" s="29">
        <f t="shared" si="7"/>
        <v>70002.98</v>
      </c>
      <c r="J476" t="str">
        <f>IFERROR(VLOOKUP(E476,'LEAID Match'!$A$2:$B$168,2,FALSE),"")</f>
        <v/>
      </c>
    </row>
    <row r="477" spans="1:10">
      <c r="A477">
        <v>2016</v>
      </c>
      <c r="B477" t="s">
        <v>1429</v>
      </c>
      <c r="C477" t="s">
        <v>1431</v>
      </c>
      <c r="D477" t="s">
        <v>1433</v>
      </c>
      <c r="E477" t="s">
        <v>552</v>
      </c>
      <c r="F477" t="s">
        <v>552</v>
      </c>
      <c r="G477" s="28">
        <v>72074</v>
      </c>
      <c r="H477">
        <v>0</v>
      </c>
      <c r="I477" s="29">
        <f t="shared" si="7"/>
        <v>72074</v>
      </c>
      <c r="J477" t="str">
        <f>IFERROR(VLOOKUP(E477,'LEAID Match'!$A$2:$B$168,2,FALSE),"")</f>
        <v/>
      </c>
    </row>
    <row r="478" spans="1:10">
      <c r="A478">
        <v>2017</v>
      </c>
      <c r="B478" t="s">
        <v>1429</v>
      </c>
      <c r="C478" t="s">
        <v>1431</v>
      </c>
      <c r="D478" t="s">
        <v>1433</v>
      </c>
      <c r="E478" t="s">
        <v>552</v>
      </c>
      <c r="F478" t="s">
        <v>552</v>
      </c>
      <c r="G478" s="28">
        <v>88266</v>
      </c>
      <c r="H478">
        <v>0</v>
      </c>
      <c r="I478" s="29">
        <f t="shared" si="7"/>
        <v>88266</v>
      </c>
      <c r="J478" t="str">
        <f>IFERROR(VLOOKUP(E478,'LEAID Match'!$A$2:$B$168,2,FALSE),"")</f>
        <v/>
      </c>
    </row>
    <row r="479" spans="1:10">
      <c r="A479" s="27">
        <v>2018</v>
      </c>
      <c r="B479" t="s">
        <v>1429</v>
      </c>
      <c r="C479" t="s">
        <v>1431</v>
      </c>
      <c r="D479" t="s">
        <v>1433</v>
      </c>
      <c r="E479" t="s">
        <v>552</v>
      </c>
      <c r="F479" s="9" t="s">
        <v>552</v>
      </c>
      <c r="G479" s="18">
        <v>111249</v>
      </c>
      <c r="H479">
        <v>0</v>
      </c>
      <c r="I479" s="29">
        <f t="shared" si="7"/>
        <v>111249</v>
      </c>
      <c r="J479" t="str">
        <f>IFERROR(VLOOKUP(E479,'LEAID Match'!$A$2:$B$168,2,FALSE),"")</f>
        <v/>
      </c>
    </row>
    <row r="480" spans="1:10">
      <c r="A480">
        <v>2019</v>
      </c>
      <c r="B480" t="s">
        <v>1429</v>
      </c>
      <c r="C480" t="s">
        <v>1431</v>
      </c>
      <c r="D480" t="s">
        <v>1433</v>
      </c>
      <c r="E480" t="s">
        <v>552</v>
      </c>
      <c r="F480" s="9" t="s">
        <v>552</v>
      </c>
      <c r="G480" s="18">
        <v>100555</v>
      </c>
      <c r="H480">
        <v>0</v>
      </c>
      <c r="I480" s="29">
        <f t="shared" si="7"/>
        <v>100555</v>
      </c>
      <c r="J480" t="str">
        <f>IFERROR(VLOOKUP(E480,'LEAID Match'!$A$2:$B$168,2,FALSE),"")</f>
        <v/>
      </c>
    </row>
    <row r="481" spans="1:10">
      <c r="A481">
        <v>2015</v>
      </c>
      <c r="B481" t="s">
        <v>1429</v>
      </c>
      <c r="C481" t="s">
        <v>1431</v>
      </c>
      <c r="D481" t="s">
        <v>1433</v>
      </c>
      <c r="E481" t="s">
        <v>30</v>
      </c>
      <c r="F481" s="9" t="s">
        <v>1013</v>
      </c>
      <c r="G481" s="18">
        <v>215788.92</v>
      </c>
      <c r="H481">
        <v>0</v>
      </c>
      <c r="I481" s="29">
        <f t="shared" si="7"/>
        <v>215788.92</v>
      </c>
      <c r="J481">
        <f>IFERROR(VLOOKUP(E481,'LEAID Match'!$A$2:$B$168,2,FALSE),"")</f>
        <v>3302310</v>
      </c>
    </row>
    <row r="482" spans="1:10">
      <c r="A482">
        <v>2016</v>
      </c>
      <c r="B482" t="s">
        <v>1429</v>
      </c>
      <c r="C482" t="s">
        <v>1431</v>
      </c>
      <c r="D482" t="s">
        <v>1433</v>
      </c>
      <c r="E482" t="s">
        <v>30</v>
      </c>
      <c r="F482" t="s">
        <v>553</v>
      </c>
      <c r="G482" s="28">
        <v>230692</v>
      </c>
      <c r="H482">
        <v>0</v>
      </c>
      <c r="I482" s="29">
        <f t="shared" si="7"/>
        <v>230692</v>
      </c>
      <c r="J482">
        <f>IFERROR(VLOOKUP(E482,'LEAID Match'!$A$2:$B$168,2,FALSE),"")</f>
        <v>3302310</v>
      </c>
    </row>
    <row r="483" spans="1:10">
      <c r="A483">
        <v>2017</v>
      </c>
      <c r="B483" t="s">
        <v>1429</v>
      </c>
      <c r="C483" t="s">
        <v>1431</v>
      </c>
      <c r="D483" t="s">
        <v>1433</v>
      </c>
      <c r="E483" t="s">
        <v>30</v>
      </c>
      <c r="F483" t="s">
        <v>553</v>
      </c>
      <c r="G483" s="28">
        <v>230158</v>
      </c>
      <c r="H483">
        <v>0</v>
      </c>
      <c r="I483" s="29">
        <f t="shared" si="7"/>
        <v>230158</v>
      </c>
      <c r="J483">
        <f>IFERROR(VLOOKUP(E483,'LEAID Match'!$A$2:$B$168,2,FALSE),"")</f>
        <v>3302310</v>
      </c>
    </row>
    <row r="484" spans="1:10">
      <c r="A484" s="27">
        <v>2018</v>
      </c>
      <c r="B484" t="s">
        <v>1429</v>
      </c>
      <c r="C484" t="s">
        <v>1431</v>
      </c>
      <c r="D484" t="s">
        <v>1433</v>
      </c>
      <c r="E484" t="s">
        <v>30</v>
      </c>
      <c r="F484" s="9" t="s">
        <v>553</v>
      </c>
      <c r="G484" s="18">
        <v>286071</v>
      </c>
      <c r="H484">
        <v>0</v>
      </c>
      <c r="I484" s="29">
        <f t="shared" si="7"/>
        <v>286071</v>
      </c>
      <c r="J484">
        <f>IFERROR(VLOOKUP(E484,'LEAID Match'!$A$2:$B$168,2,FALSE),"")</f>
        <v>3302310</v>
      </c>
    </row>
    <row r="485" spans="1:10">
      <c r="A485">
        <v>2019</v>
      </c>
      <c r="B485" t="s">
        <v>1429</v>
      </c>
      <c r="C485" t="s">
        <v>1431</v>
      </c>
      <c r="D485" t="s">
        <v>1433</v>
      </c>
      <c r="E485" t="s">
        <v>30</v>
      </c>
      <c r="F485" s="9" t="s">
        <v>553</v>
      </c>
      <c r="G485" s="18">
        <v>283252</v>
      </c>
      <c r="H485">
        <v>0</v>
      </c>
      <c r="I485" s="29">
        <f t="shared" si="7"/>
        <v>283252</v>
      </c>
      <c r="J485">
        <f>IFERROR(VLOOKUP(E485,'LEAID Match'!$A$2:$B$168,2,FALSE),"")</f>
        <v>3302310</v>
      </c>
    </row>
    <row r="486" spans="1:10">
      <c r="A486" s="27">
        <v>2020</v>
      </c>
      <c r="B486" t="s">
        <v>1429</v>
      </c>
      <c r="C486" t="s">
        <v>1431</v>
      </c>
      <c r="D486" t="s">
        <v>1433</v>
      </c>
      <c r="E486" t="s">
        <v>30</v>
      </c>
      <c r="F486" s="9" t="s">
        <v>30</v>
      </c>
      <c r="G486" s="18">
        <v>303555</v>
      </c>
      <c r="H486">
        <v>0</v>
      </c>
      <c r="I486" s="29">
        <f t="shared" si="7"/>
        <v>303555</v>
      </c>
      <c r="J486">
        <f>IFERROR(VLOOKUP(E486,'LEAID Match'!$A$2:$B$168,2,FALSE),"")</f>
        <v>3302310</v>
      </c>
    </row>
    <row r="487" spans="1:10">
      <c r="A487">
        <v>2021</v>
      </c>
      <c r="B487" t="s">
        <v>1429</v>
      </c>
      <c r="C487" t="s">
        <v>1431</v>
      </c>
      <c r="D487" t="s">
        <v>1433</v>
      </c>
      <c r="E487" t="s">
        <v>30</v>
      </c>
      <c r="F487" s="9" t="s">
        <v>30</v>
      </c>
      <c r="G487" s="18">
        <v>301915</v>
      </c>
      <c r="H487">
        <v>0</v>
      </c>
      <c r="I487" s="29">
        <f t="shared" si="7"/>
        <v>301915</v>
      </c>
      <c r="J487">
        <f>IFERROR(VLOOKUP(E487,'LEAID Match'!$A$2:$B$168,2,FALSE),"")</f>
        <v>3302310</v>
      </c>
    </row>
    <row r="488" spans="1:10">
      <c r="A488">
        <v>2022</v>
      </c>
      <c r="B488" t="s">
        <v>1429</v>
      </c>
      <c r="C488" t="s">
        <v>1431</v>
      </c>
      <c r="D488" t="s">
        <v>1433</v>
      </c>
      <c r="E488" t="s">
        <v>30</v>
      </c>
      <c r="F488" s="9" t="s">
        <v>30</v>
      </c>
      <c r="G488" s="18">
        <v>388869</v>
      </c>
      <c r="H488">
        <v>0</v>
      </c>
      <c r="I488" s="29">
        <f t="shared" si="7"/>
        <v>388869</v>
      </c>
      <c r="J488">
        <f>IFERROR(VLOOKUP(E488,'LEAID Match'!$A$2:$B$168,2,FALSE),"")</f>
        <v>3302310</v>
      </c>
    </row>
    <row r="489" spans="1:10">
      <c r="A489">
        <v>2023</v>
      </c>
      <c r="B489" t="s">
        <v>1429</v>
      </c>
      <c r="C489" t="s">
        <v>1431</v>
      </c>
      <c r="D489" t="s">
        <v>1433</v>
      </c>
      <c r="E489" t="s">
        <v>30</v>
      </c>
      <c r="F489" t="s">
        <v>30</v>
      </c>
      <c r="G489" s="28">
        <v>396192</v>
      </c>
      <c r="H489">
        <v>0</v>
      </c>
      <c r="I489" s="29">
        <f t="shared" si="7"/>
        <v>396192</v>
      </c>
      <c r="J489">
        <f>IFERROR(VLOOKUP(E489,'LEAID Match'!$A$2:$B$168,2,FALSE),"")</f>
        <v>3302310</v>
      </c>
    </row>
    <row r="490" spans="1:10">
      <c r="A490">
        <v>2022</v>
      </c>
      <c r="B490" t="s">
        <v>1429</v>
      </c>
      <c r="C490" t="s">
        <v>1431</v>
      </c>
      <c r="D490" t="s">
        <v>1433</v>
      </c>
      <c r="E490" t="s">
        <v>31</v>
      </c>
      <c r="F490" s="9" t="s">
        <v>31</v>
      </c>
      <c r="G490" s="18">
        <v>1345950</v>
      </c>
      <c r="H490">
        <v>0</v>
      </c>
      <c r="I490" s="29">
        <f t="shared" si="7"/>
        <v>1345950</v>
      </c>
      <c r="J490" t="str">
        <f>IFERROR(VLOOKUP(E490,'LEAID Match'!$A$2:$B$168,2,FALSE),"")</f>
        <v/>
      </c>
    </row>
    <row r="491" spans="1:10">
      <c r="A491">
        <v>2023</v>
      </c>
      <c r="B491" t="s">
        <v>1429</v>
      </c>
      <c r="C491" t="s">
        <v>1431</v>
      </c>
      <c r="D491" t="s">
        <v>1433</v>
      </c>
      <c r="E491" t="s">
        <v>31</v>
      </c>
      <c r="F491" t="s">
        <v>31</v>
      </c>
      <c r="G491" s="28">
        <v>1421422</v>
      </c>
      <c r="H491">
        <v>0</v>
      </c>
      <c r="I491" s="29">
        <f t="shared" si="7"/>
        <v>1421422</v>
      </c>
      <c r="J491" t="str">
        <f>IFERROR(VLOOKUP(E491,'LEAID Match'!$A$2:$B$168,2,FALSE),"")</f>
        <v/>
      </c>
    </row>
    <row r="492" spans="1:10">
      <c r="A492" s="27">
        <v>2020</v>
      </c>
      <c r="B492" t="s">
        <v>1429</v>
      </c>
      <c r="C492" t="s">
        <v>1431</v>
      </c>
      <c r="D492" t="s">
        <v>1433</v>
      </c>
      <c r="E492" t="s">
        <v>32</v>
      </c>
      <c r="F492" s="9" t="s">
        <v>32</v>
      </c>
      <c r="G492" s="18">
        <v>1017901</v>
      </c>
      <c r="H492">
        <v>0</v>
      </c>
      <c r="I492" s="29">
        <f t="shared" si="7"/>
        <v>1017901</v>
      </c>
      <c r="J492" t="str">
        <f>IFERROR(VLOOKUP(E492,'LEAID Match'!$A$2:$B$168,2,FALSE),"")</f>
        <v/>
      </c>
    </row>
    <row r="493" spans="1:10">
      <c r="A493">
        <v>2021</v>
      </c>
      <c r="B493" t="s">
        <v>1429</v>
      </c>
      <c r="C493" t="s">
        <v>1431</v>
      </c>
      <c r="D493" t="s">
        <v>1433</v>
      </c>
      <c r="E493" t="s">
        <v>32</v>
      </c>
      <c r="F493" s="9" t="s">
        <v>32</v>
      </c>
      <c r="G493" s="18">
        <v>1048187</v>
      </c>
      <c r="H493">
        <v>0</v>
      </c>
      <c r="I493" s="29">
        <f t="shared" si="7"/>
        <v>1048187</v>
      </c>
      <c r="J493" t="str">
        <f>IFERROR(VLOOKUP(E493,'LEAID Match'!$A$2:$B$168,2,FALSE),"")</f>
        <v/>
      </c>
    </row>
    <row r="494" spans="1:10">
      <c r="A494">
        <v>2022</v>
      </c>
      <c r="B494" t="s">
        <v>1429</v>
      </c>
      <c r="C494" t="s">
        <v>1431</v>
      </c>
      <c r="D494" t="s">
        <v>1433</v>
      </c>
      <c r="E494" t="s">
        <v>32</v>
      </c>
      <c r="F494" s="9" t="s">
        <v>32</v>
      </c>
      <c r="G494" s="18">
        <v>1311655</v>
      </c>
      <c r="H494">
        <v>0</v>
      </c>
      <c r="I494" s="29">
        <f t="shared" si="7"/>
        <v>1311655</v>
      </c>
      <c r="J494" t="str">
        <f>IFERROR(VLOOKUP(E494,'LEAID Match'!$A$2:$B$168,2,FALSE),"")</f>
        <v/>
      </c>
    </row>
    <row r="495" spans="1:10">
      <c r="A495">
        <v>2023</v>
      </c>
      <c r="B495" t="s">
        <v>1429</v>
      </c>
      <c r="C495" t="s">
        <v>1431</v>
      </c>
      <c r="D495" t="s">
        <v>1433</v>
      </c>
      <c r="E495" t="s">
        <v>32</v>
      </c>
      <c r="F495" t="s">
        <v>32</v>
      </c>
      <c r="G495" s="28">
        <v>1318196</v>
      </c>
      <c r="H495">
        <v>0</v>
      </c>
      <c r="I495" s="29">
        <f t="shared" si="7"/>
        <v>1318196</v>
      </c>
      <c r="J495" t="str">
        <f>IFERROR(VLOOKUP(E495,'LEAID Match'!$A$2:$B$168,2,FALSE),"")</f>
        <v/>
      </c>
    </row>
    <row r="496" spans="1:10">
      <c r="A496" s="27">
        <v>2020</v>
      </c>
      <c r="B496" t="s">
        <v>1429</v>
      </c>
      <c r="C496" t="s">
        <v>1431</v>
      </c>
      <c r="D496" t="s">
        <v>1433</v>
      </c>
      <c r="E496" t="s">
        <v>33</v>
      </c>
      <c r="F496" s="9" t="s">
        <v>33</v>
      </c>
      <c r="G496" s="18">
        <v>5616819</v>
      </c>
      <c r="H496">
        <v>0</v>
      </c>
      <c r="I496" s="29">
        <f t="shared" si="7"/>
        <v>5616819</v>
      </c>
      <c r="J496" t="str">
        <f>IFERROR(VLOOKUP(E496,'LEAID Match'!$A$2:$B$168,2,FALSE),"")</f>
        <v/>
      </c>
    </row>
    <row r="497" spans="1:10">
      <c r="A497">
        <v>2021</v>
      </c>
      <c r="B497" t="s">
        <v>1429</v>
      </c>
      <c r="C497" t="s">
        <v>1431</v>
      </c>
      <c r="D497" t="s">
        <v>1433</v>
      </c>
      <c r="E497" t="s">
        <v>33</v>
      </c>
      <c r="F497" s="9" t="s">
        <v>33</v>
      </c>
      <c r="G497" s="18">
        <v>6100373</v>
      </c>
      <c r="H497">
        <v>0</v>
      </c>
      <c r="I497" s="29">
        <f t="shared" si="7"/>
        <v>6100373</v>
      </c>
      <c r="J497" t="str">
        <f>IFERROR(VLOOKUP(E497,'LEAID Match'!$A$2:$B$168,2,FALSE),"")</f>
        <v/>
      </c>
    </row>
    <row r="498" spans="1:10">
      <c r="A498">
        <v>2022</v>
      </c>
      <c r="B498" t="s">
        <v>1429</v>
      </c>
      <c r="C498" t="s">
        <v>1431</v>
      </c>
      <c r="D498" t="s">
        <v>1433</v>
      </c>
      <c r="E498" t="s">
        <v>33</v>
      </c>
      <c r="F498" s="9" t="s">
        <v>33</v>
      </c>
      <c r="G498" s="18">
        <v>7466206</v>
      </c>
      <c r="H498">
        <v>0</v>
      </c>
      <c r="I498" s="29">
        <f t="shared" si="7"/>
        <v>7466206</v>
      </c>
      <c r="J498" t="str">
        <f>IFERROR(VLOOKUP(E498,'LEAID Match'!$A$2:$B$168,2,FALSE),"")</f>
        <v/>
      </c>
    </row>
    <row r="499" spans="1:10">
      <c r="A499">
        <v>2023</v>
      </c>
      <c r="B499" t="s">
        <v>1429</v>
      </c>
      <c r="C499" t="s">
        <v>1431</v>
      </c>
      <c r="D499" t="s">
        <v>1433</v>
      </c>
      <c r="E499" t="s">
        <v>33</v>
      </c>
      <c r="F499" t="s">
        <v>33</v>
      </c>
      <c r="G499" s="28">
        <v>7749151</v>
      </c>
      <c r="H499">
        <v>0</v>
      </c>
      <c r="I499" s="29">
        <f t="shared" si="7"/>
        <v>7749151</v>
      </c>
      <c r="J499" t="str">
        <f>IFERROR(VLOOKUP(E499,'LEAID Match'!$A$2:$B$168,2,FALSE),"")</f>
        <v/>
      </c>
    </row>
    <row r="500" spans="1:10">
      <c r="A500" s="27">
        <v>2020</v>
      </c>
      <c r="B500" t="s">
        <v>1429</v>
      </c>
      <c r="C500" t="s">
        <v>1431</v>
      </c>
      <c r="D500" t="s">
        <v>1433</v>
      </c>
      <c r="E500" t="s">
        <v>34</v>
      </c>
      <c r="F500" s="9" t="s">
        <v>34</v>
      </c>
      <c r="G500" s="18">
        <v>7208430</v>
      </c>
      <c r="H500">
        <v>0</v>
      </c>
      <c r="I500" s="29">
        <f t="shared" si="7"/>
        <v>7208430</v>
      </c>
      <c r="J500" t="str">
        <f>IFERROR(VLOOKUP(E500,'LEAID Match'!$A$2:$B$168,2,FALSE),"")</f>
        <v/>
      </c>
    </row>
    <row r="501" spans="1:10">
      <c r="A501">
        <v>2021</v>
      </c>
      <c r="B501" t="s">
        <v>1429</v>
      </c>
      <c r="C501" t="s">
        <v>1431</v>
      </c>
      <c r="D501" t="s">
        <v>1433</v>
      </c>
      <c r="E501" t="s">
        <v>34</v>
      </c>
      <c r="F501" s="9" t="s">
        <v>34</v>
      </c>
      <c r="G501" s="18">
        <v>7520055</v>
      </c>
      <c r="H501">
        <v>0</v>
      </c>
      <c r="I501" s="29">
        <f t="shared" si="7"/>
        <v>7520055</v>
      </c>
      <c r="J501" t="str">
        <f>IFERROR(VLOOKUP(E501,'LEAID Match'!$A$2:$B$168,2,FALSE),"")</f>
        <v/>
      </c>
    </row>
    <row r="502" spans="1:10">
      <c r="A502">
        <v>2022</v>
      </c>
      <c r="B502" t="s">
        <v>1429</v>
      </c>
      <c r="C502" t="s">
        <v>1431</v>
      </c>
      <c r="D502" t="s">
        <v>1433</v>
      </c>
      <c r="E502" t="s">
        <v>34</v>
      </c>
      <c r="F502" s="9" t="s">
        <v>34</v>
      </c>
      <c r="G502" s="18">
        <v>9258499</v>
      </c>
      <c r="H502">
        <v>0</v>
      </c>
      <c r="I502" s="29">
        <f t="shared" si="7"/>
        <v>9258499</v>
      </c>
      <c r="J502" t="str">
        <f>IFERROR(VLOOKUP(E502,'LEAID Match'!$A$2:$B$168,2,FALSE),"")</f>
        <v/>
      </c>
    </row>
    <row r="503" spans="1:10">
      <c r="A503">
        <v>2023</v>
      </c>
      <c r="B503" t="s">
        <v>1429</v>
      </c>
      <c r="C503" t="s">
        <v>1431</v>
      </c>
      <c r="D503" t="s">
        <v>1433</v>
      </c>
      <c r="E503" t="s">
        <v>34</v>
      </c>
      <c r="F503" t="s">
        <v>34</v>
      </c>
      <c r="G503" s="28">
        <v>9855624</v>
      </c>
      <c r="H503">
        <v>0</v>
      </c>
      <c r="I503" s="29">
        <f t="shared" si="7"/>
        <v>9855624</v>
      </c>
      <c r="J503" t="str">
        <f>IFERROR(VLOOKUP(E503,'LEAID Match'!$A$2:$B$168,2,FALSE),"")</f>
        <v/>
      </c>
    </row>
    <row r="504" spans="1:10">
      <c r="A504" s="27">
        <v>2020</v>
      </c>
      <c r="B504" t="s">
        <v>1429</v>
      </c>
      <c r="C504" t="s">
        <v>1431</v>
      </c>
      <c r="D504" t="s">
        <v>1433</v>
      </c>
      <c r="E504" t="s">
        <v>35</v>
      </c>
      <c r="F504" s="9" t="s">
        <v>35</v>
      </c>
      <c r="G504" s="18">
        <v>877083</v>
      </c>
      <c r="H504">
        <v>0</v>
      </c>
      <c r="I504" s="29">
        <f t="shared" si="7"/>
        <v>877083</v>
      </c>
      <c r="J504" t="str">
        <f>IFERROR(VLOOKUP(E504,'LEAID Match'!$A$2:$B$168,2,FALSE),"")</f>
        <v/>
      </c>
    </row>
    <row r="505" spans="1:10">
      <c r="A505">
        <v>2021</v>
      </c>
      <c r="B505" t="s">
        <v>1429</v>
      </c>
      <c r="C505" t="s">
        <v>1431</v>
      </c>
      <c r="D505" t="s">
        <v>1433</v>
      </c>
      <c r="E505" t="s">
        <v>35</v>
      </c>
      <c r="F505" s="9" t="s">
        <v>35</v>
      </c>
      <c r="G505" s="18">
        <v>936214</v>
      </c>
      <c r="H505">
        <v>0</v>
      </c>
      <c r="I505" s="29">
        <f t="shared" si="7"/>
        <v>936214</v>
      </c>
      <c r="J505" t="str">
        <f>IFERROR(VLOOKUP(E505,'LEAID Match'!$A$2:$B$168,2,FALSE),"")</f>
        <v/>
      </c>
    </row>
    <row r="506" spans="1:10">
      <c r="A506">
        <v>2022</v>
      </c>
      <c r="B506" t="s">
        <v>1429</v>
      </c>
      <c r="C506" t="s">
        <v>1431</v>
      </c>
      <c r="D506" t="s">
        <v>1433</v>
      </c>
      <c r="E506" t="s">
        <v>35</v>
      </c>
      <c r="F506" s="9" t="s">
        <v>35</v>
      </c>
      <c r="G506" s="18">
        <v>1163614</v>
      </c>
      <c r="H506">
        <v>0</v>
      </c>
      <c r="I506" s="29">
        <f t="shared" si="7"/>
        <v>1163614</v>
      </c>
      <c r="J506" t="str">
        <f>IFERROR(VLOOKUP(E506,'LEAID Match'!$A$2:$B$168,2,FALSE),"")</f>
        <v/>
      </c>
    </row>
    <row r="507" spans="1:10">
      <c r="A507">
        <v>2023</v>
      </c>
      <c r="B507" t="s">
        <v>1429</v>
      </c>
      <c r="C507" t="s">
        <v>1431</v>
      </c>
      <c r="D507" t="s">
        <v>1433</v>
      </c>
      <c r="E507" t="s">
        <v>35</v>
      </c>
      <c r="F507" t="s">
        <v>35</v>
      </c>
      <c r="G507" s="28">
        <v>1228472</v>
      </c>
      <c r="H507">
        <v>0</v>
      </c>
      <c r="I507" s="29">
        <f t="shared" si="7"/>
        <v>1228472</v>
      </c>
      <c r="J507" t="str">
        <f>IFERROR(VLOOKUP(E507,'LEAID Match'!$A$2:$B$168,2,FALSE),"")</f>
        <v/>
      </c>
    </row>
    <row r="508" spans="1:10">
      <c r="A508" s="27">
        <v>2020</v>
      </c>
      <c r="B508" t="s">
        <v>1429</v>
      </c>
      <c r="C508" t="s">
        <v>1431</v>
      </c>
      <c r="D508" t="s">
        <v>1433</v>
      </c>
      <c r="E508" t="s">
        <v>36</v>
      </c>
      <c r="F508" s="9" t="s">
        <v>36</v>
      </c>
      <c r="G508" s="18">
        <v>3049124</v>
      </c>
      <c r="H508">
        <v>0</v>
      </c>
      <c r="I508" s="29">
        <f t="shared" si="7"/>
        <v>3049124</v>
      </c>
      <c r="J508" t="str">
        <f>IFERROR(VLOOKUP(E508,'LEAID Match'!$A$2:$B$168,2,FALSE),"")</f>
        <v/>
      </c>
    </row>
    <row r="509" spans="1:10">
      <c r="A509">
        <v>2021</v>
      </c>
      <c r="B509" t="s">
        <v>1429</v>
      </c>
      <c r="C509" t="s">
        <v>1431</v>
      </c>
      <c r="D509" t="s">
        <v>1433</v>
      </c>
      <c r="E509" t="s">
        <v>36</v>
      </c>
      <c r="F509" s="9" t="s">
        <v>36</v>
      </c>
      <c r="G509" s="18">
        <v>3143136</v>
      </c>
      <c r="H509">
        <v>0</v>
      </c>
      <c r="I509" s="29">
        <f t="shared" si="7"/>
        <v>3143136</v>
      </c>
      <c r="J509" t="str">
        <f>IFERROR(VLOOKUP(E509,'LEAID Match'!$A$2:$B$168,2,FALSE),"")</f>
        <v/>
      </c>
    </row>
    <row r="510" spans="1:10">
      <c r="A510">
        <v>2022</v>
      </c>
      <c r="B510" t="s">
        <v>1429</v>
      </c>
      <c r="C510" t="s">
        <v>1431</v>
      </c>
      <c r="D510" t="s">
        <v>1433</v>
      </c>
      <c r="E510" t="s">
        <v>36</v>
      </c>
      <c r="F510" s="9" t="s">
        <v>36</v>
      </c>
      <c r="G510" s="18">
        <v>4023810</v>
      </c>
      <c r="H510">
        <v>0</v>
      </c>
      <c r="I510" s="29">
        <f t="shared" si="7"/>
        <v>4023810</v>
      </c>
      <c r="J510" t="str">
        <f>IFERROR(VLOOKUP(E510,'LEAID Match'!$A$2:$B$168,2,FALSE),"")</f>
        <v/>
      </c>
    </row>
    <row r="511" spans="1:10">
      <c r="A511">
        <v>2023</v>
      </c>
      <c r="B511" t="s">
        <v>1429</v>
      </c>
      <c r="C511" t="s">
        <v>1431</v>
      </c>
      <c r="D511" t="s">
        <v>1433</v>
      </c>
      <c r="E511" t="s">
        <v>36</v>
      </c>
      <c r="F511" t="s">
        <v>36</v>
      </c>
      <c r="G511" s="28">
        <v>4156061</v>
      </c>
      <c r="H511">
        <v>0</v>
      </c>
      <c r="I511" s="29">
        <f t="shared" si="7"/>
        <v>4156061</v>
      </c>
      <c r="J511" t="str">
        <f>IFERROR(VLOOKUP(E511,'LEAID Match'!$A$2:$B$168,2,FALSE),"")</f>
        <v/>
      </c>
    </row>
    <row r="512" spans="1:10">
      <c r="A512" s="27">
        <v>2020</v>
      </c>
      <c r="B512" t="s">
        <v>1429</v>
      </c>
      <c r="C512" t="s">
        <v>1431</v>
      </c>
      <c r="D512" t="s">
        <v>1433</v>
      </c>
      <c r="E512" t="s">
        <v>37</v>
      </c>
      <c r="F512" s="9" t="s">
        <v>37</v>
      </c>
      <c r="G512" s="18">
        <v>2020953</v>
      </c>
      <c r="H512">
        <v>0</v>
      </c>
      <c r="I512" s="29">
        <f t="shared" si="7"/>
        <v>2020953</v>
      </c>
      <c r="J512" t="str">
        <f>IFERROR(VLOOKUP(E512,'LEAID Match'!$A$2:$B$168,2,FALSE),"")</f>
        <v/>
      </c>
    </row>
    <row r="513" spans="1:10">
      <c r="A513">
        <v>2021</v>
      </c>
      <c r="B513" t="s">
        <v>1429</v>
      </c>
      <c r="C513" t="s">
        <v>1431</v>
      </c>
      <c r="D513" t="s">
        <v>1433</v>
      </c>
      <c r="E513" t="s">
        <v>37</v>
      </c>
      <c r="F513" s="9" t="s">
        <v>37</v>
      </c>
      <c r="G513" s="18">
        <v>2219525</v>
      </c>
      <c r="H513">
        <v>0</v>
      </c>
      <c r="I513" s="29">
        <f t="shared" si="7"/>
        <v>2219525</v>
      </c>
      <c r="J513" t="str">
        <f>IFERROR(VLOOKUP(E513,'LEAID Match'!$A$2:$B$168,2,FALSE),"")</f>
        <v/>
      </c>
    </row>
    <row r="514" spans="1:10">
      <c r="A514">
        <v>2022</v>
      </c>
      <c r="B514" t="s">
        <v>1429</v>
      </c>
      <c r="C514" t="s">
        <v>1431</v>
      </c>
      <c r="D514" t="s">
        <v>1433</v>
      </c>
      <c r="E514" t="s">
        <v>37</v>
      </c>
      <c r="F514" s="9" t="s">
        <v>37</v>
      </c>
      <c r="G514" s="18">
        <v>2708689</v>
      </c>
      <c r="H514">
        <v>0</v>
      </c>
      <c r="I514" s="29">
        <f t="shared" si="7"/>
        <v>2708689</v>
      </c>
      <c r="J514" t="str">
        <f>IFERROR(VLOOKUP(E514,'LEAID Match'!$A$2:$B$168,2,FALSE),"")</f>
        <v/>
      </c>
    </row>
    <row r="515" spans="1:10">
      <c r="A515">
        <v>2023</v>
      </c>
      <c r="B515" t="s">
        <v>1429</v>
      </c>
      <c r="C515" t="s">
        <v>1431</v>
      </c>
      <c r="D515" t="s">
        <v>1433</v>
      </c>
      <c r="E515" t="s">
        <v>37</v>
      </c>
      <c r="F515" t="s">
        <v>37</v>
      </c>
      <c r="G515" s="28">
        <v>2957030</v>
      </c>
      <c r="H515">
        <v>0</v>
      </c>
      <c r="I515" s="29">
        <f t="shared" ref="I515:I578" si="8">SUM(G515:H515)</f>
        <v>2957030</v>
      </c>
      <c r="J515" t="str">
        <f>IFERROR(VLOOKUP(E515,'LEAID Match'!$A$2:$B$168,2,FALSE),"")</f>
        <v/>
      </c>
    </row>
    <row r="516" spans="1:10">
      <c r="A516" s="27">
        <v>2020</v>
      </c>
      <c r="B516" t="s">
        <v>1429</v>
      </c>
      <c r="C516" t="s">
        <v>1431</v>
      </c>
      <c r="D516" t="s">
        <v>1433</v>
      </c>
      <c r="E516" t="s">
        <v>38</v>
      </c>
      <c r="F516" s="9" t="s">
        <v>38</v>
      </c>
      <c r="G516" s="18">
        <v>2185777</v>
      </c>
      <c r="H516">
        <v>0</v>
      </c>
      <c r="I516" s="29">
        <f t="shared" si="8"/>
        <v>2185777</v>
      </c>
      <c r="J516" t="str">
        <f>IFERROR(VLOOKUP(E516,'LEAID Match'!$A$2:$B$168,2,FALSE),"")</f>
        <v/>
      </c>
    </row>
    <row r="517" spans="1:10">
      <c r="A517">
        <v>2021</v>
      </c>
      <c r="B517" t="s">
        <v>1429</v>
      </c>
      <c r="C517" t="s">
        <v>1431</v>
      </c>
      <c r="D517" t="s">
        <v>1433</v>
      </c>
      <c r="E517" t="s">
        <v>38</v>
      </c>
      <c r="F517" s="9" t="s">
        <v>38</v>
      </c>
      <c r="G517" s="18">
        <v>2341483</v>
      </c>
      <c r="H517">
        <v>0</v>
      </c>
      <c r="I517" s="29">
        <f t="shared" si="8"/>
        <v>2341483</v>
      </c>
      <c r="J517" t="str">
        <f>IFERROR(VLOOKUP(E517,'LEAID Match'!$A$2:$B$168,2,FALSE),"")</f>
        <v/>
      </c>
    </row>
    <row r="518" spans="1:10">
      <c r="A518">
        <v>2022</v>
      </c>
      <c r="B518" t="s">
        <v>1429</v>
      </c>
      <c r="C518" t="s">
        <v>1431</v>
      </c>
      <c r="D518" t="s">
        <v>1433</v>
      </c>
      <c r="E518" t="s">
        <v>38</v>
      </c>
      <c r="F518" s="9" t="s">
        <v>38</v>
      </c>
      <c r="G518" s="18">
        <v>2906407</v>
      </c>
      <c r="H518">
        <v>0</v>
      </c>
      <c r="I518" s="29">
        <f t="shared" si="8"/>
        <v>2906407</v>
      </c>
      <c r="J518" t="str">
        <f>IFERROR(VLOOKUP(E518,'LEAID Match'!$A$2:$B$168,2,FALSE),"")</f>
        <v/>
      </c>
    </row>
    <row r="519" spans="1:10">
      <c r="A519">
        <v>2023</v>
      </c>
      <c r="B519" t="s">
        <v>1429</v>
      </c>
      <c r="C519" t="s">
        <v>1431</v>
      </c>
      <c r="D519" t="s">
        <v>1433</v>
      </c>
      <c r="E519" t="s">
        <v>38</v>
      </c>
      <c r="F519" t="s">
        <v>38</v>
      </c>
      <c r="G519" s="28">
        <v>3172748</v>
      </c>
      <c r="H519">
        <v>0</v>
      </c>
      <c r="I519" s="29">
        <f t="shared" si="8"/>
        <v>3172748</v>
      </c>
      <c r="J519" t="str">
        <f>IFERROR(VLOOKUP(E519,'LEAID Match'!$A$2:$B$168,2,FALSE),"")</f>
        <v/>
      </c>
    </row>
    <row r="520" spans="1:10">
      <c r="A520" s="27">
        <v>2020</v>
      </c>
      <c r="B520" t="s">
        <v>1429</v>
      </c>
      <c r="C520" t="s">
        <v>1431</v>
      </c>
      <c r="D520" t="s">
        <v>1433</v>
      </c>
      <c r="E520" t="s">
        <v>39</v>
      </c>
      <c r="F520" s="9" t="s">
        <v>39</v>
      </c>
      <c r="G520" s="18">
        <v>10793286</v>
      </c>
      <c r="H520">
        <v>0</v>
      </c>
      <c r="I520" s="29">
        <f t="shared" si="8"/>
        <v>10793286</v>
      </c>
      <c r="J520" t="str">
        <f>IFERROR(VLOOKUP(E520,'LEAID Match'!$A$2:$B$168,2,FALSE),"")</f>
        <v/>
      </c>
    </row>
    <row r="521" spans="1:10">
      <c r="A521">
        <v>2021</v>
      </c>
      <c r="B521" t="s">
        <v>1429</v>
      </c>
      <c r="C521" t="s">
        <v>1431</v>
      </c>
      <c r="D521" t="s">
        <v>1433</v>
      </c>
      <c r="E521" t="s">
        <v>39</v>
      </c>
      <c r="F521" s="9" t="s">
        <v>39</v>
      </c>
      <c r="G521" s="18">
        <v>11141213</v>
      </c>
      <c r="H521">
        <v>0</v>
      </c>
      <c r="I521" s="29">
        <f t="shared" si="8"/>
        <v>11141213</v>
      </c>
      <c r="J521" t="str">
        <f>IFERROR(VLOOKUP(E521,'LEAID Match'!$A$2:$B$168,2,FALSE),"")</f>
        <v/>
      </c>
    </row>
    <row r="522" spans="1:10">
      <c r="A522">
        <v>2022</v>
      </c>
      <c r="B522" t="s">
        <v>1429</v>
      </c>
      <c r="C522" t="s">
        <v>1431</v>
      </c>
      <c r="D522" t="s">
        <v>1433</v>
      </c>
      <c r="E522" t="s">
        <v>39</v>
      </c>
      <c r="F522" s="9" t="s">
        <v>39</v>
      </c>
      <c r="G522" s="18">
        <v>13481732</v>
      </c>
      <c r="H522">
        <v>0</v>
      </c>
      <c r="I522" s="29">
        <f t="shared" si="8"/>
        <v>13481732</v>
      </c>
      <c r="J522" t="str">
        <f>IFERROR(VLOOKUP(E522,'LEAID Match'!$A$2:$B$168,2,FALSE),"")</f>
        <v/>
      </c>
    </row>
    <row r="523" spans="1:10">
      <c r="A523">
        <v>2023</v>
      </c>
      <c r="B523" t="s">
        <v>1429</v>
      </c>
      <c r="C523" t="s">
        <v>1431</v>
      </c>
      <c r="D523" t="s">
        <v>1433</v>
      </c>
      <c r="E523" t="s">
        <v>39</v>
      </c>
      <c r="F523" t="s">
        <v>39</v>
      </c>
      <c r="G523" s="28">
        <v>13903864</v>
      </c>
      <c r="H523">
        <v>0</v>
      </c>
      <c r="I523" s="29">
        <f t="shared" si="8"/>
        <v>13903864</v>
      </c>
      <c r="J523" t="str">
        <f>IFERROR(VLOOKUP(E523,'LEAID Match'!$A$2:$B$168,2,FALSE),"")</f>
        <v/>
      </c>
    </row>
    <row r="524" spans="1:10">
      <c r="A524" s="27">
        <v>2020</v>
      </c>
      <c r="B524" t="s">
        <v>1429</v>
      </c>
      <c r="C524" t="s">
        <v>1431</v>
      </c>
      <c r="D524" t="s">
        <v>1433</v>
      </c>
      <c r="E524" t="s">
        <v>40</v>
      </c>
      <c r="F524" s="9" t="s">
        <v>40</v>
      </c>
      <c r="G524" s="18">
        <v>10238782</v>
      </c>
      <c r="H524">
        <v>0</v>
      </c>
      <c r="I524" s="29">
        <f t="shared" si="8"/>
        <v>10238782</v>
      </c>
      <c r="J524" t="str">
        <f>IFERROR(VLOOKUP(E524,'LEAID Match'!$A$2:$B$168,2,FALSE),"")</f>
        <v/>
      </c>
    </row>
    <row r="525" spans="1:10">
      <c r="A525">
        <v>2021</v>
      </c>
      <c r="B525" t="s">
        <v>1429</v>
      </c>
      <c r="C525" t="s">
        <v>1431</v>
      </c>
      <c r="D525" t="s">
        <v>1433</v>
      </c>
      <c r="E525" t="s">
        <v>40</v>
      </c>
      <c r="F525" s="9" t="s">
        <v>40</v>
      </c>
      <c r="G525" s="18">
        <v>11159733</v>
      </c>
      <c r="H525">
        <v>0</v>
      </c>
      <c r="I525" s="29">
        <f t="shared" si="8"/>
        <v>11159733</v>
      </c>
      <c r="J525" t="str">
        <f>IFERROR(VLOOKUP(E525,'LEAID Match'!$A$2:$B$168,2,FALSE),"")</f>
        <v/>
      </c>
    </row>
    <row r="526" spans="1:10">
      <c r="A526">
        <v>2022</v>
      </c>
      <c r="B526" t="s">
        <v>1429</v>
      </c>
      <c r="C526" t="s">
        <v>1431</v>
      </c>
      <c r="D526" t="s">
        <v>1433</v>
      </c>
      <c r="E526" t="s">
        <v>40</v>
      </c>
      <c r="F526" s="9" t="s">
        <v>40</v>
      </c>
      <c r="G526" s="18">
        <v>13643300</v>
      </c>
      <c r="H526">
        <v>0</v>
      </c>
      <c r="I526" s="29">
        <f t="shared" si="8"/>
        <v>13643300</v>
      </c>
      <c r="J526" t="str">
        <f>IFERROR(VLOOKUP(E526,'LEAID Match'!$A$2:$B$168,2,FALSE),"")</f>
        <v/>
      </c>
    </row>
    <row r="527" spans="1:10">
      <c r="A527">
        <v>2023</v>
      </c>
      <c r="B527" t="s">
        <v>1429</v>
      </c>
      <c r="C527" t="s">
        <v>1431</v>
      </c>
      <c r="D527" t="s">
        <v>1433</v>
      </c>
      <c r="E527" t="s">
        <v>40</v>
      </c>
      <c r="F527" t="s">
        <v>40</v>
      </c>
      <c r="G527" s="28">
        <v>13675030</v>
      </c>
      <c r="H527">
        <v>0</v>
      </c>
      <c r="I527" s="29">
        <f t="shared" si="8"/>
        <v>13675030</v>
      </c>
      <c r="J527" t="str">
        <f>IFERROR(VLOOKUP(E527,'LEAID Match'!$A$2:$B$168,2,FALSE),"")</f>
        <v/>
      </c>
    </row>
    <row r="528" spans="1:10">
      <c r="A528" s="27">
        <v>2020</v>
      </c>
      <c r="B528" t="s">
        <v>1429</v>
      </c>
      <c r="C528" t="s">
        <v>1431</v>
      </c>
      <c r="D528" t="s">
        <v>1433</v>
      </c>
      <c r="E528" t="s">
        <v>41</v>
      </c>
      <c r="F528" s="9" t="s">
        <v>41</v>
      </c>
      <c r="G528" s="18">
        <v>4465960</v>
      </c>
      <c r="H528">
        <v>0</v>
      </c>
      <c r="I528" s="29">
        <f t="shared" si="8"/>
        <v>4465960</v>
      </c>
      <c r="J528" t="str">
        <f>IFERROR(VLOOKUP(E528,'LEAID Match'!$A$2:$B$168,2,FALSE),"")</f>
        <v/>
      </c>
    </row>
    <row r="529" spans="1:10">
      <c r="A529">
        <v>2021</v>
      </c>
      <c r="B529" t="s">
        <v>1429</v>
      </c>
      <c r="C529" t="s">
        <v>1431</v>
      </c>
      <c r="D529" t="s">
        <v>1433</v>
      </c>
      <c r="E529" t="s">
        <v>41</v>
      </c>
      <c r="F529" s="9" t="s">
        <v>41</v>
      </c>
      <c r="G529" s="18">
        <v>4719503</v>
      </c>
      <c r="H529">
        <v>0</v>
      </c>
      <c r="I529" s="29">
        <f t="shared" si="8"/>
        <v>4719503</v>
      </c>
      <c r="J529" t="str">
        <f>IFERROR(VLOOKUP(E529,'LEAID Match'!$A$2:$B$168,2,FALSE),"")</f>
        <v/>
      </c>
    </row>
    <row r="530" spans="1:10">
      <c r="A530">
        <v>2022</v>
      </c>
      <c r="B530" t="s">
        <v>1429</v>
      </c>
      <c r="C530" t="s">
        <v>1431</v>
      </c>
      <c r="D530" t="s">
        <v>1433</v>
      </c>
      <c r="E530" t="s">
        <v>41</v>
      </c>
      <c r="F530" s="9" t="s">
        <v>41</v>
      </c>
      <c r="G530" s="18">
        <v>5990893</v>
      </c>
      <c r="H530">
        <v>0</v>
      </c>
      <c r="I530" s="29">
        <f t="shared" si="8"/>
        <v>5990893</v>
      </c>
      <c r="J530" t="str">
        <f>IFERROR(VLOOKUP(E530,'LEAID Match'!$A$2:$B$168,2,FALSE),"")</f>
        <v/>
      </c>
    </row>
    <row r="531" spans="1:10">
      <c r="A531">
        <v>2023</v>
      </c>
      <c r="B531" t="s">
        <v>1429</v>
      </c>
      <c r="C531" t="s">
        <v>1431</v>
      </c>
      <c r="D531" t="s">
        <v>1433</v>
      </c>
      <c r="E531" t="s">
        <v>41</v>
      </c>
      <c r="F531" t="s">
        <v>41</v>
      </c>
      <c r="G531" s="28">
        <v>6089994</v>
      </c>
      <c r="H531">
        <v>0</v>
      </c>
      <c r="I531" s="29">
        <f t="shared" si="8"/>
        <v>6089994</v>
      </c>
      <c r="J531" t="str">
        <f>IFERROR(VLOOKUP(E531,'LEAID Match'!$A$2:$B$168,2,FALSE),"")</f>
        <v/>
      </c>
    </row>
    <row r="532" spans="1:10">
      <c r="A532" s="27">
        <v>2020</v>
      </c>
      <c r="B532" t="s">
        <v>1429</v>
      </c>
      <c r="C532" t="s">
        <v>1431</v>
      </c>
      <c r="D532" t="s">
        <v>1433</v>
      </c>
      <c r="E532" t="s">
        <v>42</v>
      </c>
      <c r="F532" s="9" t="s">
        <v>42</v>
      </c>
      <c r="G532" s="18">
        <v>2610341</v>
      </c>
      <c r="H532">
        <v>0</v>
      </c>
      <c r="I532" s="29">
        <f t="shared" si="8"/>
        <v>2610341</v>
      </c>
      <c r="J532" t="str">
        <f>IFERROR(VLOOKUP(E532,'LEAID Match'!$A$2:$B$168,2,FALSE),"")</f>
        <v/>
      </c>
    </row>
    <row r="533" spans="1:10">
      <c r="A533">
        <v>2021</v>
      </c>
      <c r="B533" t="s">
        <v>1429</v>
      </c>
      <c r="C533" t="s">
        <v>1431</v>
      </c>
      <c r="D533" t="s">
        <v>1433</v>
      </c>
      <c r="E533" t="s">
        <v>42</v>
      </c>
      <c r="F533" s="9" t="s">
        <v>42</v>
      </c>
      <c r="G533" s="18">
        <v>2728477</v>
      </c>
      <c r="H533">
        <v>0</v>
      </c>
      <c r="I533" s="29">
        <f t="shared" si="8"/>
        <v>2728477</v>
      </c>
      <c r="J533" t="str">
        <f>IFERROR(VLOOKUP(E533,'LEAID Match'!$A$2:$B$168,2,FALSE),"")</f>
        <v/>
      </c>
    </row>
    <row r="534" spans="1:10">
      <c r="A534">
        <v>2022</v>
      </c>
      <c r="B534" t="s">
        <v>1429</v>
      </c>
      <c r="C534" t="s">
        <v>1431</v>
      </c>
      <c r="D534" t="s">
        <v>1433</v>
      </c>
      <c r="E534" t="s">
        <v>42</v>
      </c>
      <c r="F534" s="9" t="s">
        <v>42</v>
      </c>
      <c r="G534" s="18">
        <v>3405723</v>
      </c>
      <c r="H534">
        <v>0</v>
      </c>
      <c r="I534" s="29">
        <f t="shared" si="8"/>
        <v>3405723</v>
      </c>
      <c r="J534" t="str">
        <f>IFERROR(VLOOKUP(E534,'LEAID Match'!$A$2:$B$168,2,FALSE),"")</f>
        <v/>
      </c>
    </row>
    <row r="535" spans="1:10">
      <c r="A535">
        <v>2023</v>
      </c>
      <c r="B535" t="s">
        <v>1429</v>
      </c>
      <c r="C535" t="s">
        <v>1431</v>
      </c>
      <c r="D535" t="s">
        <v>1433</v>
      </c>
      <c r="E535" t="s">
        <v>42</v>
      </c>
      <c r="F535" t="s">
        <v>42</v>
      </c>
      <c r="G535" s="28">
        <v>3597905</v>
      </c>
      <c r="H535">
        <v>0</v>
      </c>
      <c r="I535" s="29">
        <f t="shared" si="8"/>
        <v>3597905</v>
      </c>
      <c r="J535" t="str">
        <f>IFERROR(VLOOKUP(E535,'LEAID Match'!$A$2:$B$168,2,FALSE),"")</f>
        <v/>
      </c>
    </row>
    <row r="536" spans="1:10">
      <c r="A536" s="27">
        <v>2020</v>
      </c>
      <c r="B536" t="s">
        <v>1429</v>
      </c>
      <c r="C536" t="s">
        <v>1431</v>
      </c>
      <c r="D536" t="s">
        <v>1433</v>
      </c>
      <c r="E536" t="s">
        <v>43</v>
      </c>
      <c r="F536" s="9" t="s">
        <v>43</v>
      </c>
      <c r="G536" s="18">
        <v>1079847</v>
      </c>
      <c r="H536">
        <v>0</v>
      </c>
      <c r="I536" s="29">
        <f t="shared" si="8"/>
        <v>1079847</v>
      </c>
      <c r="J536" t="str">
        <f>IFERROR(VLOOKUP(E536,'LEAID Match'!$A$2:$B$168,2,FALSE),"")</f>
        <v/>
      </c>
    </row>
    <row r="537" spans="1:10">
      <c r="A537">
        <v>2021</v>
      </c>
      <c r="B537" t="s">
        <v>1429</v>
      </c>
      <c r="C537" t="s">
        <v>1431</v>
      </c>
      <c r="D537" t="s">
        <v>1433</v>
      </c>
      <c r="E537" t="s">
        <v>43</v>
      </c>
      <c r="F537" s="9" t="s">
        <v>43</v>
      </c>
      <c r="G537" s="18">
        <v>1166277</v>
      </c>
      <c r="H537">
        <v>0</v>
      </c>
      <c r="I537" s="29">
        <f t="shared" si="8"/>
        <v>1166277</v>
      </c>
      <c r="J537" t="str">
        <f>IFERROR(VLOOKUP(E537,'LEAID Match'!$A$2:$B$168,2,FALSE),"")</f>
        <v/>
      </c>
    </row>
    <row r="538" spans="1:10">
      <c r="A538">
        <v>2022</v>
      </c>
      <c r="B538" t="s">
        <v>1429</v>
      </c>
      <c r="C538" t="s">
        <v>1431</v>
      </c>
      <c r="D538" t="s">
        <v>1433</v>
      </c>
      <c r="E538" t="s">
        <v>43</v>
      </c>
      <c r="F538" s="9" t="s">
        <v>43</v>
      </c>
      <c r="G538" s="18">
        <v>1483054</v>
      </c>
      <c r="H538">
        <v>0</v>
      </c>
      <c r="I538" s="29">
        <f t="shared" si="8"/>
        <v>1483054</v>
      </c>
      <c r="J538" t="str">
        <f>IFERROR(VLOOKUP(E538,'LEAID Match'!$A$2:$B$168,2,FALSE),"")</f>
        <v/>
      </c>
    </row>
    <row r="539" spans="1:10">
      <c r="A539">
        <v>2023</v>
      </c>
      <c r="B539" t="s">
        <v>1429</v>
      </c>
      <c r="C539" t="s">
        <v>1431</v>
      </c>
      <c r="D539" t="s">
        <v>1433</v>
      </c>
      <c r="E539" t="s">
        <v>43</v>
      </c>
      <c r="F539" t="s">
        <v>43</v>
      </c>
      <c r="G539" s="28">
        <v>1492759</v>
      </c>
      <c r="H539">
        <v>0</v>
      </c>
      <c r="I539" s="29">
        <f t="shared" si="8"/>
        <v>1492759</v>
      </c>
      <c r="J539" t="str">
        <f>IFERROR(VLOOKUP(E539,'LEAID Match'!$A$2:$B$168,2,FALSE),"")</f>
        <v/>
      </c>
    </row>
    <row r="540" spans="1:10">
      <c r="A540">
        <v>2015</v>
      </c>
      <c r="B540" t="s">
        <v>1429</v>
      </c>
      <c r="C540" t="s">
        <v>1431</v>
      </c>
      <c r="D540" t="s">
        <v>1433</v>
      </c>
      <c r="E540" t="s">
        <v>554</v>
      </c>
      <c r="F540" s="9" t="s">
        <v>1014</v>
      </c>
      <c r="G540" s="18">
        <v>949374.34</v>
      </c>
      <c r="H540">
        <v>0</v>
      </c>
      <c r="I540" s="29">
        <f t="shared" si="8"/>
        <v>949374.34</v>
      </c>
      <c r="J540" t="str">
        <f>IFERROR(VLOOKUP(E540,'LEAID Match'!$A$2:$B$168,2,FALSE),"")</f>
        <v/>
      </c>
    </row>
    <row r="541" spans="1:10">
      <c r="A541">
        <v>2016</v>
      </c>
      <c r="B541" t="s">
        <v>1429</v>
      </c>
      <c r="C541" t="s">
        <v>1431</v>
      </c>
      <c r="D541" t="s">
        <v>1433</v>
      </c>
      <c r="E541" t="s">
        <v>554</v>
      </c>
      <c r="F541" t="s">
        <v>554</v>
      </c>
      <c r="G541" s="28">
        <v>1015464</v>
      </c>
      <c r="H541">
        <v>0</v>
      </c>
      <c r="I541" s="29">
        <f t="shared" si="8"/>
        <v>1015464</v>
      </c>
      <c r="J541" t="str">
        <f>IFERROR(VLOOKUP(E541,'LEAID Match'!$A$2:$B$168,2,FALSE),"")</f>
        <v/>
      </c>
    </row>
    <row r="542" spans="1:10">
      <c r="A542">
        <v>2017</v>
      </c>
      <c r="B542" t="s">
        <v>1429</v>
      </c>
      <c r="C542" t="s">
        <v>1431</v>
      </c>
      <c r="D542" t="s">
        <v>1433</v>
      </c>
      <c r="E542" t="s">
        <v>554</v>
      </c>
      <c r="F542" t="s">
        <v>554</v>
      </c>
      <c r="G542" s="28">
        <v>1033810</v>
      </c>
      <c r="H542">
        <v>0</v>
      </c>
      <c r="I542" s="29">
        <f t="shared" si="8"/>
        <v>1033810</v>
      </c>
      <c r="J542" t="str">
        <f>IFERROR(VLOOKUP(E542,'LEAID Match'!$A$2:$B$168,2,FALSE),"")</f>
        <v/>
      </c>
    </row>
    <row r="543" spans="1:10">
      <c r="A543" s="27">
        <v>2018</v>
      </c>
      <c r="B543" t="s">
        <v>1429</v>
      </c>
      <c r="C543" t="s">
        <v>1431</v>
      </c>
      <c r="D543" t="s">
        <v>1433</v>
      </c>
      <c r="E543" t="s">
        <v>554</v>
      </c>
      <c r="F543" s="9" t="s">
        <v>554</v>
      </c>
      <c r="G543" s="18">
        <v>1104658</v>
      </c>
      <c r="H543">
        <v>0</v>
      </c>
      <c r="I543" s="29">
        <f t="shared" si="8"/>
        <v>1104658</v>
      </c>
      <c r="J543" t="str">
        <f>IFERROR(VLOOKUP(E543,'LEAID Match'!$A$2:$B$168,2,FALSE),"")</f>
        <v/>
      </c>
    </row>
    <row r="544" spans="1:10">
      <c r="A544">
        <v>2019</v>
      </c>
      <c r="B544" t="s">
        <v>1429</v>
      </c>
      <c r="C544" t="s">
        <v>1431</v>
      </c>
      <c r="D544" t="s">
        <v>1433</v>
      </c>
      <c r="E544" t="s">
        <v>554</v>
      </c>
      <c r="F544" s="9" t="s">
        <v>554</v>
      </c>
      <c r="G544" s="18">
        <v>1029716</v>
      </c>
      <c r="H544">
        <v>0</v>
      </c>
      <c r="I544" s="29">
        <f t="shared" si="8"/>
        <v>1029716</v>
      </c>
      <c r="J544" t="str">
        <f>IFERROR(VLOOKUP(E544,'LEAID Match'!$A$2:$B$168,2,FALSE),"")</f>
        <v/>
      </c>
    </row>
    <row r="545" spans="1:10">
      <c r="A545">
        <v>2015</v>
      </c>
      <c r="B545" t="s">
        <v>1429</v>
      </c>
      <c r="C545" t="s">
        <v>1431</v>
      </c>
      <c r="D545" t="s">
        <v>1433</v>
      </c>
      <c r="E545" t="s">
        <v>44</v>
      </c>
      <c r="F545" s="9" t="s">
        <v>1015</v>
      </c>
      <c r="G545" s="18">
        <v>1434216.38</v>
      </c>
      <c r="H545">
        <v>0</v>
      </c>
      <c r="I545" s="29">
        <f t="shared" si="8"/>
        <v>1434216.38</v>
      </c>
      <c r="J545">
        <f>IFERROR(VLOOKUP(E545,'LEAID Match'!$A$2:$B$168,2,FALSE),"")</f>
        <v>3302340</v>
      </c>
    </row>
    <row r="546" spans="1:10">
      <c r="A546">
        <v>2016</v>
      </c>
      <c r="B546" t="s">
        <v>1429</v>
      </c>
      <c r="C546" t="s">
        <v>1431</v>
      </c>
      <c r="D546" t="s">
        <v>1433</v>
      </c>
      <c r="E546" t="s">
        <v>44</v>
      </c>
      <c r="F546" t="s">
        <v>555</v>
      </c>
      <c r="G546" s="28">
        <v>1575144</v>
      </c>
      <c r="H546">
        <v>0</v>
      </c>
      <c r="I546" s="29">
        <f t="shared" si="8"/>
        <v>1575144</v>
      </c>
      <c r="J546">
        <f>IFERROR(VLOOKUP(E546,'LEAID Match'!$A$2:$B$168,2,FALSE),"")</f>
        <v>3302340</v>
      </c>
    </row>
    <row r="547" spans="1:10">
      <c r="A547">
        <v>2017</v>
      </c>
      <c r="B547" t="s">
        <v>1429</v>
      </c>
      <c r="C547" t="s">
        <v>1431</v>
      </c>
      <c r="D547" t="s">
        <v>1433</v>
      </c>
      <c r="E547" t="s">
        <v>44</v>
      </c>
      <c r="F547" t="s">
        <v>555</v>
      </c>
      <c r="G547" s="28">
        <v>1583670</v>
      </c>
      <c r="H547">
        <v>0</v>
      </c>
      <c r="I547" s="29">
        <f t="shared" si="8"/>
        <v>1583670</v>
      </c>
      <c r="J547">
        <f>IFERROR(VLOOKUP(E547,'LEAID Match'!$A$2:$B$168,2,FALSE),"")</f>
        <v>3302340</v>
      </c>
    </row>
    <row r="548" spans="1:10">
      <c r="A548" s="27">
        <v>2018</v>
      </c>
      <c r="B548" t="s">
        <v>1429</v>
      </c>
      <c r="C548" t="s">
        <v>1431</v>
      </c>
      <c r="D548" t="s">
        <v>1433</v>
      </c>
      <c r="E548" t="s">
        <v>44</v>
      </c>
      <c r="F548" s="9" t="s">
        <v>555</v>
      </c>
      <c r="G548" s="18">
        <v>1926325</v>
      </c>
      <c r="H548">
        <v>0</v>
      </c>
      <c r="I548" s="29">
        <f t="shared" si="8"/>
        <v>1926325</v>
      </c>
      <c r="J548">
        <f>IFERROR(VLOOKUP(E548,'LEAID Match'!$A$2:$B$168,2,FALSE),"")</f>
        <v>3302340</v>
      </c>
    </row>
    <row r="549" spans="1:10">
      <c r="A549">
        <v>2019</v>
      </c>
      <c r="B549" t="s">
        <v>1429</v>
      </c>
      <c r="C549" t="s">
        <v>1431</v>
      </c>
      <c r="D549" t="s">
        <v>1433</v>
      </c>
      <c r="E549" t="s">
        <v>44</v>
      </c>
      <c r="F549" s="9" t="s">
        <v>555</v>
      </c>
      <c r="G549" s="18">
        <v>1904746</v>
      </c>
      <c r="H549">
        <v>0</v>
      </c>
      <c r="I549" s="29">
        <f t="shared" si="8"/>
        <v>1904746</v>
      </c>
      <c r="J549">
        <f>IFERROR(VLOOKUP(E549,'LEAID Match'!$A$2:$B$168,2,FALSE),"")</f>
        <v>3302340</v>
      </c>
    </row>
    <row r="550" spans="1:10">
      <c r="A550" s="27">
        <v>2020</v>
      </c>
      <c r="B550" t="s">
        <v>1429</v>
      </c>
      <c r="C550" t="s">
        <v>1431</v>
      </c>
      <c r="D550" t="s">
        <v>1433</v>
      </c>
      <c r="E550" t="s">
        <v>44</v>
      </c>
      <c r="F550" s="9" t="s">
        <v>44</v>
      </c>
      <c r="G550" s="18">
        <v>1997908</v>
      </c>
      <c r="H550">
        <v>0</v>
      </c>
      <c r="I550" s="29">
        <f t="shared" si="8"/>
        <v>1997908</v>
      </c>
      <c r="J550">
        <f>IFERROR(VLOOKUP(E550,'LEAID Match'!$A$2:$B$168,2,FALSE),"")</f>
        <v>3302340</v>
      </c>
    </row>
    <row r="551" spans="1:10">
      <c r="A551">
        <v>2021</v>
      </c>
      <c r="B551" t="s">
        <v>1429</v>
      </c>
      <c r="C551" t="s">
        <v>1431</v>
      </c>
      <c r="D551" t="s">
        <v>1433</v>
      </c>
      <c r="E551" t="s">
        <v>44</v>
      </c>
      <c r="F551" s="9" t="s">
        <v>44</v>
      </c>
      <c r="G551" s="18">
        <v>2190506</v>
      </c>
      <c r="H551">
        <v>0</v>
      </c>
      <c r="I551" s="29">
        <f t="shared" si="8"/>
        <v>2190506</v>
      </c>
      <c r="J551">
        <f>IFERROR(VLOOKUP(E551,'LEAID Match'!$A$2:$B$168,2,FALSE),"")</f>
        <v>3302340</v>
      </c>
    </row>
    <row r="552" spans="1:10">
      <c r="A552">
        <v>2022</v>
      </c>
      <c r="B552" t="s">
        <v>1429</v>
      </c>
      <c r="C552" t="s">
        <v>1431</v>
      </c>
      <c r="D552" t="s">
        <v>1433</v>
      </c>
      <c r="E552" t="s">
        <v>44</v>
      </c>
      <c r="F552" s="9" t="s">
        <v>44</v>
      </c>
      <c r="G552" s="18">
        <v>2647463</v>
      </c>
      <c r="H552">
        <v>0</v>
      </c>
      <c r="I552" s="29">
        <f t="shared" si="8"/>
        <v>2647463</v>
      </c>
      <c r="J552">
        <f>IFERROR(VLOOKUP(E552,'LEAID Match'!$A$2:$B$168,2,FALSE),"")</f>
        <v>3302340</v>
      </c>
    </row>
    <row r="553" spans="1:10">
      <c r="A553">
        <v>2023</v>
      </c>
      <c r="B553" t="s">
        <v>1429</v>
      </c>
      <c r="C553" t="s">
        <v>1431</v>
      </c>
      <c r="D553" t="s">
        <v>1433</v>
      </c>
      <c r="E553" t="s">
        <v>44</v>
      </c>
      <c r="F553" t="s">
        <v>44</v>
      </c>
      <c r="G553" s="28">
        <v>2747987</v>
      </c>
      <c r="H553">
        <v>0</v>
      </c>
      <c r="I553" s="29">
        <f t="shared" si="8"/>
        <v>2747987</v>
      </c>
      <c r="J553">
        <f>IFERROR(VLOOKUP(E553,'LEAID Match'!$A$2:$B$168,2,FALSE),"")</f>
        <v>3302340</v>
      </c>
    </row>
    <row r="554" spans="1:10">
      <c r="A554">
        <v>2015</v>
      </c>
      <c r="B554" t="s">
        <v>1429</v>
      </c>
      <c r="C554" t="s">
        <v>1431</v>
      </c>
      <c r="D554" t="s">
        <v>1433</v>
      </c>
      <c r="E554" t="s">
        <v>556</v>
      </c>
      <c r="F554" s="9" t="s">
        <v>1016</v>
      </c>
      <c r="G554" s="18">
        <v>3724.73</v>
      </c>
      <c r="H554">
        <v>0</v>
      </c>
      <c r="I554" s="29">
        <f t="shared" si="8"/>
        <v>3724.73</v>
      </c>
      <c r="J554" t="str">
        <f>IFERROR(VLOOKUP(E554,'LEAID Match'!$A$2:$B$168,2,FALSE),"")</f>
        <v/>
      </c>
    </row>
    <row r="555" spans="1:10">
      <c r="A555">
        <v>2016</v>
      </c>
      <c r="B555" t="s">
        <v>1429</v>
      </c>
      <c r="C555" t="s">
        <v>1431</v>
      </c>
      <c r="D555" t="s">
        <v>1433</v>
      </c>
      <c r="E555" t="s">
        <v>556</v>
      </c>
      <c r="F555" t="s">
        <v>556</v>
      </c>
      <c r="G555" s="28">
        <v>4205</v>
      </c>
      <c r="H555">
        <v>0</v>
      </c>
      <c r="I555" s="29">
        <f t="shared" si="8"/>
        <v>4205</v>
      </c>
      <c r="J555" t="str">
        <f>IFERROR(VLOOKUP(E555,'LEAID Match'!$A$2:$B$168,2,FALSE),"")</f>
        <v/>
      </c>
    </row>
    <row r="556" spans="1:10">
      <c r="A556">
        <v>2017</v>
      </c>
      <c r="B556" t="s">
        <v>1429</v>
      </c>
      <c r="C556" t="s">
        <v>1431</v>
      </c>
      <c r="D556" t="s">
        <v>1433</v>
      </c>
      <c r="E556" t="s">
        <v>556</v>
      </c>
      <c r="F556" t="s">
        <v>556</v>
      </c>
      <c r="G556" s="28">
        <v>4179</v>
      </c>
      <c r="H556">
        <v>0</v>
      </c>
      <c r="I556" s="29">
        <f t="shared" si="8"/>
        <v>4179</v>
      </c>
      <c r="J556" t="str">
        <f>IFERROR(VLOOKUP(E556,'LEAID Match'!$A$2:$B$168,2,FALSE),"")</f>
        <v/>
      </c>
    </row>
    <row r="557" spans="1:10">
      <c r="A557" s="27">
        <v>2018</v>
      </c>
      <c r="B557" t="s">
        <v>1429</v>
      </c>
      <c r="C557" t="s">
        <v>1431</v>
      </c>
      <c r="D557" t="s">
        <v>1433</v>
      </c>
      <c r="E557" t="s">
        <v>556</v>
      </c>
      <c r="F557" s="9" t="s">
        <v>556</v>
      </c>
      <c r="G557" s="18">
        <v>4264</v>
      </c>
      <c r="H557">
        <v>0</v>
      </c>
      <c r="I557" s="29">
        <f t="shared" si="8"/>
        <v>4264</v>
      </c>
      <c r="J557" t="str">
        <f>IFERROR(VLOOKUP(E557,'LEAID Match'!$A$2:$B$168,2,FALSE),"")</f>
        <v/>
      </c>
    </row>
    <row r="558" spans="1:10">
      <c r="A558">
        <v>2019</v>
      </c>
      <c r="B558" t="s">
        <v>1429</v>
      </c>
      <c r="C558" t="s">
        <v>1431</v>
      </c>
      <c r="D558" t="s">
        <v>1433</v>
      </c>
      <c r="E558" t="s">
        <v>556</v>
      </c>
      <c r="F558" s="9" t="s">
        <v>556</v>
      </c>
      <c r="G558" s="18">
        <v>4346</v>
      </c>
      <c r="H558">
        <v>0</v>
      </c>
      <c r="I558" s="29">
        <f t="shared" si="8"/>
        <v>4346</v>
      </c>
      <c r="J558" t="str">
        <f>IFERROR(VLOOKUP(E558,'LEAID Match'!$A$2:$B$168,2,FALSE),"")</f>
        <v/>
      </c>
    </row>
    <row r="559" spans="1:10">
      <c r="A559" s="27">
        <v>2018</v>
      </c>
      <c r="B559" t="s">
        <v>1429</v>
      </c>
      <c r="C559" t="s">
        <v>1431</v>
      </c>
      <c r="D559" t="s">
        <v>1433</v>
      </c>
      <c r="E559" t="s">
        <v>557</v>
      </c>
      <c r="F559" s="9" t="s">
        <v>557</v>
      </c>
      <c r="G559" s="18">
        <v>29140</v>
      </c>
      <c r="H559">
        <v>0</v>
      </c>
      <c r="I559" s="29">
        <f t="shared" si="8"/>
        <v>29140</v>
      </c>
      <c r="J559" t="str">
        <f>IFERROR(VLOOKUP(E559,'LEAID Match'!$A$2:$B$168,2,FALSE),"")</f>
        <v/>
      </c>
    </row>
    <row r="560" spans="1:10">
      <c r="A560">
        <v>2019</v>
      </c>
      <c r="B560" t="s">
        <v>1429</v>
      </c>
      <c r="C560" t="s">
        <v>1431</v>
      </c>
      <c r="D560" t="s">
        <v>1433</v>
      </c>
      <c r="E560" t="s">
        <v>557</v>
      </c>
      <c r="F560" s="9" t="s">
        <v>557</v>
      </c>
      <c r="G560" s="18">
        <v>28025</v>
      </c>
      <c r="H560">
        <v>0</v>
      </c>
      <c r="I560" s="29">
        <f t="shared" si="8"/>
        <v>28025</v>
      </c>
      <c r="J560" t="str">
        <f>IFERROR(VLOOKUP(E560,'LEAID Match'!$A$2:$B$168,2,FALSE),"")</f>
        <v/>
      </c>
    </row>
    <row r="561" spans="1:10">
      <c r="A561" s="27">
        <v>2020</v>
      </c>
      <c r="B561" t="s">
        <v>1429</v>
      </c>
      <c r="C561" t="s">
        <v>1431</v>
      </c>
      <c r="D561" t="s">
        <v>1433</v>
      </c>
      <c r="E561" t="s">
        <v>45</v>
      </c>
      <c r="F561" s="9" t="s">
        <v>45</v>
      </c>
      <c r="G561" s="18">
        <v>24400</v>
      </c>
      <c r="H561">
        <v>0</v>
      </c>
      <c r="I561" s="29">
        <f t="shared" si="8"/>
        <v>24400</v>
      </c>
      <c r="J561" t="str">
        <f>IFERROR(VLOOKUP(E561,'LEAID Match'!$A$2:$B$168,2,FALSE),"")</f>
        <v/>
      </c>
    </row>
    <row r="562" spans="1:10">
      <c r="A562">
        <v>2021</v>
      </c>
      <c r="B562" t="s">
        <v>1429</v>
      </c>
      <c r="C562" t="s">
        <v>1431</v>
      </c>
      <c r="D562" t="s">
        <v>1433</v>
      </c>
      <c r="E562" t="s">
        <v>45</v>
      </c>
      <c r="F562" s="9" t="s">
        <v>45</v>
      </c>
      <c r="G562" s="18">
        <v>16666</v>
      </c>
      <c r="H562">
        <v>0</v>
      </c>
      <c r="I562" s="29">
        <f t="shared" si="8"/>
        <v>16666</v>
      </c>
      <c r="J562" t="str">
        <f>IFERROR(VLOOKUP(E562,'LEAID Match'!$A$2:$B$168,2,FALSE),"")</f>
        <v/>
      </c>
    </row>
    <row r="563" spans="1:10">
      <c r="A563">
        <v>2022</v>
      </c>
      <c r="B563" t="s">
        <v>1429</v>
      </c>
      <c r="C563" t="s">
        <v>1431</v>
      </c>
      <c r="D563" t="s">
        <v>1433</v>
      </c>
      <c r="E563" t="s">
        <v>45</v>
      </c>
      <c r="F563" s="9" t="s">
        <v>45</v>
      </c>
      <c r="G563" s="18">
        <v>19153</v>
      </c>
      <c r="H563">
        <v>0</v>
      </c>
      <c r="I563" s="29">
        <f t="shared" si="8"/>
        <v>19153</v>
      </c>
      <c r="J563" t="str">
        <f>IFERROR(VLOOKUP(E563,'LEAID Match'!$A$2:$B$168,2,FALSE),"")</f>
        <v/>
      </c>
    </row>
    <row r="564" spans="1:10">
      <c r="A564">
        <v>2023</v>
      </c>
      <c r="B564" t="s">
        <v>1429</v>
      </c>
      <c r="C564" t="s">
        <v>1431</v>
      </c>
      <c r="D564" t="s">
        <v>1433</v>
      </c>
      <c r="E564" t="s">
        <v>45</v>
      </c>
      <c r="F564" t="s">
        <v>45</v>
      </c>
      <c r="G564" s="28">
        <v>3288</v>
      </c>
      <c r="H564">
        <v>0</v>
      </c>
      <c r="I564" s="29">
        <f t="shared" si="8"/>
        <v>3288</v>
      </c>
      <c r="J564" t="str">
        <f>IFERROR(VLOOKUP(E564,'LEAID Match'!$A$2:$B$168,2,FALSE),"")</f>
        <v/>
      </c>
    </row>
    <row r="565" spans="1:10">
      <c r="A565">
        <v>2015</v>
      </c>
      <c r="B565" t="s">
        <v>1429</v>
      </c>
      <c r="C565" t="s">
        <v>1431</v>
      </c>
      <c r="D565" t="s">
        <v>1433</v>
      </c>
      <c r="E565" t="s">
        <v>934</v>
      </c>
      <c r="F565" s="9" t="s">
        <v>1017</v>
      </c>
      <c r="G565" s="18">
        <v>17404.91</v>
      </c>
      <c r="H565">
        <v>0</v>
      </c>
      <c r="I565" s="29">
        <f t="shared" si="8"/>
        <v>17404.91</v>
      </c>
      <c r="J565" t="str">
        <f>IFERROR(VLOOKUP(E565,'LEAID Match'!$A$2:$B$168,2,FALSE),"")</f>
        <v/>
      </c>
    </row>
    <row r="566" spans="1:10">
      <c r="A566">
        <v>2016</v>
      </c>
      <c r="B566" t="s">
        <v>1429</v>
      </c>
      <c r="C566" t="s">
        <v>1431</v>
      </c>
      <c r="D566" t="s">
        <v>1433</v>
      </c>
      <c r="E566" t="s">
        <v>934</v>
      </c>
      <c r="F566" t="s">
        <v>934</v>
      </c>
      <c r="G566" s="28">
        <v>21208</v>
      </c>
      <c r="H566">
        <v>0</v>
      </c>
      <c r="I566" s="29">
        <f t="shared" si="8"/>
        <v>21208</v>
      </c>
      <c r="J566" t="str">
        <f>IFERROR(VLOOKUP(E566,'LEAID Match'!$A$2:$B$168,2,FALSE),"")</f>
        <v/>
      </c>
    </row>
    <row r="567" spans="1:10">
      <c r="A567">
        <v>2017</v>
      </c>
      <c r="B567" t="s">
        <v>1429</v>
      </c>
      <c r="C567" t="s">
        <v>1431</v>
      </c>
      <c r="D567" t="s">
        <v>1433</v>
      </c>
      <c r="E567" t="s">
        <v>934</v>
      </c>
      <c r="F567" t="s">
        <v>934</v>
      </c>
      <c r="G567" s="28">
        <v>24429</v>
      </c>
      <c r="H567">
        <v>0</v>
      </c>
      <c r="I567" s="29">
        <f t="shared" si="8"/>
        <v>24429</v>
      </c>
      <c r="J567" t="str">
        <f>IFERROR(VLOOKUP(E567,'LEAID Match'!$A$2:$B$168,2,FALSE),"")</f>
        <v/>
      </c>
    </row>
    <row r="568" spans="1:10">
      <c r="A568">
        <v>2015</v>
      </c>
      <c r="B568" t="s">
        <v>1429</v>
      </c>
      <c r="C568" t="s">
        <v>1431</v>
      </c>
      <c r="D568" t="s">
        <v>1433</v>
      </c>
      <c r="E568" t="s">
        <v>1018</v>
      </c>
      <c r="F568" s="9" t="s">
        <v>1018</v>
      </c>
      <c r="G568" s="18">
        <v>115810.69</v>
      </c>
      <c r="H568">
        <v>0</v>
      </c>
      <c r="I568" s="29">
        <f t="shared" si="8"/>
        <v>115810.69</v>
      </c>
      <c r="J568" t="str">
        <f>IFERROR(VLOOKUP(E568,'LEAID Match'!$A$2:$B$168,2,FALSE),"")</f>
        <v/>
      </c>
    </row>
    <row r="569" spans="1:10">
      <c r="A569">
        <v>2016</v>
      </c>
      <c r="B569" t="s">
        <v>1429</v>
      </c>
      <c r="C569" t="s">
        <v>1431</v>
      </c>
      <c r="D569" t="s">
        <v>1433</v>
      </c>
      <c r="E569" t="s">
        <v>558</v>
      </c>
      <c r="F569" t="s">
        <v>558</v>
      </c>
      <c r="G569" s="28">
        <v>121017</v>
      </c>
      <c r="H569">
        <v>0</v>
      </c>
      <c r="I569" s="29">
        <f t="shared" si="8"/>
        <v>121017</v>
      </c>
      <c r="J569" t="str">
        <f>IFERROR(VLOOKUP(E569,'LEAID Match'!$A$2:$B$168,2,FALSE),"")</f>
        <v/>
      </c>
    </row>
    <row r="570" spans="1:10">
      <c r="A570">
        <v>2017</v>
      </c>
      <c r="B570" t="s">
        <v>1429</v>
      </c>
      <c r="C570" t="s">
        <v>1431</v>
      </c>
      <c r="D570" t="s">
        <v>1433</v>
      </c>
      <c r="E570" t="s">
        <v>558</v>
      </c>
      <c r="F570" t="s">
        <v>558</v>
      </c>
      <c r="G570" s="28">
        <v>124419</v>
      </c>
      <c r="H570">
        <v>0</v>
      </c>
      <c r="I570" s="29">
        <f t="shared" si="8"/>
        <v>124419</v>
      </c>
      <c r="J570" t="str">
        <f>IFERROR(VLOOKUP(E570,'LEAID Match'!$A$2:$B$168,2,FALSE),"")</f>
        <v/>
      </c>
    </row>
    <row r="571" spans="1:10">
      <c r="A571" s="27">
        <v>2018</v>
      </c>
      <c r="B571" t="s">
        <v>1429</v>
      </c>
      <c r="C571" t="s">
        <v>1431</v>
      </c>
      <c r="D571" t="s">
        <v>1433</v>
      </c>
      <c r="E571" t="s">
        <v>558</v>
      </c>
      <c r="F571" s="9" t="s">
        <v>558</v>
      </c>
      <c r="G571" s="18">
        <v>146248</v>
      </c>
      <c r="H571">
        <v>0</v>
      </c>
      <c r="I571" s="29">
        <f t="shared" si="8"/>
        <v>146248</v>
      </c>
      <c r="J571" t="str">
        <f>IFERROR(VLOOKUP(E571,'LEAID Match'!$A$2:$B$168,2,FALSE),"")</f>
        <v/>
      </c>
    </row>
    <row r="572" spans="1:10">
      <c r="A572">
        <v>2019</v>
      </c>
      <c r="B572" t="s">
        <v>1429</v>
      </c>
      <c r="C572" t="s">
        <v>1431</v>
      </c>
      <c r="D572" t="s">
        <v>1433</v>
      </c>
      <c r="E572" t="s">
        <v>558</v>
      </c>
      <c r="F572" s="9" t="s">
        <v>558</v>
      </c>
      <c r="G572" s="18">
        <v>162096</v>
      </c>
      <c r="H572">
        <v>0</v>
      </c>
      <c r="I572" s="29">
        <f t="shared" si="8"/>
        <v>162096</v>
      </c>
      <c r="J572" t="str">
        <f>IFERROR(VLOOKUP(E572,'LEAID Match'!$A$2:$B$168,2,FALSE),"")</f>
        <v/>
      </c>
    </row>
    <row r="573" spans="1:10">
      <c r="A573">
        <v>2015</v>
      </c>
      <c r="B573" t="s">
        <v>1429</v>
      </c>
      <c r="C573" t="s">
        <v>1431</v>
      </c>
      <c r="D573" t="s">
        <v>1433</v>
      </c>
      <c r="E573" t="s">
        <v>46</v>
      </c>
      <c r="F573" s="9" t="s">
        <v>1019</v>
      </c>
      <c r="G573" s="18">
        <v>264895.18</v>
      </c>
      <c r="H573">
        <v>0</v>
      </c>
      <c r="I573" s="29">
        <f t="shared" si="8"/>
        <v>264895.18</v>
      </c>
      <c r="J573">
        <f>IFERROR(VLOOKUP(E573,'LEAID Match'!$A$2:$B$168,2,FALSE),"")</f>
        <v>3302400</v>
      </c>
    </row>
    <row r="574" spans="1:10">
      <c r="A574">
        <v>2016</v>
      </c>
      <c r="B574" t="s">
        <v>1429</v>
      </c>
      <c r="C574" t="s">
        <v>1431</v>
      </c>
      <c r="D574" t="s">
        <v>1433</v>
      </c>
      <c r="E574" t="s">
        <v>46</v>
      </c>
      <c r="F574" t="s">
        <v>559</v>
      </c>
      <c r="G574" s="28">
        <v>282568</v>
      </c>
      <c r="H574">
        <v>0</v>
      </c>
      <c r="I574" s="29">
        <f t="shared" si="8"/>
        <v>282568</v>
      </c>
      <c r="J574">
        <f>IFERROR(VLOOKUP(E574,'LEAID Match'!$A$2:$B$168,2,FALSE),"")</f>
        <v>3302400</v>
      </c>
    </row>
    <row r="575" spans="1:10">
      <c r="A575">
        <v>2017</v>
      </c>
      <c r="B575" t="s">
        <v>1429</v>
      </c>
      <c r="C575" t="s">
        <v>1431</v>
      </c>
      <c r="D575" t="s">
        <v>1433</v>
      </c>
      <c r="E575" t="s">
        <v>46</v>
      </c>
      <c r="F575" t="s">
        <v>559</v>
      </c>
      <c r="G575" s="28">
        <v>281305</v>
      </c>
      <c r="H575">
        <v>0</v>
      </c>
      <c r="I575" s="29">
        <f t="shared" si="8"/>
        <v>281305</v>
      </c>
      <c r="J575">
        <f>IFERROR(VLOOKUP(E575,'LEAID Match'!$A$2:$B$168,2,FALSE),"")</f>
        <v>3302400</v>
      </c>
    </row>
    <row r="576" spans="1:10">
      <c r="A576" s="27">
        <v>2018</v>
      </c>
      <c r="B576" t="s">
        <v>1429</v>
      </c>
      <c r="C576" t="s">
        <v>1431</v>
      </c>
      <c r="D576" t="s">
        <v>1433</v>
      </c>
      <c r="E576" t="s">
        <v>46</v>
      </c>
      <c r="F576" s="9" t="s">
        <v>559</v>
      </c>
      <c r="G576" s="18">
        <v>358246</v>
      </c>
      <c r="H576">
        <v>0</v>
      </c>
      <c r="I576" s="29">
        <f t="shared" si="8"/>
        <v>358246</v>
      </c>
      <c r="J576">
        <f>IFERROR(VLOOKUP(E576,'LEAID Match'!$A$2:$B$168,2,FALSE),"")</f>
        <v>3302400</v>
      </c>
    </row>
    <row r="577" spans="1:10">
      <c r="A577">
        <v>2019</v>
      </c>
      <c r="B577" t="s">
        <v>1429</v>
      </c>
      <c r="C577" t="s">
        <v>1431</v>
      </c>
      <c r="D577" t="s">
        <v>1433</v>
      </c>
      <c r="E577" t="s">
        <v>46</v>
      </c>
      <c r="F577" s="9" t="s">
        <v>559</v>
      </c>
      <c r="G577" s="18">
        <v>362318</v>
      </c>
      <c r="H577">
        <v>0</v>
      </c>
      <c r="I577" s="29">
        <f t="shared" si="8"/>
        <v>362318</v>
      </c>
      <c r="J577">
        <f>IFERROR(VLOOKUP(E577,'LEAID Match'!$A$2:$B$168,2,FALSE),"")</f>
        <v>3302400</v>
      </c>
    </row>
    <row r="578" spans="1:10">
      <c r="A578" s="27">
        <v>2020</v>
      </c>
      <c r="B578" t="s">
        <v>1429</v>
      </c>
      <c r="C578" t="s">
        <v>1431</v>
      </c>
      <c r="D578" t="s">
        <v>1433</v>
      </c>
      <c r="E578" t="s">
        <v>46</v>
      </c>
      <c r="F578" s="9" t="s">
        <v>46</v>
      </c>
      <c r="G578" s="18">
        <v>323652</v>
      </c>
      <c r="H578">
        <v>0</v>
      </c>
      <c r="I578" s="29">
        <f t="shared" si="8"/>
        <v>323652</v>
      </c>
      <c r="J578">
        <f>IFERROR(VLOOKUP(E578,'LEAID Match'!$A$2:$B$168,2,FALSE),"")</f>
        <v>3302400</v>
      </c>
    </row>
    <row r="579" spans="1:10">
      <c r="A579">
        <v>2021</v>
      </c>
      <c r="B579" t="s">
        <v>1429</v>
      </c>
      <c r="C579" t="s">
        <v>1431</v>
      </c>
      <c r="D579" t="s">
        <v>1433</v>
      </c>
      <c r="E579" t="s">
        <v>46</v>
      </c>
      <c r="F579" s="9" t="s">
        <v>46</v>
      </c>
      <c r="G579" s="18">
        <v>246507</v>
      </c>
      <c r="H579">
        <v>0</v>
      </c>
      <c r="I579" s="29">
        <f t="shared" ref="I579:I642" si="9">SUM(G579:H579)</f>
        <v>246507</v>
      </c>
      <c r="J579">
        <f>IFERROR(VLOOKUP(E579,'LEAID Match'!$A$2:$B$168,2,FALSE),"")</f>
        <v>3302400</v>
      </c>
    </row>
    <row r="580" spans="1:10">
      <c r="A580">
        <v>2022</v>
      </c>
      <c r="B580" t="s">
        <v>1429</v>
      </c>
      <c r="C580" t="s">
        <v>1431</v>
      </c>
      <c r="D580" t="s">
        <v>1433</v>
      </c>
      <c r="E580" t="s">
        <v>46</v>
      </c>
      <c r="F580" s="9" t="s">
        <v>46</v>
      </c>
      <c r="G580" s="18">
        <v>426868</v>
      </c>
      <c r="H580">
        <v>0</v>
      </c>
      <c r="I580" s="29">
        <f t="shared" si="9"/>
        <v>426868</v>
      </c>
      <c r="J580">
        <f>IFERROR(VLOOKUP(E580,'LEAID Match'!$A$2:$B$168,2,FALSE),"")</f>
        <v>3302400</v>
      </c>
    </row>
    <row r="581" spans="1:10">
      <c r="A581">
        <v>2023</v>
      </c>
      <c r="B581" t="s">
        <v>1429</v>
      </c>
      <c r="C581" t="s">
        <v>1431</v>
      </c>
      <c r="D581" t="s">
        <v>1433</v>
      </c>
      <c r="E581" t="s">
        <v>46</v>
      </c>
      <c r="F581" t="s">
        <v>46</v>
      </c>
      <c r="G581" s="28">
        <v>473831</v>
      </c>
      <c r="H581">
        <v>0</v>
      </c>
      <c r="I581" s="29">
        <f t="shared" si="9"/>
        <v>473831</v>
      </c>
      <c r="J581">
        <f>IFERROR(VLOOKUP(E581,'LEAID Match'!$A$2:$B$168,2,FALSE),"")</f>
        <v>3302400</v>
      </c>
    </row>
    <row r="582" spans="1:10">
      <c r="A582">
        <v>2015</v>
      </c>
      <c r="B582" t="s">
        <v>1429</v>
      </c>
      <c r="C582" t="s">
        <v>1431</v>
      </c>
      <c r="D582" t="s">
        <v>1433</v>
      </c>
      <c r="E582" t="s">
        <v>47</v>
      </c>
      <c r="F582" s="9" t="s">
        <v>1020</v>
      </c>
      <c r="G582" s="18">
        <v>5109492.5999999996</v>
      </c>
      <c r="H582">
        <v>0</v>
      </c>
      <c r="I582" s="29">
        <f t="shared" si="9"/>
        <v>5109492.5999999996</v>
      </c>
      <c r="J582" t="str">
        <f>IFERROR(VLOOKUP(E582,'LEAID Match'!$A$2:$B$168,2,FALSE),"")</f>
        <v/>
      </c>
    </row>
    <row r="583" spans="1:10">
      <c r="A583">
        <v>2016</v>
      </c>
      <c r="B583" t="s">
        <v>1429</v>
      </c>
      <c r="C583" t="s">
        <v>1431</v>
      </c>
      <c r="D583" t="s">
        <v>1433</v>
      </c>
      <c r="E583" t="s">
        <v>47</v>
      </c>
      <c r="F583" t="s">
        <v>560</v>
      </c>
      <c r="G583" s="28">
        <v>4862732</v>
      </c>
      <c r="H583">
        <v>0</v>
      </c>
      <c r="I583" s="29">
        <f t="shared" si="9"/>
        <v>4862732</v>
      </c>
      <c r="J583" t="str">
        <f>IFERROR(VLOOKUP(E583,'LEAID Match'!$A$2:$B$168,2,FALSE),"")</f>
        <v/>
      </c>
    </row>
    <row r="584" spans="1:10">
      <c r="A584">
        <v>2017</v>
      </c>
      <c r="B584" t="s">
        <v>1429</v>
      </c>
      <c r="C584" t="s">
        <v>1431</v>
      </c>
      <c r="D584" t="s">
        <v>1433</v>
      </c>
      <c r="E584" t="s">
        <v>47</v>
      </c>
      <c r="F584" t="s">
        <v>560</v>
      </c>
      <c r="G584" s="28">
        <v>4689352</v>
      </c>
      <c r="H584">
        <v>0</v>
      </c>
      <c r="I584" s="29">
        <f t="shared" si="9"/>
        <v>4689352</v>
      </c>
      <c r="J584" t="str">
        <f>IFERROR(VLOOKUP(E584,'LEAID Match'!$A$2:$B$168,2,FALSE),"")</f>
        <v/>
      </c>
    </row>
    <row r="585" spans="1:10">
      <c r="A585" s="27">
        <v>2018</v>
      </c>
      <c r="B585" t="s">
        <v>1429</v>
      </c>
      <c r="C585" t="s">
        <v>1431</v>
      </c>
      <c r="D585" t="s">
        <v>1433</v>
      </c>
      <c r="E585" t="s">
        <v>47</v>
      </c>
      <c r="F585" s="9" t="s">
        <v>560</v>
      </c>
      <c r="G585" s="18">
        <v>4725583</v>
      </c>
      <c r="H585">
        <v>0</v>
      </c>
      <c r="I585" s="29">
        <f t="shared" si="9"/>
        <v>4725583</v>
      </c>
      <c r="J585" t="str">
        <f>IFERROR(VLOOKUP(E585,'LEAID Match'!$A$2:$B$168,2,FALSE),"")</f>
        <v/>
      </c>
    </row>
    <row r="586" spans="1:10">
      <c r="A586">
        <v>2019</v>
      </c>
      <c r="B586" t="s">
        <v>1429</v>
      </c>
      <c r="C586" t="s">
        <v>1431</v>
      </c>
      <c r="D586" t="s">
        <v>1433</v>
      </c>
      <c r="E586" t="s">
        <v>47</v>
      </c>
      <c r="F586" s="9" t="s">
        <v>560</v>
      </c>
      <c r="G586" s="18">
        <v>4789386</v>
      </c>
      <c r="H586">
        <v>0</v>
      </c>
      <c r="I586" s="29">
        <f t="shared" si="9"/>
        <v>4789386</v>
      </c>
      <c r="J586" t="str">
        <f>IFERROR(VLOOKUP(E586,'LEAID Match'!$A$2:$B$168,2,FALSE),"")</f>
        <v/>
      </c>
    </row>
    <row r="587" spans="1:10">
      <c r="A587" s="27">
        <v>2020</v>
      </c>
      <c r="B587" t="s">
        <v>1429</v>
      </c>
      <c r="C587" t="s">
        <v>1431</v>
      </c>
      <c r="D587" t="s">
        <v>1433</v>
      </c>
      <c r="E587" t="s">
        <v>47</v>
      </c>
      <c r="F587" s="9" t="s">
        <v>47</v>
      </c>
      <c r="G587" s="18">
        <v>4749061</v>
      </c>
      <c r="H587">
        <v>0</v>
      </c>
      <c r="I587" s="29">
        <f t="shared" si="9"/>
        <v>4749061</v>
      </c>
      <c r="J587" t="str">
        <f>IFERROR(VLOOKUP(E587,'LEAID Match'!$A$2:$B$168,2,FALSE),"")</f>
        <v/>
      </c>
    </row>
    <row r="588" spans="1:10">
      <c r="A588">
        <v>2021</v>
      </c>
      <c r="B588" t="s">
        <v>1429</v>
      </c>
      <c r="C588" t="s">
        <v>1431</v>
      </c>
      <c r="D588" t="s">
        <v>1433</v>
      </c>
      <c r="E588" t="s">
        <v>47</v>
      </c>
      <c r="F588" s="9" t="s">
        <v>47</v>
      </c>
      <c r="G588" s="18">
        <v>4833157</v>
      </c>
      <c r="H588">
        <v>0</v>
      </c>
      <c r="I588" s="29">
        <f t="shared" si="9"/>
        <v>4833157</v>
      </c>
      <c r="J588" t="str">
        <f>IFERROR(VLOOKUP(E588,'LEAID Match'!$A$2:$B$168,2,FALSE),"")</f>
        <v/>
      </c>
    </row>
    <row r="589" spans="1:10">
      <c r="A589">
        <v>2022</v>
      </c>
      <c r="B589" t="s">
        <v>1429</v>
      </c>
      <c r="C589" t="s">
        <v>1431</v>
      </c>
      <c r="D589" t="s">
        <v>1433</v>
      </c>
      <c r="E589" t="s">
        <v>47</v>
      </c>
      <c r="F589" s="9" t="s">
        <v>47</v>
      </c>
      <c r="G589" s="18">
        <v>5780566</v>
      </c>
      <c r="H589">
        <v>0</v>
      </c>
      <c r="I589" s="29">
        <f t="shared" si="9"/>
        <v>5780566</v>
      </c>
      <c r="J589" t="str">
        <f>IFERROR(VLOOKUP(E589,'LEAID Match'!$A$2:$B$168,2,FALSE),"")</f>
        <v/>
      </c>
    </row>
    <row r="590" spans="1:10">
      <c r="A590">
        <v>2023</v>
      </c>
      <c r="B590" t="s">
        <v>1429</v>
      </c>
      <c r="C590" t="s">
        <v>1431</v>
      </c>
      <c r="D590" t="s">
        <v>1433</v>
      </c>
      <c r="E590" t="s">
        <v>47</v>
      </c>
      <c r="F590" t="s">
        <v>47</v>
      </c>
      <c r="G590" s="28">
        <v>6047197</v>
      </c>
      <c r="H590">
        <v>0</v>
      </c>
      <c r="I590" s="29">
        <f t="shared" si="9"/>
        <v>6047197</v>
      </c>
      <c r="J590" t="str">
        <f>IFERROR(VLOOKUP(E590,'LEAID Match'!$A$2:$B$168,2,FALSE),"")</f>
        <v/>
      </c>
    </row>
    <row r="591" spans="1:10">
      <c r="A591">
        <v>2015</v>
      </c>
      <c r="B591" t="s">
        <v>1429</v>
      </c>
      <c r="C591" t="s">
        <v>1431</v>
      </c>
      <c r="D591" t="s">
        <v>1433</v>
      </c>
      <c r="E591" t="s">
        <v>561</v>
      </c>
      <c r="F591" s="9" t="s">
        <v>1021</v>
      </c>
      <c r="G591" s="18">
        <v>4485980.83</v>
      </c>
      <c r="H591">
        <v>0</v>
      </c>
      <c r="I591" s="29">
        <f t="shared" si="9"/>
        <v>4485980.83</v>
      </c>
      <c r="J591" t="str">
        <f>IFERROR(VLOOKUP(E591,'LEAID Match'!$A$2:$B$168,2,FALSE),"")</f>
        <v/>
      </c>
    </row>
    <row r="592" spans="1:10">
      <c r="A592">
        <v>2016</v>
      </c>
      <c r="B592" t="s">
        <v>1429</v>
      </c>
      <c r="C592" t="s">
        <v>1431</v>
      </c>
      <c r="D592" t="s">
        <v>1433</v>
      </c>
      <c r="E592" t="s">
        <v>561</v>
      </c>
      <c r="F592" t="s">
        <v>561</v>
      </c>
      <c r="G592" s="28">
        <v>4872434</v>
      </c>
      <c r="H592">
        <v>0</v>
      </c>
      <c r="I592" s="29">
        <f t="shared" si="9"/>
        <v>4872434</v>
      </c>
      <c r="J592" t="str">
        <f>IFERROR(VLOOKUP(E592,'LEAID Match'!$A$2:$B$168,2,FALSE),"")</f>
        <v/>
      </c>
    </row>
    <row r="593" spans="1:10">
      <c r="A593">
        <v>2017</v>
      </c>
      <c r="B593" t="s">
        <v>1429</v>
      </c>
      <c r="C593" t="s">
        <v>1431</v>
      </c>
      <c r="D593" t="s">
        <v>1433</v>
      </c>
      <c r="E593" t="s">
        <v>561</v>
      </c>
      <c r="F593" t="s">
        <v>561</v>
      </c>
      <c r="G593" s="28">
        <v>5133632</v>
      </c>
      <c r="H593">
        <v>0</v>
      </c>
      <c r="I593" s="29">
        <f t="shared" si="9"/>
        <v>5133632</v>
      </c>
      <c r="J593" t="str">
        <f>IFERROR(VLOOKUP(E593,'LEAID Match'!$A$2:$B$168,2,FALSE),"")</f>
        <v/>
      </c>
    </row>
    <row r="594" spans="1:10">
      <c r="A594" s="27">
        <v>2018</v>
      </c>
      <c r="B594" t="s">
        <v>1429</v>
      </c>
      <c r="C594" t="s">
        <v>1431</v>
      </c>
      <c r="D594" t="s">
        <v>1433</v>
      </c>
      <c r="E594" t="s">
        <v>561</v>
      </c>
      <c r="F594" s="9" t="s">
        <v>561</v>
      </c>
      <c r="G594" s="18">
        <v>5597501</v>
      </c>
      <c r="H594">
        <v>0</v>
      </c>
      <c r="I594" s="29">
        <f t="shared" si="9"/>
        <v>5597501</v>
      </c>
      <c r="J594" t="str">
        <f>IFERROR(VLOOKUP(E594,'LEAID Match'!$A$2:$B$168,2,FALSE),"")</f>
        <v/>
      </c>
    </row>
    <row r="595" spans="1:10">
      <c r="A595">
        <v>2019</v>
      </c>
      <c r="B595" t="s">
        <v>1429</v>
      </c>
      <c r="C595" t="s">
        <v>1431</v>
      </c>
      <c r="D595" t="s">
        <v>1433</v>
      </c>
      <c r="E595" t="s">
        <v>561</v>
      </c>
      <c r="F595" s="9" t="s">
        <v>561</v>
      </c>
      <c r="G595" s="18">
        <v>5757092</v>
      </c>
      <c r="H595">
        <v>0</v>
      </c>
      <c r="I595" s="29">
        <f t="shared" si="9"/>
        <v>5757092</v>
      </c>
      <c r="J595" t="str">
        <f>IFERROR(VLOOKUP(E595,'LEAID Match'!$A$2:$B$168,2,FALSE),"")</f>
        <v/>
      </c>
    </row>
    <row r="596" spans="1:10">
      <c r="A596">
        <v>2015</v>
      </c>
      <c r="B596" t="s">
        <v>1429</v>
      </c>
      <c r="C596" t="s">
        <v>1431</v>
      </c>
      <c r="D596" t="s">
        <v>1433</v>
      </c>
      <c r="E596" t="s">
        <v>425</v>
      </c>
      <c r="F596" s="9" t="s">
        <v>1022</v>
      </c>
      <c r="G596" s="18">
        <v>14737.56</v>
      </c>
      <c r="H596">
        <v>0</v>
      </c>
      <c r="I596" s="29">
        <f t="shared" si="9"/>
        <v>14737.56</v>
      </c>
      <c r="J596" t="str">
        <f>IFERROR(VLOOKUP(E596,'LEAID Match'!$A$2:$B$168,2,FALSE),"")</f>
        <v/>
      </c>
    </row>
    <row r="597" spans="1:10">
      <c r="A597">
        <v>2016</v>
      </c>
      <c r="B597" t="s">
        <v>1429</v>
      </c>
      <c r="C597" t="s">
        <v>1431</v>
      </c>
      <c r="D597" t="s">
        <v>1433</v>
      </c>
      <c r="E597" t="s">
        <v>425</v>
      </c>
      <c r="F597" t="s">
        <v>425</v>
      </c>
      <c r="G597" s="28">
        <v>8221</v>
      </c>
      <c r="H597">
        <v>0</v>
      </c>
      <c r="I597" s="29">
        <f t="shared" si="9"/>
        <v>8221</v>
      </c>
      <c r="J597" t="str">
        <f>IFERROR(VLOOKUP(E597,'LEAID Match'!$A$2:$B$168,2,FALSE),"")</f>
        <v/>
      </c>
    </row>
    <row r="598" spans="1:10">
      <c r="A598">
        <v>2017</v>
      </c>
      <c r="B598" t="s">
        <v>1429</v>
      </c>
      <c r="C598" t="s">
        <v>1431</v>
      </c>
      <c r="D598" t="s">
        <v>1433</v>
      </c>
      <c r="E598" t="s">
        <v>425</v>
      </c>
      <c r="F598" t="s">
        <v>425</v>
      </c>
      <c r="G598" s="28">
        <v>0</v>
      </c>
      <c r="H598">
        <v>0</v>
      </c>
      <c r="I598" s="29">
        <f t="shared" si="9"/>
        <v>0</v>
      </c>
      <c r="J598" t="str">
        <f>IFERROR(VLOOKUP(E598,'LEAID Match'!$A$2:$B$168,2,FALSE),"")</f>
        <v/>
      </c>
    </row>
    <row r="599" spans="1:10">
      <c r="A599" s="27">
        <v>2018</v>
      </c>
      <c r="B599" t="s">
        <v>1429</v>
      </c>
      <c r="C599" t="s">
        <v>1431</v>
      </c>
      <c r="D599" t="s">
        <v>1433</v>
      </c>
      <c r="E599" t="s">
        <v>425</v>
      </c>
      <c r="F599" s="9" t="s">
        <v>425</v>
      </c>
      <c r="G599" s="18"/>
      <c r="H599">
        <v>0</v>
      </c>
      <c r="I599" s="29">
        <f t="shared" si="9"/>
        <v>0</v>
      </c>
      <c r="J599" t="str">
        <f>IFERROR(VLOOKUP(E599,'LEAID Match'!$A$2:$B$168,2,FALSE),"")</f>
        <v/>
      </c>
    </row>
    <row r="600" spans="1:10">
      <c r="A600">
        <v>2019</v>
      </c>
      <c r="B600" t="s">
        <v>1429</v>
      </c>
      <c r="C600" t="s">
        <v>1431</v>
      </c>
      <c r="D600" t="s">
        <v>1433</v>
      </c>
      <c r="E600" t="s">
        <v>425</v>
      </c>
      <c r="F600" s="9" t="s">
        <v>425</v>
      </c>
      <c r="G600" s="18"/>
      <c r="H600">
        <v>0</v>
      </c>
      <c r="I600" s="29">
        <f t="shared" si="9"/>
        <v>0</v>
      </c>
      <c r="J600" t="str">
        <f>IFERROR(VLOOKUP(E600,'LEAID Match'!$A$2:$B$168,2,FALSE),"")</f>
        <v/>
      </c>
    </row>
    <row r="601" spans="1:10">
      <c r="A601" s="27">
        <v>2020</v>
      </c>
      <c r="B601" t="s">
        <v>1429</v>
      </c>
      <c r="C601" t="s">
        <v>1431</v>
      </c>
      <c r="D601" t="s">
        <v>1433</v>
      </c>
      <c r="E601" t="s">
        <v>425</v>
      </c>
      <c r="F601" s="9" t="s">
        <v>425</v>
      </c>
      <c r="G601" s="18"/>
      <c r="H601">
        <v>0</v>
      </c>
      <c r="I601" s="29">
        <f t="shared" si="9"/>
        <v>0</v>
      </c>
      <c r="J601" t="str">
        <f>IFERROR(VLOOKUP(E601,'LEAID Match'!$A$2:$B$168,2,FALSE),"")</f>
        <v/>
      </c>
    </row>
    <row r="602" spans="1:10">
      <c r="A602">
        <v>2021</v>
      </c>
      <c r="B602" t="s">
        <v>1429</v>
      </c>
      <c r="C602" t="s">
        <v>1431</v>
      </c>
      <c r="D602" t="s">
        <v>1433</v>
      </c>
      <c r="E602" t="s">
        <v>425</v>
      </c>
      <c r="F602" s="9" t="s">
        <v>425</v>
      </c>
      <c r="G602" s="18"/>
      <c r="H602">
        <v>0</v>
      </c>
      <c r="I602" s="29">
        <f t="shared" si="9"/>
        <v>0</v>
      </c>
      <c r="J602" t="str">
        <f>IFERROR(VLOOKUP(E602,'LEAID Match'!$A$2:$B$168,2,FALSE),"")</f>
        <v/>
      </c>
    </row>
    <row r="603" spans="1:10">
      <c r="A603">
        <v>2015</v>
      </c>
      <c r="B603" t="s">
        <v>1429</v>
      </c>
      <c r="C603" t="s">
        <v>1431</v>
      </c>
      <c r="D603" t="s">
        <v>1433</v>
      </c>
      <c r="E603" t="s">
        <v>48</v>
      </c>
      <c r="F603" s="9" t="s">
        <v>1023</v>
      </c>
      <c r="G603" s="18">
        <v>4607473.84</v>
      </c>
      <c r="H603">
        <v>0</v>
      </c>
      <c r="I603" s="29">
        <f t="shared" si="9"/>
        <v>4607473.84</v>
      </c>
      <c r="J603">
        <f>IFERROR(VLOOKUP(E603,'LEAID Match'!$A$2:$B$168,2,FALSE),"")</f>
        <v>3302460</v>
      </c>
    </row>
    <row r="604" spans="1:10">
      <c r="A604">
        <v>2016</v>
      </c>
      <c r="B604" t="s">
        <v>1429</v>
      </c>
      <c r="C604" t="s">
        <v>1431</v>
      </c>
      <c r="D604" t="s">
        <v>1433</v>
      </c>
      <c r="E604" t="s">
        <v>48</v>
      </c>
      <c r="F604" t="s">
        <v>562</v>
      </c>
      <c r="G604" s="28">
        <v>4399148</v>
      </c>
      <c r="H604">
        <v>0</v>
      </c>
      <c r="I604" s="29">
        <f t="shared" si="9"/>
        <v>4399148</v>
      </c>
      <c r="J604">
        <f>IFERROR(VLOOKUP(E604,'LEAID Match'!$A$2:$B$168,2,FALSE),"")</f>
        <v>3302460</v>
      </c>
    </row>
    <row r="605" spans="1:10">
      <c r="A605">
        <v>2017</v>
      </c>
      <c r="B605" t="s">
        <v>1429</v>
      </c>
      <c r="C605" t="s">
        <v>1431</v>
      </c>
      <c r="D605" t="s">
        <v>1433</v>
      </c>
      <c r="E605" t="s">
        <v>48</v>
      </c>
      <c r="F605" t="s">
        <v>562</v>
      </c>
      <c r="G605" s="28">
        <v>4504606</v>
      </c>
      <c r="H605">
        <v>0</v>
      </c>
      <c r="I605" s="29">
        <f t="shared" si="9"/>
        <v>4504606</v>
      </c>
      <c r="J605">
        <f>IFERROR(VLOOKUP(E605,'LEAID Match'!$A$2:$B$168,2,FALSE),"")</f>
        <v>3302460</v>
      </c>
    </row>
    <row r="606" spans="1:10">
      <c r="A606" s="27">
        <v>2018</v>
      </c>
      <c r="B606" t="s">
        <v>1429</v>
      </c>
      <c r="C606" t="s">
        <v>1431</v>
      </c>
      <c r="D606" t="s">
        <v>1433</v>
      </c>
      <c r="E606" t="s">
        <v>48</v>
      </c>
      <c r="F606" s="9" t="s">
        <v>562</v>
      </c>
      <c r="G606" s="18">
        <v>5573060</v>
      </c>
      <c r="H606">
        <v>0</v>
      </c>
      <c r="I606" s="29">
        <f t="shared" si="9"/>
        <v>5573060</v>
      </c>
      <c r="J606">
        <f>IFERROR(VLOOKUP(E606,'LEAID Match'!$A$2:$B$168,2,FALSE),"")</f>
        <v>3302460</v>
      </c>
    </row>
    <row r="607" spans="1:10">
      <c r="A607">
        <v>2019</v>
      </c>
      <c r="B607" t="s">
        <v>1429</v>
      </c>
      <c r="C607" t="s">
        <v>1431</v>
      </c>
      <c r="D607" t="s">
        <v>1433</v>
      </c>
      <c r="E607" t="s">
        <v>48</v>
      </c>
      <c r="F607" s="9" t="s">
        <v>562</v>
      </c>
      <c r="G607" s="18">
        <v>5711281</v>
      </c>
      <c r="H607">
        <v>0</v>
      </c>
      <c r="I607" s="29">
        <f t="shared" si="9"/>
        <v>5711281</v>
      </c>
      <c r="J607">
        <f>IFERROR(VLOOKUP(E607,'LEAID Match'!$A$2:$B$168,2,FALSE),"")</f>
        <v>3302460</v>
      </c>
    </row>
    <row r="608" spans="1:10">
      <c r="A608" s="27">
        <v>2020</v>
      </c>
      <c r="B608" t="s">
        <v>1429</v>
      </c>
      <c r="C608" t="s">
        <v>1431</v>
      </c>
      <c r="D608" t="s">
        <v>1433</v>
      </c>
      <c r="E608" t="s">
        <v>48</v>
      </c>
      <c r="F608" s="9" t="s">
        <v>48</v>
      </c>
      <c r="G608" s="18">
        <v>5988664</v>
      </c>
      <c r="H608">
        <v>0</v>
      </c>
      <c r="I608" s="29">
        <f t="shared" si="9"/>
        <v>5988664</v>
      </c>
      <c r="J608">
        <f>IFERROR(VLOOKUP(E608,'LEAID Match'!$A$2:$B$168,2,FALSE),"")</f>
        <v>3302460</v>
      </c>
    </row>
    <row r="609" spans="1:10">
      <c r="A609">
        <v>2021</v>
      </c>
      <c r="B609" t="s">
        <v>1429</v>
      </c>
      <c r="C609" t="s">
        <v>1431</v>
      </c>
      <c r="D609" t="s">
        <v>1433</v>
      </c>
      <c r="E609" t="s">
        <v>48</v>
      </c>
      <c r="F609" s="9" t="s">
        <v>48</v>
      </c>
      <c r="G609" s="18">
        <v>6298991</v>
      </c>
      <c r="H609">
        <v>0</v>
      </c>
      <c r="I609" s="29">
        <f t="shared" si="9"/>
        <v>6298991</v>
      </c>
      <c r="J609">
        <f>IFERROR(VLOOKUP(E609,'LEAID Match'!$A$2:$B$168,2,FALSE),"")</f>
        <v>3302460</v>
      </c>
    </row>
    <row r="610" spans="1:10">
      <c r="A610">
        <v>2022</v>
      </c>
      <c r="B610" t="s">
        <v>1429</v>
      </c>
      <c r="C610" t="s">
        <v>1431</v>
      </c>
      <c r="D610" t="s">
        <v>1433</v>
      </c>
      <c r="E610" t="s">
        <v>48</v>
      </c>
      <c r="F610" s="9" t="s">
        <v>48</v>
      </c>
      <c r="G610" s="18">
        <v>8044021</v>
      </c>
      <c r="H610">
        <v>0</v>
      </c>
      <c r="I610" s="29">
        <f t="shared" si="9"/>
        <v>8044021</v>
      </c>
      <c r="J610">
        <f>IFERROR(VLOOKUP(E610,'LEAID Match'!$A$2:$B$168,2,FALSE),"")</f>
        <v>3302460</v>
      </c>
    </row>
    <row r="611" spans="1:10">
      <c r="A611">
        <v>2023</v>
      </c>
      <c r="B611" t="s">
        <v>1429</v>
      </c>
      <c r="C611" t="s">
        <v>1431</v>
      </c>
      <c r="D611" t="s">
        <v>1433</v>
      </c>
      <c r="E611" t="s">
        <v>48</v>
      </c>
      <c r="F611" t="s">
        <v>48</v>
      </c>
      <c r="G611" s="28">
        <v>8475299</v>
      </c>
      <c r="H611">
        <v>0</v>
      </c>
      <c r="I611" s="29">
        <f t="shared" si="9"/>
        <v>8475299</v>
      </c>
      <c r="J611">
        <f>IFERROR(VLOOKUP(E611,'LEAID Match'!$A$2:$B$168,2,FALSE),"")</f>
        <v>3302460</v>
      </c>
    </row>
    <row r="612" spans="1:10">
      <c r="A612">
        <v>2015</v>
      </c>
      <c r="B612" t="s">
        <v>1429</v>
      </c>
      <c r="C612" t="s">
        <v>1431</v>
      </c>
      <c r="D612" t="s">
        <v>1433</v>
      </c>
      <c r="E612" t="s">
        <v>49</v>
      </c>
      <c r="F612" s="9" t="s">
        <v>1024</v>
      </c>
      <c r="G612" s="18">
        <v>2367092.2000000002</v>
      </c>
      <c r="H612">
        <v>0</v>
      </c>
      <c r="I612" s="29">
        <f t="shared" si="9"/>
        <v>2367092.2000000002</v>
      </c>
      <c r="J612">
        <f>IFERROR(VLOOKUP(E612,'LEAID Match'!$A$2:$B$168,2,FALSE),"")</f>
        <v>3302480</v>
      </c>
    </row>
    <row r="613" spans="1:10">
      <c r="A613">
        <v>2016</v>
      </c>
      <c r="B613" t="s">
        <v>1429</v>
      </c>
      <c r="C613" t="s">
        <v>1431</v>
      </c>
      <c r="D613" t="s">
        <v>1433</v>
      </c>
      <c r="E613" t="s">
        <v>49</v>
      </c>
      <c r="F613" t="s">
        <v>563</v>
      </c>
      <c r="G613" s="28">
        <v>2495340</v>
      </c>
      <c r="H613">
        <v>0</v>
      </c>
      <c r="I613" s="29">
        <f t="shared" si="9"/>
        <v>2495340</v>
      </c>
      <c r="J613">
        <f>IFERROR(VLOOKUP(E613,'LEAID Match'!$A$2:$B$168,2,FALSE),"")</f>
        <v>3302480</v>
      </c>
    </row>
    <row r="614" spans="1:10">
      <c r="A614">
        <v>2017</v>
      </c>
      <c r="B614" t="s">
        <v>1429</v>
      </c>
      <c r="C614" t="s">
        <v>1431</v>
      </c>
      <c r="D614" t="s">
        <v>1433</v>
      </c>
      <c r="E614" t="s">
        <v>49</v>
      </c>
      <c r="F614" t="s">
        <v>563</v>
      </c>
      <c r="G614" s="28">
        <v>2488683</v>
      </c>
      <c r="H614">
        <v>0</v>
      </c>
      <c r="I614" s="29">
        <f t="shared" si="9"/>
        <v>2488683</v>
      </c>
      <c r="J614">
        <f>IFERROR(VLOOKUP(E614,'LEAID Match'!$A$2:$B$168,2,FALSE),"")</f>
        <v>3302480</v>
      </c>
    </row>
    <row r="615" spans="1:10">
      <c r="A615" s="27">
        <v>2018</v>
      </c>
      <c r="B615" t="s">
        <v>1429</v>
      </c>
      <c r="C615" t="s">
        <v>1431</v>
      </c>
      <c r="D615" t="s">
        <v>1433</v>
      </c>
      <c r="E615" t="s">
        <v>49</v>
      </c>
      <c r="F615" s="9" t="s">
        <v>563</v>
      </c>
      <c r="G615" s="18">
        <v>3003431</v>
      </c>
      <c r="H615">
        <v>0</v>
      </c>
      <c r="I615" s="29">
        <f t="shared" si="9"/>
        <v>3003431</v>
      </c>
      <c r="J615">
        <f>IFERROR(VLOOKUP(E615,'LEAID Match'!$A$2:$B$168,2,FALSE),"")</f>
        <v>3302480</v>
      </c>
    </row>
    <row r="616" spans="1:10">
      <c r="A616">
        <v>2019</v>
      </c>
      <c r="B616" t="s">
        <v>1429</v>
      </c>
      <c r="C616" t="s">
        <v>1431</v>
      </c>
      <c r="D616" t="s">
        <v>1433</v>
      </c>
      <c r="E616" t="s">
        <v>49</v>
      </c>
      <c r="F616" s="9" t="s">
        <v>563</v>
      </c>
      <c r="G616" s="18">
        <v>3142012</v>
      </c>
      <c r="H616">
        <v>0</v>
      </c>
      <c r="I616" s="29">
        <f t="shared" si="9"/>
        <v>3142012</v>
      </c>
      <c r="J616">
        <f>IFERROR(VLOOKUP(E616,'LEAID Match'!$A$2:$B$168,2,FALSE),"")</f>
        <v>3302480</v>
      </c>
    </row>
    <row r="617" spans="1:10">
      <c r="A617" s="27">
        <v>2020</v>
      </c>
      <c r="B617" t="s">
        <v>1429</v>
      </c>
      <c r="C617" t="s">
        <v>1431</v>
      </c>
      <c r="D617" t="s">
        <v>1433</v>
      </c>
      <c r="E617" t="s">
        <v>49</v>
      </c>
      <c r="F617" s="9" t="s">
        <v>49</v>
      </c>
      <c r="G617" s="18">
        <v>3274588</v>
      </c>
      <c r="H617">
        <v>0</v>
      </c>
      <c r="I617" s="29">
        <f t="shared" si="9"/>
        <v>3274588</v>
      </c>
      <c r="J617">
        <f>IFERROR(VLOOKUP(E617,'LEAID Match'!$A$2:$B$168,2,FALSE),"")</f>
        <v>3302480</v>
      </c>
    </row>
    <row r="618" spans="1:10">
      <c r="A618">
        <v>2021</v>
      </c>
      <c r="B618" t="s">
        <v>1429</v>
      </c>
      <c r="C618" t="s">
        <v>1431</v>
      </c>
      <c r="D618" t="s">
        <v>1433</v>
      </c>
      <c r="E618" t="s">
        <v>49</v>
      </c>
      <c r="F618" s="9" t="s">
        <v>49</v>
      </c>
      <c r="G618" s="18">
        <v>3523970</v>
      </c>
      <c r="H618">
        <v>0</v>
      </c>
      <c r="I618" s="29">
        <f t="shared" si="9"/>
        <v>3523970</v>
      </c>
      <c r="J618">
        <f>IFERROR(VLOOKUP(E618,'LEAID Match'!$A$2:$B$168,2,FALSE),"")</f>
        <v>3302480</v>
      </c>
    </row>
    <row r="619" spans="1:10">
      <c r="A619">
        <v>2022</v>
      </c>
      <c r="B619" t="s">
        <v>1429</v>
      </c>
      <c r="C619" t="s">
        <v>1431</v>
      </c>
      <c r="D619" t="s">
        <v>1433</v>
      </c>
      <c r="E619" t="s">
        <v>49</v>
      </c>
      <c r="F619" s="9" t="s">
        <v>49</v>
      </c>
      <c r="G619" s="18">
        <v>4539986</v>
      </c>
      <c r="H619">
        <v>0</v>
      </c>
      <c r="I619" s="29">
        <f t="shared" si="9"/>
        <v>4539986</v>
      </c>
      <c r="J619">
        <f>IFERROR(VLOOKUP(E619,'LEAID Match'!$A$2:$B$168,2,FALSE),"")</f>
        <v>3302480</v>
      </c>
    </row>
    <row r="620" spans="1:10">
      <c r="A620">
        <v>2023</v>
      </c>
      <c r="B620" t="s">
        <v>1429</v>
      </c>
      <c r="C620" t="s">
        <v>1431</v>
      </c>
      <c r="D620" t="s">
        <v>1433</v>
      </c>
      <c r="E620" t="s">
        <v>49</v>
      </c>
      <c r="F620" t="s">
        <v>49</v>
      </c>
      <c r="G620" s="28">
        <v>4623072</v>
      </c>
      <c r="H620">
        <v>0</v>
      </c>
      <c r="I620" s="29">
        <f t="shared" si="9"/>
        <v>4623072</v>
      </c>
      <c r="J620">
        <f>IFERROR(VLOOKUP(E620,'LEAID Match'!$A$2:$B$168,2,FALSE),"")</f>
        <v>3302480</v>
      </c>
    </row>
    <row r="621" spans="1:10">
      <c r="A621">
        <v>2015</v>
      </c>
      <c r="B621" t="s">
        <v>1429</v>
      </c>
      <c r="C621" t="s">
        <v>1431</v>
      </c>
      <c r="D621" t="s">
        <v>1433</v>
      </c>
      <c r="E621" t="s">
        <v>564</v>
      </c>
      <c r="F621" s="9" t="s">
        <v>1025</v>
      </c>
      <c r="G621" s="18">
        <v>615575.53</v>
      </c>
      <c r="H621">
        <v>0</v>
      </c>
      <c r="I621" s="29">
        <f t="shared" si="9"/>
        <v>615575.53</v>
      </c>
      <c r="J621" t="str">
        <f>IFERROR(VLOOKUP(E621,'LEAID Match'!$A$2:$B$168,2,FALSE),"")</f>
        <v/>
      </c>
    </row>
    <row r="622" spans="1:10">
      <c r="A622">
        <v>2016</v>
      </c>
      <c r="B622" t="s">
        <v>1429</v>
      </c>
      <c r="C622" t="s">
        <v>1431</v>
      </c>
      <c r="D622" t="s">
        <v>1433</v>
      </c>
      <c r="E622" t="s">
        <v>564</v>
      </c>
      <c r="F622" t="s">
        <v>564</v>
      </c>
      <c r="G622" s="28">
        <v>675337</v>
      </c>
      <c r="H622">
        <v>0</v>
      </c>
      <c r="I622" s="29">
        <f t="shared" si="9"/>
        <v>675337</v>
      </c>
      <c r="J622" t="str">
        <f>IFERROR(VLOOKUP(E622,'LEAID Match'!$A$2:$B$168,2,FALSE),"")</f>
        <v/>
      </c>
    </row>
    <row r="623" spans="1:10">
      <c r="A623">
        <v>2017</v>
      </c>
      <c r="B623" t="s">
        <v>1429</v>
      </c>
      <c r="C623" t="s">
        <v>1431</v>
      </c>
      <c r="D623" t="s">
        <v>1433</v>
      </c>
      <c r="E623" t="s">
        <v>564</v>
      </c>
      <c r="F623" t="s">
        <v>564</v>
      </c>
      <c r="G623" s="28">
        <v>710927</v>
      </c>
      <c r="H623">
        <v>0</v>
      </c>
      <c r="I623" s="29">
        <f t="shared" si="9"/>
        <v>710927</v>
      </c>
      <c r="J623" t="str">
        <f>IFERROR(VLOOKUP(E623,'LEAID Match'!$A$2:$B$168,2,FALSE),"")</f>
        <v/>
      </c>
    </row>
    <row r="624" spans="1:10">
      <c r="A624" s="27">
        <v>2018</v>
      </c>
      <c r="B624" t="s">
        <v>1429</v>
      </c>
      <c r="C624" t="s">
        <v>1431</v>
      </c>
      <c r="D624" t="s">
        <v>1433</v>
      </c>
      <c r="E624" t="s">
        <v>564</v>
      </c>
      <c r="F624" s="9" t="s">
        <v>564</v>
      </c>
      <c r="G624" s="18">
        <v>798665</v>
      </c>
      <c r="H624">
        <v>0</v>
      </c>
      <c r="I624" s="29">
        <f t="shared" si="9"/>
        <v>798665</v>
      </c>
      <c r="J624" t="str">
        <f>IFERROR(VLOOKUP(E624,'LEAID Match'!$A$2:$B$168,2,FALSE),"")</f>
        <v/>
      </c>
    </row>
    <row r="625" spans="1:10">
      <c r="A625">
        <v>2019</v>
      </c>
      <c r="B625" t="s">
        <v>1429</v>
      </c>
      <c r="C625" t="s">
        <v>1431</v>
      </c>
      <c r="D625" t="s">
        <v>1433</v>
      </c>
      <c r="E625" t="s">
        <v>564</v>
      </c>
      <c r="F625" s="9" t="s">
        <v>564</v>
      </c>
      <c r="G625" s="18">
        <v>785851</v>
      </c>
      <c r="H625">
        <v>0</v>
      </c>
      <c r="I625" s="29">
        <f t="shared" si="9"/>
        <v>785851</v>
      </c>
      <c r="J625" t="str">
        <f>IFERROR(VLOOKUP(E625,'LEAID Match'!$A$2:$B$168,2,FALSE),"")</f>
        <v/>
      </c>
    </row>
    <row r="626" spans="1:10">
      <c r="A626">
        <v>2015</v>
      </c>
      <c r="B626" t="s">
        <v>1429</v>
      </c>
      <c r="C626" t="s">
        <v>1431</v>
      </c>
      <c r="D626" t="s">
        <v>1433</v>
      </c>
      <c r="E626" t="s">
        <v>50</v>
      </c>
      <c r="F626" s="9" t="s">
        <v>1026</v>
      </c>
      <c r="G626" s="18">
        <v>1474631.38</v>
      </c>
      <c r="H626">
        <v>0</v>
      </c>
      <c r="I626" s="29">
        <f t="shared" si="9"/>
        <v>1474631.38</v>
      </c>
      <c r="J626">
        <f>IFERROR(VLOOKUP(E626,'LEAID Match'!$A$2:$B$168,2,FALSE),"")</f>
        <v>3302490</v>
      </c>
    </row>
    <row r="627" spans="1:10">
      <c r="A627">
        <v>2016</v>
      </c>
      <c r="B627" t="s">
        <v>1429</v>
      </c>
      <c r="C627" t="s">
        <v>1431</v>
      </c>
      <c r="D627" t="s">
        <v>1433</v>
      </c>
      <c r="E627" t="s">
        <v>50</v>
      </c>
      <c r="F627" t="s">
        <v>565</v>
      </c>
      <c r="G627" s="28">
        <v>1565476</v>
      </c>
      <c r="H627">
        <v>0</v>
      </c>
      <c r="I627" s="29">
        <f t="shared" si="9"/>
        <v>1565476</v>
      </c>
      <c r="J627">
        <f>IFERROR(VLOOKUP(E627,'LEAID Match'!$A$2:$B$168,2,FALSE),"")</f>
        <v>3302490</v>
      </c>
    </row>
    <row r="628" spans="1:10">
      <c r="A628">
        <v>2017</v>
      </c>
      <c r="B628" t="s">
        <v>1429</v>
      </c>
      <c r="C628" t="s">
        <v>1431</v>
      </c>
      <c r="D628" t="s">
        <v>1433</v>
      </c>
      <c r="E628" t="s">
        <v>50</v>
      </c>
      <c r="F628" t="s">
        <v>565</v>
      </c>
      <c r="G628" s="28">
        <v>1621037</v>
      </c>
      <c r="H628">
        <v>0</v>
      </c>
      <c r="I628" s="29">
        <f t="shared" si="9"/>
        <v>1621037</v>
      </c>
      <c r="J628">
        <f>IFERROR(VLOOKUP(E628,'LEAID Match'!$A$2:$B$168,2,FALSE),"")</f>
        <v>3302490</v>
      </c>
    </row>
    <row r="629" spans="1:10">
      <c r="A629" s="27">
        <v>2018</v>
      </c>
      <c r="B629" t="s">
        <v>1429</v>
      </c>
      <c r="C629" t="s">
        <v>1431</v>
      </c>
      <c r="D629" t="s">
        <v>1433</v>
      </c>
      <c r="E629" t="s">
        <v>50</v>
      </c>
      <c r="F629" s="9" t="s">
        <v>565</v>
      </c>
      <c r="G629" s="18">
        <v>1935391</v>
      </c>
      <c r="H629">
        <v>0</v>
      </c>
      <c r="I629" s="29">
        <f t="shared" si="9"/>
        <v>1935391</v>
      </c>
      <c r="J629">
        <f>IFERROR(VLOOKUP(E629,'LEAID Match'!$A$2:$B$168,2,FALSE),"")</f>
        <v>3302490</v>
      </c>
    </row>
    <row r="630" spans="1:10">
      <c r="A630">
        <v>2019</v>
      </c>
      <c r="B630" t="s">
        <v>1429</v>
      </c>
      <c r="C630" t="s">
        <v>1431</v>
      </c>
      <c r="D630" t="s">
        <v>1433</v>
      </c>
      <c r="E630" t="s">
        <v>50</v>
      </c>
      <c r="F630" s="9" t="s">
        <v>565</v>
      </c>
      <c r="G630" s="18">
        <v>1919752</v>
      </c>
      <c r="H630">
        <v>0</v>
      </c>
      <c r="I630" s="29">
        <f t="shared" si="9"/>
        <v>1919752</v>
      </c>
      <c r="J630">
        <f>IFERROR(VLOOKUP(E630,'LEAID Match'!$A$2:$B$168,2,FALSE),"")</f>
        <v>3302490</v>
      </c>
    </row>
    <row r="631" spans="1:10">
      <c r="A631" s="27">
        <v>2020</v>
      </c>
      <c r="B631" t="s">
        <v>1429</v>
      </c>
      <c r="C631" t="s">
        <v>1431</v>
      </c>
      <c r="D631" t="s">
        <v>1433</v>
      </c>
      <c r="E631" t="s">
        <v>50</v>
      </c>
      <c r="F631" s="9" t="s">
        <v>50</v>
      </c>
      <c r="G631" s="18">
        <v>1989361</v>
      </c>
      <c r="H631">
        <v>0</v>
      </c>
      <c r="I631" s="29">
        <f t="shared" si="9"/>
        <v>1989361</v>
      </c>
      <c r="J631">
        <f>IFERROR(VLOOKUP(E631,'LEAID Match'!$A$2:$B$168,2,FALSE),"")</f>
        <v>3302490</v>
      </c>
    </row>
    <row r="632" spans="1:10">
      <c r="A632">
        <v>2021</v>
      </c>
      <c r="B632" t="s">
        <v>1429</v>
      </c>
      <c r="C632" t="s">
        <v>1431</v>
      </c>
      <c r="D632" t="s">
        <v>1433</v>
      </c>
      <c r="E632" t="s">
        <v>50</v>
      </c>
      <c r="F632" s="9" t="s">
        <v>50</v>
      </c>
      <c r="G632" s="18">
        <v>2111056</v>
      </c>
      <c r="H632">
        <v>0</v>
      </c>
      <c r="I632" s="29">
        <f t="shared" si="9"/>
        <v>2111056</v>
      </c>
      <c r="J632">
        <f>IFERROR(VLOOKUP(E632,'LEAID Match'!$A$2:$B$168,2,FALSE),"")</f>
        <v>3302490</v>
      </c>
    </row>
    <row r="633" spans="1:10">
      <c r="A633">
        <v>2022</v>
      </c>
      <c r="B633" t="s">
        <v>1429</v>
      </c>
      <c r="C633" t="s">
        <v>1431</v>
      </c>
      <c r="D633" t="s">
        <v>1433</v>
      </c>
      <c r="E633" t="s">
        <v>50</v>
      </c>
      <c r="F633" s="9" t="s">
        <v>50</v>
      </c>
      <c r="G633" s="18">
        <v>2648791</v>
      </c>
      <c r="H633">
        <v>0</v>
      </c>
      <c r="I633" s="29">
        <f t="shared" si="9"/>
        <v>2648791</v>
      </c>
      <c r="J633">
        <f>IFERROR(VLOOKUP(E633,'LEAID Match'!$A$2:$B$168,2,FALSE),"")</f>
        <v>3302490</v>
      </c>
    </row>
    <row r="634" spans="1:10">
      <c r="A634">
        <v>2023</v>
      </c>
      <c r="B634" t="s">
        <v>1429</v>
      </c>
      <c r="C634" t="s">
        <v>1431</v>
      </c>
      <c r="D634" t="s">
        <v>1433</v>
      </c>
      <c r="E634" t="s">
        <v>50</v>
      </c>
      <c r="F634" t="s">
        <v>50</v>
      </c>
      <c r="G634" s="28">
        <v>2738060</v>
      </c>
      <c r="H634">
        <v>0</v>
      </c>
      <c r="I634" s="29">
        <f t="shared" si="9"/>
        <v>2738060</v>
      </c>
      <c r="J634">
        <f>IFERROR(VLOOKUP(E634,'LEAID Match'!$A$2:$B$168,2,FALSE),"")</f>
        <v>3302490</v>
      </c>
    </row>
    <row r="635" spans="1:10">
      <c r="A635">
        <v>2015</v>
      </c>
      <c r="B635" t="s">
        <v>1429</v>
      </c>
      <c r="C635" t="s">
        <v>1431</v>
      </c>
      <c r="D635" t="s">
        <v>1433</v>
      </c>
      <c r="E635" t="s">
        <v>51</v>
      </c>
      <c r="F635" s="9" t="s">
        <v>1027</v>
      </c>
      <c r="G635" s="18">
        <v>104881.57</v>
      </c>
      <c r="H635">
        <v>0</v>
      </c>
      <c r="I635" s="29">
        <f t="shared" si="9"/>
        <v>104881.57</v>
      </c>
      <c r="J635" t="str">
        <f>IFERROR(VLOOKUP(E635,'LEAID Match'!$A$2:$B$168,2,FALSE),"")</f>
        <v/>
      </c>
    </row>
    <row r="636" spans="1:10">
      <c r="A636">
        <v>2016</v>
      </c>
      <c r="B636" t="s">
        <v>1429</v>
      </c>
      <c r="C636" t="s">
        <v>1431</v>
      </c>
      <c r="D636" t="s">
        <v>1433</v>
      </c>
      <c r="E636" t="s">
        <v>51</v>
      </c>
      <c r="F636" t="s">
        <v>51</v>
      </c>
      <c r="G636" s="28">
        <v>114596</v>
      </c>
      <c r="H636">
        <v>0</v>
      </c>
      <c r="I636" s="29">
        <f t="shared" si="9"/>
        <v>114596</v>
      </c>
      <c r="J636" t="str">
        <f>IFERROR(VLOOKUP(E636,'LEAID Match'!$A$2:$B$168,2,FALSE),"")</f>
        <v/>
      </c>
    </row>
    <row r="637" spans="1:10">
      <c r="A637">
        <v>2017</v>
      </c>
      <c r="B637" t="s">
        <v>1429</v>
      </c>
      <c r="C637" t="s">
        <v>1431</v>
      </c>
      <c r="D637" t="s">
        <v>1433</v>
      </c>
      <c r="E637" t="s">
        <v>51</v>
      </c>
      <c r="F637" t="s">
        <v>51</v>
      </c>
      <c r="G637" s="28">
        <v>117198</v>
      </c>
      <c r="H637">
        <v>0</v>
      </c>
      <c r="I637" s="29">
        <f t="shared" si="9"/>
        <v>117198</v>
      </c>
      <c r="J637" t="str">
        <f>IFERROR(VLOOKUP(E637,'LEAID Match'!$A$2:$B$168,2,FALSE),"")</f>
        <v/>
      </c>
    </row>
    <row r="638" spans="1:10">
      <c r="A638" s="27">
        <v>2018</v>
      </c>
      <c r="B638" t="s">
        <v>1429</v>
      </c>
      <c r="C638" t="s">
        <v>1431</v>
      </c>
      <c r="D638" t="s">
        <v>1433</v>
      </c>
      <c r="E638" t="s">
        <v>51</v>
      </c>
      <c r="F638" s="9" t="s">
        <v>51</v>
      </c>
      <c r="G638" s="18">
        <v>126495</v>
      </c>
      <c r="H638">
        <v>0</v>
      </c>
      <c r="I638" s="29">
        <f t="shared" si="9"/>
        <v>126495</v>
      </c>
      <c r="J638" t="str">
        <f>IFERROR(VLOOKUP(E638,'LEAID Match'!$A$2:$B$168,2,FALSE),"")</f>
        <v/>
      </c>
    </row>
    <row r="639" spans="1:10">
      <c r="A639">
        <v>2019</v>
      </c>
      <c r="B639" t="s">
        <v>1429</v>
      </c>
      <c r="C639" t="s">
        <v>1431</v>
      </c>
      <c r="D639" t="s">
        <v>1433</v>
      </c>
      <c r="E639" t="s">
        <v>51</v>
      </c>
      <c r="F639" s="9" t="s">
        <v>51</v>
      </c>
      <c r="G639" s="18">
        <v>132175</v>
      </c>
      <c r="H639">
        <v>0</v>
      </c>
      <c r="I639" s="29">
        <f t="shared" si="9"/>
        <v>132175</v>
      </c>
      <c r="J639" t="str">
        <f>IFERROR(VLOOKUP(E639,'LEAID Match'!$A$2:$B$168,2,FALSE),"")</f>
        <v/>
      </c>
    </row>
    <row r="640" spans="1:10">
      <c r="A640" s="27">
        <v>2020</v>
      </c>
      <c r="B640" t="s">
        <v>1429</v>
      </c>
      <c r="C640" t="s">
        <v>1431</v>
      </c>
      <c r="D640" t="s">
        <v>1433</v>
      </c>
      <c r="E640" t="s">
        <v>51</v>
      </c>
      <c r="F640" s="9" t="s">
        <v>51</v>
      </c>
      <c r="G640" s="18">
        <v>129520</v>
      </c>
      <c r="H640">
        <v>0</v>
      </c>
      <c r="I640" s="29">
        <f t="shared" si="9"/>
        <v>129520</v>
      </c>
      <c r="J640" t="str">
        <f>IFERROR(VLOOKUP(E640,'LEAID Match'!$A$2:$B$168,2,FALSE),"")</f>
        <v/>
      </c>
    </row>
    <row r="641" spans="1:10">
      <c r="A641">
        <v>2021</v>
      </c>
      <c r="B641" t="s">
        <v>1429</v>
      </c>
      <c r="C641" t="s">
        <v>1431</v>
      </c>
      <c r="D641" t="s">
        <v>1433</v>
      </c>
      <c r="E641" t="s">
        <v>51</v>
      </c>
      <c r="F641" s="9" t="s">
        <v>51</v>
      </c>
      <c r="G641" s="18">
        <v>133203</v>
      </c>
      <c r="H641">
        <v>0</v>
      </c>
      <c r="I641" s="29">
        <f t="shared" si="9"/>
        <v>133203</v>
      </c>
      <c r="J641" t="str">
        <f>IFERROR(VLOOKUP(E641,'LEAID Match'!$A$2:$B$168,2,FALSE),"")</f>
        <v/>
      </c>
    </row>
    <row r="642" spans="1:10">
      <c r="A642">
        <v>2022</v>
      </c>
      <c r="B642" t="s">
        <v>1429</v>
      </c>
      <c r="C642" t="s">
        <v>1431</v>
      </c>
      <c r="D642" t="s">
        <v>1433</v>
      </c>
      <c r="E642" t="s">
        <v>51</v>
      </c>
      <c r="F642" s="9" t="s">
        <v>51</v>
      </c>
      <c r="G642" s="18">
        <v>157095</v>
      </c>
      <c r="H642">
        <v>0</v>
      </c>
      <c r="I642" s="29">
        <f t="shared" si="9"/>
        <v>157095</v>
      </c>
      <c r="J642" t="str">
        <f>IFERROR(VLOOKUP(E642,'LEAID Match'!$A$2:$B$168,2,FALSE),"")</f>
        <v/>
      </c>
    </row>
    <row r="643" spans="1:10">
      <c r="A643">
        <v>2023</v>
      </c>
      <c r="B643" t="s">
        <v>1429</v>
      </c>
      <c r="C643" t="s">
        <v>1431</v>
      </c>
      <c r="D643" t="s">
        <v>1433</v>
      </c>
      <c r="E643" t="s">
        <v>51</v>
      </c>
      <c r="F643" t="s">
        <v>51</v>
      </c>
      <c r="G643" s="28">
        <v>185536</v>
      </c>
      <c r="H643">
        <v>0</v>
      </c>
      <c r="I643" s="29">
        <f t="shared" ref="I643:I706" si="10">SUM(G643:H643)</f>
        <v>185536</v>
      </c>
      <c r="J643" t="str">
        <f>IFERROR(VLOOKUP(E643,'LEAID Match'!$A$2:$B$168,2,FALSE),"")</f>
        <v/>
      </c>
    </row>
    <row r="644" spans="1:10">
      <c r="A644">
        <v>2016</v>
      </c>
      <c r="B644" t="s">
        <v>1429</v>
      </c>
      <c r="C644" t="s">
        <v>1431</v>
      </c>
      <c r="D644" t="s">
        <v>1433</v>
      </c>
      <c r="E644" t="s">
        <v>52</v>
      </c>
      <c r="F644" t="s">
        <v>52</v>
      </c>
      <c r="H644">
        <v>0</v>
      </c>
      <c r="I644" s="29">
        <f t="shared" si="10"/>
        <v>0</v>
      </c>
      <c r="J644" t="str">
        <f>IFERROR(VLOOKUP(E644,'LEAID Match'!$A$2:$B$168,2,FALSE),"")</f>
        <v/>
      </c>
    </row>
    <row r="645" spans="1:10">
      <c r="A645">
        <v>2017</v>
      </c>
      <c r="B645" t="s">
        <v>1429</v>
      </c>
      <c r="C645" t="s">
        <v>1431</v>
      </c>
      <c r="D645" t="s">
        <v>1433</v>
      </c>
      <c r="E645" t="s">
        <v>52</v>
      </c>
      <c r="F645" t="s">
        <v>52</v>
      </c>
      <c r="G645" s="28">
        <v>2451</v>
      </c>
      <c r="H645">
        <v>0</v>
      </c>
      <c r="I645" s="29">
        <f t="shared" si="10"/>
        <v>2451</v>
      </c>
      <c r="J645" t="str">
        <f>IFERROR(VLOOKUP(E645,'LEAID Match'!$A$2:$B$168,2,FALSE),"")</f>
        <v/>
      </c>
    </row>
    <row r="646" spans="1:10">
      <c r="A646" s="27">
        <v>2018</v>
      </c>
      <c r="B646" t="s">
        <v>1429</v>
      </c>
      <c r="C646" t="s">
        <v>1431</v>
      </c>
      <c r="D646" t="s">
        <v>1433</v>
      </c>
      <c r="E646" t="s">
        <v>52</v>
      </c>
      <c r="F646" s="9" t="s">
        <v>52</v>
      </c>
      <c r="G646" s="18">
        <v>4131</v>
      </c>
      <c r="H646">
        <v>0</v>
      </c>
      <c r="I646" s="29">
        <f t="shared" si="10"/>
        <v>4131</v>
      </c>
      <c r="J646" t="str">
        <f>IFERROR(VLOOKUP(E646,'LEAID Match'!$A$2:$B$168,2,FALSE),"")</f>
        <v/>
      </c>
    </row>
    <row r="647" spans="1:10">
      <c r="A647">
        <v>2019</v>
      </c>
      <c r="B647" t="s">
        <v>1429</v>
      </c>
      <c r="C647" t="s">
        <v>1431</v>
      </c>
      <c r="D647" t="s">
        <v>1433</v>
      </c>
      <c r="E647" t="s">
        <v>52</v>
      </c>
      <c r="F647" s="9" t="s">
        <v>52</v>
      </c>
      <c r="G647" s="18">
        <v>4210</v>
      </c>
      <c r="H647">
        <v>0</v>
      </c>
      <c r="I647" s="29">
        <f t="shared" si="10"/>
        <v>4210</v>
      </c>
      <c r="J647" t="str">
        <f>IFERROR(VLOOKUP(E647,'LEAID Match'!$A$2:$B$168,2,FALSE),"")</f>
        <v/>
      </c>
    </row>
    <row r="648" spans="1:10">
      <c r="A648" s="27">
        <v>2020</v>
      </c>
      <c r="B648" t="s">
        <v>1429</v>
      </c>
      <c r="C648" t="s">
        <v>1431</v>
      </c>
      <c r="D648" t="s">
        <v>1433</v>
      </c>
      <c r="E648" t="s">
        <v>52</v>
      </c>
      <c r="F648" s="9" t="s">
        <v>52</v>
      </c>
      <c r="G648" s="18">
        <v>4248</v>
      </c>
      <c r="H648">
        <v>0</v>
      </c>
      <c r="I648" s="29">
        <f t="shared" si="10"/>
        <v>4248</v>
      </c>
      <c r="J648" t="str">
        <f>IFERROR(VLOOKUP(E648,'LEAID Match'!$A$2:$B$168,2,FALSE),"")</f>
        <v/>
      </c>
    </row>
    <row r="649" spans="1:10">
      <c r="A649">
        <v>2021</v>
      </c>
      <c r="B649" t="s">
        <v>1429</v>
      </c>
      <c r="C649" t="s">
        <v>1431</v>
      </c>
      <c r="D649" t="s">
        <v>1433</v>
      </c>
      <c r="E649" t="s">
        <v>52</v>
      </c>
      <c r="F649" s="9" t="s">
        <v>52</v>
      </c>
      <c r="G649" s="18">
        <v>4341</v>
      </c>
      <c r="H649">
        <v>0</v>
      </c>
      <c r="I649" s="29">
        <f t="shared" si="10"/>
        <v>4341</v>
      </c>
      <c r="J649" t="str">
        <f>IFERROR(VLOOKUP(E649,'LEAID Match'!$A$2:$B$168,2,FALSE),"")</f>
        <v/>
      </c>
    </row>
    <row r="650" spans="1:10">
      <c r="A650">
        <v>2022</v>
      </c>
      <c r="B650" t="s">
        <v>1429</v>
      </c>
      <c r="C650" t="s">
        <v>1431</v>
      </c>
      <c r="D650" t="s">
        <v>1433</v>
      </c>
      <c r="E650" t="s">
        <v>52</v>
      </c>
      <c r="F650" s="9" t="s">
        <v>52</v>
      </c>
      <c r="G650" s="18">
        <v>5860</v>
      </c>
      <c r="H650">
        <v>0</v>
      </c>
      <c r="I650" s="29">
        <f t="shared" si="10"/>
        <v>5860</v>
      </c>
      <c r="J650" t="str">
        <f>IFERROR(VLOOKUP(E650,'LEAID Match'!$A$2:$B$168,2,FALSE),"")</f>
        <v/>
      </c>
    </row>
    <row r="651" spans="1:10">
      <c r="A651">
        <v>2023</v>
      </c>
      <c r="B651" t="s">
        <v>1429</v>
      </c>
      <c r="C651" t="s">
        <v>1431</v>
      </c>
      <c r="D651" t="s">
        <v>1433</v>
      </c>
      <c r="E651" t="s">
        <v>52</v>
      </c>
      <c r="F651" t="s">
        <v>52</v>
      </c>
      <c r="G651" s="28">
        <v>5994</v>
      </c>
      <c r="H651">
        <v>0</v>
      </c>
      <c r="I651" s="29">
        <f t="shared" si="10"/>
        <v>5994</v>
      </c>
      <c r="J651" t="str">
        <f>IFERROR(VLOOKUP(E651,'LEAID Match'!$A$2:$B$168,2,FALSE),"")</f>
        <v/>
      </c>
    </row>
    <row r="652" spans="1:10">
      <c r="A652">
        <v>2015</v>
      </c>
      <c r="B652" t="s">
        <v>1429</v>
      </c>
      <c r="C652" t="s">
        <v>1431</v>
      </c>
      <c r="D652" t="s">
        <v>1433</v>
      </c>
      <c r="E652" t="s">
        <v>566</v>
      </c>
      <c r="F652" s="9" t="s">
        <v>1028</v>
      </c>
      <c r="G652" s="18">
        <v>650353.1</v>
      </c>
      <c r="H652">
        <v>0</v>
      </c>
      <c r="I652" s="29">
        <f t="shared" si="10"/>
        <v>650353.1</v>
      </c>
      <c r="J652" t="str">
        <f>IFERROR(VLOOKUP(E652,'LEAID Match'!$A$2:$B$168,2,FALSE),"")</f>
        <v/>
      </c>
    </row>
    <row r="653" spans="1:10">
      <c r="A653">
        <v>2016</v>
      </c>
      <c r="B653" t="s">
        <v>1429</v>
      </c>
      <c r="C653" t="s">
        <v>1431</v>
      </c>
      <c r="D653" t="s">
        <v>1433</v>
      </c>
      <c r="E653" t="s">
        <v>566</v>
      </c>
      <c r="F653" t="s">
        <v>566</v>
      </c>
      <c r="G653" s="28">
        <v>713742</v>
      </c>
      <c r="H653">
        <v>0</v>
      </c>
      <c r="I653" s="29">
        <f t="shared" si="10"/>
        <v>713742</v>
      </c>
      <c r="J653" t="str">
        <f>IFERROR(VLOOKUP(E653,'LEAID Match'!$A$2:$B$168,2,FALSE),"")</f>
        <v/>
      </c>
    </row>
    <row r="654" spans="1:10">
      <c r="A654">
        <v>2017</v>
      </c>
      <c r="B654" t="s">
        <v>1429</v>
      </c>
      <c r="C654" t="s">
        <v>1431</v>
      </c>
      <c r="D654" t="s">
        <v>1433</v>
      </c>
      <c r="E654" t="s">
        <v>566</v>
      </c>
      <c r="F654" t="s">
        <v>566</v>
      </c>
      <c r="G654" s="28">
        <v>742805</v>
      </c>
      <c r="H654">
        <v>0</v>
      </c>
      <c r="I654" s="29">
        <f t="shared" si="10"/>
        <v>742805</v>
      </c>
      <c r="J654" t="str">
        <f>IFERROR(VLOOKUP(E654,'LEAID Match'!$A$2:$B$168,2,FALSE),"")</f>
        <v/>
      </c>
    </row>
    <row r="655" spans="1:10">
      <c r="A655" s="27">
        <v>2018</v>
      </c>
      <c r="B655" t="s">
        <v>1429</v>
      </c>
      <c r="C655" t="s">
        <v>1431</v>
      </c>
      <c r="D655" t="s">
        <v>1433</v>
      </c>
      <c r="E655" t="s">
        <v>566</v>
      </c>
      <c r="F655" s="9" t="s">
        <v>566</v>
      </c>
      <c r="G655" s="18">
        <v>784110</v>
      </c>
      <c r="H655">
        <v>0</v>
      </c>
      <c r="I655" s="29">
        <f t="shared" si="10"/>
        <v>784110</v>
      </c>
      <c r="J655" t="str">
        <f>IFERROR(VLOOKUP(E655,'LEAID Match'!$A$2:$B$168,2,FALSE),"")</f>
        <v/>
      </c>
    </row>
    <row r="656" spans="1:10">
      <c r="A656">
        <v>2019</v>
      </c>
      <c r="B656" t="s">
        <v>1429</v>
      </c>
      <c r="C656" t="s">
        <v>1431</v>
      </c>
      <c r="D656" t="s">
        <v>1433</v>
      </c>
      <c r="E656" t="s">
        <v>566</v>
      </c>
      <c r="F656" s="9" t="s">
        <v>566</v>
      </c>
      <c r="G656" s="18">
        <v>830560</v>
      </c>
      <c r="H656">
        <v>0</v>
      </c>
      <c r="I656" s="29">
        <f t="shared" si="10"/>
        <v>830560</v>
      </c>
      <c r="J656" t="str">
        <f>IFERROR(VLOOKUP(E656,'LEAID Match'!$A$2:$B$168,2,FALSE),"")</f>
        <v/>
      </c>
    </row>
    <row r="657" spans="1:10">
      <c r="A657" s="27">
        <v>2020</v>
      </c>
      <c r="B657" t="s">
        <v>1429</v>
      </c>
      <c r="C657" t="s">
        <v>1431</v>
      </c>
      <c r="D657" t="s">
        <v>1433</v>
      </c>
      <c r="E657" t="s">
        <v>53</v>
      </c>
      <c r="F657" s="9" t="s">
        <v>53</v>
      </c>
      <c r="G657" s="18">
        <v>838455</v>
      </c>
      <c r="H657">
        <v>0</v>
      </c>
      <c r="I657" s="29">
        <f t="shared" si="10"/>
        <v>838455</v>
      </c>
      <c r="J657" t="str">
        <f>IFERROR(VLOOKUP(E657,'LEAID Match'!$A$2:$B$168,2,FALSE),"")</f>
        <v/>
      </c>
    </row>
    <row r="658" spans="1:10">
      <c r="A658">
        <v>2021</v>
      </c>
      <c r="B658" t="s">
        <v>1429</v>
      </c>
      <c r="C658" t="s">
        <v>1431</v>
      </c>
      <c r="D658" t="s">
        <v>1433</v>
      </c>
      <c r="E658" t="s">
        <v>53</v>
      </c>
      <c r="F658" s="9" t="s">
        <v>53</v>
      </c>
      <c r="G658" s="18">
        <v>829953</v>
      </c>
      <c r="H658">
        <v>0</v>
      </c>
      <c r="I658" s="29">
        <f t="shared" si="10"/>
        <v>829953</v>
      </c>
      <c r="J658" t="str">
        <f>IFERROR(VLOOKUP(E658,'LEAID Match'!$A$2:$B$168,2,FALSE),"")</f>
        <v/>
      </c>
    </row>
    <row r="659" spans="1:10">
      <c r="A659">
        <v>2022</v>
      </c>
      <c r="B659" t="s">
        <v>1429</v>
      </c>
      <c r="C659" t="s">
        <v>1431</v>
      </c>
      <c r="D659" t="s">
        <v>1433</v>
      </c>
      <c r="E659" t="s">
        <v>53</v>
      </c>
      <c r="F659" s="9" t="s">
        <v>53</v>
      </c>
      <c r="G659" s="18">
        <v>1035364</v>
      </c>
      <c r="H659">
        <v>0</v>
      </c>
      <c r="I659" s="29">
        <f t="shared" si="10"/>
        <v>1035364</v>
      </c>
      <c r="J659" t="str">
        <f>IFERROR(VLOOKUP(E659,'LEAID Match'!$A$2:$B$168,2,FALSE),"")</f>
        <v/>
      </c>
    </row>
    <row r="660" spans="1:10">
      <c r="A660">
        <v>2023</v>
      </c>
      <c r="B660" t="s">
        <v>1429</v>
      </c>
      <c r="C660" t="s">
        <v>1431</v>
      </c>
      <c r="D660" t="s">
        <v>1433</v>
      </c>
      <c r="E660" t="s">
        <v>53</v>
      </c>
      <c r="F660" t="s">
        <v>53</v>
      </c>
      <c r="G660" s="28">
        <v>1122819</v>
      </c>
      <c r="H660">
        <v>0</v>
      </c>
      <c r="I660" s="29">
        <f t="shared" si="10"/>
        <v>1122819</v>
      </c>
      <c r="J660" t="str">
        <f>IFERROR(VLOOKUP(E660,'LEAID Match'!$A$2:$B$168,2,FALSE),"")</f>
        <v/>
      </c>
    </row>
    <row r="661" spans="1:10">
      <c r="A661">
        <v>2015</v>
      </c>
      <c r="B661" t="s">
        <v>1429</v>
      </c>
      <c r="C661" t="s">
        <v>1431</v>
      </c>
      <c r="D661" t="s">
        <v>1433</v>
      </c>
      <c r="E661" t="s">
        <v>567</v>
      </c>
      <c r="F661" s="9" t="s">
        <v>1029</v>
      </c>
      <c r="G661" s="18">
        <v>232377.17</v>
      </c>
      <c r="H661">
        <v>0</v>
      </c>
      <c r="I661" s="29">
        <f t="shared" si="10"/>
        <v>232377.17</v>
      </c>
      <c r="J661" t="str">
        <f>IFERROR(VLOOKUP(E661,'LEAID Match'!$A$2:$B$168,2,FALSE),"")</f>
        <v/>
      </c>
    </row>
    <row r="662" spans="1:10">
      <c r="A662">
        <v>2016</v>
      </c>
      <c r="B662" t="s">
        <v>1429</v>
      </c>
      <c r="C662" t="s">
        <v>1431</v>
      </c>
      <c r="D662" t="s">
        <v>1433</v>
      </c>
      <c r="E662" t="s">
        <v>567</v>
      </c>
      <c r="F662" t="s">
        <v>567</v>
      </c>
      <c r="G662" s="28">
        <v>291285</v>
      </c>
      <c r="H662">
        <v>0</v>
      </c>
      <c r="I662" s="29">
        <f t="shared" si="10"/>
        <v>291285</v>
      </c>
      <c r="J662" t="str">
        <f>IFERROR(VLOOKUP(E662,'LEAID Match'!$A$2:$B$168,2,FALSE),"")</f>
        <v/>
      </c>
    </row>
    <row r="663" spans="1:10">
      <c r="A663">
        <v>2017</v>
      </c>
      <c r="B663" t="s">
        <v>1429</v>
      </c>
      <c r="C663" t="s">
        <v>1431</v>
      </c>
      <c r="D663" t="s">
        <v>1433</v>
      </c>
      <c r="E663" t="s">
        <v>567</v>
      </c>
      <c r="F663" t="s">
        <v>567</v>
      </c>
      <c r="G663" s="28">
        <v>303617</v>
      </c>
      <c r="H663">
        <v>0</v>
      </c>
      <c r="I663" s="29">
        <f t="shared" si="10"/>
        <v>303617</v>
      </c>
      <c r="J663" t="str">
        <f>IFERROR(VLOOKUP(E663,'LEAID Match'!$A$2:$B$168,2,FALSE),"")</f>
        <v/>
      </c>
    </row>
    <row r="664" spans="1:10">
      <c r="A664" s="27">
        <v>2018</v>
      </c>
      <c r="B664" t="s">
        <v>1429</v>
      </c>
      <c r="C664" t="s">
        <v>1431</v>
      </c>
      <c r="D664" t="s">
        <v>1433</v>
      </c>
      <c r="E664" t="s">
        <v>567</v>
      </c>
      <c r="F664" s="9" t="s">
        <v>567</v>
      </c>
      <c r="G664" s="18">
        <v>312263</v>
      </c>
      <c r="H664">
        <v>0</v>
      </c>
      <c r="I664" s="29">
        <f t="shared" si="10"/>
        <v>312263</v>
      </c>
      <c r="J664" t="str">
        <f>IFERROR(VLOOKUP(E664,'LEAID Match'!$A$2:$B$168,2,FALSE),"")</f>
        <v/>
      </c>
    </row>
    <row r="665" spans="1:10">
      <c r="A665">
        <v>2019</v>
      </c>
      <c r="B665" t="s">
        <v>1429</v>
      </c>
      <c r="C665" t="s">
        <v>1431</v>
      </c>
      <c r="D665" t="s">
        <v>1433</v>
      </c>
      <c r="E665" t="s">
        <v>567</v>
      </c>
      <c r="F665" s="9" t="s">
        <v>567</v>
      </c>
      <c r="G665" s="18">
        <v>322366</v>
      </c>
      <c r="H665">
        <v>0</v>
      </c>
      <c r="I665" s="29">
        <f t="shared" si="10"/>
        <v>322366</v>
      </c>
      <c r="J665" t="str">
        <f>IFERROR(VLOOKUP(E665,'LEAID Match'!$A$2:$B$168,2,FALSE),"")</f>
        <v/>
      </c>
    </row>
    <row r="666" spans="1:10">
      <c r="A666" s="27">
        <v>2020</v>
      </c>
      <c r="B666" t="s">
        <v>1429</v>
      </c>
      <c r="C666" t="s">
        <v>1431</v>
      </c>
      <c r="D666" t="s">
        <v>1433</v>
      </c>
      <c r="E666" t="s">
        <v>567</v>
      </c>
      <c r="F666" s="9" t="s">
        <v>54</v>
      </c>
      <c r="G666" s="18">
        <v>340048</v>
      </c>
      <c r="H666">
        <v>0</v>
      </c>
      <c r="I666" s="29">
        <f t="shared" si="10"/>
        <v>340048</v>
      </c>
      <c r="J666" t="str">
        <f>IFERROR(VLOOKUP(E666,'LEAID Match'!$A$2:$B$168,2,FALSE),"")</f>
        <v/>
      </c>
    </row>
    <row r="667" spans="1:10">
      <c r="A667">
        <v>2021</v>
      </c>
      <c r="B667" t="s">
        <v>1429</v>
      </c>
      <c r="C667" t="s">
        <v>1431</v>
      </c>
      <c r="D667" t="s">
        <v>1433</v>
      </c>
      <c r="E667" t="s">
        <v>567</v>
      </c>
      <c r="F667" s="9" t="s">
        <v>54</v>
      </c>
      <c r="G667" s="18">
        <v>380591</v>
      </c>
      <c r="H667">
        <v>0</v>
      </c>
      <c r="I667" s="29">
        <f t="shared" si="10"/>
        <v>380591</v>
      </c>
      <c r="J667" t="str">
        <f>IFERROR(VLOOKUP(E667,'LEAID Match'!$A$2:$B$168,2,FALSE),"")</f>
        <v/>
      </c>
    </row>
    <row r="668" spans="1:10">
      <c r="A668">
        <v>2022</v>
      </c>
      <c r="B668" t="s">
        <v>1429</v>
      </c>
      <c r="C668" t="s">
        <v>1431</v>
      </c>
      <c r="D668" t="s">
        <v>1433</v>
      </c>
      <c r="E668" t="s">
        <v>567</v>
      </c>
      <c r="F668" s="9" t="s">
        <v>54</v>
      </c>
      <c r="G668" s="18">
        <v>525752</v>
      </c>
      <c r="H668">
        <v>0</v>
      </c>
      <c r="I668" s="29">
        <f t="shared" si="10"/>
        <v>525752</v>
      </c>
      <c r="J668" t="str">
        <f>IFERROR(VLOOKUP(E668,'LEAID Match'!$A$2:$B$168,2,FALSE),"")</f>
        <v/>
      </c>
    </row>
    <row r="669" spans="1:10">
      <c r="A669">
        <v>2023</v>
      </c>
      <c r="B669" t="s">
        <v>1429</v>
      </c>
      <c r="C669" t="s">
        <v>1431</v>
      </c>
      <c r="D669" t="s">
        <v>1433</v>
      </c>
      <c r="E669" t="s">
        <v>567</v>
      </c>
      <c r="F669" t="s">
        <v>54</v>
      </c>
      <c r="G669" s="28">
        <v>579838</v>
      </c>
      <c r="H669">
        <v>0</v>
      </c>
      <c r="I669" s="29">
        <f t="shared" si="10"/>
        <v>579838</v>
      </c>
      <c r="J669" t="str">
        <f>IFERROR(VLOOKUP(E669,'LEAID Match'!$A$2:$B$168,2,FALSE),"")</f>
        <v/>
      </c>
    </row>
    <row r="670" spans="1:10">
      <c r="A670">
        <v>2015</v>
      </c>
      <c r="B670" t="s">
        <v>1429</v>
      </c>
      <c r="C670" t="s">
        <v>1431</v>
      </c>
      <c r="D670" t="s">
        <v>1433</v>
      </c>
      <c r="E670" t="s">
        <v>568</v>
      </c>
      <c r="F670" s="9" t="s">
        <v>1030</v>
      </c>
      <c r="G670" s="18">
        <v>16051.55</v>
      </c>
      <c r="H670">
        <v>0</v>
      </c>
      <c r="I670" s="29">
        <f t="shared" si="10"/>
        <v>16051.55</v>
      </c>
      <c r="J670" t="str">
        <f>IFERROR(VLOOKUP(E670,'LEAID Match'!$A$2:$B$168,2,FALSE),"")</f>
        <v/>
      </c>
    </row>
    <row r="671" spans="1:10">
      <c r="A671">
        <v>2016</v>
      </c>
      <c r="B671" t="s">
        <v>1429</v>
      </c>
      <c r="C671" t="s">
        <v>1431</v>
      </c>
      <c r="D671" t="s">
        <v>1433</v>
      </c>
      <c r="E671" t="s">
        <v>568</v>
      </c>
      <c r="F671" t="s">
        <v>568</v>
      </c>
      <c r="G671" s="28">
        <v>18041</v>
      </c>
      <c r="H671">
        <v>0</v>
      </c>
      <c r="I671" s="29">
        <f t="shared" si="10"/>
        <v>18041</v>
      </c>
      <c r="J671" t="str">
        <f>IFERROR(VLOOKUP(E671,'LEAID Match'!$A$2:$B$168,2,FALSE),"")</f>
        <v/>
      </c>
    </row>
    <row r="672" spans="1:10">
      <c r="A672">
        <v>2017</v>
      </c>
      <c r="B672" t="s">
        <v>1429</v>
      </c>
      <c r="C672" t="s">
        <v>1431</v>
      </c>
      <c r="D672" t="s">
        <v>1433</v>
      </c>
      <c r="E672" t="s">
        <v>568</v>
      </c>
      <c r="F672" t="s">
        <v>568</v>
      </c>
      <c r="G672" s="28">
        <v>21501</v>
      </c>
      <c r="H672">
        <v>0</v>
      </c>
      <c r="I672" s="29">
        <f t="shared" si="10"/>
        <v>21501</v>
      </c>
      <c r="J672" t="str">
        <f>IFERROR(VLOOKUP(E672,'LEAID Match'!$A$2:$B$168,2,FALSE),"")</f>
        <v/>
      </c>
    </row>
    <row r="673" spans="1:10">
      <c r="A673" s="27">
        <v>2018</v>
      </c>
      <c r="B673" t="s">
        <v>1429</v>
      </c>
      <c r="C673" t="s">
        <v>1431</v>
      </c>
      <c r="D673" t="s">
        <v>1433</v>
      </c>
      <c r="E673" t="s">
        <v>568</v>
      </c>
      <c r="F673" s="9" t="s">
        <v>568</v>
      </c>
      <c r="G673" s="18">
        <v>19983</v>
      </c>
      <c r="H673">
        <v>0</v>
      </c>
      <c r="I673" s="29">
        <f t="shared" si="10"/>
        <v>19983</v>
      </c>
      <c r="J673" t="str">
        <f>IFERROR(VLOOKUP(E673,'LEAID Match'!$A$2:$B$168,2,FALSE),"")</f>
        <v/>
      </c>
    </row>
    <row r="674" spans="1:10">
      <c r="A674">
        <v>2019</v>
      </c>
      <c r="B674" t="s">
        <v>1429</v>
      </c>
      <c r="C674" t="s">
        <v>1431</v>
      </c>
      <c r="D674" t="s">
        <v>1433</v>
      </c>
      <c r="E674" t="s">
        <v>568</v>
      </c>
      <c r="F674" s="9" t="s">
        <v>568</v>
      </c>
      <c r="G674" s="18">
        <v>23520</v>
      </c>
      <c r="H674">
        <v>0</v>
      </c>
      <c r="I674" s="29">
        <f t="shared" si="10"/>
        <v>23520</v>
      </c>
      <c r="J674" t="str">
        <f>IFERROR(VLOOKUP(E674,'LEAID Match'!$A$2:$B$168,2,FALSE),"")</f>
        <v/>
      </c>
    </row>
    <row r="675" spans="1:10">
      <c r="A675">
        <v>2015</v>
      </c>
      <c r="B675" t="s">
        <v>1429</v>
      </c>
      <c r="C675" t="s">
        <v>1431</v>
      </c>
      <c r="D675" t="s">
        <v>1433</v>
      </c>
      <c r="E675" t="s">
        <v>55</v>
      </c>
      <c r="F675" s="9" t="s">
        <v>1031</v>
      </c>
      <c r="G675" s="18">
        <v>112504.26</v>
      </c>
      <c r="H675">
        <v>0</v>
      </c>
      <c r="I675" s="29">
        <f t="shared" si="10"/>
        <v>112504.26</v>
      </c>
      <c r="J675">
        <f>IFERROR(VLOOKUP(E675,'LEAID Match'!$A$2:$B$168,2,FALSE),"")</f>
        <v>3302520</v>
      </c>
    </row>
    <row r="676" spans="1:10">
      <c r="A676">
        <v>2016</v>
      </c>
      <c r="B676" t="s">
        <v>1429</v>
      </c>
      <c r="C676" t="s">
        <v>1431</v>
      </c>
      <c r="D676" t="s">
        <v>1433</v>
      </c>
      <c r="E676" t="s">
        <v>55</v>
      </c>
      <c r="F676" t="s">
        <v>569</v>
      </c>
      <c r="G676" s="28">
        <v>87996</v>
      </c>
      <c r="H676">
        <v>0</v>
      </c>
      <c r="I676" s="29">
        <f t="shared" si="10"/>
        <v>87996</v>
      </c>
      <c r="J676">
        <f>IFERROR(VLOOKUP(E676,'LEAID Match'!$A$2:$B$168,2,FALSE),"")</f>
        <v>3302520</v>
      </c>
    </row>
    <row r="677" spans="1:10">
      <c r="A677">
        <v>2017</v>
      </c>
      <c r="B677" t="s">
        <v>1429</v>
      </c>
      <c r="C677" t="s">
        <v>1431</v>
      </c>
      <c r="D677" t="s">
        <v>1433</v>
      </c>
      <c r="E677" t="s">
        <v>55</v>
      </c>
      <c r="F677" t="s">
        <v>569</v>
      </c>
      <c r="G677" s="28">
        <v>96881</v>
      </c>
      <c r="H677">
        <v>0</v>
      </c>
      <c r="I677" s="29">
        <f t="shared" si="10"/>
        <v>96881</v>
      </c>
      <c r="J677">
        <f>IFERROR(VLOOKUP(E677,'LEAID Match'!$A$2:$B$168,2,FALSE),"")</f>
        <v>3302520</v>
      </c>
    </row>
    <row r="678" spans="1:10">
      <c r="A678" s="27">
        <v>2018</v>
      </c>
      <c r="B678" t="s">
        <v>1429</v>
      </c>
      <c r="C678" t="s">
        <v>1431</v>
      </c>
      <c r="D678" t="s">
        <v>1433</v>
      </c>
      <c r="E678" t="s">
        <v>55</v>
      </c>
      <c r="F678" s="9" t="s">
        <v>569</v>
      </c>
      <c r="G678" s="18">
        <v>113021</v>
      </c>
      <c r="H678">
        <v>0</v>
      </c>
      <c r="I678" s="29">
        <f t="shared" si="10"/>
        <v>113021</v>
      </c>
      <c r="J678">
        <f>IFERROR(VLOOKUP(E678,'LEAID Match'!$A$2:$B$168,2,FALSE),"")</f>
        <v>3302520</v>
      </c>
    </row>
    <row r="679" spans="1:10">
      <c r="A679">
        <v>2019</v>
      </c>
      <c r="B679" t="s">
        <v>1429</v>
      </c>
      <c r="C679" t="s">
        <v>1431</v>
      </c>
      <c r="D679" t="s">
        <v>1433</v>
      </c>
      <c r="E679" t="s">
        <v>55</v>
      </c>
      <c r="F679" s="9" t="s">
        <v>569</v>
      </c>
      <c r="G679" s="18">
        <v>134880</v>
      </c>
      <c r="H679">
        <v>0</v>
      </c>
      <c r="I679" s="29">
        <f t="shared" si="10"/>
        <v>134880</v>
      </c>
      <c r="J679">
        <f>IFERROR(VLOOKUP(E679,'LEAID Match'!$A$2:$B$168,2,FALSE),"")</f>
        <v>3302520</v>
      </c>
    </row>
    <row r="680" spans="1:10">
      <c r="A680" s="27">
        <v>2020</v>
      </c>
      <c r="B680" t="s">
        <v>1429</v>
      </c>
      <c r="C680" t="s">
        <v>1431</v>
      </c>
      <c r="D680" t="s">
        <v>1433</v>
      </c>
      <c r="E680" t="s">
        <v>55</v>
      </c>
      <c r="F680" s="9" t="s">
        <v>55</v>
      </c>
      <c r="G680" s="18">
        <v>143590</v>
      </c>
      <c r="H680">
        <v>0</v>
      </c>
      <c r="I680" s="29">
        <f t="shared" si="10"/>
        <v>143590</v>
      </c>
      <c r="J680">
        <f>IFERROR(VLOOKUP(E680,'LEAID Match'!$A$2:$B$168,2,FALSE),"")</f>
        <v>3302520</v>
      </c>
    </row>
    <row r="681" spans="1:10">
      <c r="A681">
        <v>2021</v>
      </c>
      <c r="B681" t="s">
        <v>1429</v>
      </c>
      <c r="C681" t="s">
        <v>1431</v>
      </c>
      <c r="D681" t="s">
        <v>1433</v>
      </c>
      <c r="E681" t="s">
        <v>55</v>
      </c>
      <c r="F681" s="9" t="s">
        <v>55</v>
      </c>
      <c r="G681" s="18">
        <v>175426</v>
      </c>
      <c r="H681">
        <v>0</v>
      </c>
      <c r="I681" s="29">
        <f t="shared" si="10"/>
        <v>175426</v>
      </c>
      <c r="J681">
        <f>IFERROR(VLOOKUP(E681,'LEAID Match'!$A$2:$B$168,2,FALSE),"")</f>
        <v>3302520</v>
      </c>
    </row>
    <row r="682" spans="1:10">
      <c r="A682">
        <v>2022</v>
      </c>
      <c r="B682" t="s">
        <v>1429</v>
      </c>
      <c r="C682" t="s">
        <v>1431</v>
      </c>
      <c r="D682" t="s">
        <v>1433</v>
      </c>
      <c r="E682" t="s">
        <v>55</v>
      </c>
      <c r="F682" s="9" t="s">
        <v>55</v>
      </c>
      <c r="G682" s="18">
        <v>218796</v>
      </c>
      <c r="H682">
        <v>0</v>
      </c>
      <c r="I682" s="29">
        <f t="shared" si="10"/>
        <v>218796</v>
      </c>
      <c r="J682">
        <f>IFERROR(VLOOKUP(E682,'LEAID Match'!$A$2:$B$168,2,FALSE),"")</f>
        <v>3302520</v>
      </c>
    </row>
    <row r="683" spans="1:10">
      <c r="A683">
        <v>2023</v>
      </c>
      <c r="B683" t="s">
        <v>1429</v>
      </c>
      <c r="C683" t="s">
        <v>1431</v>
      </c>
      <c r="D683" t="s">
        <v>1433</v>
      </c>
      <c r="E683" t="s">
        <v>55</v>
      </c>
      <c r="F683" t="s">
        <v>55</v>
      </c>
      <c r="G683" s="28">
        <v>241749</v>
      </c>
      <c r="H683">
        <v>0</v>
      </c>
      <c r="I683" s="29">
        <f t="shared" si="10"/>
        <v>241749</v>
      </c>
      <c r="J683">
        <f>IFERROR(VLOOKUP(E683,'LEAID Match'!$A$2:$B$168,2,FALSE),"")</f>
        <v>3302520</v>
      </c>
    </row>
    <row r="684" spans="1:10">
      <c r="A684" s="27">
        <v>2020</v>
      </c>
      <c r="B684" t="s">
        <v>1429</v>
      </c>
      <c r="C684" t="s">
        <v>1431</v>
      </c>
      <c r="D684" t="s">
        <v>1433</v>
      </c>
      <c r="E684" t="s">
        <v>56</v>
      </c>
      <c r="F684" s="9" t="s">
        <v>56</v>
      </c>
      <c r="G684" s="18">
        <v>4186114</v>
      </c>
      <c r="H684">
        <v>0</v>
      </c>
      <c r="I684" s="29">
        <f t="shared" si="10"/>
        <v>4186114</v>
      </c>
      <c r="J684" t="str">
        <f>IFERROR(VLOOKUP(E684,'LEAID Match'!$A$2:$B$168,2,FALSE),"")</f>
        <v/>
      </c>
    </row>
    <row r="685" spans="1:10">
      <c r="A685">
        <v>2021</v>
      </c>
      <c r="B685" t="s">
        <v>1429</v>
      </c>
      <c r="C685" t="s">
        <v>1431</v>
      </c>
      <c r="D685" t="s">
        <v>1433</v>
      </c>
      <c r="E685" t="s">
        <v>56</v>
      </c>
      <c r="F685" s="9" t="s">
        <v>56</v>
      </c>
      <c r="G685" s="18">
        <v>4199670</v>
      </c>
      <c r="H685">
        <v>0</v>
      </c>
      <c r="I685" s="29">
        <f t="shared" si="10"/>
        <v>4199670</v>
      </c>
      <c r="J685" t="str">
        <f>IFERROR(VLOOKUP(E685,'LEAID Match'!$A$2:$B$168,2,FALSE),"")</f>
        <v/>
      </c>
    </row>
    <row r="686" spans="1:10">
      <c r="A686">
        <v>2022</v>
      </c>
      <c r="B686" t="s">
        <v>1429</v>
      </c>
      <c r="C686" t="s">
        <v>1431</v>
      </c>
      <c r="D686" t="s">
        <v>1433</v>
      </c>
      <c r="E686" t="s">
        <v>56</v>
      </c>
      <c r="F686" s="9" t="s">
        <v>56</v>
      </c>
      <c r="G686" s="18">
        <v>5161799</v>
      </c>
      <c r="H686">
        <v>0</v>
      </c>
      <c r="I686" s="29">
        <f t="shared" si="10"/>
        <v>5161799</v>
      </c>
      <c r="J686" t="str">
        <f>IFERROR(VLOOKUP(E686,'LEAID Match'!$A$2:$B$168,2,FALSE),"")</f>
        <v/>
      </c>
    </row>
    <row r="687" spans="1:10">
      <c r="A687">
        <v>2023</v>
      </c>
      <c r="B687" t="s">
        <v>1429</v>
      </c>
      <c r="C687" t="s">
        <v>1431</v>
      </c>
      <c r="D687" t="s">
        <v>1433</v>
      </c>
      <c r="E687" t="s">
        <v>56</v>
      </c>
      <c r="F687" t="s">
        <v>56</v>
      </c>
      <c r="G687" s="28">
        <v>5087103</v>
      </c>
      <c r="H687">
        <v>0</v>
      </c>
      <c r="I687" s="29">
        <f t="shared" si="10"/>
        <v>5087103</v>
      </c>
      <c r="J687" t="str">
        <f>IFERROR(VLOOKUP(E687,'LEAID Match'!$A$2:$B$168,2,FALSE),"")</f>
        <v/>
      </c>
    </row>
    <row r="688" spans="1:10">
      <c r="A688">
        <v>2015</v>
      </c>
      <c r="B688" t="s">
        <v>1429</v>
      </c>
      <c r="C688" t="s">
        <v>1431</v>
      </c>
      <c r="D688" t="s">
        <v>1433</v>
      </c>
      <c r="E688" t="s">
        <v>570</v>
      </c>
      <c r="F688" s="9" t="s">
        <v>1032</v>
      </c>
      <c r="G688" s="18">
        <v>10171.32</v>
      </c>
      <c r="H688">
        <v>0</v>
      </c>
      <c r="I688" s="29">
        <f t="shared" si="10"/>
        <v>10171.32</v>
      </c>
      <c r="J688">
        <f>IFERROR(VLOOKUP(E688,'LEAID Match'!$A$2:$B$168,2,FALSE),"")</f>
        <v>3302550</v>
      </c>
    </row>
    <row r="689" spans="1:10">
      <c r="A689">
        <v>2016</v>
      </c>
      <c r="B689" t="s">
        <v>1429</v>
      </c>
      <c r="C689" t="s">
        <v>1431</v>
      </c>
      <c r="D689" t="s">
        <v>1433</v>
      </c>
      <c r="E689" t="s">
        <v>570</v>
      </c>
      <c r="F689" t="s">
        <v>570</v>
      </c>
      <c r="G689" s="28">
        <v>15972</v>
      </c>
      <c r="H689">
        <v>0</v>
      </c>
      <c r="I689" s="29">
        <f t="shared" si="10"/>
        <v>15972</v>
      </c>
      <c r="J689">
        <f>IFERROR(VLOOKUP(E689,'LEAID Match'!$A$2:$B$168,2,FALSE),"")</f>
        <v>3302550</v>
      </c>
    </row>
    <row r="690" spans="1:10">
      <c r="A690">
        <v>2017</v>
      </c>
      <c r="B690" t="s">
        <v>1429</v>
      </c>
      <c r="C690" t="s">
        <v>1431</v>
      </c>
      <c r="D690" t="s">
        <v>1433</v>
      </c>
      <c r="E690" t="s">
        <v>570</v>
      </c>
      <c r="F690" t="s">
        <v>570</v>
      </c>
      <c r="G690" s="28">
        <v>16418</v>
      </c>
      <c r="H690">
        <v>0</v>
      </c>
      <c r="I690" s="29">
        <f t="shared" si="10"/>
        <v>16418</v>
      </c>
      <c r="J690">
        <f>IFERROR(VLOOKUP(E690,'LEAID Match'!$A$2:$B$168,2,FALSE),"")</f>
        <v>3302550</v>
      </c>
    </row>
    <row r="691" spans="1:10">
      <c r="A691" s="27">
        <v>2018</v>
      </c>
      <c r="B691" t="s">
        <v>1429</v>
      </c>
      <c r="C691" t="s">
        <v>1431</v>
      </c>
      <c r="D691" t="s">
        <v>1433</v>
      </c>
      <c r="E691" t="s">
        <v>570</v>
      </c>
      <c r="F691" s="9" t="s">
        <v>570</v>
      </c>
      <c r="G691" s="18">
        <v>21771</v>
      </c>
      <c r="H691">
        <v>0</v>
      </c>
      <c r="I691" s="29">
        <f t="shared" si="10"/>
        <v>21771</v>
      </c>
      <c r="J691">
        <f>IFERROR(VLOOKUP(E691,'LEAID Match'!$A$2:$B$168,2,FALSE),"")</f>
        <v>3302550</v>
      </c>
    </row>
    <row r="692" spans="1:10">
      <c r="A692">
        <v>2019</v>
      </c>
      <c r="B692" t="s">
        <v>1429</v>
      </c>
      <c r="C692" t="s">
        <v>1431</v>
      </c>
      <c r="D692" t="s">
        <v>1433</v>
      </c>
      <c r="E692" t="s">
        <v>570</v>
      </c>
      <c r="F692" s="9" t="s">
        <v>570</v>
      </c>
      <c r="G692" s="18">
        <v>10899</v>
      </c>
      <c r="H692">
        <v>0</v>
      </c>
      <c r="I692" s="29">
        <f t="shared" si="10"/>
        <v>10899</v>
      </c>
      <c r="J692">
        <f>IFERROR(VLOOKUP(E692,'LEAID Match'!$A$2:$B$168,2,FALSE),"")</f>
        <v>3302550</v>
      </c>
    </row>
    <row r="693" spans="1:10">
      <c r="A693" s="27">
        <v>2020</v>
      </c>
      <c r="B693" t="s">
        <v>1429</v>
      </c>
      <c r="C693" t="s">
        <v>1431</v>
      </c>
      <c r="D693" t="s">
        <v>1433</v>
      </c>
      <c r="E693" t="s">
        <v>570</v>
      </c>
      <c r="F693" s="9" t="s">
        <v>57</v>
      </c>
      <c r="G693" s="18">
        <v>21554</v>
      </c>
      <c r="H693">
        <v>0</v>
      </c>
      <c r="I693" s="29">
        <f t="shared" si="10"/>
        <v>21554</v>
      </c>
      <c r="J693">
        <f>IFERROR(VLOOKUP(E693,'LEAID Match'!$A$2:$B$168,2,FALSE),"")</f>
        <v>3302550</v>
      </c>
    </row>
    <row r="694" spans="1:10">
      <c r="A694">
        <v>2021</v>
      </c>
      <c r="B694" t="s">
        <v>1429</v>
      </c>
      <c r="C694" t="s">
        <v>1431</v>
      </c>
      <c r="D694" t="s">
        <v>1433</v>
      </c>
      <c r="E694" t="s">
        <v>570</v>
      </c>
      <c r="F694" s="9" t="s">
        <v>57</v>
      </c>
      <c r="G694" s="18">
        <v>24406</v>
      </c>
      <c r="H694">
        <v>0</v>
      </c>
      <c r="I694" s="29">
        <f t="shared" si="10"/>
        <v>24406</v>
      </c>
      <c r="J694">
        <f>IFERROR(VLOOKUP(E694,'LEAID Match'!$A$2:$B$168,2,FALSE),"")</f>
        <v>3302550</v>
      </c>
    </row>
    <row r="695" spans="1:10">
      <c r="A695">
        <v>2022</v>
      </c>
      <c r="B695" t="s">
        <v>1429</v>
      </c>
      <c r="C695" t="s">
        <v>1431</v>
      </c>
      <c r="D695" t="s">
        <v>1433</v>
      </c>
      <c r="E695" t="s">
        <v>570</v>
      </c>
      <c r="F695" s="9" t="s">
        <v>57</v>
      </c>
      <c r="G695" s="18">
        <v>26950</v>
      </c>
      <c r="H695">
        <v>0</v>
      </c>
      <c r="I695" s="29">
        <f t="shared" si="10"/>
        <v>26950</v>
      </c>
      <c r="J695">
        <f>IFERROR(VLOOKUP(E695,'LEAID Match'!$A$2:$B$168,2,FALSE),"")</f>
        <v>3302550</v>
      </c>
    </row>
    <row r="696" spans="1:10">
      <c r="A696">
        <v>2023</v>
      </c>
      <c r="B696" t="s">
        <v>1429</v>
      </c>
      <c r="C696" t="s">
        <v>1431</v>
      </c>
      <c r="D696" t="s">
        <v>1433</v>
      </c>
      <c r="E696" t="s">
        <v>570</v>
      </c>
      <c r="F696" t="s">
        <v>57</v>
      </c>
      <c r="G696" s="28">
        <v>25623</v>
      </c>
      <c r="H696">
        <v>0</v>
      </c>
      <c r="I696" s="29">
        <f t="shared" si="10"/>
        <v>25623</v>
      </c>
      <c r="J696">
        <f>IFERROR(VLOOKUP(E696,'LEAID Match'!$A$2:$B$168,2,FALSE),"")</f>
        <v>3302550</v>
      </c>
    </row>
    <row r="697" spans="1:10">
      <c r="A697" s="27">
        <v>2018</v>
      </c>
      <c r="B697" t="s">
        <v>1429</v>
      </c>
      <c r="C697" t="s">
        <v>1431</v>
      </c>
      <c r="D697" t="s">
        <v>1433</v>
      </c>
      <c r="E697" t="s">
        <v>571</v>
      </c>
      <c r="F697" s="9" t="s">
        <v>571</v>
      </c>
      <c r="G697" s="18">
        <v>1846</v>
      </c>
      <c r="H697">
        <v>0</v>
      </c>
      <c r="I697" s="29">
        <f t="shared" si="10"/>
        <v>1846</v>
      </c>
      <c r="J697" t="str">
        <f>IFERROR(VLOOKUP(E697,'LEAID Match'!$A$2:$B$168,2,FALSE),"")</f>
        <v/>
      </c>
    </row>
    <row r="698" spans="1:10">
      <c r="A698">
        <v>2019</v>
      </c>
      <c r="B698" t="s">
        <v>1429</v>
      </c>
      <c r="C698" t="s">
        <v>1431</v>
      </c>
      <c r="D698" t="s">
        <v>1433</v>
      </c>
      <c r="E698" t="s">
        <v>571</v>
      </c>
      <c r="F698" s="9" t="s">
        <v>571</v>
      </c>
      <c r="G698" s="18">
        <v>5722</v>
      </c>
      <c r="H698">
        <v>0</v>
      </c>
      <c r="I698" s="29">
        <f t="shared" si="10"/>
        <v>5722</v>
      </c>
      <c r="J698" t="str">
        <f>IFERROR(VLOOKUP(E698,'LEAID Match'!$A$2:$B$168,2,FALSE),"")</f>
        <v/>
      </c>
    </row>
    <row r="699" spans="1:10">
      <c r="A699">
        <v>2015</v>
      </c>
      <c r="B699" t="s">
        <v>1429</v>
      </c>
      <c r="C699" t="s">
        <v>1431</v>
      </c>
      <c r="D699" t="s">
        <v>1433</v>
      </c>
      <c r="E699" t="s">
        <v>572</v>
      </c>
      <c r="F699" s="9" t="s">
        <v>1033</v>
      </c>
      <c r="G699" s="18">
        <v>60837.96</v>
      </c>
      <c r="H699">
        <v>0</v>
      </c>
      <c r="I699" s="29">
        <f t="shared" si="10"/>
        <v>60837.96</v>
      </c>
      <c r="J699" t="str">
        <f>IFERROR(VLOOKUP(E699,'LEAID Match'!$A$2:$B$168,2,FALSE),"")</f>
        <v/>
      </c>
    </row>
    <row r="700" spans="1:10">
      <c r="A700">
        <v>2016</v>
      </c>
      <c r="B700" t="s">
        <v>1429</v>
      </c>
      <c r="C700" t="s">
        <v>1431</v>
      </c>
      <c r="D700" t="s">
        <v>1433</v>
      </c>
      <c r="E700" t="s">
        <v>572</v>
      </c>
      <c r="F700" t="s">
        <v>572</v>
      </c>
      <c r="G700" s="28">
        <v>72993</v>
      </c>
      <c r="H700">
        <v>0</v>
      </c>
      <c r="I700" s="29">
        <f t="shared" si="10"/>
        <v>72993</v>
      </c>
      <c r="J700" t="str">
        <f>IFERROR(VLOOKUP(E700,'LEAID Match'!$A$2:$B$168,2,FALSE),"")</f>
        <v/>
      </c>
    </row>
    <row r="701" spans="1:10">
      <c r="A701">
        <v>2017</v>
      </c>
      <c r="B701" t="s">
        <v>1429</v>
      </c>
      <c r="C701" t="s">
        <v>1431</v>
      </c>
      <c r="D701" t="s">
        <v>1433</v>
      </c>
      <c r="E701" t="s">
        <v>572</v>
      </c>
      <c r="F701" t="s">
        <v>572</v>
      </c>
      <c r="G701" s="28">
        <v>63466</v>
      </c>
      <c r="H701">
        <v>0</v>
      </c>
      <c r="I701" s="29">
        <f t="shared" si="10"/>
        <v>63466</v>
      </c>
      <c r="J701" t="str">
        <f>IFERROR(VLOOKUP(E701,'LEAID Match'!$A$2:$B$168,2,FALSE),"")</f>
        <v/>
      </c>
    </row>
    <row r="702" spans="1:10">
      <c r="A702" s="27">
        <v>2018</v>
      </c>
      <c r="B702" t="s">
        <v>1429</v>
      </c>
      <c r="C702" t="s">
        <v>1431</v>
      </c>
      <c r="D702" t="s">
        <v>1433</v>
      </c>
      <c r="E702" t="s">
        <v>572</v>
      </c>
      <c r="F702" s="9" t="s">
        <v>572</v>
      </c>
      <c r="G702" s="18">
        <v>77512</v>
      </c>
      <c r="H702">
        <v>0</v>
      </c>
      <c r="I702" s="29">
        <f t="shared" si="10"/>
        <v>77512</v>
      </c>
      <c r="J702" t="str">
        <f>IFERROR(VLOOKUP(E702,'LEAID Match'!$A$2:$B$168,2,FALSE),"")</f>
        <v/>
      </c>
    </row>
    <row r="703" spans="1:10">
      <c r="A703">
        <v>2019</v>
      </c>
      <c r="B703" t="s">
        <v>1429</v>
      </c>
      <c r="C703" t="s">
        <v>1431</v>
      </c>
      <c r="D703" t="s">
        <v>1433</v>
      </c>
      <c r="E703" t="s">
        <v>572</v>
      </c>
      <c r="F703" s="9" t="s">
        <v>572</v>
      </c>
      <c r="G703" s="18">
        <v>78576</v>
      </c>
      <c r="H703">
        <v>0</v>
      </c>
      <c r="I703" s="29">
        <f t="shared" si="10"/>
        <v>78576</v>
      </c>
      <c r="J703" t="str">
        <f>IFERROR(VLOOKUP(E703,'LEAID Match'!$A$2:$B$168,2,FALSE),"")</f>
        <v/>
      </c>
    </row>
    <row r="704" spans="1:10">
      <c r="A704">
        <v>2015</v>
      </c>
      <c r="B704" t="s">
        <v>1429</v>
      </c>
      <c r="C704" t="s">
        <v>1431</v>
      </c>
      <c r="D704" t="s">
        <v>1433</v>
      </c>
      <c r="E704" t="s">
        <v>573</v>
      </c>
      <c r="F704" s="9" t="s">
        <v>1034</v>
      </c>
      <c r="G704" s="18">
        <v>142600.23000000001</v>
      </c>
      <c r="H704">
        <v>0</v>
      </c>
      <c r="I704" s="29">
        <f t="shared" si="10"/>
        <v>142600.23000000001</v>
      </c>
      <c r="J704" t="str">
        <f>IFERROR(VLOOKUP(E704,'LEAID Match'!$A$2:$B$168,2,FALSE),"")</f>
        <v/>
      </c>
    </row>
    <row r="705" spans="1:10">
      <c r="A705">
        <v>2016</v>
      </c>
      <c r="B705" t="s">
        <v>1429</v>
      </c>
      <c r="C705" t="s">
        <v>1431</v>
      </c>
      <c r="D705" t="s">
        <v>1433</v>
      </c>
      <c r="E705" t="s">
        <v>573</v>
      </c>
      <c r="F705" t="s">
        <v>573</v>
      </c>
      <c r="G705" s="28">
        <v>158451</v>
      </c>
      <c r="H705">
        <v>0</v>
      </c>
      <c r="I705" s="29">
        <f t="shared" si="10"/>
        <v>158451</v>
      </c>
      <c r="J705" t="str">
        <f>IFERROR(VLOOKUP(E705,'LEAID Match'!$A$2:$B$168,2,FALSE),"")</f>
        <v/>
      </c>
    </row>
    <row r="706" spans="1:10">
      <c r="A706">
        <v>2017</v>
      </c>
      <c r="B706" t="s">
        <v>1429</v>
      </c>
      <c r="C706" t="s">
        <v>1431</v>
      </c>
      <c r="D706" t="s">
        <v>1433</v>
      </c>
      <c r="E706" t="s">
        <v>573</v>
      </c>
      <c r="F706" t="s">
        <v>573</v>
      </c>
      <c r="G706" s="28">
        <v>166054</v>
      </c>
      <c r="H706">
        <v>0</v>
      </c>
      <c r="I706" s="29">
        <f t="shared" si="10"/>
        <v>166054</v>
      </c>
      <c r="J706" t="str">
        <f>IFERROR(VLOOKUP(E706,'LEAID Match'!$A$2:$B$168,2,FALSE),"")</f>
        <v/>
      </c>
    </row>
    <row r="707" spans="1:10">
      <c r="A707" s="27">
        <v>2018</v>
      </c>
      <c r="B707" t="s">
        <v>1429</v>
      </c>
      <c r="C707" t="s">
        <v>1431</v>
      </c>
      <c r="D707" t="s">
        <v>1433</v>
      </c>
      <c r="E707" t="s">
        <v>573</v>
      </c>
      <c r="F707" s="9" t="s">
        <v>573</v>
      </c>
      <c r="G707" s="18">
        <v>180223</v>
      </c>
      <c r="H707">
        <v>0</v>
      </c>
      <c r="I707" s="29">
        <f t="shared" ref="I707:I770" si="11">SUM(G707:H707)</f>
        <v>180223</v>
      </c>
      <c r="J707" t="str">
        <f>IFERROR(VLOOKUP(E707,'LEAID Match'!$A$2:$B$168,2,FALSE),"")</f>
        <v/>
      </c>
    </row>
    <row r="708" spans="1:10">
      <c r="A708">
        <v>2019</v>
      </c>
      <c r="B708" t="s">
        <v>1429</v>
      </c>
      <c r="C708" t="s">
        <v>1431</v>
      </c>
      <c r="D708" t="s">
        <v>1433</v>
      </c>
      <c r="E708" t="s">
        <v>573</v>
      </c>
      <c r="F708" s="9" t="s">
        <v>573</v>
      </c>
      <c r="G708" s="18">
        <v>185235</v>
      </c>
      <c r="H708">
        <v>0</v>
      </c>
      <c r="I708" s="29">
        <f t="shared" si="11"/>
        <v>185235</v>
      </c>
      <c r="J708" t="str">
        <f>IFERROR(VLOOKUP(E708,'LEAID Match'!$A$2:$B$168,2,FALSE),"")</f>
        <v/>
      </c>
    </row>
    <row r="709" spans="1:10">
      <c r="A709">
        <v>2015</v>
      </c>
      <c r="B709" t="s">
        <v>1429</v>
      </c>
      <c r="C709" t="s">
        <v>1431</v>
      </c>
      <c r="D709" t="s">
        <v>1433</v>
      </c>
      <c r="E709" t="s">
        <v>574</v>
      </c>
      <c r="F709" s="9" t="s">
        <v>1035</v>
      </c>
      <c r="G709" s="18">
        <v>397728.85</v>
      </c>
      <c r="H709">
        <v>0</v>
      </c>
      <c r="I709" s="29">
        <f t="shared" si="11"/>
        <v>397728.85</v>
      </c>
      <c r="J709">
        <f>IFERROR(VLOOKUP(E709,'LEAID Match'!$A$2:$B$168,2,FALSE),"")</f>
        <v>3302580</v>
      </c>
    </row>
    <row r="710" spans="1:10">
      <c r="A710">
        <v>2016</v>
      </c>
      <c r="B710" t="s">
        <v>1429</v>
      </c>
      <c r="C710" t="s">
        <v>1431</v>
      </c>
      <c r="D710" t="s">
        <v>1433</v>
      </c>
      <c r="E710" t="s">
        <v>574</v>
      </c>
      <c r="F710" t="s">
        <v>574</v>
      </c>
      <c r="G710" s="28">
        <v>438228</v>
      </c>
      <c r="H710">
        <v>0</v>
      </c>
      <c r="I710" s="29">
        <f t="shared" si="11"/>
        <v>438228</v>
      </c>
      <c r="J710">
        <f>IFERROR(VLOOKUP(E710,'LEAID Match'!$A$2:$B$168,2,FALSE),"")</f>
        <v>3302580</v>
      </c>
    </row>
    <row r="711" spans="1:10">
      <c r="A711">
        <v>2017</v>
      </c>
      <c r="B711" t="s">
        <v>1429</v>
      </c>
      <c r="C711" t="s">
        <v>1431</v>
      </c>
      <c r="D711" t="s">
        <v>1433</v>
      </c>
      <c r="E711" t="s">
        <v>574</v>
      </c>
      <c r="F711" t="s">
        <v>574</v>
      </c>
      <c r="G711" s="28">
        <v>458816</v>
      </c>
      <c r="H711">
        <v>0</v>
      </c>
      <c r="I711" s="29">
        <f t="shared" si="11"/>
        <v>458816</v>
      </c>
      <c r="J711">
        <f>IFERROR(VLOOKUP(E711,'LEAID Match'!$A$2:$B$168,2,FALSE),"")</f>
        <v>3302580</v>
      </c>
    </row>
    <row r="712" spans="1:10">
      <c r="A712" s="27">
        <v>2018</v>
      </c>
      <c r="B712" t="s">
        <v>1429</v>
      </c>
      <c r="C712" t="s">
        <v>1431</v>
      </c>
      <c r="D712" t="s">
        <v>1433</v>
      </c>
      <c r="E712" t="s">
        <v>574</v>
      </c>
      <c r="F712" s="9" t="s">
        <v>574</v>
      </c>
      <c r="G712" s="18">
        <v>567607</v>
      </c>
      <c r="H712">
        <v>0</v>
      </c>
      <c r="I712" s="29">
        <f t="shared" si="11"/>
        <v>567607</v>
      </c>
      <c r="J712">
        <f>IFERROR(VLOOKUP(E712,'LEAID Match'!$A$2:$B$168,2,FALSE),"")</f>
        <v>3302580</v>
      </c>
    </row>
    <row r="713" spans="1:10">
      <c r="A713">
        <v>2019</v>
      </c>
      <c r="B713" t="s">
        <v>1429</v>
      </c>
      <c r="C713" t="s">
        <v>1431</v>
      </c>
      <c r="D713" t="s">
        <v>1433</v>
      </c>
      <c r="E713" t="s">
        <v>574</v>
      </c>
      <c r="F713" s="9" t="s">
        <v>574</v>
      </c>
      <c r="G713" s="18">
        <v>549088</v>
      </c>
      <c r="H713">
        <v>0</v>
      </c>
      <c r="I713" s="29">
        <f t="shared" si="11"/>
        <v>549088</v>
      </c>
      <c r="J713">
        <f>IFERROR(VLOOKUP(E713,'LEAID Match'!$A$2:$B$168,2,FALSE),"")</f>
        <v>3302580</v>
      </c>
    </row>
    <row r="714" spans="1:10">
      <c r="A714" s="27">
        <v>2020</v>
      </c>
      <c r="B714" t="s">
        <v>1429</v>
      </c>
      <c r="C714" t="s">
        <v>1431</v>
      </c>
      <c r="D714" t="s">
        <v>1433</v>
      </c>
      <c r="E714" t="s">
        <v>574</v>
      </c>
      <c r="F714" s="9" t="s">
        <v>58</v>
      </c>
      <c r="G714" s="18">
        <v>579544</v>
      </c>
      <c r="H714">
        <v>0</v>
      </c>
      <c r="I714" s="29">
        <f t="shared" si="11"/>
        <v>579544</v>
      </c>
      <c r="J714">
        <f>IFERROR(VLOOKUP(E714,'LEAID Match'!$A$2:$B$168,2,FALSE),"")</f>
        <v>3302580</v>
      </c>
    </row>
    <row r="715" spans="1:10">
      <c r="A715">
        <v>2021</v>
      </c>
      <c r="B715" t="s">
        <v>1429</v>
      </c>
      <c r="C715" t="s">
        <v>1431</v>
      </c>
      <c r="D715" t="s">
        <v>1433</v>
      </c>
      <c r="E715" t="s">
        <v>574</v>
      </c>
      <c r="F715" s="9" t="s">
        <v>58</v>
      </c>
      <c r="G715" s="18">
        <v>599853</v>
      </c>
      <c r="H715">
        <v>0</v>
      </c>
      <c r="I715" s="29">
        <f t="shared" si="11"/>
        <v>599853</v>
      </c>
      <c r="J715">
        <f>IFERROR(VLOOKUP(E715,'LEAID Match'!$A$2:$B$168,2,FALSE),"")</f>
        <v>3302580</v>
      </c>
    </row>
    <row r="716" spans="1:10">
      <c r="A716">
        <v>2022</v>
      </c>
      <c r="B716" t="s">
        <v>1429</v>
      </c>
      <c r="C716" t="s">
        <v>1431</v>
      </c>
      <c r="D716" t="s">
        <v>1433</v>
      </c>
      <c r="E716" t="s">
        <v>574</v>
      </c>
      <c r="F716" s="9" t="s">
        <v>58</v>
      </c>
      <c r="G716" s="18">
        <v>719519</v>
      </c>
      <c r="H716">
        <v>0</v>
      </c>
      <c r="I716" s="29">
        <f t="shared" si="11"/>
        <v>719519</v>
      </c>
      <c r="J716">
        <f>IFERROR(VLOOKUP(E716,'LEAID Match'!$A$2:$B$168,2,FALSE),"")</f>
        <v>3302580</v>
      </c>
    </row>
    <row r="717" spans="1:10">
      <c r="A717">
        <v>2023</v>
      </c>
      <c r="B717" t="s">
        <v>1429</v>
      </c>
      <c r="C717" t="s">
        <v>1431</v>
      </c>
      <c r="D717" t="s">
        <v>1433</v>
      </c>
      <c r="E717" t="s">
        <v>574</v>
      </c>
      <c r="F717" t="s">
        <v>58</v>
      </c>
      <c r="G717" s="28">
        <v>730945</v>
      </c>
      <c r="H717">
        <v>0</v>
      </c>
      <c r="I717" s="29">
        <f t="shared" si="11"/>
        <v>730945</v>
      </c>
      <c r="J717">
        <f>IFERROR(VLOOKUP(E717,'LEAID Match'!$A$2:$B$168,2,FALSE),"")</f>
        <v>3302580</v>
      </c>
    </row>
    <row r="718" spans="1:10">
      <c r="A718">
        <v>2015</v>
      </c>
      <c r="B718" t="s">
        <v>1429</v>
      </c>
      <c r="C718" t="s">
        <v>1431</v>
      </c>
      <c r="D718" t="s">
        <v>1433</v>
      </c>
      <c r="E718" t="s">
        <v>575</v>
      </c>
      <c r="F718" s="9" t="s">
        <v>1036</v>
      </c>
      <c r="G718" s="18">
        <v>22893.9</v>
      </c>
      <c r="H718">
        <v>0</v>
      </c>
      <c r="I718" s="29">
        <f t="shared" si="11"/>
        <v>22893.9</v>
      </c>
      <c r="J718" t="str">
        <f>IFERROR(VLOOKUP(E718,'LEAID Match'!$A$2:$B$168,2,FALSE),"")</f>
        <v/>
      </c>
    </row>
    <row r="719" spans="1:10">
      <c r="A719">
        <v>2016</v>
      </c>
      <c r="B719" t="s">
        <v>1429</v>
      </c>
      <c r="C719" t="s">
        <v>1431</v>
      </c>
      <c r="D719" t="s">
        <v>1433</v>
      </c>
      <c r="E719" t="s">
        <v>575</v>
      </c>
      <c r="F719" t="s">
        <v>575</v>
      </c>
      <c r="G719" s="28">
        <v>29957</v>
      </c>
      <c r="H719">
        <v>0</v>
      </c>
      <c r="I719" s="29">
        <f t="shared" si="11"/>
        <v>29957</v>
      </c>
      <c r="J719" t="str">
        <f>IFERROR(VLOOKUP(E719,'LEAID Match'!$A$2:$B$168,2,FALSE),"")</f>
        <v/>
      </c>
    </row>
    <row r="720" spans="1:10">
      <c r="A720">
        <v>2017</v>
      </c>
      <c r="B720" t="s">
        <v>1429</v>
      </c>
      <c r="C720" t="s">
        <v>1431</v>
      </c>
      <c r="D720" t="s">
        <v>1433</v>
      </c>
      <c r="E720" t="s">
        <v>575</v>
      </c>
      <c r="F720" t="s">
        <v>575</v>
      </c>
      <c r="G720" s="28">
        <v>31138</v>
      </c>
      <c r="H720">
        <v>0</v>
      </c>
      <c r="I720" s="29">
        <f t="shared" si="11"/>
        <v>31138</v>
      </c>
      <c r="J720" t="str">
        <f>IFERROR(VLOOKUP(E720,'LEAID Match'!$A$2:$B$168,2,FALSE),"")</f>
        <v/>
      </c>
    </row>
    <row r="721" spans="1:10">
      <c r="A721" s="27">
        <v>2018</v>
      </c>
      <c r="B721" t="s">
        <v>1429</v>
      </c>
      <c r="C721" t="s">
        <v>1431</v>
      </c>
      <c r="D721" t="s">
        <v>1433</v>
      </c>
      <c r="E721" t="s">
        <v>575</v>
      </c>
      <c r="F721" s="9" t="s">
        <v>575</v>
      </c>
      <c r="G721" s="18">
        <v>35601</v>
      </c>
      <c r="H721">
        <v>0</v>
      </c>
      <c r="I721" s="29">
        <f t="shared" si="11"/>
        <v>35601</v>
      </c>
      <c r="J721" t="str">
        <f>IFERROR(VLOOKUP(E721,'LEAID Match'!$A$2:$B$168,2,FALSE),"")</f>
        <v/>
      </c>
    </row>
    <row r="722" spans="1:10">
      <c r="A722">
        <v>2019</v>
      </c>
      <c r="B722" t="s">
        <v>1429</v>
      </c>
      <c r="C722" t="s">
        <v>1431</v>
      </c>
      <c r="D722" t="s">
        <v>1433</v>
      </c>
      <c r="E722" t="s">
        <v>575</v>
      </c>
      <c r="F722" s="9" t="s">
        <v>575</v>
      </c>
      <c r="G722" s="18">
        <v>35613</v>
      </c>
      <c r="H722">
        <v>0</v>
      </c>
      <c r="I722" s="29">
        <f t="shared" si="11"/>
        <v>35613</v>
      </c>
      <c r="J722" t="str">
        <f>IFERROR(VLOOKUP(E722,'LEAID Match'!$A$2:$B$168,2,FALSE),"")</f>
        <v/>
      </c>
    </row>
    <row r="723" spans="1:10">
      <c r="A723">
        <v>2015</v>
      </c>
      <c r="B723" t="s">
        <v>1429</v>
      </c>
      <c r="C723" t="s">
        <v>1431</v>
      </c>
      <c r="D723" t="s">
        <v>1433</v>
      </c>
      <c r="E723" t="s">
        <v>576</v>
      </c>
      <c r="F723" s="9" t="s">
        <v>1037</v>
      </c>
      <c r="G723" s="18">
        <v>3076182.42</v>
      </c>
      <c r="H723">
        <v>0</v>
      </c>
      <c r="I723" s="29">
        <f t="shared" si="11"/>
        <v>3076182.42</v>
      </c>
      <c r="J723" t="str">
        <f>IFERROR(VLOOKUP(E723,'LEAID Match'!$A$2:$B$168,2,FALSE),"")</f>
        <v/>
      </c>
    </row>
    <row r="724" spans="1:10">
      <c r="A724">
        <v>2016</v>
      </c>
      <c r="B724" t="s">
        <v>1429</v>
      </c>
      <c r="C724" t="s">
        <v>1431</v>
      </c>
      <c r="D724" t="s">
        <v>1433</v>
      </c>
      <c r="E724" t="s">
        <v>576</v>
      </c>
      <c r="F724" t="s">
        <v>576</v>
      </c>
      <c r="G724" s="28">
        <v>3083813</v>
      </c>
      <c r="H724">
        <v>0</v>
      </c>
      <c r="I724" s="29">
        <f t="shared" si="11"/>
        <v>3083813</v>
      </c>
      <c r="J724" t="str">
        <f>IFERROR(VLOOKUP(E724,'LEAID Match'!$A$2:$B$168,2,FALSE),"")</f>
        <v/>
      </c>
    </row>
    <row r="725" spans="1:10">
      <c r="A725">
        <v>2017</v>
      </c>
      <c r="B725" t="s">
        <v>1429</v>
      </c>
      <c r="C725" t="s">
        <v>1431</v>
      </c>
      <c r="D725" t="s">
        <v>1433</v>
      </c>
      <c r="E725" t="s">
        <v>576</v>
      </c>
      <c r="F725" t="s">
        <v>576</v>
      </c>
      <c r="G725" s="28">
        <v>3199399</v>
      </c>
      <c r="H725">
        <v>0</v>
      </c>
      <c r="I725" s="29">
        <f t="shared" si="11"/>
        <v>3199399</v>
      </c>
      <c r="J725" t="str">
        <f>IFERROR(VLOOKUP(E725,'LEAID Match'!$A$2:$B$168,2,FALSE),"")</f>
        <v/>
      </c>
    </row>
    <row r="726" spans="1:10">
      <c r="A726" s="27">
        <v>2018</v>
      </c>
      <c r="B726" t="s">
        <v>1429</v>
      </c>
      <c r="C726" t="s">
        <v>1431</v>
      </c>
      <c r="D726" t="s">
        <v>1433</v>
      </c>
      <c r="E726" t="s">
        <v>576</v>
      </c>
      <c r="F726" s="9" t="s">
        <v>576</v>
      </c>
      <c r="G726" s="18">
        <v>3544185</v>
      </c>
      <c r="H726">
        <v>0</v>
      </c>
      <c r="I726" s="29">
        <f t="shared" si="11"/>
        <v>3544185</v>
      </c>
      <c r="J726" t="str">
        <f>IFERROR(VLOOKUP(E726,'LEAID Match'!$A$2:$B$168,2,FALSE),"")</f>
        <v/>
      </c>
    </row>
    <row r="727" spans="1:10">
      <c r="A727">
        <v>2019</v>
      </c>
      <c r="B727" t="s">
        <v>1429</v>
      </c>
      <c r="C727" t="s">
        <v>1431</v>
      </c>
      <c r="D727" t="s">
        <v>1433</v>
      </c>
      <c r="E727" t="s">
        <v>576</v>
      </c>
      <c r="F727" s="9" t="s">
        <v>576</v>
      </c>
      <c r="G727" s="18">
        <v>3712840</v>
      </c>
      <c r="H727">
        <v>0</v>
      </c>
      <c r="I727" s="29">
        <f t="shared" si="11"/>
        <v>3712840</v>
      </c>
      <c r="J727" t="str">
        <f>IFERROR(VLOOKUP(E727,'LEAID Match'!$A$2:$B$168,2,FALSE),"")</f>
        <v/>
      </c>
    </row>
    <row r="728" spans="1:10">
      <c r="A728" s="27">
        <v>2020</v>
      </c>
      <c r="B728" t="s">
        <v>1429</v>
      </c>
      <c r="C728" t="s">
        <v>1431</v>
      </c>
      <c r="D728" t="s">
        <v>1433</v>
      </c>
      <c r="E728" t="s">
        <v>59</v>
      </c>
      <c r="F728" s="9" t="s">
        <v>59</v>
      </c>
      <c r="G728" s="18">
        <v>4030800</v>
      </c>
      <c r="H728">
        <v>0</v>
      </c>
      <c r="I728" s="29">
        <f t="shared" si="11"/>
        <v>4030800</v>
      </c>
      <c r="J728">
        <f>IFERROR(VLOOKUP(E728,'LEAID Match'!$A$2:$B$168,2,FALSE),"")</f>
        <v>3302610</v>
      </c>
    </row>
    <row r="729" spans="1:10">
      <c r="A729">
        <v>2021</v>
      </c>
      <c r="B729" t="s">
        <v>1429</v>
      </c>
      <c r="C729" t="s">
        <v>1431</v>
      </c>
      <c r="D729" t="s">
        <v>1433</v>
      </c>
      <c r="E729" t="s">
        <v>59</v>
      </c>
      <c r="F729" s="9" t="s">
        <v>59</v>
      </c>
      <c r="G729" s="18">
        <v>4142794</v>
      </c>
      <c r="H729">
        <v>0</v>
      </c>
      <c r="I729" s="29">
        <f t="shared" si="11"/>
        <v>4142794</v>
      </c>
      <c r="J729">
        <f>IFERROR(VLOOKUP(E729,'LEAID Match'!$A$2:$B$168,2,FALSE),"")</f>
        <v>3302610</v>
      </c>
    </row>
    <row r="730" spans="1:10">
      <c r="A730">
        <v>2022</v>
      </c>
      <c r="B730" t="s">
        <v>1429</v>
      </c>
      <c r="C730" t="s">
        <v>1431</v>
      </c>
      <c r="D730" t="s">
        <v>1433</v>
      </c>
      <c r="E730" t="s">
        <v>59</v>
      </c>
      <c r="F730" s="9" t="s">
        <v>59</v>
      </c>
      <c r="G730" s="18">
        <v>5148324</v>
      </c>
      <c r="H730">
        <v>0</v>
      </c>
      <c r="I730" s="29">
        <f t="shared" si="11"/>
        <v>5148324</v>
      </c>
      <c r="J730">
        <f>IFERROR(VLOOKUP(E730,'LEAID Match'!$A$2:$B$168,2,FALSE),"")</f>
        <v>3302610</v>
      </c>
    </row>
    <row r="731" spans="1:10">
      <c r="A731">
        <v>2023</v>
      </c>
      <c r="B731" t="s">
        <v>1429</v>
      </c>
      <c r="C731" t="s">
        <v>1431</v>
      </c>
      <c r="D731" t="s">
        <v>1433</v>
      </c>
      <c r="E731" t="s">
        <v>59</v>
      </c>
      <c r="F731" t="s">
        <v>59</v>
      </c>
      <c r="G731" s="28">
        <v>5396196</v>
      </c>
      <c r="H731">
        <v>0</v>
      </c>
      <c r="I731" s="29">
        <f t="shared" si="11"/>
        <v>5396196</v>
      </c>
      <c r="J731">
        <f>IFERROR(VLOOKUP(E731,'LEAID Match'!$A$2:$B$168,2,FALSE),"")</f>
        <v>3302610</v>
      </c>
    </row>
    <row r="732" spans="1:10">
      <c r="A732">
        <v>2015</v>
      </c>
      <c r="B732" t="s">
        <v>1429</v>
      </c>
      <c r="C732" t="s">
        <v>1431</v>
      </c>
      <c r="D732" t="s">
        <v>1433</v>
      </c>
      <c r="E732" t="s">
        <v>60</v>
      </c>
      <c r="F732" s="9" t="s">
        <v>1038</v>
      </c>
      <c r="G732" s="18">
        <v>7674.69</v>
      </c>
      <c r="H732">
        <v>0</v>
      </c>
      <c r="I732" s="29">
        <f t="shared" si="11"/>
        <v>7674.69</v>
      </c>
      <c r="J732" t="str">
        <f>IFERROR(VLOOKUP(E732,'LEAID Match'!$A$2:$B$168,2,FALSE),"")</f>
        <v/>
      </c>
    </row>
    <row r="733" spans="1:10">
      <c r="A733">
        <v>2016</v>
      </c>
      <c r="B733" t="s">
        <v>1429</v>
      </c>
      <c r="C733" t="s">
        <v>1431</v>
      </c>
      <c r="D733" t="s">
        <v>1433</v>
      </c>
      <c r="E733" t="s">
        <v>60</v>
      </c>
      <c r="F733" t="s">
        <v>577</v>
      </c>
      <c r="G733" s="28">
        <v>8280</v>
      </c>
      <c r="H733">
        <v>0</v>
      </c>
      <c r="I733" s="29">
        <f t="shared" si="11"/>
        <v>8280</v>
      </c>
      <c r="J733" t="str">
        <f>IFERROR(VLOOKUP(E733,'LEAID Match'!$A$2:$B$168,2,FALSE),"")</f>
        <v/>
      </c>
    </row>
    <row r="734" spans="1:10">
      <c r="A734">
        <v>2017</v>
      </c>
      <c r="B734" t="s">
        <v>1429</v>
      </c>
      <c r="C734" t="s">
        <v>1431</v>
      </c>
      <c r="D734" t="s">
        <v>1433</v>
      </c>
      <c r="E734" t="s">
        <v>60</v>
      </c>
      <c r="F734" t="s">
        <v>577</v>
      </c>
      <c r="G734" s="28">
        <v>8352</v>
      </c>
      <c r="H734">
        <v>0</v>
      </c>
      <c r="I734" s="29">
        <f t="shared" si="11"/>
        <v>8352</v>
      </c>
      <c r="J734" t="str">
        <f>IFERROR(VLOOKUP(E734,'LEAID Match'!$A$2:$B$168,2,FALSE),"")</f>
        <v/>
      </c>
    </row>
    <row r="735" spans="1:10">
      <c r="A735" s="27">
        <v>2018</v>
      </c>
      <c r="B735" t="s">
        <v>1429</v>
      </c>
      <c r="C735" t="s">
        <v>1431</v>
      </c>
      <c r="D735" t="s">
        <v>1433</v>
      </c>
      <c r="E735" t="s">
        <v>60</v>
      </c>
      <c r="F735" s="9" t="s">
        <v>577</v>
      </c>
      <c r="G735" s="18">
        <v>9030</v>
      </c>
      <c r="H735">
        <v>0</v>
      </c>
      <c r="I735" s="29">
        <f t="shared" si="11"/>
        <v>9030</v>
      </c>
      <c r="J735" t="str">
        <f>IFERROR(VLOOKUP(E735,'LEAID Match'!$A$2:$B$168,2,FALSE),"")</f>
        <v/>
      </c>
    </row>
    <row r="736" spans="1:10">
      <c r="A736">
        <v>2019</v>
      </c>
      <c r="B736" t="s">
        <v>1429</v>
      </c>
      <c r="C736" t="s">
        <v>1431</v>
      </c>
      <c r="D736" t="s">
        <v>1433</v>
      </c>
      <c r="E736" t="s">
        <v>60</v>
      </c>
      <c r="F736" s="9" t="s">
        <v>577</v>
      </c>
      <c r="G736" s="18">
        <v>8361</v>
      </c>
      <c r="H736">
        <v>0</v>
      </c>
      <c r="I736" s="29">
        <f t="shared" si="11"/>
        <v>8361</v>
      </c>
      <c r="J736" t="str">
        <f>IFERROR(VLOOKUP(E736,'LEAID Match'!$A$2:$B$168,2,FALSE),"")</f>
        <v/>
      </c>
    </row>
    <row r="737" spans="1:10">
      <c r="A737" s="27">
        <v>2020</v>
      </c>
      <c r="B737" t="s">
        <v>1429</v>
      </c>
      <c r="C737" t="s">
        <v>1431</v>
      </c>
      <c r="D737" t="s">
        <v>1433</v>
      </c>
      <c r="E737" t="s">
        <v>60</v>
      </c>
      <c r="F737" s="9" t="s">
        <v>60</v>
      </c>
      <c r="G737" s="18">
        <v>4790</v>
      </c>
      <c r="H737">
        <v>0</v>
      </c>
      <c r="I737" s="29">
        <f t="shared" si="11"/>
        <v>4790</v>
      </c>
      <c r="J737" t="str">
        <f>IFERROR(VLOOKUP(E737,'LEAID Match'!$A$2:$B$168,2,FALSE),"")</f>
        <v/>
      </c>
    </row>
    <row r="738" spans="1:10">
      <c r="A738">
        <v>2021</v>
      </c>
      <c r="B738" t="s">
        <v>1429</v>
      </c>
      <c r="C738" t="s">
        <v>1431</v>
      </c>
      <c r="D738" t="s">
        <v>1433</v>
      </c>
      <c r="E738" t="s">
        <v>60</v>
      </c>
      <c r="F738" s="9" t="s">
        <v>60</v>
      </c>
      <c r="G738" s="18">
        <v>4700</v>
      </c>
      <c r="H738">
        <v>0</v>
      </c>
      <c r="I738" s="29">
        <f t="shared" si="11"/>
        <v>4700</v>
      </c>
      <c r="J738" t="str">
        <f>IFERROR(VLOOKUP(E738,'LEAID Match'!$A$2:$B$168,2,FALSE),"")</f>
        <v/>
      </c>
    </row>
    <row r="739" spans="1:10">
      <c r="A739">
        <v>2022</v>
      </c>
      <c r="B739" t="s">
        <v>1429</v>
      </c>
      <c r="C739" t="s">
        <v>1431</v>
      </c>
      <c r="D739" t="s">
        <v>1433</v>
      </c>
      <c r="E739" t="s">
        <v>60</v>
      </c>
      <c r="F739" s="9" t="s">
        <v>60</v>
      </c>
      <c r="G739" s="18">
        <v>5940</v>
      </c>
      <c r="H739">
        <v>0</v>
      </c>
      <c r="I739" s="29">
        <f t="shared" si="11"/>
        <v>5940</v>
      </c>
      <c r="J739" t="str">
        <f>IFERROR(VLOOKUP(E739,'LEAID Match'!$A$2:$B$168,2,FALSE),"")</f>
        <v/>
      </c>
    </row>
    <row r="740" spans="1:10">
      <c r="A740">
        <v>2023</v>
      </c>
      <c r="B740" t="s">
        <v>1429</v>
      </c>
      <c r="C740" t="s">
        <v>1431</v>
      </c>
      <c r="D740" t="s">
        <v>1433</v>
      </c>
      <c r="E740" t="s">
        <v>60</v>
      </c>
      <c r="F740" t="s">
        <v>60</v>
      </c>
      <c r="G740" s="28">
        <v>6717</v>
      </c>
      <c r="H740">
        <v>0</v>
      </c>
      <c r="I740" s="29">
        <f t="shared" si="11"/>
        <v>6717</v>
      </c>
      <c r="J740" t="str">
        <f>IFERROR(VLOOKUP(E740,'LEAID Match'!$A$2:$B$168,2,FALSE),"")</f>
        <v/>
      </c>
    </row>
    <row r="741" spans="1:10">
      <c r="A741">
        <v>2015</v>
      </c>
      <c r="B741" t="s">
        <v>1429</v>
      </c>
      <c r="C741" t="s">
        <v>1431</v>
      </c>
      <c r="D741" t="s">
        <v>1433</v>
      </c>
      <c r="E741" t="s">
        <v>578</v>
      </c>
      <c r="F741" s="9" t="s">
        <v>1039</v>
      </c>
      <c r="G741" s="18">
        <v>3740.33</v>
      </c>
      <c r="H741">
        <v>0</v>
      </c>
      <c r="I741" s="29">
        <f t="shared" si="11"/>
        <v>3740.33</v>
      </c>
      <c r="J741" t="str">
        <f>IFERROR(VLOOKUP(E741,'LEAID Match'!$A$2:$B$168,2,FALSE),"")</f>
        <v/>
      </c>
    </row>
    <row r="742" spans="1:10">
      <c r="A742">
        <v>2016</v>
      </c>
      <c r="B742" t="s">
        <v>1429</v>
      </c>
      <c r="C742" t="s">
        <v>1431</v>
      </c>
      <c r="D742" t="s">
        <v>1433</v>
      </c>
      <c r="E742" t="s">
        <v>578</v>
      </c>
      <c r="F742" t="s">
        <v>578</v>
      </c>
      <c r="G742" s="28">
        <v>4118</v>
      </c>
      <c r="H742">
        <v>0</v>
      </c>
      <c r="I742" s="29">
        <f t="shared" si="11"/>
        <v>4118</v>
      </c>
      <c r="J742" t="str">
        <f>IFERROR(VLOOKUP(E742,'LEAID Match'!$A$2:$B$168,2,FALSE),"")</f>
        <v/>
      </c>
    </row>
    <row r="743" spans="1:10">
      <c r="A743">
        <v>2017</v>
      </c>
      <c r="B743" t="s">
        <v>1429</v>
      </c>
      <c r="C743" t="s">
        <v>1431</v>
      </c>
      <c r="D743" t="s">
        <v>1433</v>
      </c>
      <c r="E743" t="s">
        <v>578</v>
      </c>
      <c r="F743" t="s">
        <v>578</v>
      </c>
      <c r="G743" s="28">
        <v>1485</v>
      </c>
      <c r="H743">
        <v>0</v>
      </c>
      <c r="I743" s="29">
        <f t="shared" si="11"/>
        <v>1485</v>
      </c>
      <c r="J743" t="str">
        <f>IFERROR(VLOOKUP(E743,'LEAID Match'!$A$2:$B$168,2,FALSE),"")</f>
        <v/>
      </c>
    </row>
    <row r="744" spans="1:10">
      <c r="A744" s="27">
        <v>2018</v>
      </c>
      <c r="B744" t="s">
        <v>1429</v>
      </c>
      <c r="C744" t="s">
        <v>1431</v>
      </c>
      <c r="D744" t="s">
        <v>1433</v>
      </c>
      <c r="E744" t="s">
        <v>578</v>
      </c>
      <c r="F744" s="9" t="s">
        <v>578</v>
      </c>
      <c r="G744" s="18">
        <v>4786</v>
      </c>
      <c r="H744">
        <v>0</v>
      </c>
      <c r="I744" s="29">
        <f t="shared" si="11"/>
        <v>4786</v>
      </c>
      <c r="J744" t="str">
        <f>IFERROR(VLOOKUP(E744,'LEAID Match'!$A$2:$B$168,2,FALSE),"")</f>
        <v/>
      </c>
    </row>
    <row r="745" spans="1:10">
      <c r="A745">
        <v>2019</v>
      </c>
      <c r="B745" t="s">
        <v>1429</v>
      </c>
      <c r="C745" t="s">
        <v>1431</v>
      </c>
      <c r="D745" t="s">
        <v>1433</v>
      </c>
      <c r="E745" t="s">
        <v>578</v>
      </c>
      <c r="F745" s="9" t="s">
        <v>578</v>
      </c>
      <c r="G745" s="18">
        <v>1807</v>
      </c>
      <c r="H745">
        <v>0</v>
      </c>
      <c r="I745" s="29">
        <f t="shared" si="11"/>
        <v>1807</v>
      </c>
      <c r="J745" t="str">
        <f>IFERROR(VLOOKUP(E745,'LEAID Match'!$A$2:$B$168,2,FALSE),"")</f>
        <v/>
      </c>
    </row>
    <row r="746" spans="1:10">
      <c r="A746">
        <v>2015</v>
      </c>
      <c r="B746" t="s">
        <v>1429</v>
      </c>
      <c r="C746" t="s">
        <v>1431</v>
      </c>
      <c r="D746" t="s">
        <v>1433</v>
      </c>
      <c r="E746" t="s">
        <v>579</v>
      </c>
      <c r="F746" s="9" t="s">
        <v>1040</v>
      </c>
      <c r="G746" s="18">
        <v>4906324.97</v>
      </c>
      <c r="H746">
        <v>0</v>
      </c>
      <c r="I746" s="29">
        <f t="shared" si="11"/>
        <v>4906324.97</v>
      </c>
      <c r="J746" t="str">
        <f>IFERROR(VLOOKUP(E746,'LEAID Match'!$A$2:$B$168,2,FALSE),"")</f>
        <v/>
      </c>
    </row>
    <row r="747" spans="1:10">
      <c r="A747">
        <v>2016</v>
      </c>
      <c r="B747" t="s">
        <v>1429</v>
      </c>
      <c r="C747" t="s">
        <v>1431</v>
      </c>
      <c r="D747" t="s">
        <v>1433</v>
      </c>
      <c r="E747" t="s">
        <v>579</v>
      </c>
      <c r="F747" t="s">
        <v>579</v>
      </c>
      <c r="G747" s="28">
        <v>5543143</v>
      </c>
      <c r="H747">
        <v>0</v>
      </c>
      <c r="I747" s="29">
        <f t="shared" si="11"/>
        <v>5543143</v>
      </c>
      <c r="J747" t="str">
        <f>IFERROR(VLOOKUP(E747,'LEAID Match'!$A$2:$B$168,2,FALSE),"")</f>
        <v/>
      </c>
    </row>
    <row r="748" spans="1:10">
      <c r="A748">
        <v>2017</v>
      </c>
      <c r="B748" t="s">
        <v>1429</v>
      </c>
      <c r="C748" t="s">
        <v>1431</v>
      </c>
      <c r="D748" t="s">
        <v>1433</v>
      </c>
      <c r="E748" t="s">
        <v>579</v>
      </c>
      <c r="F748" t="s">
        <v>579</v>
      </c>
      <c r="G748" s="28">
        <v>5704762</v>
      </c>
      <c r="H748">
        <v>0</v>
      </c>
      <c r="I748" s="29">
        <f t="shared" si="11"/>
        <v>5704762</v>
      </c>
      <c r="J748" t="str">
        <f>IFERROR(VLOOKUP(E748,'LEAID Match'!$A$2:$B$168,2,FALSE),"")</f>
        <v/>
      </c>
    </row>
    <row r="749" spans="1:10">
      <c r="A749" s="27">
        <v>2018</v>
      </c>
      <c r="B749" t="s">
        <v>1429</v>
      </c>
      <c r="C749" t="s">
        <v>1431</v>
      </c>
      <c r="D749" t="s">
        <v>1433</v>
      </c>
      <c r="E749" t="s">
        <v>579</v>
      </c>
      <c r="F749" s="9" t="s">
        <v>579</v>
      </c>
      <c r="G749" s="18">
        <v>6744626</v>
      </c>
      <c r="H749">
        <v>0</v>
      </c>
      <c r="I749" s="29">
        <f t="shared" si="11"/>
        <v>6744626</v>
      </c>
      <c r="J749" t="str">
        <f>IFERROR(VLOOKUP(E749,'LEAID Match'!$A$2:$B$168,2,FALSE),"")</f>
        <v/>
      </c>
    </row>
    <row r="750" spans="1:10">
      <c r="A750">
        <v>2019</v>
      </c>
      <c r="B750" t="s">
        <v>1429</v>
      </c>
      <c r="C750" t="s">
        <v>1431</v>
      </c>
      <c r="D750" t="s">
        <v>1433</v>
      </c>
      <c r="E750" t="s">
        <v>579</v>
      </c>
      <c r="F750" s="9" t="s">
        <v>579</v>
      </c>
      <c r="G750" s="18">
        <v>6955018</v>
      </c>
      <c r="H750">
        <v>0</v>
      </c>
      <c r="I750" s="29">
        <f t="shared" si="11"/>
        <v>6955018</v>
      </c>
      <c r="J750" t="str">
        <f>IFERROR(VLOOKUP(E750,'LEAID Match'!$A$2:$B$168,2,FALSE),"")</f>
        <v/>
      </c>
    </row>
    <row r="751" spans="1:10">
      <c r="A751">
        <v>2015</v>
      </c>
      <c r="B751" t="s">
        <v>1429</v>
      </c>
      <c r="C751" t="s">
        <v>1431</v>
      </c>
      <c r="D751" t="s">
        <v>1433</v>
      </c>
      <c r="E751" t="s">
        <v>61</v>
      </c>
      <c r="F751" s="9" t="s">
        <v>1041</v>
      </c>
      <c r="G751" s="18">
        <v>123325.08</v>
      </c>
      <c r="H751">
        <v>0</v>
      </c>
      <c r="I751" s="29">
        <f t="shared" si="11"/>
        <v>123325.08</v>
      </c>
      <c r="J751" t="str">
        <f>IFERROR(VLOOKUP(E751,'LEAID Match'!$A$2:$B$168,2,FALSE),"")</f>
        <v/>
      </c>
    </row>
    <row r="752" spans="1:10">
      <c r="A752">
        <v>2016</v>
      </c>
      <c r="B752" t="s">
        <v>1429</v>
      </c>
      <c r="C752" t="s">
        <v>1431</v>
      </c>
      <c r="D752" t="s">
        <v>1433</v>
      </c>
      <c r="E752" t="s">
        <v>61</v>
      </c>
      <c r="F752" t="s">
        <v>61</v>
      </c>
      <c r="G752" s="28">
        <v>130553</v>
      </c>
      <c r="H752">
        <v>0</v>
      </c>
      <c r="I752" s="29">
        <f t="shared" si="11"/>
        <v>130553</v>
      </c>
      <c r="J752" t="str">
        <f>IFERROR(VLOOKUP(E752,'LEAID Match'!$A$2:$B$168,2,FALSE),"")</f>
        <v/>
      </c>
    </row>
    <row r="753" spans="1:10">
      <c r="A753">
        <v>2017</v>
      </c>
      <c r="B753" t="s">
        <v>1429</v>
      </c>
      <c r="C753" t="s">
        <v>1431</v>
      </c>
      <c r="D753" t="s">
        <v>1433</v>
      </c>
      <c r="E753" t="s">
        <v>61</v>
      </c>
      <c r="F753" t="s">
        <v>61</v>
      </c>
      <c r="G753" s="28">
        <v>133558</v>
      </c>
      <c r="H753">
        <v>0</v>
      </c>
      <c r="I753" s="29">
        <f t="shared" si="11"/>
        <v>133558</v>
      </c>
      <c r="J753" t="str">
        <f>IFERROR(VLOOKUP(E753,'LEAID Match'!$A$2:$B$168,2,FALSE),"")</f>
        <v/>
      </c>
    </row>
    <row r="754" spans="1:10">
      <c r="A754" s="27">
        <v>2018</v>
      </c>
      <c r="B754" t="s">
        <v>1429</v>
      </c>
      <c r="C754" t="s">
        <v>1431</v>
      </c>
      <c r="D754" t="s">
        <v>1433</v>
      </c>
      <c r="E754" t="s">
        <v>61</v>
      </c>
      <c r="F754" s="9" t="s">
        <v>61</v>
      </c>
      <c r="G754" s="18">
        <v>143231</v>
      </c>
      <c r="H754">
        <v>0</v>
      </c>
      <c r="I754" s="29">
        <f t="shared" si="11"/>
        <v>143231</v>
      </c>
      <c r="J754" t="str">
        <f>IFERROR(VLOOKUP(E754,'LEAID Match'!$A$2:$B$168,2,FALSE),"")</f>
        <v/>
      </c>
    </row>
    <row r="755" spans="1:10">
      <c r="A755">
        <v>2019</v>
      </c>
      <c r="B755" t="s">
        <v>1429</v>
      </c>
      <c r="C755" t="s">
        <v>1431</v>
      </c>
      <c r="D755" t="s">
        <v>1433</v>
      </c>
      <c r="E755" t="s">
        <v>61</v>
      </c>
      <c r="F755" s="9" t="s">
        <v>61</v>
      </c>
      <c r="G755" s="18">
        <v>140315</v>
      </c>
      <c r="H755">
        <v>0</v>
      </c>
      <c r="I755" s="29">
        <f t="shared" si="11"/>
        <v>140315</v>
      </c>
      <c r="J755" t="str">
        <f>IFERROR(VLOOKUP(E755,'LEAID Match'!$A$2:$B$168,2,FALSE),"")</f>
        <v/>
      </c>
    </row>
    <row r="756" spans="1:10">
      <c r="A756" s="27">
        <v>2020</v>
      </c>
      <c r="B756" t="s">
        <v>1429</v>
      </c>
      <c r="C756" t="s">
        <v>1431</v>
      </c>
      <c r="D756" t="s">
        <v>1433</v>
      </c>
      <c r="E756" t="s">
        <v>61</v>
      </c>
      <c r="F756" s="9" t="s">
        <v>61</v>
      </c>
      <c r="G756" s="18">
        <v>144271</v>
      </c>
      <c r="H756">
        <v>0</v>
      </c>
      <c r="I756" s="29">
        <f t="shared" si="11"/>
        <v>144271</v>
      </c>
      <c r="J756" t="str">
        <f>IFERROR(VLOOKUP(E756,'LEAID Match'!$A$2:$B$168,2,FALSE),"")</f>
        <v/>
      </c>
    </row>
    <row r="757" spans="1:10">
      <c r="A757">
        <v>2021</v>
      </c>
      <c r="B757" t="s">
        <v>1429</v>
      </c>
      <c r="C757" t="s">
        <v>1431</v>
      </c>
      <c r="D757" t="s">
        <v>1433</v>
      </c>
      <c r="E757" t="s">
        <v>61</v>
      </c>
      <c r="F757" s="9" t="s">
        <v>61</v>
      </c>
      <c r="G757" s="18">
        <v>145734</v>
      </c>
      <c r="H757">
        <v>0</v>
      </c>
      <c r="I757" s="29">
        <f t="shared" si="11"/>
        <v>145734</v>
      </c>
      <c r="J757" t="str">
        <f>IFERROR(VLOOKUP(E757,'LEAID Match'!$A$2:$B$168,2,FALSE),"")</f>
        <v/>
      </c>
    </row>
    <row r="758" spans="1:10">
      <c r="A758">
        <v>2022</v>
      </c>
      <c r="B758" t="s">
        <v>1429</v>
      </c>
      <c r="C758" t="s">
        <v>1431</v>
      </c>
      <c r="D758" t="s">
        <v>1433</v>
      </c>
      <c r="E758" t="s">
        <v>61</v>
      </c>
      <c r="F758" s="9" t="s">
        <v>61</v>
      </c>
      <c r="G758" s="18">
        <v>196072</v>
      </c>
      <c r="H758">
        <v>0</v>
      </c>
      <c r="I758" s="29">
        <f t="shared" si="11"/>
        <v>196072</v>
      </c>
      <c r="J758" t="str">
        <f>IFERROR(VLOOKUP(E758,'LEAID Match'!$A$2:$B$168,2,FALSE),"")</f>
        <v/>
      </c>
    </row>
    <row r="759" spans="1:10">
      <c r="A759">
        <v>2023</v>
      </c>
      <c r="B759" t="s">
        <v>1429</v>
      </c>
      <c r="C759" t="s">
        <v>1431</v>
      </c>
      <c r="D759" t="s">
        <v>1433</v>
      </c>
      <c r="E759" t="s">
        <v>61</v>
      </c>
      <c r="F759" t="s">
        <v>61</v>
      </c>
      <c r="G759" s="28">
        <v>216222</v>
      </c>
      <c r="H759">
        <v>0</v>
      </c>
      <c r="I759" s="29">
        <f t="shared" si="11"/>
        <v>216222</v>
      </c>
      <c r="J759" t="str">
        <f>IFERROR(VLOOKUP(E759,'LEAID Match'!$A$2:$B$168,2,FALSE),"")</f>
        <v/>
      </c>
    </row>
    <row r="760" spans="1:10">
      <c r="A760">
        <v>2015</v>
      </c>
      <c r="B760" t="s">
        <v>1429</v>
      </c>
      <c r="C760" t="s">
        <v>1431</v>
      </c>
      <c r="D760" t="s">
        <v>1433</v>
      </c>
      <c r="E760" t="s">
        <v>62</v>
      </c>
      <c r="F760" s="9" t="s">
        <v>1042</v>
      </c>
      <c r="G760" s="18">
        <v>724362.36</v>
      </c>
      <c r="H760">
        <v>0</v>
      </c>
      <c r="I760" s="29">
        <f t="shared" si="11"/>
        <v>724362.36</v>
      </c>
      <c r="J760">
        <f>IFERROR(VLOOKUP(E760,'LEAID Match'!$A$2:$B$168,2,FALSE),"")</f>
        <v>3302670</v>
      </c>
    </row>
    <row r="761" spans="1:10">
      <c r="A761">
        <v>2016</v>
      </c>
      <c r="B761" t="s">
        <v>1429</v>
      </c>
      <c r="C761" t="s">
        <v>1431</v>
      </c>
      <c r="D761" t="s">
        <v>1433</v>
      </c>
      <c r="E761" t="s">
        <v>62</v>
      </c>
      <c r="F761" t="s">
        <v>580</v>
      </c>
      <c r="G761" s="28">
        <v>795370</v>
      </c>
      <c r="H761">
        <v>0</v>
      </c>
      <c r="I761" s="29">
        <f t="shared" si="11"/>
        <v>795370</v>
      </c>
      <c r="J761">
        <f>IFERROR(VLOOKUP(E761,'LEAID Match'!$A$2:$B$168,2,FALSE),"")</f>
        <v>3302670</v>
      </c>
    </row>
    <row r="762" spans="1:10">
      <c r="A762">
        <v>2017</v>
      </c>
      <c r="B762" t="s">
        <v>1429</v>
      </c>
      <c r="C762" t="s">
        <v>1431</v>
      </c>
      <c r="D762" t="s">
        <v>1433</v>
      </c>
      <c r="E762" t="s">
        <v>62</v>
      </c>
      <c r="F762" t="s">
        <v>580</v>
      </c>
      <c r="G762" s="28">
        <v>805333</v>
      </c>
      <c r="H762">
        <v>0</v>
      </c>
      <c r="I762" s="29">
        <f t="shared" si="11"/>
        <v>805333</v>
      </c>
      <c r="J762">
        <f>IFERROR(VLOOKUP(E762,'LEAID Match'!$A$2:$B$168,2,FALSE),"")</f>
        <v>3302670</v>
      </c>
    </row>
    <row r="763" spans="1:10">
      <c r="A763" s="27">
        <v>2018</v>
      </c>
      <c r="B763" t="s">
        <v>1429</v>
      </c>
      <c r="C763" t="s">
        <v>1431</v>
      </c>
      <c r="D763" t="s">
        <v>1433</v>
      </c>
      <c r="E763" t="s">
        <v>62</v>
      </c>
      <c r="F763" s="9" t="s">
        <v>580</v>
      </c>
      <c r="G763" s="18">
        <v>965505</v>
      </c>
      <c r="H763">
        <v>0</v>
      </c>
      <c r="I763" s="29">
        <f t="shared" si="11"/>
        <v>965505</v>
      </c>
      <c r="J763">
        <f>IFERROR(VLOOKUP(E763,'LEAID Match'!$A$2:$B$168,2,FALSE),"")</f>
        <v>3302670</v>
      </c>
    </row>
    <row r="764" spans="1:10">
      <c r="A764">
        <v>2019</v>
      </c>
      <c r="B764" t="s">
        <v>1429</v>
      </c>
      <c r="C764" t="s">
        <v>1431</v>
      </c>
      <c r="D764" t="s">
        <v>1433</v>
      </c>
      <c r="E764" t="s">
        <v>62</v>
      </c>
      <c r="F764" s="9" t="s">
        <v>580</v>
      </c>
      <c r="G764" s="18">
        <v>944252</v>
      </c>
      <c r="H764">
        <v>0</v>
      </c>
      <c r="I764" s="29">
        <f t="shared" si="11"/>
        <v>944252</v>
      </c>
      <c r="J764">
        <f>IFERROR(VLOOKUP(E764,'LEAID Match'!$A$2:$B$168,2,FALSE),"")</f>
        <v>3302670</v>
      </c>
    </row>
    <row r="765" spans="1:10">
      <c r="A765" s="27">
        <v>2020</v>
      </c>
      <c r="B765" t="s">
        <v>1429</v>
      </c>
      <c r="C765" t="s">
        <v>1431</v>
      </c>
      <c r="D765" t="s">
        <v>1433</v>
      </c>
      <c r="E765" t="s">
        <v>62</v>
      </c>
      <c r="F765" s="9" t="s">
        <v>62</v>
      </c>
      <c r="G765" s="18">
        <v>1000365</v>
      </c>
      <c r="H765">
        <v>0</v>
      </c>
      <c r="I765" s="29">
        <f t="shared" si="11"/>
        <v>1000365</v>
      </c>
      <c r="J765">
        <f>IFERROR(VLOOKUP(E765,'LEAID Match'!$A$2:$B$168,2,FALSE),"")</f>
        <v>3302670</v>
      </c>
    </row>
    <row r="766" spans="1:10">
      <c r="A766">
        <v>2021</v>
      </c>
      <c r="B766" t="s">
        <v>1429</v>
      </c>
      <c r="C766" t="s">
        <v>1431</v>
      </c>
      <c r="D766" t="s">
        <v>1433</v>
      </c>
      <c r="E766" t="s">
        <v>62</v>
      </c>
      <c r="F766" s="9" t="s">
        <v>62</v>
      </c>
      <c r="G766" s="18">
        <v>1011150</v>
      </c>
      <c r="H766">
        <v>0</v>
      </c>
      <c r="I766" s="29">
        <f t="shared" si="11"/>
        <v>1011150</v>
      </c>
      <c r="J766">
        <f>IFERROR(VLOOKUP(E766,'LEAID Match'!$A$2:$B$168,2,FALSE),"")</f>
        <v>3302670</v>
      </c>
    </row>
    <row r="767" spans="1:10">
      <c r="A767">
        <v>2022</v>
      </c>
      <c r="B767" t="s">
        <v>1429</v>
      </c>
      <c r="C767" t="s">
        <v>1431</v>
      </c>
      <c r="D767" t="s">
        <v>1433</v>
      </c>
      <c r="E767" t="s">
        <v>62</v>
      </c>
      <c r="F767" s="9" t="s">
        <v>62</v>
      </c>
      <c r="G767" s="18">
        <v>1357725</v>
      </c>
      <c r="H767">
        <v>0</v>
      </c>
      <c r="I767" s="29">
        <f t="shared" si="11"/>
        <v>1357725</v>
      </c>
      <c r="J767">
        <f>IFERROR(VLOOKUP(E767,'LEAID Match'!$A$2:$B$168,2,FALSE),"")</f>
        <v>3302670</v>
      </c>
    </row>
    <row r="768" spans="1:10">
      <c r="A768">
        <v>2023</v>
      </c>
      <c r="B768" t="s">
        <v>1429</v>
      </c>
      <c r="C768" t="s">
        <v>1431</v>
      </c>
      <c r="D768" t="s">
        <v>1433</v>
      </c>
      <c r="E768" t="s">
        <v>62</v>
      </c>
      <c r="F768" t="s">
        <v>62</v>
      </c>
      <c r="G768" s="28">
        <v>1372585</v>
      </c>
      <c r="H768">
        <v>0</v>
      </c>
      <c r="I768" s="29">
        <f t="shared" si="11"/>
        <v>1372585</v>
      </c>
      <c r="J768">
        <f>IFERROR(VLOOKUP(E768,'LEAID Match'!$A$2:$B$168,2,FALSE),"")</f>
        <v>3302670</v>
      </c>
    </row>
    <row r="769" spans="1:10">
      <c r="A769">
        <v>2016</v>
      </c>
      <c r="B769" t="s">
        <v>1429</v>
      </c>
      <c r="C769" t="s">
        <v>1431</v>
      </c>
      <c r="D769" t="s">
        <v>1433</v>
      </c>
      <c r="E769" t="s">
        <v>581</v>
      </c>
      <c r="F769" t="s">
        <v>581</v>
      </c>
      <c r="G769" s="28">
        <v>78135</v>
      </c>
      <c r="H769">
        <v>0</v>
      </c>
      <c r="I769" s="29">
        <f t="shared" si="11"/>
        <v>78135</v>
      </c>
      <c r="J769" t="str">
        <f>IFERROR(VLOOKUP(E769,'LEAID Match'!$A$2:$B$168,2,FALSE),"")</f>
        <v/>
      </c>
    </row>
    <row r="770" spans="1:10">
      <c r="A770">
        <v>2017</v>
      </c>
      <c r="B770" t="s">
        <v>1429</v>
      </c>
      <c r="C770" t="s">
        <v>1431</v>
      </c>
      <c r="D770" t="s">
        <v>1433</v>
      </c>
      <c r="E770" t="s">
        <v>581</v>
      </c>
      <c r="F770" t="s">
        <v>581</v>
      </c>
      <c r="G770" s="28">
        <v>76922</v>
      </c>
      <c r="H770">
        <v>0</v>
      </c>
      <c r="I770" s="29">
        <f t="shared" si="11"/>
        <v>76922</v>
      </c>
      <c r="J770" t="str">
        <f>IFERROR(VLOOKUP(E770,'LEAID Match'!$A$2:$B$168,2,FALSE),"")</f>
        <v/>
      </c>
    </row>
    <row r="771" spans="1:10">
      <c r="A771" s="27">
        <v>2018</v>
      </c>
      <c r="B771" t="s">
        <v>1429</v>
      </c>
      <c r="C771" t="s">
        <v>1431</v>
      </c>
      <c r="D771" t="s">
        <v>1433</v>
      </c>
      <c r="E771" t="s">
        <v>581</v>
      </c>
      <c r="F771" s="9" t="s">
        <v>581</v>
      </c>
      <c r="G771" s="18">
        <v>92043</v>
      </c>
      <c r="H771">
        <v>0</v>
      </c>
      <c r="I771" s="29">
        <f t="shared" ref="I771:I834" si="12">SUM(G771:H771)</f>
        <v>92043</v>
      </c>
      <c r="J771" t="str">
        <f>IFERROR(VLOOKUP(E771,'LEAID Match'!$A$2:$B$168,2,FALSE),"")</f>
        <v/>
      </c>
    </row>
    <row r="772" spans="1:10">
      <c r="A772">
        <v>2019</v>
      </c>
      <c r="B772" t="s">
        <v>1429</v>
      </c>
      <c r="C772" t="s">
        <v>1431</v>
      </c>
      <c r="D772" t="s">
        <v>1433</v>
      </c>
      <c r="E772" t="s">
        <v>581</v>
      </c>
      <c r="F772" s="9" t="s">
        <v>581</v>
      </c>
      <c r="G772" s="18">
        <v>87478</v>
      </c>
      <c r="H772">
        <v>0</v>
      </c>
      <c r="I772" s="29">
        <f t="shared" si="12"/>
        <v>87478</v>
      </c>
      <c r="J772" t="str">
        <f>IFERROR(VLOOKUP(E772,'LEAID Match'!$A$2:$B$168,2,FALSE),"")</f>
        <v/>
      </c>
    </row>
    <row r="773" spans="1:10">
      <c r="A773">
        <v>2015</v>
      </c>
      <c r="B773" t="s">
        <v>1429</v>
      </c>
      <c r="C773" t="s">
        <v>1431</v>
      </c>
      <c r="D773" t="s">
        <v>1433</v>
      </c>
      <c r="E773" t="s">
        <v>1043</v>
      </c>
      <c r="F773" s="9" t="s">
        <v>1043</v>
      </c>
      <c r="G773" s="18">
        <v>75848.53</v>
      </c>
      <c r="H773">
        <v>0</v>
      </c>
      <c r="I773" s="29">
        <f t="shared" si="12"/>
        <v>75848.53</v>
      </c>
      <c r="J773" t="str">
        <f>IFERROR(VLOOKUP(E773,'LEAID Match'!$A$2:$B$168,2,FALSE),"")</f>
        <v/>
      </c>
    </row>
    <row r="774" spans="1:10">
      <c r="A774">
        <v>2015</v>
      </c>
      <c r="B774" t="s">
        <v>1429</v>
      </c>
      <c r="C774" t="s">
        <v>1431</v>
      </c>
      <c r="D774" t="s">
        <v>1433</v>
      </c>
      <c r="E774" t="s">
        <v>582</v>
      </c>
      <c r="F774" s="9" t="s">
        <v>1044</v>
      </c>
      <c r="G774" s="18">
        <v>72501.13</v>
      </c>
      <c r="H774">
        <v>0</v>
      </c>
      <c r="I774" s="29">
        <f t="shared" si="12"/>
        <v>72501.13</v>
      </c>
      <c r="J774" t="str">
        <f>IFERROR(VLOOKUP(E774,'LEAID Match'!$A$2:$B$168,2,FALSE),"")</f>
        <v/>
      </c>
    </row>
    <row r="775" spans="1:10">
      <c r="A775">
        <v>2016</v>
      </c>
      <c r="B775" t="s">
        <v>1429</v>
      </c>
      <c r="C775" t="s">
        <v>1431</v>
      </c>
      <c r="D775" t="s">
        <v>1433</v>
      </c>
      <c r="E775" t="s">
        <v>582</v>
      </c>
      <c r="F775" t="s">
        <v>582</v>
      </c>
      <c r="G775" s="28">
        <v>79636</v>
      </c>
      <c r="H775">
        <v>0</v>
      </c>
      <c r="I775" s="29">
        <f t="shared" si="12"/>
        <v>79636</v>
      </c>
      <c r="J775" t="str">
        <f>IFERROR(VLOOKUP(E775,'LEAID Match'!$A$2:$B$168,2,FALSE),"")</f>
        <v/>
      </c>
    </row>
    <row r="776" spans="1:10">
      <c r="A776">
        <v>2017</v>
      </c>
      <c r="B776" t="s">
        <v>1429</v>
      </c>
      <c r="C776" t="s">
        <v>1431</v>
      </c>
      <c r="D776" t="s">
        <v>1433</v>
      </c>
      <c r="E776" t="s">
        <v>582</v>
      </c>
      <c r="F776" t="s">
        <v>582</v>
      </c>
      <c r="G776" s="28">
        <v>82773</v>
      </c>
      <c r="H776">
        <v>0</v>
      </c>
      <c r="I776" s="29">
        <f t="shared" si="12"/>
        <v>82773</v>
      </c>
      <c r="J776" t="str">
        <f>IFERROR(VLOOKUP(E776,'LEAID Match'!$A$2:$B$168,2,FALSE),"")</f>
        <v/>
      </c>
    </row>
    <row r="777" spans="1:10">
      <c r="A777" s="27">
        <v>2018</v>
      </c>
      <c r="B777" t="s">
        <v>1429</v>
      </c>
      <c r="C777" t="s">
        <v>1431</v>
      </c>
      <c r="D777" t="s">
        <v>1433</v>
      </c>
      <c r="E777" t="s">
        <v>582</v>
      </c>
      <c r="F777" s="9" t="s">
        <v>582</v>
      </c>
      <c r="G777" s="18">
        <v>88537</v>
      </c>
      <c r="H777">
        <v>0</v>
      </c>
      <c r="I777" s="29">
        <f t="shared" si="12"/>
        <v>88537</v>
      </c>
      <c r="J777" t="str">
        <f>IFERROR(VLOOKUP(E777,'LEAID Match'!$A$2:$B$168,2,FALSE),"")</f>
        <v/>
      </c>
    </row>
    <row r="778" spans="1:10">
      <c r="A778">
        <v>2019</v>
      </c>
      <c r="B778" t="s">
        <v>1429</v>
      </c>
      <c r="C778" t="s">
        <v>1431</v>
      </c>
      <c r="D778" t="s">
        <v>1433</v>
      </c>
      <c r="E778" t="s">
        <v>582</v>
      </c>
      <c r="F778" s="9" t="s">
        <v>582</v>
      </c>
      <c r="G778" s="18">
        <v>105888</v>
      </c>
      <c r="H778">
        <v>0</v>
      </c>
      <c r="I778" s="29">
        <f t="shared" si="12"/>
        <v>105888</v>
      </c>
      <c r="J778" t="str">
        <f>IFERROR(VLOOKUP(E778,'LEAID Match'!$A$2:$B$168,2,FALSE),"")</f>
        <v/>
      </c>
    </row>
    <row r="779" spans="1:10">
      <c r="A779">
        <v>2015</v>
      </c>
      <c r="B779" t="s">
        <v>1429</v>
      </c>
      <c r="C779" t="s">
        <v>1431</v>
      </c>
      <c r="D779" t="s">
        <v>1433</v>
      </c>
      <c r="E779" t="s">
        <v>63</v>
      </c>
      <c r="F779" s="9" t="s">
        <v>1045</v>
      </c>
      <c r="G779" s="18">
        <v>118748.96</v>
      </c>
      <c r="H779">
        <v>0</v>
      </c>
      <c r="I779" s="29">
        <f t="shared" si="12"/>
        <v>118748.96</v>
      </c>
      <c r="J779">
        <f>IFERROR(VLOOKUP(E779,'LEAID Match'!$A$2:$B$168,2,FALSE),"")</f>
        <v>3302760</v>
      </c>
    </row>
    <row r="780" spans="1:10">
      <c r="A780">
        <v>2016</v>
      </c>
      <c r="B780" t="s">
        <v>1429</v>
      </c>
      <c r="C780" t="s">
        <v>1431</v>
      </c>
      <c r="D780" t="s">
        <v>1433</v>
      </c>
      <c r="E780" t="s">
        <v>63</v>
      </c>
      <c r="F780" t="s">
        <v>583</v>
      </c>
      <c r="G780" s="28">
        <v>130744</v>
      </c>
      <c r="H780">
        <v>0</v>
      </c>
      <c r="I780" s="29">
        <f t="shared" si="12"/>
        <v>130744</v>
      </c>
      <c r="J780">
        <f>IFERROR(VLOOKUP(E780,'LEAID Match'!$A$2:$B$168,2,FALSE),"")</f>
        <v>3302760</v>
      </c>
    </row>
    <row r="781" spans="1:10">
      <c r="A781">
        <v>2017</v>
      </c>
      <c r="B781" t="s">
        <v>1429</v>
      </c>
      <c r="C781" t="s">
        <v>1431</v>
      </c>
      <c r="D781" t="s">
        <v>1433</v>
      </c>
      <c r="E781" t="s">
        <v>63</v>
      </c>
      <c r="F781" t="s">
        <v>583</v>
      </c>
      <c r="G781" s="28">
        <v>143783</v>
      </c>
      <c r="H781">
        <v>0</v>
      </c>
      <c r="I781" s="29">
        <f t="shared" si="12"/>
        <v>143783</v>
      </c>
      <c r="J781">
        <f>IFERROR(VLOOKUP(E781,'LEAID Match'!$A$2:$B$168,2,FALSE),"")</f>
        <v>3302760</v>
      </c>
    </row>
    <row r="782" spans="1:10">
      <c r="A782" s="27">
        <v>2018</v>
      </c>
      <c r="B782" t="s">
        <v>1429</v>
      </c>
      <c r="C782" t="s">
        <v>1431</v>
      </c>
      <c r="D782" t="s">
        <v>1433</v>
      </c>
      <c r="E782" t="s">
        <v>63</v>
      </c>
      <c r="F782" s="9" t="s">
        <v>583</v>
      </c>
      <c r="G782" s="18">
        <v>196681</v>
      </c>
      <c r="H782">
        <v>0</v>
      </c>
      <c r="I782" s="29">
        <f t="shared" si="12"/>
        <v>196681</v>
      </c>
      <c r="J782">
        <f>IFERROR(VLOOKUP(E782,'LEAID Match'!$A$2:$B$168,2,FALSE),"")</f>
        <v>3302760</v>
      </c>
    </row>
    <row r="783" spans="1:10">
      <c r="A783">
        <v>2019</v>
      </c>
      <c r="B783" t="s">
        <v>1429</v>
      </c>
      <c r="C783" t="s">
        <v>1431</v>
      </c>
      <c r="D783" t="s">
        <v>1433</v>
      </c>
      <c r="E783" t="s">
        <v>63</v>
      </c>
      <c r="F783" s="9" t="s">
        <v>583</v>
      </c>
      <c r="G783" s="18">
        <v>213924</v>
      </c>
      <c r="H783">
        <v>0</v>
      </c>
      <c r="I783" s="29">
        <f t="shared" si="12"/>
        <v>213924</v>
      </c>
      <c r="J783">
        <f>IFERROR(VLOOKUP(E783,'LEAID Match'!$A$2:$B$168,2,FALSE),"")</f>
        <v>3302760</v>
      </c>
    </row>
    <row r="784" spans="1:10">
      <c r="A784" s="27">
        <v>2020</v>
      </c>
      <c r="B784" t="s">
        <v>1429</v>
      </c>
      <c r="C784" t="s">
        <v>1431</v>
      </c>
      <c r="D784" t="s">
        <v>1433</v>
      </c>
      <c r="E784" t="s">
        <v>63</v>
      </c>
      <c r="F784" s="9" t="s">
        <v>63</v>
      </c>
      <c r="G784" s="18">
        <v>223001</v>
      </c>
      <c r="H784">
        <v>0</v>
      </c>
      <c r="I784" s="29">
        <f t="shared" si="12"/>
        <v>223001</v>
      </c>
      <c r="J784">
        <f>IFERROR(VLOOKUP(E784,'LEAID Match'!$A$2:$B$168,2,FALSE),"")</f>
        <v>3302760</v>
      </c>
    </row>
    <row r="785" spans="1:10">
      <c r="A785">
        <v>2021</v>
      </c>
      <c r="B785" t="s">
        <v>1429</v>
      </c>
      <c r="C785" t="s">
        <v>1431</v>
      </c>
      <c r="D785" t="s">
        <v>1433</v>
      </c>
      <c r="E785" t="s">
        <v>63</v>
      </c>
      <c r="F785" s="9" t="s">
        <v>63</v>
      </c>
      <c r="G785" s="18">
        <v>244852</v>
      </c>
      <c r="H785">
        <v>0</v>
      </c>
      <c r="I785" s="29">
        <f t="shared" si="12"/>
        <v>244852</v>
      </c>
      <c r="J785">
        <f>IFERROR(VLOOKUP(E785,'LEAID Match'!$A$2:$B$168,2,FALSE),"")</f>
        <v>3302760</v>
      </c>
    </row>
    <row r="786" spans="1:10">
      <c r="A786">
        <v>2022</v>
      </c>
      <c r="B786" t="s">
        <v>1429</v>
      </c>
      <c r="C786" t="s">
        <v>1431</v>
      </c>
      <c r="D786" t="s">
        <v>1433</v>
      </c>
      <c r="E786" t="s">
        <v>63</v>
      </c>
      <c r="F786" s="9" t="s">
        <v>63</v>
      </c>
      <c r="G786" s="18">
        <v>295930</v>
      </c>
      <c r="H786">
        <v>0</v>
      </c>
      <c r="I786" s="29">
        <f t="shared" si="12"/>
        <v>295930</v>
      </c>
      <c r="J786">
        <f>IFERROR(VLOOKUP(E786,'LEAID Match'!$A$2:$B$168,2,FALSE),"")</f>
        <v>3302760</v>
      </c>
    </row>
    <row r="787" spans="1:10">
      <c r="A787">
        <v>2023</v>
      </c>
      <c r="B787" t="s">
        <v>1429</v>
      </c>
      <c r="C787" t="s">
        <v>1431</v>
      </c>
      <c r="D787" t="s">
        <v>1433</v>
      </c>
      <c r="E787" t="s">
        <v>63</v>
      </c>
      <c r="F787" t="s">
        <v>63</v>
      </c>
      <c r="G787" s="28">
        <v>309999</v>
      </c>
      <c r="H787">
        <v>0</v>
      </c>
      <c r="I787" s="29">
        <f t="shared" si="12"/>
        <v>309999</v>
      </c>
      <c r="J787">
        <f>IFERROR(VLOOKUP(E787,'LEAID Match'!$A$2:$B$168,2,FALSE),"")</f>
        <v>3302760</v>
      </c>
    </row>
    <row r="788" spans="1:10">
      <c r="A788">
        <v>2015</v>
      </c>
      <c r="B788" t="s">
        <v>1429</v>
      </c>
      <c r="C788" t="s">
        <v>1431</v>
      </c>
      <c r="D788" t="s">
        <v>1433</v>
      </c>
      <c r="E788" t="s">
        <v>584</v>
      </c>
      <c r="F788" s="9" t="s">
        <v>1046</v>
      </c>
      <c r="G788" s="18">
        <v>1036545.37</v>
      </c>
      <c r="H788">
        <v>0</v>
      </c>
      <c r="I788" s="29">
        <f t="shared" si="12"/>
        <v>1036545.37</v>
      </c>
      <c r="J788" t="str">
        <f>IFERROR(VLOOKUP(E788,'LEAID Match'!$A$2:$B$168,2,FALSE),"")</f>
        <v/>
      </c>
    </row>
    <row r="789" spans="1:10">
      <c r="A789">
        <v>2016</v>
      </c>
      <c r="B789" t="s">
        <v>1429</v>
      </c>
      <c r="C789" t="s">
        <v>1431</v>
      </c>
      <c r="D789" t="s">
        <v>1433</v>
      </c>
      <c r="E789" t="s">
        <v>584</v>
      </c>
      <c r="F789" t="s">
        <v>584</v>
      </c>
      <c r="G789" s="28">
        <v>1123932</v>
      </c>
      <c r="H789">
        <v>0</v>
      </c>
      <c r="I789" s="29">
        <f t="shared" si="12"/>
        <v>1123932</v>
      </c>
      <c r="J789" t="str">
        <f>IFERROR(VLOOKUP(E789,'LEAID Match'!$A$2:$B$168,2,FALSE),"")</f>
        <v/>
      </c>
    </row>
    <row r="790" spans="1:10">
      <c r="A790">
        <v>2017</v>
      </c>
      <c r="B790" t="s">
        <v>1429</v>
      </c>
      <c r="C790" t="s">
        <v>1431</v>
      </c>
      <c r="D790" t="s">
        <v>1433</v>
      </c>
      <c r="E790" t="s">
        <v>584</v>
      </c>
      <c r="F790" t="s">
        <v>584</v>
      </c>
      <c r="G790" s="28">
        <v>1145684</v>
      </c>
      <c r="H790">
        <v>0</v>
      </c>
      <c r="I790" s="29">
        <f t="shared" si="12"/>
        <v>1145684</v>
      </c>
      <c r="J790" t="str">
        <f>IFERROR(VLOOKUP(E790,'LEAID Match'!$A$2:$B$168,2,FALSE),"")</f>
        <v/>
      </c>
    </row>
    <row r="791" spans="1:10">
      <c r="A791" s="27">
        <v>2018</v>
      </c>
      <c r="B791" t="s">
        <v>1429</v>
      </c>
      <c r="C791" t="s">
        <v>1431</v>
      </c>
      <c r="D791" t="s">
        <v>1433</v>
      </c>
      <c r="E791" t="s">
        <v>584</v>
      </c>
      <c r="F791" s="9" t="s">
        <v>584</v>
      </c>
      <c r="G791" s="18">
        <v>1253695</v>
      </c>
      <c r="H791">
        <v>0</v>
      </c>
      <c r="I791" s="29">
        <f t="shared" si="12"/>
        <v>1253695</v>
      </c>
      <c r="J791" t="str">
        <f>IFERROR(VLOOKUP(E791,'LEAID Match'!$A$2:$B$168,2,FALSE),"")</f>
        <v/>
      </c>
    </row>
    <row r="792" spans="1:10">
      <c r="A792">
        <v>2019</v>
      </c>
      <c r="B792" t="s">
        <v>1429</v>
      </c>
      <c r="C792" t="s">
        <v>1431</v>
      </c>
      <c r="D792" t="s">
        <v>1433</v>
      </c>
      <c r="E792" t="s">
        <v>584</v>
      </c>
      <c r="F792" s="9" t="s">
        <v>584</v>
      </c>
      <c r="G792" s="18">
        <v>1322316</v>
      </c>
      <c r="H792">
        <v>0</v>
      </c>
      <c r="I792" s="29">
        <f t="shared" si="12"/>
        <v>1322316</v>
      </c>
      <c r="J792" t="str">
        <f>IFERROR(VLOOKUP(E792,'LEAID Match'!$A$2:$B$168,2,FALSE),"")</f>
        <v/>
      </c>
    </row>
    <row r="793" spans="1:10">
      <c r="A793">
        <v>2015</v>
      </c>
      <c r="B793" t="s">
        <v>1429</v>
      </c>
      <c r="C793" t="s">
        <v>1431</v>
      </c>
      <c r="D793" t="s">
        <v>1433</v>
      </c>
      <c r="E793" t="s">
        <v>585</v>
      </c>
      <c r="F793" s="9" t="s">
        <v>1047</v>
      </c>
      <c r="G793" s="18">
        <v>64976.77</v>
      </c>
      <c r="H793">
        <v>0</v>
      </c>
      <c r="I793" s="29">
        <f t="shared" si="12"/>
        <v>64976.77</v>
      </c>
      <c r="J793" t="str">
        <f>IFERROR(VLOOKUP(E793,'LEAID Match'!$A$2:$B$168,2,FALSE),"")</f>
        <v/>
      </c>
    </row>
    <row r="794" spans="1:10">
      <c r="A794">
        <v>2016</v>
      </c>
      <c r="B794" t="s">
        <v>1429</v>
      </c>
      <c r="C794" t="s">
        <v>1431</v>
      </c>
      <c r="D794" t="s">
        <v>1433</v>
      </c>
      <c r="E794" t="s">
        <v>585</v>
      </c>
      <c r="F794" t="s">
        <v>585</v>
      </c>
      <c r="G794" s="28">
        <v>78961</v>
      </c>
      <c r="H794">
        <v>0</v>
      </c>
      <c r="I794" s="29">
        <f t="shared" si="12"/>
        <v>78961</v>
      </c>
      <c r="J794" t="str">
        <f>IFERROR(VLOOKUP(E794,'LEAID Match'!$A$2:$B$168,2,FALSE),"")</f>
        <v/>
      </c>
    </row>
    <row r="795" spans="1:10">
      <c r="A795">
        <v>2017</v>
      </c>
      <c r="B795" t="s">
        <v>1429</v>
      </c>
      <c r="C795" t="s">
        <v>1431</v>
      </c>
      <c r="D795" t="s">
        <v>1433</v>
      </c>
      <c r="E795" t="s">
        <v>585</v>
      </c>
      <c r="F795" t="s">
        <v>585</v>
      </c>
      <c r="G795" s="28">
        <v>91336</v>
      </c>
      <c r="H795">
        <v>0</v>
      </c>
      <c r="I795" s="29">
        <f t="shared" si="12"/>
        <v>91336</v>
      </c>
      <c r="J795" t="str">
        <f>IFERROR(VLOOKUP(E795,'LEAID Match'!$A$2:$B$168,2,FALSE),"")</f>
        <v/>
      </c>
    </row>
    <row r="796" spans="1:10">
      <c r="A796" s="27">
        <v>2018</v>
      </c>
      <c r="B796" t="s">
        <v>1429</v>
      </c>
      <c r="C796" t="s">
        <v>1431</v>
      </c>
      <c r="D796" t="s">
        <v>1433</v>
      </c>
      <c r="E796" t="s">
        <v>585</v>
      </c>
      <c r="F796" s="9" t="s">
        <v>585</v>
      </c>
      <c r="G796" s="18">
        <v>94273</v>
      </c>
      <c r="H796">
        <v>0</v>
      </c>
      <c r="I796" s="29">
        <f t="shared" si="12"/>
        <v>94273</v>
      </c>
      <c r="J796" t="str">
        <f>IFERROR(VLOOKUP(E796,'LEAID Match'!$A$2:$B$168,2,FALSE),"")</f>
        <v/>
      </c>
    </row>
    <row r="797" spans="1:10">
      <c r="A797">
        <v>2019</v>
      </c>
      <c r="B797" t="s">
        <v>1429</v>
      </c>
      <c r="C797" t="s">
        <v>1431</v>
      </c>
      <c r="D797" t="s">
        <v>1433</v>
      </c>
      <c r="E797" t="s">
        <v>585</v>
      </c>
      <c r="F797" s="9" t="s">
        <v>585</v>
      </c>
      <c r="G797" s="18">
        <v>100801</v>
      </c>
      <c r="H797">
        <v>0</v>
      </c>
      <c r="I797" s="29">
        <f t="shared" si="12"/>
        <v>100801</v>
      </c>
      <c r="J797" t="str">
        <f>IFERROR(VLOOKUP(E797,'LEAID Match'!$A$2:$B$168,2,FALSE),"")</f>
        <v/>
      </c>
    </row>
    <row r="798" spans="1:10">
      <c r="A798">
        <v>2015</v>
      </c>
      <c r="B798" t="s">
        <v>1429</v>
      </c>
      <c r="C798" t="s">
        <v>1431</v>
      </c>
      <c r="D798" t="s">
        <v>1433</v>
      </c>
      <c r="E798" t="s">
        <v>64</v>
      </c>
      <c r="F798" s="9" t="s">
        <v>1048</v>
      </c>
      <c r="G798" s="18">
        <v>138747.51999999999</v>
      </c>
      <c r="H798">
        <v>0</v>
      </c>
      <c r="I798" s="29">
        <f t="shared" si="12"/>
        <v>138747.51999999999</v>
      </c>
      <c r="J798">
        <f>IFERROR(VLOOKUP(E798,'LEAID Match'!$A$2:$B$168,2,FALSE),"")</f>
        <v>3302790</v>
      </c>
    </row>
    <row r="799" spans="1:10">
      <c r="A799">
        <v>2016</v>
      </c>
      <c r="B799" t="s">
        <v>1429</v>
      </c>
      <c r="C799" t="s">
        <v>1431</v>
      </c>
      <c r="D799" t="s">
        <v>1433</v>
      </c>
      <c r="E799" t="s">
        <v>64</v>
      </c>
      <c r="F799" t="s">
        <v>586</v>
      </c>
      <c r="G799" s="28">
        <v>133007</v>
      </c>
      <c r="H799">
        <v>0</v>
      </c>
      <c r="I799" s="29">
        <f t="shared" si="12"/>
        <v>133007</v>
      </c>
      <c r="J799">
        <f>IFERROR(VLOOKUP(E799,'LEAID Match'!$A$2:$B$168,2,FALSE),"")</f>
        <v>3302790</v>
      </c>
    </row>
    <row r="800" spans="1:10">
      <c r="A800">
        <v>2017</v>
      </c>
      <c r="B800" t="s">
        <v>1429</v>
      </c>
      <c r="C800" t="s">
        <v>1431</v>
      </c>
      <c r="D800" t="s">
        <v>1433</v>
      </c>
      <c r="E800" t="s">
        <v>64</v>
      </c>
      <c r="F800" t="s">
        <v>586</v>
      </c>
      <c r="G800" s="28">
        <v>148204</v>
      </c>
      <c r="H800">
        <v>0</v>
      </c>
      <c r="I800" s="29">
        <f t="shared" si="12"/>
        <v>148204</v>
      </c>
      <c r="J800">
        <f>IFERROR(VLOOKUP(E800,'LEAID Match'!$A$2:$B$168,2,FALSE),"")</f>
        <v>3302790</v>
      </c>
    </row>
    <row r="801" spans="1:10">
      <c r="A801" s="27">
        <v>2018</v>
      </c>
      <c r="B801" t="s">
        <v>1429</v>
      </c>
      <c r="C801" t="s">
        <v>1431</v>
      </c>
      <c r="D801" t="s">
        <v>1433</v>
      </c>
      <c r="E801" t="s">
        <v>64</v>
      </c>
      <c r="F801" s="9" t="s">
        <v>586</v>
      </c>
      <c r="G801" s="18">
        <v>186256</v>
      </c>
      <c r="H801">
        <v>0</v>
      </c>
      <c r="I801" s="29">
        <f t="shared" si="12"/>
        <v>186256</v>
      </c>
      <c r="J801">
        <f>IFERROR(VLOOKUP(E801,'LEAID Match'!$A$2:$B$168,2,FALSE),"")</f>
        <v>3302790</v>
      </c>
    </row>
    <row r="802" spans="1:10">
      <c r="A802">
        <v>2019</v>
      </c>
      <c r="B802" t="s">
        <v>1429</v>
      </c>
      <c r="C802" t="s">
        <v>1431</v>
      </c>
      <c r="D802" t="s">
        <v>1433</v>
      </c>
      <c r="E802" t="s">
        <v>64</v>
      </c>
      <c r="F802" s="9" t="s">
        <v>586</v>
      </c>
      <c r="G802" s="18">
        <v>197862</v>
      </c>
      <c r="H802">
        <v>0</v>
      </c>
      <c r="I802" s="29">
        <f t="shared" si="12"/>
        <v>197862</v>
      </c>
      <c r="J802">
        <f>IFERROR(VLOOKUP(E802,'LEAID Match'!$A$2:$B$168,2,FALSE),"")</f>
        <v>3302790</v>
      </c>
    </row>
    <row r="803" spans="1:10">
      <c r="A803" s="27">
        <v>2020</v>
      </c>
      <c r="B803" t="s">
        <v>1429</v>
      </c>
      <c r="C803" t="s">
        <v>1431</v>
      </c>
      <c r="D803" t="s">
        <v>1433</v>
      </c>
      <c r="E803" t="s">
        <v>64</v>
      </c>
      <c r="F803" s="9" t="s">
        <v>64</v>
      </c>
      <c r="G803" s="18">
        <v>202169</v>
      </c>
      <c r="H803">
        <v>0</v>
      </c>
      <c r="I803" s="29">
        <f t="shared" si="12"/>
        <v>202169</v>
      </c>
      <c r="J803">
        <f>IFERROR(VLOOKUP(E803,'LEAID Match'!$A$2:$B$168,2,FALSE),"")</f>
        <v>3302790</v>
      </c>
    </row>
    <row r="804" spans="1:10">
      <c r="A804">
        <v>2021</v>
      </c>
      <c r="B804" t="s">
        <v>1429</v>
      </c>
      <c r="C804" t="s">
        <v>1431</v>
      </c>
      <c r="D804" t="s">
        <v>1433</v>
      </c>
      <c r="E804" t="s">
        <v>64</v>
      </c>
      <c r="F804" s="9" t="s">
        <v>64</v>
      </c>
      <c r="G804" s="18">
        <v>172923</v>
      </c>
      <c r="H804">
        <v>0</v>
      </c>
      <c r="I804" s="29">
        <f t="shared" si="12"/>
        <v>172923</v>
      </c>
      <c r="J804">
        <f>IFERROR(VLOOKUP(E804,'LEAID Match'!$A$2:$B$168,2,FALSE),"")</f>
        <v>3302790</v>
      </c>
    </row>
    <row r="805" spans="1:10">
      <c r="A805">
        <v>2022</v>
      </c>
      <c r="B805" t="s">
        <v>1429</v>
      </c>
      <c r="C805" t="s">
        <v>1431</v>
      </c>
      <c r="D805" t="s">
        <v>1433</v>
      </c>
      <c r="E805" t="s">
        <v>64</v>
      </c>
      <c r="F805" s="9" t="s">
        <v>64</v>
      </c>
      <c r="G805" s="18">
        <v>212722</v>
      </c>
      <c r="H805">
        <v>0</v>
      </c>
      <c r="I805" s="29">
        <f t="shared" si="12"/>
        <v>212722</v>
      </c>
      <c r="J805">
        <f>IFERROR(VLOOKUP(E805,'LEAID Match'!$A$2:$B$168,2,FALSE),"")</f>
        <v>3302790</v>
      </c>
    </row>
    <row r="806" spans="1:10">
      <c r="A806">
        <v>2023</v>
      </c>
      <c r="B806" t="s">
        <v>1429</v>
      </c>
      <c r="C806" t="s">
        <v>1431</v>
      </c>
      <c r="D806" t="s">
        <v>1433</v>
      </c>
      <c r="E806" t="s">
        <v>64</v>
      </c>
      <c r="F806" t="s">
        <v>64</v>
      </c>
      <c r="G806" s="28">
        <v>247910</v>
      </c>
      <c r="H806">
        <v>0</v>
      </c>
      <c r="I806" s="29">
        <f t="shared" si="12"/>
        <v>247910</v>
      </c>
      <c r="J806">
        <f>IFERROR(VLOOKUP(E806,'LEAID Match'!$A$2:$B$168,2,FALSE),"")</f>
        <v>3302790</v>
      </c>
    </row>
    <row r="807" spans="1:10">
      <c r="A807">
        <v>2015</v>
      </c>
      <c r="B807" t="s">
        <v>1429</v>
      </c>
      <c r="C807" t="s">
        <v>1431</v>
      </c>
      <c r="D807" t="s">
        <v>1433</v>
      </c>
      <c r="E807" t="s">
        <v>587</v>
      </c>
      <c r="F807" s="9" t="s">
        <v>1049</v>
      </c>
      <c r="G807" s="18">
        <v>26341.69</v>
      </c>
      <c r="H807">
        <v>0</v>
      </c>
      <c r="I807" s="29">
        <f t="shared" si="12"/>
        <v>26341.69</v>
      </c>
      <c r="J807" t="str">
        <f>IFERROR(VLOOKUP(E807,'LEAID Match'!$A$2:$B$168,2,FALSE),"")</f>
        <v/>
      </c>
    </row>
    <row r="808" spans="1:10">
      <c r="A808">
        <v>2016</v>
      </c>
      <c r="B808" t="s">
        <v>1429</v>
      </c>
      <c r="C808" t="s">
        <v>1431</v>
      </c>
      <c r="D808" t="s">
        <v>1433</v>
      </c>
      <c r="E808" t="s">
        <v>587</v>
      </c>
      <c r="F808" t="s">
        <v>587</v>
      </c>
      <c r="G808" s="28">
        <v>29724</v>
      </c>
      <c r="H808">
        <v>0</v>
      </c>
      <c r="I808" s="29">
        <f t="shared" si="12"/>
        <v>29724</v>
      </c>
      <c r="J808" t="str">
        <f>IFERROR(VLOOKUP(E808,'LEAID Match'!$A$2:$B$168,2,FALSE),"")</f>
        <v/>
      </c>
    </row>
    <row r="809" spans="1:10">
      <c r="A809">
        <v>2017</v>
      </c>
      <c r="B809" t="s">
        <v>1429</v>
      </c>
      <c r="C809" t="s">
        <v>1431</v>
      </c>
      <c r="D809" t="s">
        <v>1433</v>
      </c>
      <c r="E809" t="s">
        <v>587</v>
      </c>
      <c r="F809" t="s">
        <v>587</v>
      </c>
      <c r="G809" s="28">
        <v>29322</v>
      </c>
      <c r="H809">
        <v>0</v>
      </c>
      <c r="I809" s="29">
        <f t="shared" si="12"/>
        <v>29322</v>
      </c>
      <c r="J809" t="str">
        <f>IFERROR(VLOOKUP(E809,'LEAID Match'!$A$2:$B$168,2,FALSE),"")</f>
        <v/>
      </c>
    </row>
    <row r="810" spans="1:10">
      <c r="A810" s="27">
        <v>2018</v>
      </c>
      <c r="B810" t="s">
        <v>1429</v>
      </c>
      <c r="C810" t="s">
        <v>1431</v>
      </c>
      <c r="D810" t="s">
        <v>1433</v>
      </c>
      <c r="E810" t="s">
        <v>587</v>
      </c>
      <c r="F810" s="9" t="s">
        <v>587</v>
      </c>
      <c r="G810" s="18">
        <v>36515</v>
      </c>
      <c r="H810">
        <v>0</v>
      </c>
      <c r="I810" s="29">
        <f t="shared" si="12"/>
        <v>36515</v>
      </c>
      <c r="J810" t="str">
        <f>IFERROR(VLOOKUP(E810,'LEAID Match'!$A$2:$B$168,2,FALSE),"")</f>
        <v/>
      </c>
    </row>
    <row r="811" spans="1:10">
      <c r="A811">
        <v>2019</v>
      </c>
      <c r="B811" t="s">
        <v>1429</v>
      </c>
      <c r="C811" t="s">
        <v>1431</v>
      </c>
      <c r="D811" t="s">
        <v>1433</v>
      </c>
      <c r="E811" t="s">
        <v>587</v>
      </c>
      <c r="F811" s="9" t="s">
        <v>587</v>
      </c>
      <c r="G811" s="18">
        <v>36405</v>
      </c>
      <c r="H811">
        <v>0</v>
      </c>
      <c r="I811" s="29">
        <f t="shared" si="12"/>
        <v>36405</v>
      </c>
      <c r="J811" t="str">
        <f>IFERROR(VLOOKUP(E811,'LEAID Match'!$A$2:$B$168,2,FALSE),"")</f>
        <v/>
      </c>
    </row>
    <row r="812" spans="1:10">
      <c r="A812">
        <v>2015</v>
      </c>
      <c r="B812" t="s">
        <v>1429</v>
      </c>
      <c r="C812" t="s">
        <v>1431</v>
      </c>
      <c r="D812" t="s">
        <v>1433</v>
      </c>
      <c r="E812" t="s">
        <v>588</v>
      </c>
      <c r="F812" s="9" t="s">
        <v>1050</v>
      </c>
      <c r="G812" s="18">
        <v>221015.66</v>
      </c>
      <c r="H812">
        <v>0</v>
      </c>
      <c r="I812" s="29">
        <f t="shared" si="12"/>
        <v>221015.66</v>
      </c>
      <c r="J812" t="str">
        <f>IFERROR(VLOOKUP(E812,'LEAID Match'!$A$2:$B$168,2,FALSE),"")</f>
        <v/>
      </c>
    </row>
    <row r="813" spans="1:10">
      <c r="A813">
        <v>2016</v>
      </c>
      <c r="B813" t="s">
        <v>1429</v>
      </c>
      <c r="C813" t="s">
        <v>1431</v>
      </c>
      <c r="D813" t="s">
        <v>1433</v>
      </c>
      <c r="E813" t="s">
        <v>588</v>
      </c>
      <c r="F813" t="s">
        <v>588</v>
      </c>
      <c r="G813" s="28">
        <v>228333</v>
      </c>
      <c r="H813">
        <v>0</v>
      </c>
      <c r="I813" s="29">
        <f t="shared" si="12"/>
        <v>228333</v>
      </c>
      <c r="J813" t="str">
        <f>IFERROR(VLOOKUP(E813,'LEAID Match'!$A$2:$B$168,2,FALSE),"")</f>
        <v/>
      </c>
    </row>
    <row r="814" spans="1:10">
      <c r="A814">
        <v>2017</v>
      </c>
      <c r="B814" t="s">
        <v>1429</v>
      </c>
      <c r="C814" t="s">
        <v>1431</v>
      </c>
      <c r="D814" t="s">
        <v>1433</v>
      </c>
      <c r="E814" t="s">
        <v>588</v>
      </c>
      <c r="F814" t="s">
        <v>588</v>
      </c>
      <c r="G814" s="28">
        <v>264046</v>
      </c>
      <c r="H814">
        <v>0</v>
      </c>
      <c r="I814" s="29">
        <f t="shared" si="12"/>
        <v>264046</v>
      </c>
      <c r="J814" t="str">
        <f>IFERROR(VLOOKUP(E814,'LEAID Match'!$A$2:$B$168,2,FALSE),"")</f>
        <v/>
      </c>
    </row>
    <row r="815" spans="1:10">
      <c r="A815" s="27">
        <v>2018</v>
      </c>
      <c r="B815" t="s">
        <v>1429</v>
      </c>
      <c r="C815" t="s">
        <v>1431</v>
      </c>
      <c r="D815" t="s">
        <v>1433</v>
      </c>
      <c r="E815" t="s">
        <v>588</v>
      </c>
      <c r="F815" s="9" t="s">
        <v>588</v>
      </c>
      <c r="G815" s="18">
        <v>272664</v>
      </c>
      <c r="H815">
        <v>0</v>
      </c>
      <c r="I815" s="29">
        <f t="shared" si="12"/>
        <v>272664</v>
      </c>
      <c r="J815" t="str">
        <f>IFERROR(VLOOKUP(E815,'LEAID Match'!$A$2:$B$168,2,FALSE),"")</f>
        <v/>
      </c>
    </row>
    <row r="816" spans="1:10">
      <c r="A816">
        <v>2019</v>
      </c>
      <c r="B816" t="s">
        <v>1429</v>
      </c>
      <c r="C816" t="s">
        <v>1431</v>
      </c>
      <c r="D816" t="s">
        <v>1433</v>
      </c>
      <c r="E816" t="s">
        <v>588</v>
      </c>
      <c r="F816" s="9" t="s">
        <v>588</v>
      </c>
      <c r="G816" s="18">
        <v>251869</v>
      </c>
      <c r="H816">
        <v>0</v>
      </c>
      <c r="I816" s="29">
        <f t="shared" si="12"/>
        <v>251869</v>
      </c>
      <c r="J816" t="str">
        <f>IFERROR(VLOOKUP(E816,'LEAID Match'!$A$2:$B$168,2,FALSE),"")</f>
        <v/>
      </c>
    </row>
    <row r="817" spans="1:10">
      <c r="A817">
        <v>2015</v>
      </c>
      <c r="B817" t="s">
        <v>1429</v>
      </c>
      <c r="C817" t="s">
        <v>1431</v>
      </c>
      <c r="D817" t="s">
        <v>1433</v>
      </c>
      <c r="E817" t="s">
        <v>589</v>
      </c>
      <c r="F817" s="9" t="s">
        <v>1051</v>
      </c>
      <c r="G817" s="18">
        <v>359955.56</v>
      </c>
      <c r="H817">
        <v>0</v>
      </c>
      <c r="I817" s="29">
        <f t="shared" si="12"/>
        <v>359955.56</v>
      </c>
      <c r="J817" t="str">
        <f>IFERROR(VLOOKUP(E817,'LEAID Match'!$A$2:$B$168,2,FALSE),"")</f>
        <v/>
      </c>
    </row>
    <row r="818" spans="1:10">
      <c r="A818">
        <v>2016</v>
      </c>
      <c r="B818" t="s">
        <v>1429</v>
      </c>
      <c r="C818" t="s">
        <v>1431</v>
      </c>
      <c r="D818" t="s">
        <v>1433</v>
      </c>
      <c r="E818" t="s">
        <v>589</v>
      </c>
      <c r="F818" t="s">
        <v>589</v>
      </c>
      <c r="G818" s="28">
        <v>382403</v>
      </c>
      <c r="H818">
        <v>0</v>
      </c>
      <c r="I818" s="29">
        <f t="shared" si="12"/>
        <v>382403</v>
      </c>
      <c r="J818" t="str">
        <f>IFERROR(VLOOKUP(E818,'LEAID Match'!$A$2:$B$168,2,FALSE),"")</f>
        <v/>
      </c>
    </row>
    <row r="819" spans="1:10">
      <c r="A819">
        <v>2017</v>
      </c>
      <c r="B819" t="s">
        <v>1429</v>
      </c>
      <c r="C819" t="s">
        <v>1431</v>
      </c>
      <c r="D819" t="s">
        <v>1433</v>
      </c>
      <c r="E819" t="s">
        <v>589</v>
      </c>
      <c r="F819" t="s">
        <v>589</v>
      </c>
      <c r="G819" s="28">
        <v>420169</v>
      </c>
      <c r="H819">
        <v>0</v>
      </c>
      <c r="I819" s="29">
        <f t="shared" si="12"/>
        <v>420169</v>
      </c>
      <c r="J819" t="str">
        <f>IFERROR(VLOOKUP(E819,'LEAID Match'!$A$2:$B$168,2,FALSE),"")</f>
        <v/>
      </c>
    </row>
    <row r="820" spans="1:10">
      <c r="A820" s="27">
        <v>2018</v>
      </c>
      <c r="B820" t="s">
        <v>1429</v>
      </c>
      <c r="C820" t="s">
        <v>1431</v>
      </c>
      <c r="D820" t="s">
        <v>1433</v>
      </c>
      <c r="E820" t="s">
        <v>589</v>
      </c>
      <c r="F820" s="9" t="s">
        <v>589</v>
      </c>
      <c r="G820" s="18">
        <v>492130</v>
      </c>
      <c r="H820">
        <v>0</v>
      </c>
      <c r="I820" s="29">
        <f t="shared" si="12"/>
        <v>492130</v>
      </c>
      <c r="J820" t="str">
        <f>IFERROR(VLOOKUP(E820,'LEAID Match'!$A$2:$B$168,2,FALSE),"")</f>
        <v/>
      </c>
    </row>
    <row r="821" spans="1:10">
      <c r="A821">
        <v>2019</v>
      </c>
      <c r="B821" t="s">
        <v>1429</v>
      </c>
      <c r="C821" t="s">
        <v>1431</v>
      </c>
      <c r="D821" t="s">
        <v>1433</v>
      </c>
      <c r="E821" t="s">
        <v>589</v>
      </c>
      <c r="F821" s="9" t="s">
        <v>589</v>
      </c>
      <c r="G821" s="18">
        <v>517044</v>
      </c>
      <c r="H821">
        <v>0</v>
      </c>
      <c r="I821" s="29">
        <f t="shared" si="12"/>
        <v>517044</v>
      </c>
      <c r="J821" t="str">
        <f>IFERROR(VLOOKUP(E821,'LEAID Match'!$A$2:$B$168,2,FALSE),"")</f>
        <v/>
      </c>
    </row>
    <row r="822" spans="1:10">
      <c r="A822">
        <v>2015</v>
      </c>
      <c r="B822" t="s">
        <v>1429</v>
      </c>
      <c r="C822" t="s">
        <v>1431</v>
      </c>
      <c r="D822" t="s">
        <v>1433</v>
      </c>
      <c r="E822" t="s">
        <v>65</v>
      </c>
      <c r="F822" s="9" t="s">
        <v>1052</v>
      </c>
      <c r="G822" s="18">
        <v>854685.15</v>
      </c>
      <c r="H822">
        <v>0</v>
      </c>
      <c r="I822" s="29">
        <f t="shared" si="12"/>
        <v>854685.15</v>
      </c>
      <c r="J822">
        <f>IFERROR(VLOOKUP(E822,'LEAID Match'!$A$2:$B$168,2,FALSE),"")</f>
        <v>3302880</v>
      </c>
    </row>
    <row r="823" spans="1:10">
      <c r="A823">
        <v>2016</v>
      </c>
      <c r="B823" t="s">
        <v>1429</v>
      </c>
      <c r="C823" t="s">
        <v>1431</v>
      </c>
      <c r="D823" t="s">
        <v>1433</v>
      </c>
      <c r="E823" t="s">
        <v>65</v>
      </c>
      <c r="F823" t="s">
        <v>590</v>
      </c>
      <c r="G823" s="28">
        <v>912083</v>
      </c>
      <c r="H823">
        <v>0</v>
      </c>
      <c r="I823" s="29">
        <f t="shared" si="12"/>
        <v>912083</v>
      </c>
      <c r="J823">
        <f>IFERROR(VLOOKUP(E823,'LEAID Match'!$A$2:$B$168,2,FALSE),"")</f>
        <v>3302880</v>
      </c>
    </row>
    <row r="824" spans="1:10">
      <c r="A824">
        <v>2017</v>
      </c>
      <c r="B824" t="s">
        <v>1429</v>
      </c>
      <c r="C824" t="s">
        <v>1431</v>
      </c>
      <c r="D824" t="s">
        <v>1433</v>
      </c>
      <c r="E824" t="s">
        <v>65</v>
      </c>
      <c r="F824" t="s">
        <v>590</v>
      </c>
      <c r="G824" s="28">
        <v>946234</v>
      </c>
      <c r="H824">
        <v>0</v>
      </c>
      <c r="I824" s="29">
        <f t="shared" si="12"/>
        <v>946234</v>
      </c>
      <c r="J824">
        <f>IFERROR(VLOOKUP(E824,'LEAID Match'!$A$2:$B$168,2,FALSE),"")</f>
        <v>3302880</v>
      </c>
    </row>
    <row r="825" spans="1:10">
      <c r="A825" s="27">
        <v>2018</v>
      </c>
      <c r="B825" t="s">
        <v>1429</v>
      </c>
      <c r="C825" t="s">
        <v>1431</v>
      </c>
      <c r="D825" t="s">
        <v>1433</v>
      </c>
      <c r="E825" t="s">
        <v>65</v>
      </c>
      <c r="F825" s="9" t="s">
        <v>590</v>
      </c>
      <c r="G825" s="18">
        <v>1167005</v>
      </c>
      <c r="H825">
        <v>0</v>
      </c>
      <c r="I825" s="29">
        <f t="shared" si="12"/>
        <v>1167005</v>
      </c>
      <c r="J825">
        <f>IFERROR(VLOOKUP(E825,'LEAID Match'!$A$2:$B$168,2,FALSE),"")</f>
        <v>3302880</v>
      </c>
    </row>
    <row r="826" spans="1:10">
      <c r="A826">
        <v>2019</v>
      </c>
      <c r="B826" t="s">
        <v>1429</v>
      </c>
      <c r="C826" t="s">
        <v>1431</v>
      </c>
      <c r="D826" t="s">
        <v>1433</v>
      </c>
      <c r="E826" t="s">
        <v>65</v>
      </c>
      <c r="F826" s="9" t="s">
        <v>590</v>
      </c>
      <c r="G826" s="18">
        <v>1206977</v>
      </c>
      <c r="H826">
        <v>0</v>
      </c>
      <c r="I826" s="29">
        <f t="shared" si="12"/>
        <v>1206977</v>
      </c>
      <c r="J826">
        <f>IFERROR(VLOOKUP(E826,'LEAID Match'!$A$2:$B$168,2,FALSE),"")</f>
        <v>3302880</v>
      </c>
    </row>
    <row r="827" spans="1:10">
      <c r="A827" s="27">
        <v>2020</v>
      </c>
      <c r="B827" t="s">
        <v>1429</v>
      </c>
      <c r="C827" t="s">
        <v>1431</v>
      </c>
      <c r="D827" t="s">
        <v>1433</v>
      </c>
      <c r="E827" t="s">
        <v>65</v>
      </c>
      <c r="F827" s="9" t="s">
        <v>65</v>
      </c>
      <c r="G827" s="18">
        <v>1234565</v>
      </c>
      <c r="H827">
        <v>0</v>
      </c>
      <c r="I827" s="29">
        <f t="shared" si="12"/>
        <v>1234565</v>
      </c>
      <c r="J827">
        <f>IFERROR(VLOOKUP(E827,'LEAID Match'!$A$2:$B$168,2,FALSE),"")</f>
        <v>3302880</v>
      </c>
    </row>
    <row r="828" spans="1:10">
      <c r="A828">
        <v>2021</v>
      </c>
      <c r="B828" t="s">
        <v>1429</v>
      </c>
      <c r="C828" t="s">
        <v>1431</v>
      </c>
      <c r="D828" t="s">
        <v>1433</v>
      </c>
      <c r="E828" t="s">
        <v>65</v>
      </c>
      <c r="F828" s="9" t="s">
        <v>65</v>
      </c>
      <c r="G828" s="18">
        <v>1298737</v>
      </c>
      <c r="H828">
        <v>0</v>
      </c>
      <c r="I828" s="29">
        <f t="shared" si="12"/>
        <v>1298737</v>
      </c>
      <c r="J828">
        <f>IFERROR(VLOOKUP(E828,'LEAID Match'!$A$2:$B$168,2,FALSE),"")</f>
        <v>3302880</v>
      </c>
    </row>
    <row r="829" spans="1:10">
      <c r="A829">
        <v>2022</v>
      </c>
      <c r="B829" t="s">
        <v>1429</v>
      </c>
      <c r="C829" t="s">
        <v>1431</v>
      </c>
      <c r="D829" t="s">
        <v>1433</v>
      </c>
      <c r="E829" t="s">
        <v>65</v>
      </c>
      <c r="F829" s="9" t="s">
        <v>65</v>
      </c>
      <c r="G829" s="18">
        <v>1512783</v>
      </c>
      <c r="H829">
        <v>0</v>
      </c>
      <c r="I829" s="29">
        <f t="shared" si="12"/>
        <v>1512783</v>
      </c>
      <c r="J829">
        <f>IFERROR(VLOOKUP(E829,'LEAID Match'!$A$2:$B$168,2,FALSE),"")</f>
        <v>3302880</v>
      </c>
    </row>
    <row r="830" spans="1:10">
      <c r="A830">
        <v>2023</v>
      </c>
      <c r="B830" t="s">
        <v>1429</v>
      </c>
      <c r="C830" t="s">
        <v>1431</v>
      </c>
      <c r="D830" t="s">
        <v>1433</v>
      </c>
      <c r="E830" t="s">
        <v>65</v>
      </c>
      <c r="F830" t="s">
        <v>65</v>
      </c>
      <c r="G830" s="28">
        <v>1467095</v>
      </c>
      <c r="H830">
        <v>0</v>
      </c>
      <c r="I830" s="29">
        <f t="shared" si="12"/>
        <v>1467095</v>
      </c>
      <c r="J830">
        <f>IFERROR(VLOOKUP(E830,'LEAID Match'!$A$2:$B$168,2,FALSE),"")</f>
        <v>3302880</v>
      </c>
    </row>
    <row r="831" spans="1:10">
      <c r="A831">
        <v>2015</v>
      </c>
      <c r="B831" t="s">
        <v>1429</v>
      </c>
      <c r="C831" t="s">
        <v>1431</v>
      </c>
      <c r="D831" t="s">
        <v>1433</v>
      </c>
      <c r="E831" t="s">
        <v>591</v>
      </c>
      <c r="F831" s="9" t="s">
        <v>1053</v>
      </c>
      <c r="G831" s="18">
        <v>171037.66</v>
      </c>
      <c r="H831">
        <v>0</v>
      </c>
      <c r="I831" s="29">
        <f t="shared" si="12"/>
        <v>171037.66</v>
      </c>
      <c r="J831" t="str">
        <f>IFERROR(VLOOKUP(E831,'LEAID Match'!$A$2:$B$168,2,FALSE),"")</f>
        <v/>
      </c>
    </row>
    <row r="832" spans="1:10">
      <c r="A832">
        <v>2016</v>
      </c>
      <c r="B832" t="s">
        <v>1429</v>
      </c>
      <c r="C832" t="s">
        <v>1431</v>
      </c>
      <c r="D832" t="s">
        <v>1433</v>
      </c>
      <c r="E832" t="s">
        <v>591</v>
      </c>
      <c r="F832" t="s">
        <v>591</v>
      </c>
      <c r="G832" s="28">
        <v>192772</v>
      </c>
      <c r="H832">
        <v>0</v>
      </c>
      <c r="I832" s="29">
        <f t="shared" si="12"/>
        <v>192772</v>
      </c>
      <c r="J832" t="str">
        <f>IFERROR(VLOOKUP(E832,'LEAID Match'!$A$2:$B$168,2,FALSE),"")</f>
        <v/>
      </c>
    </row>
    <row r="833" spans="1:10">
      <c r="A833">
        <v>2017</v>
      </c>
      <c r="B833" t="s">
        <v>1429</v>
      </c>
      <c r="C833" t="s">
        <v>1431</v>
      </c>
      <c r="D833" t="s">
        <v>1433</v>
      </c>
      <c r="E833" t="s">
        <v>591</v>
      </c>
      <c r="F833" t="s">
        <v>591</v>
      </c>
      <c r="G833" s="28">
        <v>192395</v>
      </c>
      <c r="H833">
        <v>0</v>
      </c>
      <c r="I833" s="29">
        <f t="shared" si="12"/>
        <v>192395</v>
      </c>
      <c r="J833" t="str">
        <f>IFERROR(VLOOKUP(E833,'LEAID Match'!$A$2:$B$168,2,FALSE),"")</f>
        <v/>
      </c>
    </row>
    <row r="834" spans="1:10">
      <c r="A834" s="27">
        <v>2018</v>
      </c>
      <c r="B834" t="s">
        <v>1429</v>
      </c>
      <c r="C834" t="s">
        <v>1431</v>
      </c>
      <c r="D834" t="s">
        <v>1433</v>
      </c>
      <c r="E834" t="s">
        <v>591</v>
      </c>
      <c r="F834" s="9" t="s">
        <v>591</v>
      </c>
      <c r="G834" s="18">
        <v>197049</v>
      </c>
      <c r="H834">
        <v>0</v>
      </c>
      <c r="I834" s="29">
        <f t="shared" si="12"/>
        <v>197049</v>
      </c>
      <c r="J834" t="str">
        <f>IFERROR(VLOOKUP(E834,'LEAID Match'!$A$2:$B$168,2,FALSE),"")</f>
        <v/>
      </c>
    </row>
    <row r="835" spans="1:10">
      <c r="A835">
        <v>2019</v>
      </c>
      <c r="B835" t="s">
        <v>1429</v>
      </c>
      <c r="C835" t="s">
        <v>1431</v>
      </c>
      <c r="D835" t="s">
        <v>1433</v>
      </c>
      <c r="E835" t="s">
        <v>591</v>
      </c>
      <c r="F835" s="9" t="s">
        <v>591</v>
      </c>
      <c r="G835" s="18">
        <v>180047</v>
      </c>
      <c r="H835">
        <v>0</v>
      </c>
      <c r="I835" s="29">
        <f t="shared" ref="I835:I898" si="13">SUM(G835:H835)</f>
        <v>180047</v>
      </c>
      <c r="J835" t="str">
        <f>IFERROR(VLOOKUP(E835,'LEAID Match'!$A$2:$B$168,2,FALSE),"")</f>
        <v/>
      </c>
    </row>
    <row r="836" spans="1:10">
      <c r="A836">
        <v>2015</v>
      </c>
      <c r="B836" t="s">
        <v>1429</v>
      </c>
      <c r="C836" t="s">
        <v>1431</v>
      </c>
      <c r="D836" t="s">
        <v>1433</v>
      </c>
      <c r="E836" t="s">
        <v>66</v>
      </c>
      <c r="F836" s="9" t="s">
        <v>1054</v>
      </c>
      <c r="G836" s="18">
        <v>289706.09000000003</v>
      </c>
      <c r="H836">
        <v>0</v>
      </c>
      <c r="I836" s="29">
        <f t="shared" si="13"/>
        <v>289706.09000000003</v>
      </c>
      <c r="J836">
        <f>IFERROR(VLOOKUP(E836,'LEAID Match'!$A$2:$B$168,2,FALSE),"")</f>
        <v>3302910</v>
      </c>
    </row>
    <row r="837" spans="1:10">
      <c r="A837">
        <v>2016</v>
      </c>
      <c r="B837" t="s">
        <v>1429</v>
      </c>
      <c r="C837" t="s">
        <v>1431</v>
      </c>
      <c r="D837" t="s">
        <v>1433</v>
      </c>
      <c r="E837" t="s">
        <v>66</v>
      </c>
      <c r="F837" t="s">
        <v>592</v>
      </c>
      <c r="G837" s="28">
        <v>317174</v>
      </c>
      <c r="H837">
        <v>0</v>
      </c>
      <c r="I837" s="29">
        <f t="shared" si="13"/>
        <v>317174</v>
      </c>
      <c r="J837">
        <f>IFERROR(VLOOKUP(E837,'LEAID Match'!$A$2:$B$168,2,FALSE),"")</f>
        <v>3302910</v>
      </c>
    </row>
    <row r="838" spans="1:10">
      <c r="A838">
        <v>2017</v>
      </c>
      <c r="B838" t="s">
        <v>1429</v>
      </c>
      <c r="C838" t="s">
        <v>1431</v>
      </c>
      <c r="D838" t="s">
        <v>1433</v>
      </c>
      <c r="E838" t="s">
        <v>66</v>
      </c>
      <c r="F838" t="s">
        <v>592</v>
      </c>
      <c r="G838" s="28">
        <v>323364</v>
      </c>
      <c r="H838">
        <v>0</v>
      </c>
      <c r="I838" s="29">
        <f t="shared" si="13"/>
        <v>323364</v>
      </c>
      <c r="J838">
        <f>IFERROR(VLOOKUP(E838,'LEAID Match'!$A$2:$B$168,2,FALSE),"")</f>
        <v>3302910</v>
      </c>
    </row>
    <row r="839" spans="1:10">
      <c r="A839" s="27">
        <v>2018</v>
      </c>
      <c r="B839" t="s">
        <v>1429</v>
      </c>
      <c r="C839" t="s">
        <v>1431</v>
      </c>
      <c r="D839" t="s">
        <v>1433</v>
      </c>
      <c r="E839" t="s">
        <v>66</v>
      </c>
      <c r="F839" s="9" t="s">
        <v>592</v>
      </c>
      <c r="G839" s="18">
        <v>413756</v>
      </c>
      <c r="H839">
        <v>0</v>
      </c>
      <c r="I839" s="29">
        <f t="shared" si="13"/>
        <v>413756</v>
      </c>
      <c r="J839">
        <f>IFERROR(VLOOKUP(E839,'LEAID Match'!$A$2:$B$168,2,FALSE),"")</f>
        <v>3302910</v>
      </c>
    </row>
    <row r="840" spans="1:10">
      <c r="A840">
        <v>2019</v>
      </c>
      <c r="B840" t="s">
        <v>1429</v>
      </c>
      <c r="C840" t="s">
        <v>1431</v>
      </c>
      <c r="D840" t="s">
        <v>1433</v>
      </c>
      <c r="E840" t="s">
        <v>66</v>
      </c>
      <c r="F840" s="9" t="s">
        <v>592</v>
      </c>
      <c r="G840" s="18">
        <v>424094</v>
      </c>
      <c r="H840">
        <v>0</v>
      </c>
      <c r="I840" s="29">
        <f t="shared" si="13"/>
        <v>424094</v>
      </c>
      <c r="J840">
        <f>IFERROR(VLOOKUP(E840,'LEAID Match'!$A$2:$B$168,2,FALSE),"")</f>
        <v>3302910</v>
      </c>
    </row>
    <row r="841" spans="1:10">
      <c r="A841" s="27">
        <v>2020</v>
      </c>
      <c r="B841" t="s">
        <v>1429</v>
      </c>
      <c r="C841" t="s">
        <v>1431</v>
      </c>
      <c r="D841" t="s">
        <v>1433</v>
      </c>
      <c r="E841" t="s">
        <v>66</v>
      </c>
      <c r="F841" s="9" t="s">
        <v>66</v>
      </c>
      <c r="G841" s="18">
        <v>441934</v>
      </c>
      <c r="H841">
        <v>0</v>
      </c>
      <c r="I841" s="29">
        <f t="shared" si="13"/>
        <v>441934</v>
      </c>
      <c r="J841">
        <f>IFERROR(VLOOKUP(E841,'LEAID Match'!$A$2:$B$168,2,FALSE),"")</f>
        <v>3302910</v>
      </c>
    </row>
    <row r="842" spans="1:10">
      <c r="A842">
        <v>2021</v>
      </c>
      <c r="B842" t="s">
        <v>1429</v>
      </c>
      <c r="C842" t="s">
        <v>1431</v>
      </c>
      <c r="D842" t="s">
        <v>1433</v>
      </c>
      <c r="E842" t="s">
        <v>66</v>
      </c>
      <c r="F842" s="9" t="s">
        <v>66</v>
      </c>
      <c r="G842" s="18">
        <v>449357</v>
      </c>
      <c r="H842">
        <v>0</v>
      </c>
      <c r="I842" s="29">
        <f t="shared" si="13"/>
        <v>449357</v>
      </c>
      <c r="J842">
        <f>IFERROR(VLOOKUP(E842,'LEAID Match'!$A$2:$B$168,2,FALSE),"")</f>
        <v>3302910</v>
      </c>
    </row>
    <row r="843" spans="1:10">
      <c r="A843">
        <v>2022</v>
      </c>
      <c r="B843" t="s">
        <v>1429</v>
      </c>
      <c r="C843" t="s">
        <v>1431</v>
      </c>
      <c r="D843" t="s">
        <v>1433</v>
      </c>
      <c r="E843" t="s">
        <v>66</v>
      </c>
      <c r="F843" s="9" t="s">
        <v>66</v>
      </c>
      <c r="G843" s="18">
        <v>554524</v>
      </c>
      <c r="H843">
        <v>0</v>
      </c>
      <c r="I843" s="29">
        <f t="shared" si="13"/>
        <v>554524</v>
      </c>
      <c r="J843">
        <f>IFERROR(VLOOKUP(E843,'LEAID Match'!$A$2:$B$168,2,FALSE),"")</f>
        <v>3302910</v>
      </c>
    </row>
    <row r="844" spans="1:10">
      <c r="A844">
        <v>2023</v>
      </c>
      <c r="B844" t="s">
        <v>1429</v>
      </c>
      <c r="C844" t="s">
        <v>1431</v>
      </c>
      <c r="D844" t="s">
        <v>1433</v>
      </c>
      <c r="E844" t="s">
        <v>66</v>
      </c>
      <c r="F844" t="s">
        <v>66</v>
      </c>
      <c r="G844" s="28">
        <v>582855</v>
      </c>
      <c r="H844">
        <v>0</v>
      </c>
      <c r="I844" s="29">
        <f t="shared" si="13"/>
        <v>582855</v>
      </c>
      <c r="J844">
        <f>IFERROR(VLOOKUP(E844,'LEAID Match'!$A$2:$B$168,2,FALSE),"")</f>
        <v>3302910</v>
      </c>
    </row>
    <row r="845" spans="1:10">
      <c r="A845">
        <v>2015</v>
      </c>
      <c r="B845" t="s">
        <v>1429</v>
      </c>
      <c r="C845" t="s">
        <v>1431</v>
      </c>
      <c r="D845" t="s">
        <v>1433</v>
      </c>
      <c r="E845" t="s">
        <v>67</v>
      </c>
      <c r="F845" s="9" t="s">
        <v>1055</v>
      </c>
      <c r="G845" s="18">
        <v>17560.86</v>
      </c>
      <c r="H845">
        <v>0</v>
      </c>
      <c r="I845" s="29">
        <f t="shared" si="13"/>
        <v>17560.86</v>
      </c>
      <c r="J845">
        <f>IFERROR(VLOOKUP(E845,'LEAID Match'!$A$2:$B$168,2,FALSE),"")</f>
        <v>3302940</v>
      </c>
    </row>
    <row r="846" spans="1:10">
      <c r="A846">
        <v>2016</v>
      </c>
      <c r="B846" t="s">
        <v>1429</v>
      </c>
      <c r="C846" t="s">
        <v>1431</v>
      </c>
      <c r="D846" t="s">
        <v>1433</v>
      </c>
      <c r="E846" t="s">
        <v>67</v>
      </c>
      <c r="F846" t="s">
        <v>593</v>
      </c>
      <c r="G846" s="28">
        <v>23022</v>
      </c>
      <c r="H846">
        <v>0</v>
      </c>
      <c r="I846" s="29">
        <f t="shared" si="13"/>
        <v>23022</v>
      </c>
      <c r="J846">
        <f>IFERROR(VLOOKUP(E846,'LEAID Match'!$A$2:$B$168,2,FALSE),"")</f>
        <v>3302940</v>
      </c>
    </row>
    <row r="847" spans="1:10">
      <c r="A847">
        <v>2017</v>
      </c>
      <c r="B847" t="s">
        <v>1429</v>
      </c>
      <c r="C847" t="s">
        <v>1431</v>
      </c>
      <c r="D847" t="s">
        <v>1433</v>
      </c>
      <c r="E847" t="s">
        <v>67</v>
      </c>
      <c r="F847" t="s">
        <v>593</v>
      </c>
      <c r="G847" s="28">
        <v>19942</v>
      </c>
      <c r="H847">
        <v>0</v>
      </c>
      <c r="I847" s="29">
        <f t="shared" si="13"/>
        <v>19942</v>
      </c>
      <c r="J847">
        <f>IFERROR(VLOOKUP(E847,'LEAID Match'!$A$2:$B$168,2,FALSE),"")</f>
        <v>3302940</v>
      </c>
    </row>
    <row r="848" spans="1:10">
      <c r="A848" s="27">
        <v>2018</v>
      </c>
      <c r="B848" t="s">
        <v>1429</v>
      </c>
      <c r="C848" t="s">
        <v>1431</v>
      </c>
      <c r="D848" t="s">
        <v>1433</v>
      </c>
      <c r="E848" t="s">
        <v>67</v>
      </c>
      <c r="F848" s="9" t="s">
        <v>593</v>
      </c>
      <c r="G848" s="18">
        <v>22165</v>
      </c>
      <c r="H848">
        <v>0</v>
      </c>
      <c r="I848" s="29">
        <f t="shared" si="13"/>
        <v>22165</v>
      </c>
      <c r="J848">
        <f>IFERROR(VLOOKUP(E848,'LEAID Match'!$A$2:$B$168,2,FALSE),"")</f>
        <v>3302940</v>
      </c>
    </row>
    <row r="849" spans="1:10">
      <c r="A849">
        <v>2019</v>
      </c>
      <c r="B849" t="s">
        <v>1429</v>
      </c>
      <c r="C849" t="s">
        <v>1431</v>
      </c>
      <c r="D849" t="s">
        <v>1433</v>
      </c>
      <c r="E849" t="s">
        <v>67</v>
      </c>
      <c r="F849" s="9" t="s">
        <v>593</v>
      </c>
      <c r="G849" s="18">
        <v>22820</v>
      </c>
      <c r="H849">
        <v>0</v>
      </c>
      <c r="I849" s="29">
        <f t="shared" si="13"/>
        <v>22820</v>
      </c>
      <c r="J849">
        <f>IFERROR(VLOOKUP(E849,'LEAID Match'!$A$2:$B$168,2,FALSE),"")</f>
        <v>3302940</v>
      </c>
    </row>
    <row r="850" spans="1:10">
      <c r="A850" s="27">
        <v>2020</v>
      </c>
      <c r="B850" t="s">
        <v>1429</v>
      </c>
      <c r="C850" t="s">
        <v>1431</v>
      </c>
      <c r="D850" t="s">
        <v>1433</v>
      </c>
      <c r="E850" t="s">
        <v>67</v>
      </c>
      <c r="F850" s="9" t="s">
        <v>67</v>
      </c>
      <c r="G850" s="18">
        <v>24628</v>
      </c>
      <c r="H850">
        <v>0</v>
      </c>
      <c r="I850" s="29">
        <f t="shared" si="13"/>
        <v>24628</v>
      </c>
      <c r="J850">
        <f>IFERROR(VLOOKUP(E850,'LEAID Match'!$A$2:$B$168,2,FALSE),"")</f>
        <v>3302940</v>
      </c>
    </row>
    <row r="851" spans="1:10">
      <c r="A851">
        <v>2021</v>
      </c>
      <c r="B851" t="s">
        <v>1429</v>
      </c>
      <c r="C851" t="s">
        <v>1431</v>
      </c>
      <c r="D851" t="s">
        <v>1433</v>
      </c>
      <c r="E851" t="s">
        <v>67</v>
      </c>
      <c r="F851" s="9" t="s">
        <v>67</v>
      </c>
      <c r="G851" s="18">
        <v>22750</v>
      </c>
      <c r="H851">
        <v>0</v>
      </c>
      <c r="I851" s="29">
        <f t="shared" si="13"/>
        <v>22750</v>
      </c>
      <c r="J851">
        <f>IFERROR(VLOOKUP(E851,'LEAID Match'!$A$2:$B$168,2,FALSE),"")</f>
        <v>3302940</v>
      </c>
    </row>
    <row r="852" spans="1:10">
      <c r="A852">
        <v>2022</v>
      </c>
      <c r="B852" t="s">
        <v>1429</v>
      </c>
      <c r="C852" t="s">
        <v>1431</v>
      </c>
      <c r="D852" t="s">
        <v>1433</v>
      </c>
      <c r="E852" t="s">
        <v>67</v>
      </c>
      <c r="F852" s="9" t="s">
        <v>67</v>
      </c>
      <c r="G852" s="18">
        <v>22430</v>
      </c>
      <c r="H852">
        <v>0</v>
      </c>
      <c r="I852" s="29">
        <f t="shared" si="13"/>
        <v>22430</v>
      </c>
      <c r="J852">
        <f>IFERROR(VLOOKUP(E852,'LEAID Match'!$A$2:$B$168,2,FALSE),"")</f>
        <v>3302940</v>
      </c>
    </row>
    <row r="853" spans="1:10">
      <c r="A853">
        <v>2023</v>
      </c>
      <c r="B853" t="s">
        <v>1429</v>
      </c>
      <c r="C853" t="s">
        <v>1431</v>
      </c>
      <c r="D853" t="s">
        <v>1433</v>
      </c>
      <c r="E853" t="s">
        <v>67</v>
      </c>
      <c r="F853" t="s">
        <v>67</v>
      </c>
      <c r="G853" s="28">
        <v>22981</v>
      </c>
      <c r="H853">
        <v>0</v>
      </c>
      <c r="I853" s="29">
        <f t="shared" si="13"/>
        <v>22981</v>
      </c>
      <c r="J853">
        <f>IFERROR(VLOOKUP(E853,'LEAID Match'!$A$2:$B$168,2,FALSE),"")</f>
        <v>3302940</v>
      </c>
    </row>
    <row r="854" spans="1:10">
      <c r="A854">
        <v>2015</v>
      </c>
      <c r="B854" t="s">
        <v>1429</v>
      </c>
      <c r="C854" t="s">
        <v>1431</v>
      </c>
      <c r="D854" t="s">
        <v>1433</v>
      </c>
      <c r="E854" t="s">
        <v>594</v>
      </c>
      <c r="F854" s="9" t="s">
        <v>1056</v>
      </c>
      <c r="G854" s="18">
        <v>1282911.2</v>
      </c>
      <c r="H854">
        <v>0</v>
      </c>
      <c r="I854" s="29">
        <f t="shared" si="13"/>
        <v>1282911.2</v>
      </c>
      <c r="J854" t="str">
        <f>IFERROR(VLOOKUP(E854,'LEAID Match'!$A$2:$B$168,2,FALSE),"")</f>
        <v/>
      </c>
    </row>
    <row r="855" spans="1:10">
      <c r="A855">
        <v>2016</v>
      </c>
      <c r="B855" t="s">
        <v>1429</v>
      </c>
      <c r="C855" t="s">
        <v>1431</v>
      </c>
      <c r="D855" t="s">
        <v>1433</v>
      </c>
      <c r="E855" t="s">
        <v>594</v>
      </c>
      <c r="F855" t="s">
        <v>594</v>
      </c>
      <c r="G855" s="28">
        <v>1409193</v>
      </c>
      <c r="H855">
        <v>0</v>
      </c>
      <c r="I855" s="29">
        <f t="shared" si="13"/>
        <v>1409193</v>
      </c>
      <c r="J855" t="str">
        <f>IFERROR(VLOOKUP(E855,'LEAID Match'!$A$2:$B$168,2,FALSE),"")</f>
        <v/>
      </c>
    </row>
    <row r="856" spans="1:10">
      <c r="A856">
        <v>2017</v>
      </c>
      <c r="B856" t="s">
        <v>1429</v>
      </c>
      <c r="C856" t="s">
        <v>1431</v>
      </c>
      <c r="D856" t="s">
        <v>1433</v>
      </c>
      <c r="E856" t="s">
        <v>594</v>
      </c>
      <c r="F856" t="s">
        <v>594</v>
      </c>
      <c r="G856" s="28">
        <v>1406735</v>
      </c>
      <c r="H856">
        <v>0</v>
      </c>
      <c r="I856" s="29">
        <f t="shared" si="13"/>
        <v>1406735</v>
      </c>
      <c r="J856" t="str">
        <f>IFERROR(VLOOKUP(E856,'LEAID Match'!$A$2:$B$168,2,FALSE),"")</f>
        <v/>
      </c>
    </row>
    <row r="857" spans="1:10">
      <c r="A857" s="27">
        <v>2018</v>
      </c>
      <c r="B857" t="s">
        <v>1429</v>
      </c>
      <c r="C857" t="s">
        <v>1431</v>
      </c>
      <c r="D857" t="s">
        <v>1433</v>
      </c>
      <c r="E857" t="s">
        <v>594</v>
      </c>
      <c r="F857" s="9" t="s">
        <v>594</v>
      </c>
      <c r="G857" s="18">
        <v>1549898</v>
      </c>
      <c r="H857">
        <v>0</v>
      </c>
      <c r="I857" s="29">
        <f t="shared" si="13"/>
        <v>1549898</v>
      </c>
      <c r="J857" t="str">
        <f>IFERROR(VLOOKUP(E857,'LEAID Match'!$A$2:$B$168,2,FALSE),"")</f>
        <v/>
      </c>
    </row>
    <row r="858" spans="1:10">
      <c r="A858">
        <v>2019</v>
      </c>
      <c r="B858" t="s">
        <v>1429</v>
      </c>
      <c r="C858" t="s">
        <v>1431</v>
      </c>
      <c r="D858" t="s">
        <v>1433</v>
      </c>
      <c r="E858" t="s">
        <v>594</v>
      </c>
      <c r="F858" s="9" t="s">
        <v>594</v>
      </c>
      <c r="G858" s="18">
        <v>1597072</v>
      </c>
      <c r="H858">
        <v>0</v>
      </c>
      <c r="I858" s="29">
        <f t="shared" si="13"/>
        <v>1597072</v>
      </c>
      <c r="J858" t="str">
        <f>IFERROR(VLOOKUP(E858,'LEAID Match'!$A$2:$B$168,2,FALSE),"")</f>
        <v/>
      </c>
    </row>
    <row r="859" spans="1:10">
      <c r="A859">
        <v>2015</v>
      </c>
      <c r="B859" t="s">
        <v>1429</v>
      </c>
      <c r="C859" t="s">
        <v>1431</v>
      </c>
      <c r="D859" t="s">
        <v>1433</v>
      </c>
      <c r="E859" t="s">
        <v>68</v>
      </c>
      <c r="F859" s="9" t="s">
        <v>1057</v>
      </c>
      <c r="G859" s="18">
        <v>2721061.04</v>
      </c>
      <c r="H859">
        <v>0</v>
      </c>
      <c r="I859" s="29">
        <f t="shared" si="13"/>
        <v>2721061.04</v>
      </c>
      <c r="J859">
        <f>IFERROR(VLOOKUP(E859,'LEAID Match'!$A$2:$B$168,2,FALSE),"")</f>
        <v>3300017</v>
      </c>
    </row>
    <row r="860" spans="1:10">
      <c r="A860">
        <v>2016</v>
      </c>
      <c r="B860" t="s">
        <v>1429</v>
      </c>
      <c r="C860" t="s">
        <v>1431</v>
      </c>
      <c r="D860" t="s">
        <v>1433</v>
      </c>
      <c r="E860" t="s">
        <v>68</v>
      </c>
      <c r="F860" t="s">
        <v>595</v>
      </c>
      <c r="G860" s="28">
        <v>3025692</v>
      </c>
      <c r="H860">
        <v>0</v>
      </c>
      <c r="I860" s="29">
        <f t="shared" si="13"/>
        <v>3025692</v>
      </c>
      <c r="J860">
        <f>IFERROR(VLOOKUP(E860,'LEAID Match'!$A$2:$B$168,2,FALSE),"")</f>
        <v>3300017</v>
      </c>
    </row>
    <row r="861" spans="1:10">
      <c r="A861">
        <v>2017</v>
      </c>
      <c r="B861" t="s">
        <v>1429</v>
      </c>
      <c r="C861" t="s">
        <v>1431</v>
      </c>
      <c r="D861" t="s">
        <v>1433</v>
      </c>
      <c r="E861" t="s">
        <v>68</v>
      </c>
      <c r="F861" t="s">
        <v>595</v>
      </c>
      <c r="G861" s="28">
        <v>3079212</v>
      </c>
      <c r="H861">
        <v>0</v>
      </c>
      <c r="I861" s="29">
        <f t="shared" si="13"/>
        <v>3079212</v>
      </c>
      <c r="J861">
        <f>IFERROR(VLOOKUP(E861,'LEAID Match'!$A$2:$B$168,2,FALSE),"")</f>
        <v>3300017</v>
      </c>
    </row>
    <row r="862" spans="1:10">
      <c r="A862" s="27">
        <v>2018</v>
      </c>
      <c r="B862" t="s">
        <v>1429</v>
      </c>
      <c r="C862" t="s">
        <v>1431</v>
      </c>
      <c r="D862" t="s">
        <v>1433</v>
      </c>
      <c r="E862" t="s">
        <v>68</v>
      </c>
      <c r="F862" s="9" t="s">
        <v>595</v>
      </c>
      <c r="G862" s="18">
        <v>3849828</v>
      </c>
      <c r="H862">
        <v>0</v>
      </c>
      <c r="I862" s="29">
        <f t="shared" si="13"/>
        <v>3849828</v>
      </c>
      <c r="J862">
        <f>IFERROR(VLOOKUP(E862,'LEAID Match'!$A$2:$B$168,2,FALSE),"")</f>
        <v>3300017</v>
      </c>
    </row>
    <row r="863" spans="1:10">
      <c r="A863">
        <v>2019</v>
      </c>
      <c r="B863" t="s">
        <v>1429</v>
      </c>
      <c r="C863" t="s">
        <v>1431</v>
      </c>
      <c r="D863" t="s">
        <v>1433</v>
      </c>
      <c r="E863" t="s">
        <v>68</v>
      </c>
      <c r="F863" s="9" t="s">
        <v>595</v>
      </c>
      <c r="G863" s="18">
        <v>4024647</v>
      </c>
      <c r="H863">
        <v>0</v>
      </c>
      <c r="I863" s="29">
        <f t="shared" si="13"/>
        <v>4024647</v>
      </c>
      <c r="J863">
        <f>IFERROR(VLOOKUP(E863,'LEAID Match'!$A$2:$B$168,2,FALSE),"")</f>
        <v>3300017</v>
      </c>
    </row>
    <row r="864" spans="1:10">
      <c r="A864" s="27">
        <v>2020</v>
      </c>
      <c r="B864" t="s">
        <v>1429</v>
      </c>
      <c r="C864" t="s">
        <v>1431</v>
      </c>
      <c r="D864" t="s">
        <v>1433</v>
      </c>
      <c r="E864" t="s">
        <v>68</v>
      </c>
      <c r="F864" s="9" t="s">
        <v>68</v>
      </c>
      <c r="G864" s="18">
        <v>4130891</v>
      </c>
      <c r="H864">
        <v>0</v>
      </c>
      <c r="I864" s="29">
        <f t="shared" si="13"/>
        <v>4130891</v>
      </c>
      <c r="J864">
        <f>IFERROR(VLOOKUP(E864,'LEAID Match'!$A$2:$B$168,2,FALSE),"")</f>
        <v>3300017</v>
      </c>
    </row>
    <row r="865" spans="1:10">
      <c r="A865">
        <v>2021</v>
      </c>
      <c r="B865" t="s">
        <v>1429</v>
      </c>
      <c r="C865" t="s">
        <v>1431</v>
      </c>
      <c r="D865" t="s">
        <v>1433</v>
      </c>
      <c r="E865" t="s">
        <v>68</v>
      </c>
      <c r="F865" s="9" t="s">
        <v>68</v>
      </c>
      <c r="G865" s="18">
        <v>4262776</v>
      </c>
      <c r="H865">
        <v>0</v>
      </c>
      <c r="I865" s="29">
        <f t="shared" si="13"/>
        <v>4262776</v>
      </c>
      <c r="J865">
        <f>IFERROR(VLOOKUP(E865,'LEAID Match'!$A$2:$B$168,2,FALSE),"")</f>
        <v>3300017</v>
      </c>
    </row>
    <row r="866" spans="1:10">
      <c r="A866">
        <v>2022</v>
      </c>
      <c r="B866" t="s">
        <v>1429</v>
      </c>
      <c r="C866" t="s">
        <v>1431</v>
      </c>
      <c r="D866" t="s">
        <v>1433</v>
      </c>
      <c r="E866" t="s">
        <v>68</v>
      </c>
      <c r="F866" s="9" t="s">
        <v>68</v>
      </c>
      <c r="G866" s="18">
        <v>5270464</v>
      </c>
      <c r="H866">
        <v>0</v>
      </c>
      <c r="I866" s="29">
        <f t="shared" si="13"/>
        <v>5270464</v>
      </c>
      <c r="J866">
        <f>IFERROR(VLOOKUP(E866,'LEAID Match'!$A$2:$B$168,2,FALSE),"")</f>
        <v>3300017</v>
      </c>
    </row>
    <row r="867" spans="1:10">
      <c r="A867">
        <v>2023</v>
      </c>
      <c r="B867" t="s">
        <v>1429</v>
      </c>
      <c r="C867" t="s">
        <v>1431</v>
      </c>
      <c r="D867" t="s">
        <v>1433</v>
      </c>
      <c r="E867" t="s">
        <v>68</v>
      </c>
      <c r="F867" t="s">
        <v>68</v>
      </c>
      <c r="G867" s="28">
        <v>5486893</v>
      </c>
      <c r="H867">
        <v>0</v>
      </c>
      <c r="I867" s="29">
        <f t="shared" si="13"/>
        <v>5486893</v>
      </c>
      <c r="J867">
        <f>IFERROR(VLOOKUP(E867,'LEAID Match'!$A$2:$B$168,2,FALSE),"")</f>
        <v>3300017</v>
      </c>
    </row>
    <row r="868" spans="1:10">
      <c r="A868">
        <v>2015</v>
      </c>
      <c r="B868" t="s">
        <v>1429</v>
      </c>
      <c r="C868" t="s">
        <v>1431</v>
      </c>
      <c r="D868" t="s">
        <v>1433</v>
      </c>
      <c r="E868" t="s">
        <v>69</v>
      </c>
      <c r="F868" s="9" t="s">
        <v>1058</v>
      </c>
      <c r="G868" s="18">
        <v>996634.38</v>
      </c>
      <c r="H868">
        <v>0</v>
      </c>
      <c r="I868" s="29">
        <f t="shared" si="13"/>
        <v>996634.38</v>
      </c>
      <c r="J868">
        <f>IFERROR(VLOOKUP(E868,'LEAID Match'!$A$2:$B$168,2,FALSE),"")</f>
        <v>3302970</v>
      </c>
    </row>
    <row r="869" spans="1:10">
      <c r="A869">
        <v>2016</v>
      </c>
      <c r="B869" t="s">
        <v>1429</v>
      </c>
      <c r="C869" t="s">
        <v>1431</v>
      </c>
      <c r="D869" t="s">
        <v>1433</v>
      </c>
      <c r="E869" t="s">
        <v>69</v>
      </c>
      <c r="F869" t="s">
        <v>596</v>
      </c>
      <c r="G869" s="28">
        <v>1105403</v>
      </c>
      <c r="H869">
        <v>0</v>
      </c>
      <c r="I869" s="29">
        <f t="shared" si="13"/>
        <v>1105403</v>
      </c>
      <c r="J869">
        <f>IFERROR(VLOOKUP(E869,'LEAID Match'!$A$2:$B$168,2,FALSE),"")</f>
        <v>3302970</v>
      </c>
    </row>
    <row r="870" spans="1:10">
      <c r="A870">
        <v>2017</v>
      </c>
      <c r="B870" t="s">
        <v>1429</v>
      </c>
      <c r="C870" t="s">
        <v>1431</v>
      </c>
      <c r="D870" t="s">
        <v>1433</v>
      </c>
      <c r="E870" t="s">
        <v>69</v>
      </c>
      <c r="F870" t="s">
        <v>596</v>
      </c>
      <c r="G870" s="28">
        <v>1151629</v>
      </c>
      <c r="H870">
        <v>0</v>
      </c>
      <c r="I870" s="29">
        <f t="shared" si="13"/>
        <v>1151629</v>
      </c>
      <c r="J870">
        <f>IFERROR(VLOOKUP(E870,'LEAID Match'!$A$2:$B$168,2,FALSE),"")</f>
        <v>3302970</v>
      </c>
    </row>
    <row r="871" spans="1:10">
      <c r="A871" s="27">
        <v>2018</v>
      </c>
      <c r="B871" t="s">
        <v>1429</v>
      </c>
      <c r="C871" t="s">
        <v>1431</v>
      </c>
      <c r="D871" t="s">
        <v>1433</v>
      </c>
      <c r="E871" t="s">
        <v>69</v>
      </c>
      <c r="F871" s="9" t="s">
        <v>596</v>
      </c>
      <c r="G871" s="18">
        <v>1419652</v>
      </c>
      <c r="H871">
        <v>0</v>
      </c>
      <c r="I871" s="29">
        <f t="shared" si="13"/>
        <v>1419652</v>
      </c>
      <c r="J871">
        <f>IFERROR(VLOOKUP(E871,'LEAID Match'!$A$2:$B$168,2,FALSE),"")</f>
        <v>3302970</v>
      </c>
    </row>
    <row r="872" spans="1:10">
      <c r="A872">
        <v>2019</v>
      </c>
      <c r="B872" t="s">
        <v>1429</v>
      </c>
      <c r="C872" t="s">
        <v>1431</v>
      </c>
      <c r="D872" t="s">
        <v>1433</v>
      </c>
      <c r="E872" t="s">
        <v>69</v>
      </c>
      <c r="F872" s="9" t="s">
        <v>596</v>
      </c>
      <c r="G872" s="18">
        <v>1498732</v>
      </c>
      <c r="H872">
        <v>0</v>
      </c>
      <c r="I872" s="29">
        <f t="shared" si="13"/>
        <v>1498732</v>
      </c>
      <c r="J872">
        <f>IFERROR(VLOOKUP(E872,'LEAID Match'!$A$2:$B$168,2,FALSE),"")</f>
        <v>3302970</v>
      </c>
    </row>
    <row r="873" spans="1:10">
      <c r="A873" s="27">
        <v>2020</v>
      </c>
      <c r="B873" t="s">
        <v>1429</v>
      </c>
      <c r="C873" t="s">
        <v>1431</v>
      </c>
      <c r="D873" t="s">
        <v>1433</v>
      </c>
      <c r="E873" t="s">
        <v>69</v>
      </c>
      <c r="F873" s="9" t="s">
        <v>69</v>
      </c>
      <c r="G873" s="18">
        <v>1520748</v>
      </c>
      <c r="H873">
        <v>0</v>
      </c>
      <c r="I873" s="29">
        <f t="shared" si="13"/>
        <v>1520748</v>
      </c>
      <c r="J873">
        <f>IFERROR(VLOOKUP(E873,'LEAID Match'!$A$2:$B$168,2,FALSE),"")</f>
        <v>3302970</v>
      </c>
    </row>
    <row r="874" spans="1:10">
      <c r="A874">
        <v>2021</v>
      </c>
      <c r="B874" t="s">
        <v>1429</v>
      </c>
      <c r="C874" t="s">
        <v>1431</v>
      </c>
      <c r="D874" t="s">
        <v>1433</v>
      </c>
      <c r="E874" t="s">
        <v>69</v>
      </c>
      <c r="F874" s="9" t="s">
        <v>69</v>
      </c>
      <c r="G874" s="18">
        <v>1625766</v>
      </c>
      <c r="H874">
        <v>0</v>
      </c>
      <c r="I874" s="29">
        <f t="shared" si="13"/>
        <v>1625766</v>
      </c>
      <c r="J874">
        <f>IFERROR(VLOOKUP(E874,'LEAID Match'!$A$2:$B$168,2,FALSE),"")</f>
        <v>3302970</v>
      </c>
    </row>
    <row r="875" spans="1:10">
      <c r="A875">
        <v>2022</v>
      </c>
      <c r="B875" t="s">
        <v>1429</v>
      </c>
      <c r="C875" t="s">
        <v>1431</v>
      </c>
      <c r="D875" t="s">
        <v>1433</v>
      </c>
      <c r="E875" t="s">
        <v>69</v>
      </c>
      <c r="F875" s="9" t="s">
        <v>69</v>
      </c>
      <c r="G875" s="18">
        <v>1965523</v>
      </c>
      <c r="H875">
        <v>0</v>
      </c>
      <c r="I875" s="29">
        <f t="shared" si="13"/>
        <v>1965523</v>
      </c>
      <c r="J875">
        <f>IFERROR(VLOOKUP(E875,'LEAID Match'!$A$2:$B$168,2,FALSE),"")</f>
        <v>3302970</v>
      </c>
    </row>
    <row r="876" spans="1:10">
      <c r="A876">
        <v>2023</v>
      </c>
      <c r="B876" t="s">
        <v>1429</v>
      </c>
      <c r="C876" t="s">
        <v>1431</v>
      </c>
      <c r="D876" t="s">
        <v>1433</v>
      </c>
      <c r="E876" t="s">
        <v>69</v>
      </c>
      <c r="F876" t="s">
        <v>69</v>
      </c>
      <c r="G876" s="28">
        <v>2084944</v>
      </c>
      <c r="H876">
        <v>0</v>
      </c>
      <c r="I876" s="29">
        <f t="shared" si="13"/>
        <v>2084944</v>
      </c>
      <c r="J876">
        <f>IFERROR(VLOOKUP(E876,'LEAID Match'!$A$2:$B$168,2,FALSE),"")</f>
        <v>3302970</v>
      </c>
    </row>
    <row r="877" spans="1:10">
      <c r="A877">
        <v>2015</v>
      </c>
      <c r="B877" t="s">
        <v>1429</v>
      </c>
      <c r="C877" t="s">
        <v>1431</v>
      </c>
      <c r="D877" t="s">
        <v>1433</v>
      </c>
      <c r="E877" t="s">
        <v>597</v>
      </c>
      <c r="F877" s="9" t="s">
        <v>1059</v>
      </c>
      <c r="G877" s="18">
        <v>1451450.27</v>
      </c>
      <c r="H877">
        <v>0</v>
      </c>
      <c r="I877" s="29">
        <f t="shared" si="13"/>
        <v>1451450.27</v>
      </c>
      <c r="J877">
        <f>IFERROR(VLOOKUP(E877,'LEAID Match'!$A$2:$B$168,2,FALSE),"")</f>
        <v>3302990</v>
      </c>
    </row>
    <row r="878" spans="1:10">
      <c r="A878">
        <v>2016</v>
      </c>
      <c r="B878" t="s">
        <v>1429</v>
      </c>
      <c r="C878" t="s">
        <v>1431</v>
      </c>
      <c r="D878" t="s">
        <v>1433</v>
      </c>
      <c r="E878" t="s">
        <v>597</v>
      </c>
      <c r="F878" t="s">
        <v>597</v>
      </c>
      <c r="G878" s="28">
        <v>1592139</v>
      </c>
      <c r="H878">
        <v>0</v>
      </c>
      <c r="I878" s="29">
        <f t="shared" si="13"/>
        <v>1592139</v>
      </c>
      <c r="J878">
        <f>IFERROR(VLOOKUP(E878,'LEAID Match'!$A$2:$B$168,2,FALSE),"")</f>
        <v>3302990</v>
      </c>
    </row>
    <row r="879" spans="1:10">
      <c r="A879">
        <v>2017</v>
      </c>
      <c r="B879" t="s">
        <v>1429</v>
      </c>
      <c r="C879" t="s">
        <v>1431</v>
      </c>
      <c r="D879" t="s">
        <v>1433</v>
      </c>
      <c r="E879" t="s">
        <v>597</v>
      </c>
      <c r="F879" t="s">
        <v>597</v>
      </c>
      <c r="G879" s="28">
        <v>1632426</v>
      </c>
      <c r="H879">
        <v>0</v>
      </c>
      <c r="I879" s="29">
        <f t="shared" si="13"/>
        <v>1632426</v>
      </c>
      <c r="J879">
        <f>IFERROR(VLOOKUP(E879,'LEAID Match'!$A$2:$B$168,2,FALSE),"")</f>
        <v>3302990</v>
      </c>
    </row>
    <row r="880" spans="1:10">
      <c r="A880" s="27">
        <v>2018</v>
      </c>
      <c r="B880" t="s">
        <v>1429</v>
      </c>
      <c r="C880" t="s">
        <v>1431</v>
      </c>
      <c r="D880" t="s">
        <v>1433</v>
      </c>
      <c r="E880" t="s">
        <v>597</v>
      </c>
      <c r="F880" s="9" t="s">
        <v>597</v>
      </c>
      <c r="G880" s="18">
        <v>2040606</v>
      </c>
      <c r="H880">
        <v>0</v>
      </c>
      <c r="I880" s="29">
        <f t="shared" si="13"/>
        <v>2040606</v>
      </c>
      <c r="J880">
        <f>IFERROR(VLOOKUP(E880,'LEAID Match'!$A$2:$B$168,2,FALSE),"")</f>
        <v>3302990</v>
      </c>
    </row>
    <row r="881" spans="1:10">
      <c r="A881">
        <v>2019</v>
      </c>
      <c r="B881" t="s">
        <v>1429</v>
      </c>
      <c r="C881" t="s">
        <v>1431</v>
      </c>
      <c r="D881" t="s">
        <v>1433</v>
      </c>
      <c r="E881" t="s">
        <v>597</v>
      </c>
      <c r="F881" s="9" t="s">
        <v>597</v>
      </c>
      <c r="G881" s="18">
        <v>2034346</v>
      </c>
      <c r="H881">
        <v>0</v>
      </c>
      <c r="I881" s="29">
        <f t="shared" si="13"/>
        <v>2034346</v>
      </c>
      <c r="J881">
        <f>IFERROR(VLOOKUP(E881,'LEAID Match'!$A$2:$B$168,2,FALSE),"")</f>
        <v>3302990</v>
      </c>
    </row>
    <row r="882" spans="1:10">
      <c r="A882" s="27">
        <v>2020</v>
      </c>
      <c r="B882" t="s">
        <v>1429</v>
      </c>
      <c r="C882" t="s">
        <v>1431</v>
      </c>
      <c r="D882" t="s">
        <v>1433</v>
      </c>
      <c r="E882" t="s">
        <v>597</v>
      </c>
      <c r="F882" s="9" t="s">
        <v>70</v>
      </c>
      <c r="G882" s="18">
        <v>2112295</v>
      </c>
      <c r="H882">
        <v>0</v>
      </c>
      <c r="I882" s="29">
        <f t="shared" si="13"/>
        <v>2112295</v>
      </c>
      <c r="J882">
        <f>IFERROR(VLOOKUP(E882,'LEAID Match'!$A$2:$B$168,2,FALSE),"")</f>
        <v>3302990</v>
      </c>
    </row>
    <row r="883" spans="1:10">
      <c r="A883">
        <v>2021</v>
      </c>
      <c r="B883" t="s">
        <v>1429</v>
      </c>
      <c r="C883" t="s">
        <v>1431</v>
      </c>
      <c r="D883" t="s">
        <v>1433</v>
      </c>
      <c r="E883" t="s">
        <v>597</v>
      </c>
      <c r="F883" s="9" t="s">
        <v>70</v>
      </c>
      <c r="G883" s="18">
        <v>2134961</v>
      </c>
      <c r="H883">
        <v>0</v>
      </c>
      <c r="I883" s="29">
        <f t="shared" si="13"/>
        <v>2134961</v>
      </c>
      <c r="J883">
        <f>IFERROR(VLOOKUP(E883,'LEAID Match'!$A$2:$B$168,2,FALSE),"")</f>
        <v>3302990</v>
      </c>
    </row>
    <row r="884" spans="1:10">
      <c r="A884">
        <v>2022</v>
      </c>
      <c r="B884" t="s">
        <v>1429</v>
      </c>
      <c r="C884" t="s">
        <v>1431</v>
      </c>
      <c r="D884" t="s">
        <v>1433</v>
      </c>
      <c r="E884" t="s">
        <v>597</v>
      </c>
      <c r="F884" s="9" t="s">
        <v>70</v>
      </c>
      <c r="G884" s="18">
        <v>2685265</v>
      </c>
      <c r="H884">
        <v>0</v>
      </c>
      <c r="I884" s="29">
        <f t="shared" si="13"/>
        <v>2685265</v>
      </c>
      <c r="J884">
        <f>IFERROR(VLOOKUP(E884,'LEAID Match'!$A$2:$B$168,2,FALSE),"")</f>
        <v>3302990</v>
      </c>
    </row>
    <row r="885" spans="1:10">
      <c r="A885">
        <v>2023</v>
      </c>
      <c r="B885" t="s">
        <v>1429</v>
      </c>
      <c r="C885" t="s">
        <v>1431</v>
      </c>
      <c r="D885" t="s">
        <v>1433</v>
      </c>
      <c r="E885" t="s">
        <v>597</v>
      </c>
      <c r="F885" t="s">
        <v>70</v>
      </c>
      <c r="G885" s="28">
        <v>2789279</v>
      </c>
      <c r="H885">
        <v>0</v>
      </c>
      <c r="I885" s="29">
        <f t="shared" si="13"/>
        <v>2789279</v>
      </c>
      <c r="J885">
        <f>IFERROR(VLOOKUP(E885,'LEAID Match'!$A$2:$B$168,2,FALSE),"")</f>
        <v>3302990</v>
      </c>
    </row>
    <row r="886" spans="1:10">
      <c r="A886">
        <v>2015</v>
      </c>
      <c r="B886" t="s">
        <v>1429</v>
      </c>
      <c r="C886" t="s">
        <v>1431</v>
      </c>
      <c r="D886" t="s">
        <v>1433</v>
      </c>
      <c r="E886" t="s">
        <v>598</v>
      </c>
      <c r="F886" s="9" t="s">
        <v>1060</v>
      </c>
      <c r="G886" s="18">
        <v>147706.21</v>
      </c>
      <c r="H886">
        <v>0</v>
      </c>
      <c r="I886" s="29">
        <f t="shared" si="13"/>
        <v>147706.21</v>
      </c>
      <c r="J886" t="str">
        <f>IFERROR(VLOOKUP(E886,'LEAID Match'!$A$2:$B$168,2,FALSE),"")</f>
        <v/>
      </c>
    </row>
    <row r="887" spans="1:10">
      <c r="A887">
        <v>2016</v>
      </c>
      <c r="B887" t="s">
        <v>1429</v>
      </c>
      <c r="C887" t="s">
        <v>1431</v>
      </c>
      <c r="D887" t="s">
        <v>1433</v>
      </c>
      <c r="E887" t="s">
        <v>598</v>
      </c>
      <c r="F887" t="s">
        <v>598</v>
      </c>
      <c r="G887" s="28">
        <v>170197</v>
      </c>
      <c r="H887">
        <v>0</v>
      </c>
      <c r="I887" s="29">
        <f t="shared" si="13"/>
        <v>170197</v>
      </c>
      <c r="J887" t="str">
        <f>IFERROR(VLOOKUP(E887,'LEAID Match'!$A$2:$B$168,2,FALSE),"")</f>
        <v/>
      </c>
    </row>
    <row r="888" spans="1:10">
      <c r="A888">
        <v>2017</v>
      </c>
      <c r="B888" t="s">
        <v>1429</v>
      </c>
      <c r="C888" t="s">
        <v>1431</v>
      </c>
      <c r="D888" t="s">
        <v>1433</v>
      </c>
      <c r="E888" t="s">
        <v>598</v>
      </c>
      <c r="F888" t="s">
        <v>598</v>
      </c>
      <c r="G888" s="28">
        <v>176657</v>
      </c>
      <c r="H888">
        <v>0</v>
      </c>
      <c r="I888" s="29">
        <f t="shared" si="13"/>
        <v>176657</v>
      </c>
      <c r="J888" t="str">
        <f>IFERROR(VLOOKUP(E888,'LEAID Match'!$A$2:$B$168,2,FALSE),"")</f>
        <v/>
      </c>
    </row>
    <row r="889" spans="1:10">
      <c r="A889" s="27">
        <v>2018</v>
      </c>
      <c r="B889" t="s">
        <v>1429</v>
      </c>
      <c r="C889" t="s">
        <v>1431</v>
      </c>
      <c r="D889" t="s">
        <v>1433</v>
      </c>
      <c r="E889" t="s">
        <v>598</v>
      </c>
      <c r="F889" s="9" t="s">
        <v>598</v>
      </c>
      <c r="G889" s="18">
        <v>201580</v>
      </c>
      <c r="H889">
        <v>0</v>
      </c>
      <c r="I889" s="29">
        <f t="shared" si="13"/>
        <v>201580</v>
      </c>
      <c r="J889" t="str">
        <f>IFERROR(VLOOKUP(E889,'LEAID Match'!$A$2:$B$168,2,FALSE),"")</f>
        <v/>
      </c>
    </row>
    <row r="890" spans="1:10">
      <c r="A890">
        <v>2019</v>
      </c>
      <c r="B890" t="s">
        <v>1429</v>
      </c>
      <c r="C890" t="s">
        <v>1431</v>
      </c>
      <c r="D890" t="s">
        <v>1433</v>
      </c>
      <c r="E890" t="s">
        <v>598</v>
      </c>
      <c r="F890" s="9" t="s">
        <v>598</v>
      </c>
      <c r="G890" s="18">
        <v>211379</v>
      </c>
      <c r="H890">
        <v>0</v>
      </c>
      <c r="I890" s="29">
        <f t="shared" si="13"/>
        <v>211379</v>
      </c>
      <c r="J890" t="str">
        <f>IFERROR(VLOOKUP(E890,'LEAID Match'!$A$2:$B$168,2,FALSE),"")</f>
        <v/>
      </c>
    </row>
    <row r="891" spans="1:10">
      <c r="A891">
        <v>2015</v>
      </c>
      <c r="B891" t="s">
        <v>1429</v>
      </c>
      <c r="C891" t="s">
        <v>1431</v>
      </c>
      <c r="D891" t="s">
        <v>1433</v>
      </c>
      <c r="E891" t="s">
        <v>599</v>
      </c>
      <c r="F891" s="9" t="s">
        <v>1061</v>
      </c>
      <c r="G891" s="18">
        <v>838334.14</v>
      </c>
      <c r="H891">
        <v>0</v>
      </c>
      <c r="I891" s="29">
        <f t="shared" si="13"/>
        <v>838334.14</v>
      </c>
      <c r="J891">
        <f>IFERROR(VLOOKUP(E891,'LEAID Match'!$A$2:$B$168,2,FALSE),"")</f>
        <v>3303000</v>
      </c>
    </row>
    <row r="892" spans="1:10">
      <c r="A892">
        <v>2016</v>
      </c>
      <c r="B892" t="s">
        <v>1429</v>
      </c>
      <c r="C892" t="s">
        <v>1431</v>
      </c>
      <c r="D892" t="s">
        <v>1433</v>
      </c>
      <c r="E892" t="s">
        <v>599</v>
      </c>
      <c r="F892" t="s">
        <v>599</v>
      </c>
      <c r="G892" s="28">
        <v>856212</v>
      </c>
      <c r="H892">
        <v>0</v>
      </c>
      <c r="I892" s="29">
        <f t="shared" si="13"/>
        <v>856212</v>
      </c>
      <c r="J892">
        <f>IFERROR(VLOOKUP(E892,'LEAID Match'!$A$2:$B$168,2,FALSE),"")</f>
        <v>3303000</v>
      </c>
    </row>
    <row r="893" spans="1:10">
      <c r="A893">
        <v>2017</v>
      </c>
      <c r="B893" t="s">
        <v>1429</v>
      </c>
      <c r="C893" t="s">
        <v>1431</v>
      </c>
      <c r="D893" t="s">
        <v>1433</v>
      </c>
      <c r="E893" t="s">
        <v>599</v>
      </c>
      <c r="F893" t="s">
        <v>599</v>
      </c>
      <c r="G893" s="28">
        <v>888320</v>
      </c>
      <c r="H893">
        <v>0</v>
      </c>
      <c r="I893" s="29">
        <f t="shared" si="13"/>
        <v>888320</v>
      </c>
      <c r="J893">
        <f>IFERROR(VLOOKUP(E893,'LEAID Match'!$A$2:$B$168,2,FALSE),"")</f>
        <v>3303000</v>
      </c>
    </row>
    <row r="894" spans="1:10">
      <c r="A894" s="27">
        <v>2018</v>
      </c>
      <c r="B894" t="s">
        <v>1429</v>
      </c>
      <c r="C894" t="s">
        <v>1431</v>
      </c>
      <c r="D894" t="s">
        <v>1433</v>
      </c>
      <c r="E894" t="s">
        <v>599</v>
      </c>
      <c r="F894" s="9" t="s">
        <v>599</v>
      </c>
      <c r="G894" s="18">
        <v>1067530</v>
      </c>
      <c r="H894">
        <v>0</v>
      </c>
      <c r="I894" s="29">
        <f t="shared" si="13"/>
        <v>1067530</v>
      </c>
      <c r="J894">
        <f>IFERROR(VLOOKUP(E894,'LEAID Match'!$A$2:$B$168,2,FALSE),"")</f>
        <v>3303000</v>
      </c>
    </row>
    <row r="895" spans="1:10">
      <c r="A895">
        <v>2019</v>
      </c>
      <c r="B895" t="s">
        <v>1429</v>
      </c>
      <c r="C895" t="s">
        <v>1431</v>
      </c>
      <c r="D895" t="s">
        <v>1433</v>
      </c>
      <c r="E895" t="s">
        <v>599</v>
      </c>
      <c r="F895" s="9" t="s">
        <v>599</v>
      </c>
      <c r="G895" s="18">
        <v>1098207</v>
      </c>
      <c r="H895">
        <v>0</v>
      </c>
      <c r="I895" s="29">
        <f t="shared" si="13"/>
        <v>1098207</v>
      </c>
      <c r="J895">
        <f>IFERROR(VLOOKUP(E895,'LEAID Match'!$A$2:$B$168,2,FALSE),"")</f>
        <v>3303000</v>
      </c>
    </row>
    <row r="896" spans="1:10">
      <c r="A896" s="27">
        <v>2020</v>
      </c>
      <c r="B896" t="s">
        <v>1429</v>
      </c>
      <c r="C896" t="s">
        <v>1431</v>
      </c>
      <c r="D896" t="s">
        <v>1433</v>
      </c>
      <c r="E896" t="s">
        <v>599</v>
      </c>
      <c r="F896" s="9" t="s">
        <v>71</v>
      </c>
      <c r="G896" s="18">
        <v>1117790</v>
      </c>
      <c r="H896">
        <v>0</v>
      </c>
      <c r="I896" s="29">
        <f t="shared" si="13"/>
        <v>1117790</v>
      </c>
      <c r="J896">
        <f>IFERROR(VLOOKUP(E896,'LEAID Match'!$A$2:$B$168,2,FALSE),"")</f>
        <v>3303000</v>
      </c>
    </row>
    <row r="897" spans="1:10">
      <c r="A897">
        <v>2021</v>
      </c>
      <c r="B897" t="s">
        <v>1429</v>
      </c>
      <c r="C897" t="s">
        <v>1431</v>
      </c>
      <c r="D897" t="s">
        <v>1433</v>
      </c>
      <c r="E897" t="s">
        <v>599</v>
      </c>
      <c r="F897" s="9" t="s">
        <v>71</v>
      </c>
      <c r="G897" s="18">
        <v>1228046</v>
      </c>
      <c r="H897">
        <v>0</v>
      </c>
      <c r="I897" s="29">
        <f t="shared" si="13"/>
        <v>1228046</v>
      </c>
      <c r="J897">
        <f>IFERROR(VLOOKUP(E897,'LEAID Match'!$A$2:$B$168,2,FALSE),"")</f>
        <v>3303000</v>
      </c>
    </row>
    <row r="898" spans="1:10">
      <c r="A898">
        <v>2022</v>
      </c>
      <c r="B898" t="s">
        <v>1429</v>
      </c>
      <c r="C898" t="s">
        <v>1431</v>
      </c>
      <c r="D898" t="s">
        <v>1433</v>
      </c>
      <c r="E898" t="s">
        <v>599</v>
      </c>
      <c r="F898" s="9" t="s">
        <v>71</v>
      </c>
      <c r="G898" s="18">
        <v>1315952</v>
      </c>
      <c r="H898">
        <v>0</v>
      </c>
      <c r="I898" s="29">
        <f t="shared" si="13"/>
        <v>1315952</v>
      </c>
      <c r="J898">
        <f>IFERROR(VLOOKUP(E898,'LEAID Match'!$A$2:$B$168,2,FALSE),"")</f>
        <v>3303000</v>
      </c>
    </row>
    <row r="899" spans="1:10">
      <c r="A899">
        <v>2023</v>
      </c>
      <c r="B899" t="s">
        <v>1429</v>
      </c>
      <c r="C899" t="s">
        <v>1431</v>
      </c>
      <c r="D899" t="s">
        <v>1433</v>
      </c>
      <c r="E899" t="s">
        <v>599</v>
      </c>
      <c r="F899" t="s">
        <v>71</v>
      </c>
      <c r="G899" s="28">
        <v>1343284</v>
      </c>
      <c r="H899">
        <v>0</v>
      </c>
      <c r="I899" s="29">
        <f t="shared" ref="I899:I962" si="14">SUM(G899:H899)</f>
        <v>1343284</v>
      </c>
      <c r="J899">
        <f>IFERROR(VLOOKUP(E899,'LEAID Match'!$A$2:$B$168,2,FALSE),"")</f>
        <v>3303000</v>
      </c>
    </row>
    <row r="900" spans="1:10">
      <c r="A900">
        <v>2015</v>
      </c>
      <c r="B900" t="s">
        <v>1429</v>
      </c>
      <c r="C900" t="s">
        <v>1431</v>
      </c>
      <c r="D900" t="s">
        <v>1433</v>
      </c>
      <c r="E900" t="s">
        <v>600</v>
      </c>
      <c r="F900" s="9" t="s">
        <v>1062</v>
      </c>
      <c r="G900" s="18">
        <v>59510.12</v>
      </c>
      <c r="H900">
        <v>0</v>
      </c>
      <c r="I900" s="29">
        <f t="shared" si="14"/>
        <v>59510.12</v>
      </c>
      <c r="J900" t="str">
        <f>IFERROR(VLOOKUP(E900,'LEAID Match'!$A$2:$B$168,2,FALSE),"")</f>
        <v/>
      </c>
    </row>
    <row r="901" spans="1:10">
      <c r="A901">
        <v>2016</v>
      </c>
      <c r="B901" t="s">
        <v>1429</v>
      </c>
      <c r="C901" t="s">
        <v>1431</v>
      </c>
      <c r="D901" t="s">
        <v>1433</v>
      </c>
      <c r="E901" t="s">
        <v>600</v>
      </c>
      <c r="F901" t="s">
        <v>600</v>
      </c>
      <c r="G901" s="28">
        <v>68912</v>
      </c>
      <c r="H901">
        <v>0</v>
      </c>
      <c r="I901" s="29">
        <f t="shared" si="14"/>
        <v>68912</v>
      </c>
      <c r="J901" t="str">
        <f>IFERROR(VLOOKUP(E901,'LEAID Match'!$A$2:$B$168,2,FALSE),"")</f>
        <v/>
      </c>
    </row>
    <row r="902" spans="1:10">
      <c r="A902">
        <v>2017</v>
      </c>
      <c r="B902" t="s">
        <v>1429</v>
      </c>
      <c r="C902" t="s">
        <v>1431</v>
      </c>
      <c r="D902" t="s">
        <v>1433</v>
      </c>
      <c r="E902" t="s">
        <v>600</v>
      </c>
      <c r="F902" t="s">
        <v>600</v>
      </c>
      <c r="G902" s="28">
        <v>67841</v>
      </c>
      <c r="H902">
        <v>0</v>
      </c>
      <c r="I902" s="29">
        <f t="shared" si="14"/>
        <v>67841</v>
      </c>
      <c r="J902" t="str">
        <f>IFERROR(VLOOKUP(E902,'LEAID Match'!$A$2:$B$168,2,FALSE),"")</f>
        <v/>
      </c>
    </row>
    <row r="903" spans="1:10">
      <c r="A903" s="27">
        <v>2018</v>
      </c>
      <c r="B903" t="s">
        <v>1429</v>
      </c>
      <c r="C903" t="s">
        <v>1431</v>
      </c>
      <c r="D903" t="s">
        <v>1433</v>
      </c>
      <c r="E903" t="s">
        <v>600</v>
      </c>
      <c r="F903" s="9" t="s">
        <v>600</v>
      </c>
      <c r="G903" s="18">
        <v>70065</v>
      </c>
      <c r="H903">
        <v>0</v>
      </c>
      <c r="I903" s="29">
        <f t="shared" si="14"/>
        <v>70065</v>
      </c>
      <c r="J903" t="str">
        <f>IFERROR(VLOOKUP(E903,'LEAID Match'!$A$2:$B$168,2,FALSE),"")</f>
        <v/>
      </c>
    </row>
    <row r="904" spans="1:10">
      <c r="A904">
        <v>2019</v>
      </c>
      <c r="B904" t="s">
        <v>1429</v>
      </c>
      <c r="C904" t="s">
        <v>1431</v>
      </c>
      <c r="D904" t="s">
        <v>1433</v>
      </c>
      <c r="E904" t="s">
        <v>600</v>
      </c>
      <c r="F904" s="9" t="s">
        <v>600</v>
      </c>
      <c r="G904" s="18">
        <v>77340</v>
      </c>
      <c r="H904">
        <v>0</v>
      </c>
      <c r="I904" s="29">
        <f t="shared" si="14"/>
        <v>77340</v>
      </c>
      <c r="J904" t="str">
        <f>IFERROR(VLOOKUP(E904,'LEAID Match'!$A$2:$B$168,2,FALSE),"")</f>
        <v/>
      </c>
    </row>
    <row r="905" spans="1:10">
      <c r="A905">
        <v>2015</v>
      </c>
      <c r="B905" t="s">
        <v>1429</v>
      </c>
      <c r="C905" t="s">
        <v>1431</v>
      </c>
      <c r="D905" t="s">
        <v>1433</v>
      </c>
      <c r="E905" t="s">
        <v>601</v>
      </c>
      <c r="F905" s="9" t="s">
        <v>1063</v>
      </c>
      <c r="G905" s="18">
        <v>33409.910000000003</v>
      </c>
      <c r="H905">
        <v>0</v>
      </c>
      <c r="I905" s="29">
        <f t="shared" si="14"/>
        <v>33409.910000000003</v>
      </c>
      <c r="J905" t="str">
        <f>IFERROR(VLOOKUP(E905,'LEAID Match'!$A$2:$B$168,2,FALSE),"")</f>
        <v/>
      </c>
    </row>
    <row r="906" spans="1:10">
      <c r="A906">
        <v>2016</v>
      </c>
      <c r="B906" t="s">
        <v>1429</v>
      </c>
      <c r="C906" t="s">
        <v>1431</v>
      </c>
      <c r="D906" t="s">
        <v>1433</v>
      </c>
      <c r="E906" t="s">
        <v>601</v>
      </c>
      <c r="F906" t="s">
        <v>601</v>
      </c>
      <c r="G906" s="28">
        <v>20626</v>
      </c>
      <c r="H906">
        <v>0</v>
      </c>
      <c r="I906" s="29">
        <f t="shared" si="14"/>
        <v>20626</v>
      </c>
      <c r="J906" t="str">
        <f>IFERROR(VLOOKUP(E906,'LEAID Match'!$A$2:$B$168,2,FALSE),"")</f>
        <v/>
      </c>
    </row>
    <row r="907" spans="1:10">
      <c r="A907">
        <v>2017</v>
      </c>
      <c r="B907" t="s">
        <v>1429</v>
      </c>
      <c r="C907" t="s">
        <v>1431</v>
      </c>
      <c r="D907" t="s">
        <v>1433</v>
      </c>
      <c r="E907" t="s">
        <v>601</v>
      </c>
      <c r="F907" t="s">
        <v>601</v>
      </c>
      <c r="G907" s="28">
        <v>26921</v>
      </c>
      <c r="H907">
        <v>0</v>
      </c>
      <c r="I907" s="29">
        <f t="shared" si="14"/>
        <v>26921</v>
      </c>
      <c r="J907" t="str">
        <f>IFERROR(VLOOKUP(E907,'LEAID Match'!$A$2:$B$168,2,FALSE),"")</f>
        <v/>
      </c>
    </row>
    <row r="908" spans="1:10">
      <c r="A908" s="27">
        <v>2018</v>
      </c>
      <c r="B908" t="s">
        <v>1429</v>
      </c>
      <c r="C908" t="s">
        <v>1431</v>
      </c>
      <c r="D908" t="s">
        <v>1433</v>
      </c>
      <c r="E908" t="s">
        <v>601</v>
      </c>
      <c r="F908" s="9" t="s">
        <v>601</v>
      </c>
      <c r="G908" s="18">
        <v>25397</v>
      </c>
      <c r="H908">
        <v>0</v>
      </c>
      <c r="I908" s="29">
        <f t="shared" si="14"/>
        <v>25397</v>
      </c>
      <c r="J908" t="str">
        <f>IFERROR(VLOOKUP(E908,'LEAID Match'!$A$2:$B$168,2,FALSE),"")</f>
        <v/>
      </c>
    </row>
    <row r="909" spans="1:10">
      <c r="A909">
        <v>2019</v>
      </c>
      <c r="B909" t="s">
        <v>1429</v>
      </c>
      <c r="C909" t="s">
        <v>1431</v>
      </c>
      <c r="D909" t="s">
        <v>1433</v>
      </c>
      <c r="E909" t="s">
        <v>601</v>
      </c>
      <c r="F909" s="9" t="s">
        <v>601</v>
      </c>
      <c r="G909" s="18">
        <v>23502</v>
      </c>
      <c r="H909">
        <v>0</v>
      </c>
      <c r="I909" s="29">
        <f t="shared" si="14"/>
        <v>23502</v>
      </c>
      <c r="J909" t="str">
        <f>IFERROR(VLOOKUP(E909,'LEAID Match'!$A$2:$B$168,2,FALSE),"")</f>
        <v/>
      </c>
    </row>
    <row r="910" spans="1:10">
      <c r="A910">
        <v>2015</v>
      </c>
      <c r="B910" t="s">
        <v>1429</v>
      </c>
      <c r="C910" t="s">
        <v>1431</v>
      </c>
      <c r="D910" t="s">
        <v>1433</v>
      </c>
      <c r="E910" t="s">
        <v>602</v>
      </c>
      <c r="F910" s="9" t="s">
        <v>1064</v>
      </c>
      <c r="G910" s="18">
        <v>39180.17</v>
      </c>
      <c r="H910">
        <v>0</v>
      </c>
      <c r="I910" s="29">
        <f t="shared" si="14"/>
        <v>39180.17</v>
      </c>
      <c r="J910" t="str">
        <f>IFERROR(VLOOKUP(E910,'LEAID Match'!$A$2:$B$168,2,FALSE),"")</f>
        <v/>
      </c>
    </row>
    <row r="911" spans="1:10">
      <c r="A911">
        <v>2016</v>
      </c>
      <c r="B911" t="s">
        <v>1429</v>
      </c>
      <c r="C911" t="s">
        <v>1431</v>
      </c>
      <c r="D911" t="s">
        <v>1433</v>
      </c>
      <c r="E911" t="s">
        <v>602</v>
      </c>
      <c r="F911" t="s">
        <v>602</v>
      </c>
      <c r="G911" s="28">
        <v>43446</v>
      </c>
      <c r="H911">
        <v>0</v>
      </c>
      <c r="I911" s="29">
        <f t="shared" si="14"/>
        <v>43446</v>
      </c>
      <c r="J911" t="str">
        <f>IFERROR(VLOOKUP(E911,'LEAID Match'!$A$2:$B$168,2,FALSE),"")</f>
        <v/>
      </c>
    </row>
    <row r="912" spans="1:10">
      <c r="A912">
        <v>2017</v>
      </c>
      <c r="B912" t="s">
        <v>1429</v>
      </c>
      <c r="C912" t="s">
        <v>1431</v>
      </c>
      <c r="D912" t="s">
        <v>1433</v>
      </c>
      <c r="E912" t="s">
        <v>602</v>
      </c>
      <c r="F912" t="s">
        <v>602</v>
      </c>
      <c r="G912" s="28">
        <v>49113</v>
      </c>
      <c r="H912">
        <v>0</v>
      </c>
      <c r="I912" s="29">
        <f t="shared" si="14"/>
        <v>49113</v>
      </c>
      <c r="J912" t="str">
        <f>IFERROR(VLOOKUP(E912,'LEAID Match'!$A$2:$B$168,2,FALSE),"")</f>
        <v/>
      </c>
    </row>
    <row r="913" spans="1:10">
      <c r="A913" s="27">
        <v>2018</v>
      </c>
      <c r="B913" t="s">
        <v>1429</v>
      </c>
      <c r="C913" t="s">
        <v>1431</v>
      </c>
      <c r="D913" t="s">
        <v>1433</v>
      </c>
      <c r="E913" t="s">
        <v>602</v>
      </c>
      <c r="F913" s="9" t="s">
        <v>602</v>
      </c>
      <c r="G913" s="18">
        <v>46972</v>
      </c>
      <c r="H913">
        <v>0</v>
      </c>
      <c r="I913" s="29">
        <f t="shared" si="14"/>
        <v>46972</v>
      </c>
      <c r="J913" t="str">
        <f>IFERROR(VLOOKUP(E913,'LEAID Match'!$A$2:$B$168,2,FALSE),"")</f>
        <v/>
      </c>
    </row>
    <row r="914" spans="1:10">
      <c r="A914">
        <v>2019</v>
      </c>
      <c r="B914" t="s">
        <v>1429</v>
      </c>
      <c r="C914" t="s">
        <v>1431</v>
      </c>
      <c r="D914" t="s">
        <v>1433</v>
      </c>
      <c r="E914" t="s">
        <v>602</v>
      </c>
      <c r="F914" s="9" t="s">
        <v>602</v>
      </c>
      <c r="G914" s="18">
        <v>46960</v>
      </c>
      <c r="H914">
        <v>0</v>
      </c>
      <c r="I914" s="29">
        <f t="shared" si="14"/>
        <v>46960</v>
      </c>
      <c r="J914" t="str">
        <f>IFERROR(VLOOKUP(E914,'LEAID Match'!$A$2:$B$168,2,FALSE),"")</f>
        <v/>
      </c>
    </row>
    <row r="915" spans="1:10">
      <c r="A915">
        <v>2015</v>
      </c>
      <c r="B915" t="s">
        <v>1429</v>
      </c>
      <c r="C915" t="s">
        <v>1431</v>
      </c>
      <c r="D915" t="s">
        <v>1433</v>
      </c>
      <c r="E915" t="s">
        <v>603</v>
      </c>
      <c r="F915" s="9" t="s">
        <v>1065</v>
      </c>
      <c r="G915" s="18">
        <v>709988.4</v>
      </c>
      <c r="H915">
        <v>0</v>
      </c>
      <c r="I915" s="29">
        <f t="shared" si="14"/>
        <v>709988.4</v>
      </c>
      <c r="J915" t="str">
        <f>IFERROR(VLOOKUP(E915,'LEAID Match'!$A$2:$B$168,2,FALSE),"")</f>
        <v/>
      </c>
    </row>
    <row r="916" spans="1:10">
      <c r="A916">
        <v>2016</v>
      </c>
      <c r="B916" t="s">
        <v>1429</v>
      </c>
      <c r="C916" t="s">
        <v>1431</v>
      </c>
      <c r="D916" t="s">
        <v>1433</v>
      </c>
      <c r="E916" t="s">
        <v>603</v>
      </c>
      <c r="F916" t="s">
        <v>603</v>
      </c>
      <c r="G916" s="28">
        <v>767305</v>
      </c>
      <c r="H916">
        <v>0</v>
      </c>
      <c r="I916" s="29">
        <f t="shared" si="14"/>
        <v>767305</v>
      </c>
      <c r="J916" t="str">
        <f>IFERROR(VLOOKUP(E916,'LEAID Match'!$A$2:$B$168,2,FALSE),"")</f>
        <v/>
      </c>
    </row>
    <row r="917" spans="1:10">
      <c r="A917">
        <v>2017</v>
      </c>
      <c r="B917" t="s">
        <v>1429</v>
      </c>
      <c r="C917" t="s">
        <v>1431</v>
      </c>
      <c r="D917" t="s">
        <v>1433</v>
      </c>
      <c r="E917" t="s">
        <v>603</v>
      </c>
      <c r="F917" t="s">
        <v>603</v>
      </c>
      <c r="G917" s="28">
        <v>797994</v>
      </c>
      <c r="H917">
        <v>0</v>
      </c>
      <c r="I917" s="29">
        <f t="shared" si="14"/>
        <v>797994</v>
      </c>
      <c r="J917" t="str">
        <f>IFERROR(VLOOKUP(E917,'LEAID Match'!$A$2:$B$168,2,FALSE),"")</f>
        <v/>
      </c>
    </row>
    <row r="918" spans="1:10">
      <c r="A918" s="27">
        <v>2018</v>
      </c>
      <c r="B918" t="s">
        <v>1429</v>
      </c>
      <c r="C918" t="s">
        <v>1431</v>
      </c>
      <c r="D918" t="s">
        <v>1433</v>
      </c>
      <c r="E918" t="s">
        <v>603</v>
      </c>
      <c r="F918" s="9" t="s">
        <v>603</v>
      </c>
      <c r="G918" s="18">
        <v>880564</v>
      </c>
      <c r="H918">
        <v>0</v>
      </c>
      <c r="I918" s="29">
        <f t="shared" si="14"/>
        <v>880564</v>
      </c>
      <c r="J918" t="str">
        <f>IFERROR(VLOOKUP(E918,'LEAID Match'!$A$2:$B$168,2,FALSE),"")</f>
        <v/>
      </c>
    </row>
    <row r="919" spans="1:10">
      <c r="A919">
        <v>2019</v>
      </c>
      <c r="B919" t="s">
        <v>1429</v>
      </c>
      <c r="C919" t="s">
        <v>1431</v>
      </c>
      <c r="D919" t="s">
        <v>1433</v>
      </c>
      <c r="E919" t="s">
        <v>603</v>
      </c>
      <c r="F919" s="9" t="s">
        <v>603</v>
      </c>
      <c r="G919" s="18">
        <v>928666</v>
      </c>
      <c r="H919">
        <v>0</v>
      </c>
      <c r="I919" s="29">
        <f t="shared" si="14"/>
        <v>928666</v>
      </c>
      <c r="J919" t="str">
        <f>IFERROR(VLOOKUP(E919,'LEAID Match'!$A$2:$B$168,2,FALSE),"")</f>
        <v/>
      </c>
    </row>
    <row r="920" spans="1:10">
      <c r="A920">
        <v>2015</v>
      </c>
      <c r="B920" t="s">
        <v>1429</v>
      </c>
      <c r="C920" t="s">
        <v>1431</v>
      </c>
      <c r="D920" t="s">
        <v>1433</v>
      </c>
      <c r="E920" t="s">
        <v>72</v>
      </c>
      <c r="F920" s="9" t="s">
        <v>1066</v>
      </c>
      <c r="G920" s="18">
        <v>692905.52</v>
      </c>
      <c r="H920">
        <v>0</v>
      </c>
      <c r="I920" s="29">
        <f t="shared" si="14"/>
        <v>692905.52</v>
      </c>
      <c r="J920">
        <f>IFERROR(VLOOKUP(E920,'LEAID Match'!$A$2:$B$168,2,FALSE),"")</f>
        <v>3303090</v>
      </c>
    </row>
    <row r="921" spans="1:10">
      <c r="A921">
        <v>2016</v>
      </c>
      <c r="B921" t="s">
        <v>1429</v>
      </c>
      <c r="C921" t="s">
        <v>1431</v>
      </c>
      <c r="D921" t="s">
        <v>1433</v>
      </c>
      <c r="E921" t="s">
        <v>72</v>
      </c>
      <c r="F921" t="s">
        <v>604</v>
      </c>
      <c r="G921" s="28">
        <v>760073</v>
      </c>
      <c r="H921">
        <v>0</v>
      </c>
      <c r="I921" s="29">
        <f t="shared" si="14"/>
        <v>760073</v>
      </c>
      <c r="J921">
        <f>IFERROR(VLOOKUP(E921,'LEAID Match'!$A$2:$B$168,2,FALSE),"")</f>
        <v>3303090</v>
      </c>
    </row>
    <row r="922" spans="1:10">
      <c r="A922">
        <v>2017</v>
      </c>
      <c r="B922" t="s">
        <v>1429</v>
      </c>
      <c r="C922" t="s">
        <v>1431</v>
      </c>
      <c r="D922" t="s">
        <v>1433</v>
      </c>
      <c r="E922" t="s">
        <v>72</v>
      </c>
      <c r="F922" t="s">
        <v>604</v>
      </c>
      <c r="G922" s="28">
        <v>738901</v>
      </c>
      <c r="H922">
        <v>0</v>
      </c>
      <c r="I922" s="29">
        <f t="shared" si="14"/>
        <v>738901</v>
      </c>
      <c r="J922">
        <f>IFERROR(VLOOKUP(E922,'LEAID Match'!$A$2:$B$168,2,FALSE),"")</f>
        <v>3303090</v>
      </c>
    </row>
    <row r="923" spans="1:10">
      <c r="A923" s="27">
        <v>2018</v>
      </c>
      <c r="B923" t="s">
        <v>1429</v>
      </c>
      <c r="C923" t="s">
        <v>1431</v>
      </c>
      <c r="D923" t="s">
        <v>1433</v>
      </c>
      <c r="E923" t="s">
        <v>72</v>
      </c>
      <c r="F923" s="9" t="s">
        <v>604</v>
      </c>
      <c r="G923" s="18">
        <v>947010</v>
      </c>
      <c r="H923">
        <v>0</v>
      </c>
      <c r="I923" s="29">
        <f t="shared" si="14"/>
        <v>947010</v>
      </c>
      <c r="J923">
        <f>IFERROR(VLOOKUP(E923,'LEAID Match'!$A$2:$B$168,2,FALSE),"")</f>
        <v>3303090</v>
      </c>
    </row>
    <row r="924" spans="1:10">
      <c r="A924">
        <v>2019</v>
      </c>
      <c r="B924" t="s">
        <v>1429</v>
      </c>
      <c r="C924" t="s">
        <v>1431</v>
      </c>
      <c r="D924" t="s">
        <v>1433</v>
      </c>
      <c r="E924" t="s">
        <v>72</v>
      </c>
      <c r="F924" s="9" t="s">
        <v>604</v>
      </c>
      <c r="G924" s="18">
        <v>991018</v>
      </c>
      <c r="H924">
        <v>0</v>
      </c>
      <c r="I924" s="29">
        <f t="shared" si="14"/>
        <v>991018</v>
      </c>
      <c r="J924">
        <f>IFERROR(VLOOKUP(E924,'LEAID Match'!$A$2:$B$168,2,FALSE),"")</f>
        <v>3303090</v>
      </c>
    </row>
    <row r="925" spans="1:10">
      <c r="A925" s="27">
        <v>2020</v>
      </c>
      <c r="B925" t="s">
        <v>1429</v>
      </c>
      <c r="C925" t="s">
        <v>1431</v>
      </c>
      <c r="D925" t="s">
        <v>1433</v>
      </c>
      <c r="E925" t="s">
        <v>72</v>
      </c>
      <c r="F925" s="9" t="s">
        <v>72</v>
      </c>
      <c r="G925" s="18">
        <v>1023368</v>
      </c>
      <c r="H925">
        <v>0</v>
      </c>
      <c r="I925" s="29">
        <f t="shared" si="14"/>
        <v>1023368</v>
      </c>
      <c r="J925">
        <f>IFERROR(VLOOKUP(E925,'LEAID Match'!$A$2:$B$168,2,FALSE),"")</f>
        <v>3303090</v>
      </c>
    </row>
    <row r="926" spans="1:10">
      <c r="A926">
        <v>2021</v>
      </c>
      <c r="B926" t="s">
        <v>1429</v>
      </c>
      <c r="C926" t="s">
        <v>1431</v>
      </c>
      <c r="D926" t="s">
        <v>1433</v>
      </c>
      <c r="E926" t="s">
        <v>72</v>
      </c>
      <c r="F926" s="9" t="s">
        <v>72</v>
      </c>
      <c r="G926" s="18">
        <v>1065264</v>
      </c>
      <c r="H926">
        <v>0</v>
      </c>
      <c r="I926" s="29">
        <f t="shared" si="14"/>
        <v>1065264</v>
      </c>
      <c r="J926">
        <f>IFERROR(VLOOKUP(E926,'LEAID Match'!$A$2:$B$168,2,FALSE),"")</f>
        <v>3303090</v>
      </c>
    </row>
    <row r="927" spans="1:10">
      <c r="A927">
        <v>2022</v>
      </c>
      <c r="B927" t="s">
        <v>1429</v>
      </c>
      <c r="C927" t="s">
        <v>1431</v>
      </c>
      <c r="D927" t="s">
        <v>1433</v>
      </c>
      <c r="E927" t="s">
        <v>72</v>
      </c>
      <c r="F927" s="9" t="s">
        <v>72</v>
      </c>
      <c r="G927" s="18">
        <v>1430049</v>
      </c>
      <c r="H927">
        <v>0</v>
      </c>
      <c r="I927" s="29">
        <f t="shared" si="14"/>
        <v>1430049</v>
      </c>
      <c r="J927">
        <f>IFERROR(VLOOKUP(E927,'LEAID Match'!$A$2:$B$168,2,FALSE),"")</f>
        <v>3303090</v>
      </c>
    </row>
    <row r="928" spans="1:10">
      <c r="A928">
        <v>2023</v>
      </c>
      <c r="B928" t="s">
        <v>1429</v>
      </c>
      <c r="C928" t="s">
        <v>1431</v>
      </c>
      <c r="D928" t="s">
        <v>1433</v>
      </c>
      <c r="E928" t="s">
        <v>72</v>
      </c>
      <c r="F928" t="s">
        <v>72</v>
      </c>
      <c r="G928" s="28">
        <v>1478028</v>
      </c>
      <c r="H928">
        <v>0</v>
      </c>
      <c r="I928" s="29">
        <f t="shared" si="14"/>
        <v>1478028</v>
      </c>
      <c r="J928">
        <f>IFERROR(VLOOKUP(E928,'LEAID Match'!$A$2:$B$168,2,FALSE),"")</f>
        <v>3303090</v>
      </c>
    </row>
    <row r="929" spans="1:10">
      <c r="A929">
        <v>2015</v>
      </c>
      <c r="B929" t="s">
        <v>1429</v>
      </c>
      <c r="C929" t="s">
        <v>1431</v>
      </c>
      <c r="D929" t="s">
        <v>1433</v>
      </c>
      <c r="E929" t="s">
        <v>605</v>
      </c>
      <c r="F929" s="9" t="s">
        <v>1067</v>
      </c>
      <c r="G929" s="18">
        <v>30768.66</v>
      </c>
      <c r="H929">
        <v>0</v>
      </c>
      <c r="I929" s="29">
        <f t="shared" si="14"/>
        <v>30768.66</v>
      </c>
      <c r="J929" t="str">
        <f>IFERROR(VLOOKUP(E929,'LEAID Match'!$A$2:$B$168,2,FALSE),"")</f>
        <v/>
      </c>
    </row>
    <row r="930" spans="1:10">
      <c r="A930">
        <v>2016</v>
      </c>
      <c r="B930" t="s">
        <v>1429</v>
      </c>
      <c r="C930" t="s">
        <v>1431</v>
      </c>
      <c r="D930" t="s">
        <v>1433</v>
      </c>
      <c r="E930" t="s">
        <v>605</v>
      </c>
      <c r="F930" t="s">
        <v>605</v>
      </c>
      <c r="G930" s="28">
        <v>35781</v>
      </c>
      <c r="H930">
        <v>0</v>
      </c>
      <c r="I930" s="29">
        <f t="shared" si="14"/>
        <v>35781</v>
      </c>
      <c r="J930" t="str">
        <f>IFERROR(VLOOKUP(E930,'LEAID Match'!$A$2:$B$168,2,FALSE),"")</f>
        <v/>
      </c>
    </row>
    <row r="931" spans="1:10">
      <c r="A931">
        <v>2017</v>
      </c>
      <c r="B931" t="s">
        <v>1429</v>
      </c>
      <c r="C931" t="s">
        <v>1431</v>
      </c>
      <c r="D931" t="s">
        <v>1433</v>
      </c>
      <c r="E931" t="s">
        <v>605</v>
      </c>
      <c r="F931" t="s">
        <v>605</v>
      </c>
      <c r="G931" s="28">
        <v>33423</v>
      </c>
      <c r="H931">
        <v>0</v>
      </c>
      <c r="I931" s="29">
        <f t="shared" si="14"/>
        <v>33423</v>
      </c>
      <c r="J931" t="str">
        <f>IFERROR(VLOOKUP(E931,'LEAID Match'!$A$2:$B$168,2,FALSE),"")</f>
        <v/>
      </c>
    </row>
    <row r="932" spans="1:10">
      <c r="A932" s="27">
        <v>2018</v>
      </c>
      <c r="B932" t="s">
        <v>1429</v>
      </c>
      <c r="C932" t="s">
        <v>1431</v>
      </c>
      <c r="D932" t="s">
        <v>1433</v>
      </c>
      <c r="E932" t="s">
        <v>605</v>
      </c>
      <c r="F932" s="9" t="s">
        <v>605</v>
      </c>
      <c r="G932" s="18">
        <v>38455</v>
      </c>
      <c r="H932">
        <v>0</v>
      </c>
      <c r="I932" s="29">
        <f t="shared" si="14"/>
        <v>38455</v>
      </c>
      <c r="J932" t="str">
        <f>IFERROR(VLOOKUP(E932,'LEAID Match'!$A$2:$B$168,2,FALSE),"")</f>
        <v/>
      </c>
    </row>
    <row r="933" spans="1:10">
      <c r="A933">
        <v>2019</v>
      </c>
      <c r="B933" t="s">
        <v>1429</v>
      </c>
      <c r="C933" t="s">
        <v>1431</v>
      </c>
      <c r="D933" t="s">
        <v>1433</v>
      </c>
      <c r="E933" t="s">
        <v>605</v>
      </c>
      <c r="F933" s="9" t="s">
        <v>605</v>
      </c>
      <c r="G933" s="18">
        <v>40925</v>
      </c>
      <c r="H933">
        <v>0</v>
      </c>
      <c r="I933" s="29">
        <f t="shared" si="14"/>
        <v>40925</v>
      </c>
      <c r="J933" t="str">
        <f>IFERROR(VLOOKUP(E933,'LEAID Match'!$A$2:$B$168,2,FALSE),"")</f>
        <v/>
      </c>
    </row>
    <row r="934" spans="1:10">
      <c r="A934">
        <v>2015</v>
      </c>
      <c r="B934" t="s">
        <v>1429</v>
      </c>
      <c r="C934" t="s">
        <v>1431</v>
      </c>
      <c r="D934" t="s">
        <v>1433</v>
      </c>
      <c r="E934" t="s">
        <v>73</v>
      </c>
      <c r="F934" s="9" t="s">
        <v>1068</v>
      </c>
      <c r="G934" s="18">
        <v>81668.149999999994</v>
      </c>
      <c r="H934">
        <v>0</v>
      </c>
      <c r="I934" s="29">
        <f t="shared" si="14"/>
        <v>81668.149999999994</v>
      </c>
      <c r="J934">
        <f>IFERROR(VLOOKUP(E934,'LEAID Match'!$A$2:$B$168,2,FALSE),"")</f>
        <v>3303120</v>
      </c>
    </row>
    <row r="935" spans="1:10">
      <c r="A935">
        <v>2016</v>
      </c>
      <c r="B935" t="s">
        <v>1429</v>
      </c>
      <c r="C935" t="s">
        <v>1431</v>
      </c>
      <c r="D935" t="s">
        <v>1433</v>
      </c>
      <c r="E935" t="s">
        <v>73</v>
      </c>
      <c r="F935" t="s">
        <v>606</v>
      </c>
      <c r="G935" s="28">
        <v>78257</v>
      </c>
      <c r="H935">
        <v>0</v>
      </c>
      <c r="I935" s="29">
        <f t="shared" si="14"/>
        <v>78257</v>
      </c>
      <c r="J935">
        <f>IFERROR(VLOOKUP(E935,'LEAID Match'!$A$2:$B$168,2,FALSE),"")</f>
        <v>3303120</v>
      </c>
    </row>
    <row r="936" spans="1:10">
      <c r="A936">
        <v>2017</v>
      </c>
      <c r="B936" t="s">
        <v>1429</v>
      </c>
      <c r="C936" t="s">
        <v>1431</v>
      </c>
      <c r="D936" t="s">
        <v>1433</v>
      </c>
      <c r="E936" t="s">
        <v>73</v>
      </c>
      <c r="F936" t="s">
        <v>606</v>
      </c>
      <c r="G936" s="28">
        <v>81474</v>
      </c>
      <c r="H936">
        <v>0</v>
      </c>
      <c r="I936" s="29">
        <f t="shared" si="14"/>
        <v>81474</v>
      </c>
      <c r="J936">
        <f>IFERROR(VLOOKUP(E936,'LEAID Match'!$A$2:$B$168,2,FALSE),"")</f>
        <v>3303120</v>
      </c>
    </row>
    <row r="937" spans="1:10">
      <c r="A937" s="27">
        <v>2018</v>
      </c>
      <c r="B937" t="s">
        <v>1429</v>
      </c>
      <c r="C937" t="s">
        <v>1431</v>
      </c>
      <c r="D937" t="s">
        <v>1433</v>
      </c>
      <c r="E937" t="s">
        <v>73</v>
      </c>
      <c r="F937" s="9" t="s">
        <v>606</v>
      </c>
      <c r="G937" s="18">
        <v>101837</v>
      </c>
      <c r="H937">
        <v>0</v>
      </c>
      <c r="I937" s="29">
        <f t="shared" si="14"/>
        <v>101837</v>
      </c>
      <c r="J937">
        <f>IFERROR(VLOOKUP(E937,'LEAID Match'!$A$2:$B$168,2,FALSE),"")</f>
        <v>3303120</v>
      </c>
    </row>
    <row r="938" spans="1:10">
      <c r="A938">
        <v>2019</v>
      </c>
      <c r="B938" t="s">
        <v>1429</v>
      </c>
      <c r="C938" t="s">
        <v>1431</v>
      </c>
      <c r="D938" t="s">
        <v>1433</v>
      </c>
      <c r="E938" t="s">
        <v>73</v>
      </c>
      <c r="F938" s="9" t="s">
        <v>606</v>
      </c>
      <c r="G938" s="18">
        <v>103394</v>
      </c>
      <c r="H938">
        <v>0</v>
      </c>
      <c r="I938" s="29">
        <f t="shared" si="14"/>
        <v>103394</v>
      </c>
      <c r="J938">
        <f>IFERROR(VLOOKUP(E938,'LEAID Match'!$A$2:$B$168,2,FALSE),"")</f>
        <v>3303120</v>
      </c>
    </row>
    <row r="939" spans="1:10">
      <c r="A939" s="27">
        <v>2020</v>
      </c>
      <c r="B939" t="s">
        <v>1429</v>
      </c>
      <c r="C939" t="s">
        <v>1431</v>
      </c>
      <c r="D939" t="s">
        <v>1433</v>
      </c>
      <c r="E939" t="s">
        <v>73</v>
      </c>
      <c r="F939" s="9" t="s">
        <v>73</v>
      </c>
      <c r="G939" s="18">
        <v>111074</v>
      </c>
      <c r="H939">
        <v>0</v>
      </c>
      <c r="I939" s="29">
        <f t="shared" si="14"/>
        <v>111074</v>
      </c>
      <c r="J939">
        <f>IFERROR(VLOOKUP(E939,'LEAID Match'!$A$2:$B$168,2,FALSE),"")</f>
        <v>3303120</v>
      </c>
    </row>
    <row r="940" spans="1:10">
      <c r="A940">
        <v>2021</v>
      </c>
      <c r="B940" t="s">
        <v>1429</v>
      </c>
      <c r="C940" t="s">
        <v>1431</v>
      </c>
      <c r="D940" t="s">
        <v>1433</v>
      </c>
      <c r="E940" t="s">
        <v>73</v>
      </c>
      <c r="F940" s="9" t="s">
        <v>73</v>
      </c>
      <c r="G940" s="18">
        <v>101997</v>
      </c>
      <c r="H940">
        <v>0</v>
      </c>
      <c r="I940" s="29">
        <f t="shared" si="14"/>
        <v>101997</v>
      </c>
      <c r="J940">
        <f>IFERROR(VLOOKUP(E940,'LEAID Match'!$A$2:$B$168,2,FALSE),"")</f>
        <v>3303120</v>
      </c>
    </row>
    <row r="941" spans="1:10">
      <c r="A941">
        <v>2022</v>
      </c>
      <c r="B941" t="s">
        <v>1429</v>
      </c>
      <c r="C941" t="s">
        <v>1431</v>
      </c>
      <c r="D941" t="s">
        <v>1433</v>
      </c>
      <c r="E941" t="s">
        <v>73</v>
      </c>
      <c r="F941" s="9" t="s">
        <v>73</v>
      </c>
      <c r="G941" s="18">
        <v>123499</v>
      </c>
      <c r="H941">
        <v>0</v>
      </c>
      <c r="I941" s="29">
        <f t="shared" si="14"/>
        <v>123499</v>
      </c>
      <c r="J941">
        <f>IFERROR(VLOOKUP(E941,'LEAID Match'!$A$2:$B$168,2,FALSE),"")</f>
        <v>3303120</v>
      </c>
    </row>
    <row r="942" spans="1:10">
      <c r="A942">
        <v>2023</v>
      </c>
      <c r="B942" t="s">
        <v>1429</v>
      </c>
      <c r="C942" t="s">
        <v>1431</v>
      </c>
      <c r="D942" t="s">
        <v>1433</v>
      </c>
      <c r="E942" t="s">
        <v>73</v>
      </c>
      <c r="F942" t="s">
        <v>73</v>
      </c>
      <c r="G942" s="28">
        <v>110473</v>
      </c>
      <c r="H942">
        <v>0</v>
      </c>
      <c r="I942" s="29">
        <f t="shared" si="14"/>
        <v>110473</v>
      </c>
      <c r="J942">
        <f>IFERROR(VLOOKUP(E942,'LEAID Match'!$A$2:$B$168,2,FALSE),"")</f>
        <v>3303120</v>
      </c>
    </row>
    <row r="943" spans="1:10">
      <c r="A943">
        <v>2015</v>
      </c>
      <c r="B943" t="s">
        <v>1429</v>
      </c>
      <c r="C943" t="s">
        <v>1431</v>
      </c>
      <c r="D943" t="s">
        <v>1433</v>
      </c>
      <c r="E943" t="s">
        <v>426</v>
      </c>
      <c r="F943" s="9" t="s">
        <v>1069</v>
      </c>
      <c r="G943" s="18">
        <v>37269.769999999997</v>
      </c>
      <c r="H943">
        <v>0</v>
      </c>
      <c r="I943" s="29">
        <f t="shared" si="14"/>
        <v>37269.769999999997</v>
      </c>
      <c r="J943" t="str">
        <f>IFERROR(VLOOKUP(E943,'LEAID Match'!$A$2:$B$168,2,FALSE),"")</f>
        <v/>
      </c>
    </row>
    <row r="944" spans="1:10">
      <c r="A944">
        <v>2016</v>
      </c>
      <c r="B944" t="s">
        <v>1429</v>
      </c>
      <c r="C944" t="s">
        <v>1431</v>
      </c>
      <c r="D944" t="s">
        <v>1433</v>
      </c>
      <c r="E944" t="s">
        <v>426</v>
      </c>
      <c r="F944" t="s">
        <v>426</v>
      </c>
      <c r="G944" s="28">
        <v>48888</v>
      </c>
      <c r="H944">
        <v>0</v>
      </c>
      <c r="I944" s="29">
        <f t="shared" si="14"/>
        <v>48888</v>
      </c>
      <c r="J944" t="str">
        <f>IFERROR(VLOOKUP(E944,'LEAID Match'!$A$2:$B$168,2,FALSE),"")</f>
        <v/>
      </c>
    </row>
    <row r="945" spans="1:10">
      <c r="A945">
        <v>2017</v>
      </c>
      <c r="B945" t="s">
        <v>1429</v>
      </c>
      <c r="C945" t="s">
        <v>1431</v>
      </c>
      <c r="D945" t="s">
        <v>1433</v>
      </c>
      <c r="E945" t="s">
        <v>426</v>
      </c>
      <c r="F945" t="s">
        <v>426</v>
      </c>
      <c r="G945" s="28">
        <v>54062</v>
      </c>
      <c r="H945">
        <v>0</v>
      </c>
      <c r="I945" s="29">
        <f t="shared" si="14"/>
        <v>54062</v>
      </c>
      <c r="J945" t="str">
        <f>IFERROR(VLOOKUP(E945,'LEAID Match'!$A$2:$B$168,2,FALSE),"")</f>
        <v/>
      </c>
    </row>
    <row r="946" spans="1:10">
      <c r="A946" s="27">
        <v>2018</v>
      </c>
      <c r="B946" t="s">
        <v>1429</v>
      </c>
      <c r="C946" t="s">
        <v>1431</v>
      </c>
      <c r="D946" t="s">
        <v>1433</v>
      </c>
      <c r="E946" t="s">
        <v>426</v>
      </c>
      <c r="F946" s="9" t="s">
        <v>426</v>
      </c>
      <c r="G946" s="18">
        <v>70965</v>
      </c>
      <c r="H946">
        <v>0</v>
      </c>
      <c r="I946" s="29">
        <f t="shared" si="14"/>
        <v>70965</v>
      </c>
      <c r="J946" t="str">
        <f>IFERROR(VLOOKUP(E946,'LEAID Match'!$A$2:$B$168,2,FALSE),"")</f>
        <v/>
      </c>
    </row>
    <row r="947" spans="1:10">
      <c r="A947">
        <v>2019</v>
      </c>
      <c r="B947" t="s">
        <v>1429</v>
      </c>
      <c r="C947" t="s">
        <v>1431</v>
      </c>
      <c r="D947" t="s">
        <v>1433</v>
      </c>
      <c r="E947" t="s">
        <v>426</v>
      </c>
      <c r="F947" s="9" t="s">
        <v>426</v>
      </c>
      <c r="G947" s="18">
        <v>84848</v>
      </c>
      <c r="H947">
        <v>0</v>
      </c>
      <c r="I947" s="29">
        <f t="shared" si="14"/>
        <v>84848</v>
      </c>
      <c r="J947" t="str">
        <f>IFERROR(VLOOKUP(E947,'LEAID Match'!$A$2:$B$168,2,FALSE),"")</f>
        <v/>
      </c>
    </row>
    <row r="948" spans="1:10">
      <c r="A948" s="27">
        <v>2020</v>
      </c>
      <c r="B948" t="s">
        <v>1429</v>
      </c>
      <c r="C948" t="s">
        <v>1431</v>
      </c>
      <c r="D948" t="s">
        <v>1433</v>
      </c>
      <c r="E948" t="s">
        <v>426</v>
      </c>
      <c r="F948" s="9" t="s">
        <v>426</v>
      </c>
      <c r="G948" s="18">
        <v>84592</v>
      </c>
      <c r="H948">
        <v>0</v>
      </c>
      <c r="I948" s="29">
        <f t="shared" si="14"/>
        <v>84592</v>
      </c>
      <c r="J948" t="str">
        <f>IFERROR(VLOOKUP(E948,'LEAID Match'!$A$2:$B$168,2,FALSE),"")</f>
        <v/>
      </c>
    </row>
    <row r="949" spans="1:10">
      <c r="A949">
        <v>2021</v>
      </c>
      <c r="B949" t="s">
        <v>1429</v>
      </c>
      <c r="C949" t="s">
        <v>1431</v>
      </c>
      <c r="D949" t="s">
        <v>1433</v>
      </c>
      <c r="E949" t="s">
        <v>426</v>
      </c>
      <c r="F949" s="9" t="s">
        <v>426</v>
      </c>
      <c r="G949" s="18">
        <v>88043</v>
      </c>
      <c r="H949">
        <v>0</v>
      </c>
      <c r="I949" s="29">
        <f t="shared" si="14"/>
        <v>88043</v>
      </c>
      <c r="J949" t="str">
        <f>IFERROR(VLOOKUP(E949,'LEAID Match'!$A$2:$B$168,2,FALSE),"")</f>
        <v/>
      </c>
    </row>
    <row r="950" spans="1:10">
      <c r="A950">
        <v>2015</v>
      </c>
      <c r="B950" t="s">
        <v>1429</v>
      </c>
      <c r="C950" t="s">
        <v>1431</v>
      </c>
      <c r="D950" t="s">
        <v>1433</v>
      </c>
      <c r="E950" t="s">
        <v>607</v>
      </c>
      <c r="F950" s="9" t="s">
        <v>1070</v>
      </c>
      <c r="G950" s="18">
        <v>330139.18</v>
      </c>
      <c r="H950">
        <v>0</v>
      </c>
      <c r="I950" s="29">
        <f t="shared" si="14"/>
        <v>330139.18</v>
      </c>
      <c r="J950">
        <f>IFERROR(VLOOKUP(E950,'LEAID Match'!$A$2:$B$168,2,FALSE),"")</f>
        <v>3303150</v>
      </c>
    </row>
    <row r="951" spans="1:10">
      <c r="A951">
        <v>2016</v>
      </c>
      <c r="B951" t="s">
        <v>1429</v>
      </c>
      <c r="C951" t="s">
        <v>1431</v>
      </c>
      <c r="D951" t="s">
        <v>1433</v>
      </c>
      <c r="E951" t="s">
        <v>607</v>
      </c>
      <c r="F951" t="s">
        <v>607</v>
      </c>
      <c r="G951" s="28">
        <v>360089</v>
      </c>
      <c r="H951">
        <v>0</v>
      </c>
      <c r="I951" s="29">
        <f t="shared" si="14"/>
        <v>360089</v>
      </c>
      <c r="J951">
        <f>IFERROR(VLOOKUP(E951,'LEAID Match'!$A$2:$B$168,2,FALSE),"")</f>
        <v>3303150</v>
      </c>
    </row>
    <row r="952" spans="1:10">
      <c r="A952">
        <v>2017</v>
      </c>
      <c r="B952" t="s">
        <v>1429</v>
      </c>
      <c r="C952" t="s">
        <v>1431</v>
      </c>
      <c r="D952" t="s">
        <v>1433</v>
      </c>
      <c r="E952" t="s">
        <v>607</v>
      </c>
      <c r="F952" t="s">
        <v>607</v>
      </c>
      <c r="G952" s="28">
        <v>376440</v>
      </c>
      <c r="H952">
        <v>0</v>
      </c>
      <c r="I952" s="29">
        <f t="shared" si="14"/>
        <v>376440</v>
      </c>
      <c r="J952">
        <f>IFERROR(VLOOKUP(E952,'LEAID Match'!$A$2:$B$168,2,FALSE),"")</f>
        <v>3303150</v>
      </c>
    </row>
    <row r="953" spans="1:10">
      <c r="A953" s="27">
        <v>2018</v>
      </c>
      <c r="B953" t="s">
        <v>1429</v>
      </c>
      <c r="C953" t="s">
        <v>1431</v>
      </c>
      <c r="D953" t="s">
        <v>1433</v>
      </c>
      <c r="E953" t="s">
        <v>607</v>
      </c>
      <c r="F953" s="9" t="s">
        <v>607</v>
      </c>
      <c r="G953" s="18">
        <v>442939</v>
      </c>
      <c r="H953">
        <v>0</v>
      </c>
      <c r="I953" s="29">
        <f t="shared" si="14"/>
        <v>442939</v>
      </c>
      <c r="J953">
        <f>IFERROR(VLOOKUP(E953,'LEAID Match'!$A$2:$B$168,2,FALSE),"")</f>
        <v>3303150</v>
      </c>
    </row>
    <row r="954" spans="1:10">
      <c r="A954">
        <v>2019</v>
      </c>
      <c r="B954" t="s">
        <v>1429</v>
      </c>
      <c r="C954" t="s">
        <v>1431</v>
      </c>
      <c r="D954" t="s">
        <v>1433</v>
      </c>
      <c r="E954" t="s">
        <v>607</v>
      </c>
      <c r="F954" s="9" t="s">
        <v>607</v>
      </c>
      <c r="G954" s="18">
        <v>458530</v>
      </c>
      <c r="H954">
        <v>0</v>
      </c>
      <c r="I954" s="29">
        <f t="shared" si="14"/>
        <v>458530</v>
      </c>
      <c r="J954">
        <f>IFERROR(VLOOKUP(E954,'LEAID Match'!$A$2:$B$168,2,FALSE),"")</f>
        <v>3303150</v>
      </c>
    </row>
    <row r="955" spans="1:10">
      <c r="A955" s="27">
        <v>2020</v>
      </c>
      <c r="B955" t="s">
        <v>1429</v>
      </c>
      <c r="C955" t="s">
        <v>1431</v>
      </c>
      <c r="D955" t="s">
        <v>1433</v>
      </c>
      <c r="E955" t="s">
        <v>607</v>
      </c>
      <c r="F955" s="9" t="s">
        <v>74</v>
      </c>
      <c r="G955" s="18">
        <v>458708</v>
      </c>
      <c r="H955">
        <v>0</v>
      </c>
      <c r="I955" s="29">
        <f t="shared" si="14"/>
        <v>458708</v>
      </c>
      <c r="J955">
        <f>IFERROR(VLOOKUP(E955,'LEAID Match'!$A$2:$B$168,2,FALSE),"")</f>
        <v>3303150</v>
      </c>
    </row>
    <row r="956" spans="1:10">
      <c r="A956">
        <v>2021</v>
      </c>
      <c r="B956" t="s">
        <v>1429</v>
      </c>
      <c r="C956" t="s">
        <v>1431</v>
      </c>
      <c r="D956" t="s">
        <v>1433</v>
      </c>
      <c r="E956" t="s">
        <v>607</v>
      </c>
      <c r="F956" s="9" t="s">
        <v>74</v>
      </c>
      <c r="G956" s="18">
        <v>462944</v>
      </c>
      <c r="H956">
        <v>0</v>
      </c>
      <c r="I956" s="29">
        <f t="shared" si="14"/>
        <v>462944</v>
      </c>
      <c r="J956">
        <f>IFERROR(VLOOKUP(E956,'LEAID Match'!$A$2:$B$168,2,FALSE),"")</f>
        <v>3303150</v>
      </c>
    </row>
    <row r="957" spans="1:10">
      <c r="A957">
        <v>2022</v>
      </c>
      <c r="B957" t="s">
        <v>1429</v>
      </c>
      <c r="C957" t="s">
        <v>1431</v>
      </c>
      <c r="D957" t="s">
        <v>1433</v>
      </c>
      <c r="E957" t="s">
        <v>607</v>
      </c>
      <c r="F957" s="9" t="s">
        <v>74</v>
      </c>
      <c r="G957" s="18">
        <v>573656</v>
      </c>
      <c r="H957">
        <v>0</v>
      </c>
      <c r="I957" s="29">
        <f t="shared" si="14"/>
        <v>573656</v>
      </c>
      <c r="J957">
        <f>IFERROR(VLOOKUP(E957,'LEAID Match'!$A$2:$B$168,2,FALSE),"")</f>
        <v>3303150</v>
      </c>
    </row>
    <row r="958" spans="1:10">
      <c r="A958">
        <v>2023</v>
      </c>
      <c r="B958" t="s">
        <v>1429</v>
      </c>
      <c r="C958" t="s">
        <v>1431</v>
      </c>
      <c r="D958" t="s">
        <v>1433</v>
      </c>
      <c r="E958" t="s">
        <v>607</v>
      </c>
      <c r="F958" t="s">
        <v>74</v>
      </c>
      <c r="G958" s="28">
        <v>580505</v>
      </c>
      <c r="H958">
        <v>0</v>
      </c>
      <c r="I958" s="29">
        <f t="shared" si="14"/>
        <v>580505</v>
      </c>
      <c r="J958">
        <f>IFERROR(VLOOKUP(E958,'LEAID Match'!$A$2:$B$168,2,FALSE),"")</f>
        <v>3303150</v>
      </c>
    </row>
    <row r="959" spans="1:10">
      <c r="A959">
        <v>2015</v>
      </c>
      <c r="B959" t="s">
        <v>1429</v>
      </c>
      <c r="C959" t="s">
        <v>1431</v>
      </c>
      <c r="D959" t="s">
        <v>1433</v>
      </c>
      <c r="E959" t="s">
        <v>608</v>
      </c>
      <c r="F959" s="9" t="s">
        <v>1071</v>
      </c>
      <c r="G959" s="18">
        <v>667409.87</v>
      </c>
      <c r="H959">
        <v>0</v>
      </c>
      <c r="I959" s="29">
        <f t="shared" si="14"/>
        <v>667409.87</v>
      </c>
      <c r="J959" t="str">
        <f>IFERROR(VLOOKUP(E959,'LEAID Match'!$A$2:$B$168,2,FALSE),"")</f>
        <v/>
      </c>
    </row>
    <row r="960" spans="1:10">
      <c r="A960">
        <v>2016</v>
      </c>
      <c r="B960" t="s">
        <v>1429</v>
      </c>
      <c r="C960" t="s">
        <v>1431</v>
      </c>
      <c r="D960" t="s">
        <v>1433</v>
      </c>
      <c r="E960" t="s">
        <v>608</v>
      </c>
      <c r="F960" t="s">
        <v>608</v>
      </c>
      <c r="G960" s="28">
        <v>738428</v>
      </c>
      <c r="H960">
        <v>0</v>
      </c>
      <c r="I960" s="29">
        <f t="shared" si="14"/>
        <v>738428</v>
      </c>
      <c r="J960" t="str">
        <f>IFERROR(VLOOKUP(E960,'LEAID Match'!$A$2:$B$168,2,FALSE),"")</f>
        <v/>
      </c>
    </row>
    <row r="961" spans="1:10">
      <c r="A961">
        <v>2017</v>
      </c>
      <c r="B961" t="s">
        <v>1429</v>
      </c>
      <c r="C961" t="s">
        <v>1431</v>
      </c>
      <c r="D961" t="s">
        <v>1433</v>
      </c>
      <c r="E961" t="s">
        <v>608</v>
      </c>
      <c r="F961" t="s">
        <v>608</v>
      </c>
      <c r="G961" s="28">
        <v>770168</v>
      </c>
      <c r="H961">
        <v>0</v>
      </c>
      <c r="I961" s="29">
        <f t="shared" si="14"/>
        <v>770168</v>
      </c>
      <c r="J961" t="str">
        <f>IFERROR(VLOOKUP(E961,'LEAID Match'!$A$2:$B$168,2,FALSE),"")</f>
        <v/>
      </c>
    </row>
    <row r="962" spans="1:10">
      <c r="A962" s="27">
        <v>2018</v>
      </c>
      <c r="B962" t="s">
        <v>1429</v>
      </c>
      <c r="C962" t="s">
        <v>1431</v>
      </c>
      <c r="D962" t="s">
        <v>1433</v>
      </c>
      <c r="E962" t="s">
        <v>608</v>
      </c>
      <c r="F962" s="9" t="s">
        <v>608</v>
      </c>
      <c r="G962" s="18">
        <v>854861</v>
      </c>
      <c r="H962">
        <v>0</v>
      </c>
      <c r="I962" s="29">
        <f t="shared" si="14"/>
        <v>854861</v>
      </c>
      <c r="J962" t="str">
        <f>IFERROR(VLOOKUP(E962,'LEAID Match'!$A$2:$B$168,2,FALSE),"")</f>
        <v/>
      </c>
    </row>
    <row r="963" spans="1:10">
      <c r="A963">
        <v>2019</v>
      </c>
      <c r="B963" t="s">
        <v>1429</v>
      </c>
      <c r="C963" t="s">
        <v>1431</v>
      </c>
      <c r="D963" t="s">
        <v>1433</v>
      </c>
      <c r="E963" t="s">
        <v>608</v>
      </c>
      <c r="F963" s="9" t="s">
        <v>608</v>
      </c>
      <c r="G963" s="18">
        <v>870088</v>
      </c>
      <c r="H963">
        <v>0</v>
      </c>
      <c r="I963" s="29">
        <f t="shared" ref="I963:I1026" si="15">SUM(G963:H963)</f>
        <v>870088</v>
      </c>
      <c r="J963" t="str">
        <f>IFERROR(VLOOKUP(E963,'LEAID Match'!$A$2:$B$168,2,FALSE),"")</f>
        <v/>
      </c>
    </row>
    <row r="964" spans="1:10">
      <c r="A964">
        <v>2015</v>
      </c>
      <c r="B964" t="s">
        <v>1429</v>
      </c>
      <c r="C964" t="s">
        <v>1431</v>
      </c>
      <c r="D964" t="s">
        <v>1433</v>
      </c>
      <c r="E964" t="s">
        <v>75</v>
      </c>
      <c r="F964" s="9" t="s">
        <v>1072</v>
      </c>
      <c r="G964" s="18">
        <v>1246776.8700000001</v>
      </c>
      <c r="H964">
        <v>0</v>
      </c>
      <c r="I964" s="29">
        <f t="shared" si="15"/>
        <v>1246776.8700000001</v>
      </c>
      <c r="J964">
        <f>IFERROR(VLOOKUP(E964,'LEAID Match'!$A$2:$B$168,2,FALSE),"")</f>
        <v>3303180</v>
      </c>
    </row>
    <row r="965" spans="1:10">
      <c r="A965">
        <v>2016</v>
      </c>
      <c r="B965" t="s">
        <v>1429</v>
      </c>
      <c r="C965" t="s">
        <v>1431</v>
      </c>
      <c r="D965" t="s">
        <v>1433</v>
      </c>
      <c r="E965" t="s">
        <v>75</v>
      </c>
      <c r="F965" t="s">
        <v>609</v>
      </c>
      <c r="G965" s="28">
        <v>1369178</v>
      </c>
      <c r="H965">
        <v>0</v>
      </c>
      <c r="I965" s="29">
        <f t="shared" si="15"/>
        <v>1369178</v>
      </c>
      <c r="J965">
        <f>IFERROR(VLOOKUP(E965,'LEAID Match'!$A$2:$B$168,2,FALSE),"")</f>
        <v>3303180</v>
      </c>
    </row>
    <row r="966" spans="1:10">
      <c r="A966">
        <v>2017</v>
      </c>
      <c r="B966" t="s">
        <v>1429</v>
      </c>
      <c r="C966" t="s">
        <v>1431</v>
      </c>
      <c r="D966" t="s">
        <v>1433</v>
      </c>
      <c r="E966" t="s">
        <v>75</v>
      </c>
      <c r="F966" t="s">
        <v>609</v>
      </c>
      <c r="G966" s="28">
        <v>1372109</v>
      </c>
      <c r="H966">
        <v>0</v>
      </c>
      <c r="I966" s="29">
        <f t="shared" si="15"/>
        <v>1372109</v>
      </c>
      <c r="J966">
        <f>IFERROR(VLOOKUP(E966,'LEAID Match'!$A$2:$B$168,2,FALSE),"")</f>
        <v>3303180</v>
      </c>
    </row>
    <row r="967" spans="1:10">
      <c r="A967" s="27">
        <v>2018</v>
      </c>
      <c r="B967" t="s">
        <v>1429</v>
      </c>
      <c r="C967" t="s">
        <v>1431</v>
      </c>
      <c r="D967" t="s">
        <v>1433</v>
      </c>
      <c r="E967" t="s">
        <v>75</v>
      </c>
      <c r="F967" s="9" t="s">
        <v>609</v>
      </c>
      <c r="G967" s="18">
        <v>1634326</v>
      </c>
      <c r="H967">
        <v>0</v>
      </c>
      <c r="I967" s="29">
        <f t="shared" si="15"/>
        <v>1634326</v>
      </c>
      <c r="J967">
        <f>IFERROR(VLOOKUP(E967,'LEAID Match'!$A$2:$B$168,2,FALSE),"")</f>
        <v>3303180</v>
      </c>
    </row>
    <row r="968" spans="1:10">
      <c r="A968">
        <v>2019</v>
      </c>
      <c r="B968" t="s">
        <v>1429</v>
      </c>
      <c r="C968" t="s">
        <v>1431</v>
      </c>
      <c r="D968" t="s">
        <v>1433</v>
      </c>
      <c r="E968" t="s">
        <v>75</v>
      </c>
      <c r="F968" s="9" t="s">
        <v>609</v>
      </c>
      <c r="G968" s="18">
        <v>1687135</v>
      </c>
      <c r="H968">
        <v>0</v>
      </c>
      <c r="I968" s="29">
        <f t="shared" si="15"/>
        <v>1687135</v>
      </c>
      <c r="J968">
        <f>IFERROR(VLOOKUP(E968,'LEAID Match'!$A$2:$B$168,2,FALSE),"")</f>
        <v>3303180</v>
      </c>
    </row>
    <row r="969" spans="1:10">
      <c r="A969" s="27">
        <v>2020</v>
      </c>
      <c r="B969" t="s">
        <v>1429</v>
      </c>
      <c r="C969" t="s">
        <v>1431</v>
      </c>
      <c r="D969" t="s">
        <v>1433</v>
      </c>
      <c r="E969" t="s">
        <v>75</v>
      </c>
      <c r="F969" s="9" t="s">
        <v>75</v>
      </c>
      <c r="G969" s="18">
        <v>1708665</v>
      </c>
      <c r="H969">
        <v>0</v>
      </c>
      <c r="I969" s="29">
        <f t="shared" si="15"/>
        <v>1708665</v>
      </c>
      <c r="J969">
        <f>IFERROR(VLOOKUP(E969,'LEAID Match'!$A$2:$B$168,2,FALSE),"")</f>
        <v>3303180</v>
      </c>
    </row>
    <row r="970" spans="1:10">
      <c r="A970">
        <v>2021</v>
      </c>
      <c r="B970" t="s">
        <v>1429</v>
      </c>
      <c r="C970" t="s">
        <v>1431</v>
      </c>
      <c r="D970" t="s">
        <v>1433</v>
      </c>
      <c r="E970" t="s">
        <v>75</v>
      </c>
      <c r="F970" s="9" t="s">
        <v>75</v>
      </c>
      <c r="G970" s="18">
        <v>1715209</v>
      </c>
      <c r="H970">
        <v>0</v>
      </c>
      <c r="I970" s="29">
        <f t="shared" si="15"/>
        <v>1715209</v>
      </c>
      <c r="J970">
        <f>IFERROR(VLOOKUP(E970,'LEAID Match'!$A$2:$B$168,2,FALSE),"")</f>
        <v>3303180</v>
      </c>
    </row>
    <row r="971" spans="1:10">
      <c r="A971">
        <v>2022</v>
      </c>
      <c r="B971" t="s">
        <v>1429</v>
      </c>
      <c r="C971" t="s">
        <v>1431</v>
      </c>
      <c r="D971" t="s">
        <v>1433</v>
      </c>
      <c r="E971" t="s">
        <v>75</v>
      </c>
      <c r="F971" s="9" t="s">
        <v>75</v>
      </c>
      <c r="G971" s="18">
        <v>2125959</v>
      </c>
      <c r="H971">
        <v>0</v>
      </c>
      <c r="I971" s="29">
        <f t="shared" si="15"/>
        <v>2125959</v>
      </c>
      <c r="J971">
        <f>IFERROR(VLOOKUP(E971,'LEAID Match'!$A$2:$B$168,2,FALSE),"")</f>
        <v>3303180</v>
      </c>
    </row>
    <row r="972" spans="1:10">
      <c r="A972">
        <v>2023</v>
      </c>
      <c r="B972" t="s">
        <v>1429</v>
      </c>
      <c r="C972" t="s">
        <v>1431</v>
      </c>
      <c r="D972" t="s">
        <v>1433</v>
      </c>
      <c r="E972" t="s">
        <v>75</v>
      </c>
      <c r="F972" t="s">
        <v>75</v>
      </c>
      <c r="G972" s="28">
        <v>2136097</v>
      </c>
      <c r="H972">
        <v>0</v>
      </c>
      <c r="I972" s="29">
        <f t="shared" si="15"/>
        <v>2136097</v>
      </c>
      <c r="J972">
        <f>IFERROR(VLOOKUP(E972,'LEAID Match'!$A$2:$B$168,2,FALSE),"")</f>
        <v>3303180</v>
      </c>
    </row>
    <row r="973" spans="1:10">
      <c r="A973">
        <v>2015</v>
      </c>
      <c r="B973" t="s">
        <v>1429</v>
      </c>
      <c r="C973" t="s">
        <v>1431</v>
      </c>
      <c r="D973" t="s">
        <v>1433</v>
      </c>
      <c r="E973" t="s">
        <v>610</v>
      </c>
      <c r="F973" s="9" t="s">
        <v>1073</v>
      </c>
      <c r="G973" s="18">
        <v>160675.56</v>
      </c>
      <c r="H973">
        <v>0</v>
      </c>
      <c r="I973" s="29">
        <f t="shared" si="15"/>
        <v>160675.56</v>
      </c>
      <c r="J973" t="str">
        <f>IFERROR(VLOOKUP(E973,'LEAID Match'!$A$2:$B$168,2,FALSE),"")</f>
        <v/>
      </c>
    </row>
    <row r="974" spans="1:10">
      <c r="A974">
        <v>2016</v>
      </c>
      <c r="B974" t="s">
        <v>1429</v>
      </c>
      <c r="C974" t="s">
        <v>1431</v>
      </c>
      <c r="D974" t="s">
        <v>1433</v>
      </c>
      <c r="E974" t="s">
        <v>610</v>
      </c>
      <c r="F974" t="s">
        <v>610</v>
      </c>
      <c r="G974" s="28">
        <v>169272</v>
      </c>
      <c r="H974">
        <v>0</v>
      </c>
      <c r="I974" s="29">
        <f t="shared" si="15"/>
        <v>169272</v>
      </c>
      <c r="J974" t="str">
        <f>IFERROR(VLOOKUP(E974,'LEAID Match'!$A$2:$B$168,2,FALSE),"")</f>
        <v/>
      </c>
    </row>
    <row r="975" spans="1:10">
      <c r="A975">
        <v>2017</v>
      </c>
      <c r="B975" t="s">
        <v>1429</v>
      </c>
      <c r="C975" t="s">
        <v>1431</v>
      </c>
      <c r="D975" t="s">
        <v>1433</v>
      </c>
      <c r="E975" t="s">
        <v>610</v>
      </c>
      <c r="F975" t="s">
        <v>610</v>
      </c>
      <c r="G975" s="28">
        <v>175018</v>
      </c>
      <c r="H975">
        <v>0</v>
      </c>
      <c r="I975" s="29">
        <f t="shared" si="15"/>
        <v>175018</v>
      </c>
      <c r="J975" t="str">
        <f>IFERROR(VLOOKUP(E975,'LEAID Match'!$A$2:$B$168,2,FALSE),"")</f>
        <v/>
      </c>
    </row>
    <row r="976" spans="1:10">
      <c r="A976" s="27">
        <v>2018</v>
      </c>
      <c r="B976" t="s">
        <v>1429</v>
      </c>
      <c r="C976" t="s">
        <v>1431</v>
      </c>
      <c r="D976" t="s">
        <v>1433</v>
      </c>
      <c r="E976" t="s">
        <v>610</v>
      </c>
      <c r="F976" s="9" t="s">
        <v>610</v>
      </c>
      <c r="G976" s="18">
        <v>195149</v>
      </c>
      <c r="H976">
        <v>0</v>
      </c>
      <c r="I976" s="29">
        <f t="shared" si="15"/>
        <v>195149</v>
      </c>
      <c r="J976" t="str">
        <f>IFERROR(VLOOKUP(E976,'LEAID Match'!$A$2:$B$168,2,FALSE),"")</f>
        <v/>
      </c>
    </row>
    <row r="977" spans="1:10">
      <c r="A977">
        <v>2019</v>
      </c>
      <c r="B977" t="s">
        <v>1429</v>
      </c>
      <c r="C977" t="s">
        <v>1431</v>
      </c>
      <c r="D977" t="s">
        <v>1433</v>
      </c>
      <c r="E977" t="s">
        <v>610</v>
      </c>
      <c r="F977" s="9" t="s">
        <v>610</v>
      </c>
      <c r="G977" s="18">
        <v>183500</v>
      </c>
      <c r="H977">
        <v>0</v>
      </c>
      <c r="I977" s="29">
        <f t="shared" si="15"/>
        <v>183500</v>
      </c>
      <c r="J977" t="str">
        <f>IFERROR(VLOOKUP(E977,'LEAID Match'!$A$2:$B$168,2,FALSE),"")</f>
        <v/>
      </c>
    </row>
    <row r="978" spans="1:10">
      <c r="A978">
        <v>2015</v>
      </c>
      <c r="B978" t="s">
        <v>1429</v>
      </c>
      <c r="C978" t="s">
        <v>1431</v>
      </c>
      <c r="D978" t="s">
        <v>1433</v>
      </c>
      <c r="E978" t="s">
        <v>76</v>
      </c>
      <c r="F978" s="9" t="s">
        <v>1074</v>
      </c>
      <c r="G978" s="18">
        <v>354784.7</v>
      </c>
      <c r="H978">
        <v>0</v>
      </c>
      <c r="I978" s="29">
        <f t="shared" si="15"/>
        <v>354784.7</v>
      </c>
      <c r="J978">
        <f>IFERROR(VLOOKUP(E978,'LEAID Match'!$A$2:$B$168,2,FALSE),"")</f>
        <v>3303210</v>
      </c>
    </row>
    <row r="979" spans="1:10">
      <c r="A979">
        <v>2016</v>
      </c>
      <c r="B979" t="s">
        <v>1429</v>
      </c>
      <c r="C979" t="s">
        <v>1431</v>
      </c>
      <c r="D979" t="s">
        <v>1433</v>
      </c>
      <c r="E979" t="s">
        <v>76</v>
      </c>
      <c r="F979" t="s">
        <v>611</v>
      </c>
      <c r="G979" s="28">
        <v>379660</v>
      </c>
      <c r="H979">
        <v>0</v>
      </c>
      <c r="I979" s="29">
        <f t="shared" si="15"/>
        <v>379660</v>
      </c>
      <c r="J979">
        <f>IFERROR(VLOOKUP(E979,'LEAID Match'!$A$2:$B$168,2,FALSE),"")</f>
        <v>3303210</v>
      </c>
    </row>
    <row r="980" spans="1:10">
      <c r="A980">
        <v>2017</v>
      </c>
      <c r="B980" t="s">
        <v>1429</v>
      </c>
      <c r="C980" t="s">
        <v>1431</v>
      </c>
      <c r="D980" t="s">
        <v>1433</v>
      </c>
      <c r="E980" t="s">
        <v>76</v>
      </c>
      <c r="F980" t="s">
        <v>611</v>
      </c>
      <c r="G980" s="28">
        <v>417107</v>
      </c>
      <c r="H980">
        <v>0</v>
      </c>
      <c r="I980" s="29">
        <f t="shared" si="15"/>
        <v>417107</v>
      </c>
      <c r="J980">
        <f>IFERROR(VLOOKUP(E980,'LEAID Match'!$A$2:$B$168,2,FALSE),"")</f>
        <v>3303210</v>
      </c>
    </row>
    <row r="981" spans="1:10">
      <c r="A981" s="27">
        <v>2018</v>
      </c>
      <c r="B981" t="s">
        <v>1429</v>
      </c>
      <c r="C981" t="s">
        <v>1431</v>
      </c>
      <c r="D981" t="s">
        <v>1433</v>
      </c>
      <c r="E981" t="s">
        <v>76</v>
      </c>
      <c r="F981" s="9" t="s">
        <v>611</v>
      </c>
      <c r="G981" s="18">
        <v>445815</v>
      </c>
      <c r="H981">
        <v>0</v>
      </c>
      <c r="I981" s="29">
        <f t="shared" si="15"/>
        <v>445815</v>
      </c>
      <c r="J981">
        <f>IFERROR(VLOOKUP(E981,'LEAID Match'!$A$2:$B$168,2,FALSE),"")</f>
        <v>3303210</v>
      </c>
    </row>
    <row r="982" spans="1:10">
      <c r="A982">
        <v>2019</v>
      </c>
      <c r="B982" t="s">
        <v>1429</v>
      </c>
      <c r="C982" t="s">
        <v>1431</v>
      </c>
      <c r="D982" t="s">
        <v>1433</v>
      </c>
      <c r="E982" t="s">
        <v>76</v>
      </c>
      <c r="F982" s="9" t="s">
        <v>611</v>
      </c>
      <c r="G982" s="18">
        <v>555268</v>
      </c>
      <c r="H982">
        <v>0</v>
      </c>
      <c r="I982" s="29">
        <f t="shared" si="15"/>
        <v>555268</v>
      </c>
      <c r="J982">
        <f>IFERROR(VLOOKUP(E982,'LEAID Match'!$A$2:$B$168,2,FALSE),"")</f>
        <v>3303210</v>
      </c>
    </row>
    <row r="983" spans="1:10">
      <c r="A983" s="27">
        <v>2020</v>
      </c>
      <c r="B983" t="s">
        <v>1429</v>
      </c>
      <c r="C983" t="s">
        <v>1431</v>
      </c>
      <c r="D983" t="s">
        <v>1433</v>
      </c>
      <c r="E983" t="s">
        <v>76</v>
      </c>
      <c r="F983" s="9" t="s">
        <v>76</v>
      </c>
      <c r="G983" s="18">
        <v>494528</v>
      </c>
      <c r="H983">
        <v>0</v>
      </c>
      <c r="I983" s="29">
        <f t="shared" si="15"/>
        <v>494528</v>
      </c>
      <c r="J983">
        <f>IFERROR(VLOOKUP(E983,'LEAID Match'!$A$2:$B$168,2,FALSE),"")</f>
        <v>3303210</v>
      </c>
    </row>
    <row r="984" spans="1:10">
      <c r="A984">
        <v>2021</v>
      </c>
      <c r="B984" t="s">
        <v>1429</v>
      </c>
      <c r="C984" t="s">
        <v>1431</v>
      </c>
      <c r="D984" t="s">
        <v>1433</v>
      </c>
      <c r="E984" t="s">
        <v>76</v>
      </c>
      <c r="F984" s="9" t="s">
        <v>76</v>
      </c>
      <c r="G984" s="18">
        <v>566787</v>
      </c>
      <c r="H984">
        <v>0</v>
      </c>
      <c r="I984" s="29">
        <f t="shared" si="15"/>
        <v>566787</v>
      </c>
      <c r="J984">
        <f>IFERROR(VLOOKUP(E984,'LEAID Match'!$A$2:$B$168,2,FALSE),"")</f>
        <v>3303210</v>
      </c>
    </row>
    <row r="985" spans="1:10">
      <c r="A985">
        <v>2022</v>
      </c>
      <c r="B985" t="s">
        <v>1429</v>
      </c>
      <c r="C985" t="s">
        <v>1431</v>
      </c>
      <c r="D985" t="s">
        <v>1433</v>
      </c>
      <c r="E985" t="s">
        <v>76</v>
      </c>
      <c r="F985" s="9" t="s">
        <v>76</v>
      </c>
      <c r="G985" s="18">
        <v>664923</v>
      </c>
      <c r="H985">
        <v>0</v>
      </c>
      <c r="I985" s="29">
        <f t="shared" si="15"/>
        <v>664923</v>
      </c>
      <c r="J985">
        <f>IFERROR(VLOOKUP(E985,'LEAID Match'!$A$2:$B$168,2,FALSE),"")</f>
        <v>3303210</v>
      </c>
    </row>
    <row r="986" spans="1:10">
      <c r="A986">
        <v>2023</v>
      </c>
      <c r="B986" t="s">
        <v>1429</v>
      </c>
      <c r="C986" t="s">
        <v>1431</v>
      </c>
      <c r="D986" t="s">
        <v>1433</v>
      </c>
      <c r="E986" t="s">
        <v>76</v>
      </c>
      <c r="F986" t="s">
        <v>76</v>
      </c>
      <c r="G986" s="28">
        <v>706772</v>
      </c>
      <c r="H986">
        <v>0</v>
      </c>
      <c r="I986" s="29">
        <f t="shared" si="15"/>
        <v>706772</v>
      </c>
      <c r="J986">
        <f>IFERROR(VLOOKUP(E986,'LEAID Match'!$A$2:$B$168,2,FALSE),"")</f>
        <v>3303210</v>
      </c>
    </row>
    <row r="987" spans="1:10">
      <c r="A987">
        <v>2015</v>
      </c>
      <c r="B987" t="s">
        <v>1429</v>
      </c>
      <c r="C987" t="s">
        <v>1431</v>
      </c>
      <c r="D987" t="s">
        <v>1433</v>
      </c>
      <c r="E987" t="s">
        <v>612</v>
      </c>
      <c r="F987" s="9" t="s">
        <v>1075</v>
      </c>
      <c r="G987" s="18">
        <v>1150210.72</v>
      </c>
      <c r="H987">
        <v>0</v>
      </c>
      <c r="I987" s="29">
        <f t="shared" si="15"/>
        <v>1150210.72</v>
      </c>
      <c r="J987" t="str">
        <f>IFERROR(VLOOKUP(E987,'LEAID Match'!$A$2:$B$168,2,FALSE),"")</f>
        <v/>
      </c>
    </row>
    <row r="988" spans="1:10">
      <c r="A988">
        <v>2016</v>
      </c>
      <c r="B988" t="s">
        <v>1429</v>
      </c>
      <c r="C988" t="s">
        <v>1431</v>
      </c>
      <c r="D988" t="s">
        <v>1433</v>
      </c>
      <c r="E988" t="s">
        <v>612</v>
      </c>
      <c r="F988" t="s">
        <v>612</v>
      </c>
      <c r="G988" s="28">
        <v>1222159</v>
      </c>
      <c r="H988">
        <v>0</v>
      </c>
      <c r="I988" s="29">
        <f t="shared" si="15"/>
        <v>1222159</v>
      </c>
      <c r="J988" t="str">
        <f>IFERROR(VLOOKUP(E988,'LEAID Match'!$A$2:$B$168,2,FALSE),"")</f>
        <v/>
      </c>
    </row>
    <row r="989" spans="1:10">
      <c r="A989">
        <v>2017</v>
      </c>
      <c r="B989" t="s">
        <v>1429</v>
      </c>
      <c r="C989" t="s">
        <v>1431</v>
      </c>
      <c r="D989" t="s">
        <v>1433</v>
      </c>
      <c r="E989" t="s">
        <v>612</v>
      </c>
      <c r="F989" t="s">
        <v>612</v>
      </c>
      <c r="G989" s="28">
        <v>1223362</v>
      </c>
      <c r="H989">
        <v>0</v>
      </c>
      <c r="I989" s="29">
        <f t="shared" si="15"/>
        <v>1223362</v>
      </c>
      <c r="J989" t="str">
        <f>IFERROR(VLOOKUP(E989,'LEAID Match'!$A$2:$B$168,2,FALSE),"")</f>
        <v/>
      </c>
    </row>
    <row r="990" spans="1:10">
      <c r="A990" s="27">
        <v>2018</v>
      </c>
      <c r="B990" t="s">
        <v>1429</v>
      </c>
      <c r="C990" t="s">
        <v>1431</v>
      </c>
      <c r="D990" t="s">
        <v>1433</v>
      </c>
      <c r="E990" t="s">
        <v>612</v>
      </c>
      <c r="F990" s="9" t="s">
        <v>612</v>
      </c>
      <c r="G990" s="18">
        <v>1328757</v>
      </c>
      <c r="H990">
        <v>0</v>
      </c>
      <c r="I990" s="29">
        <f t="shared" si="15"/>
        <v>1328757</v>
      </c>
      <c r="J990" t="str">
        <f>IFERROR(VLOOKUP(E990,'LEAID Match'!$A$2:$B$168,2,FALSE),"")</f>
        <v/>
      </c>
    </row>
    <row r="991" spans="1:10">
      <c r="A991">
        <v>2019</v>
      </c>
      <c r="B991" t="s">
        <v>1429</v>
      </c>
      <c r="C991" t="s">
        <v>1431</v>
      </c>
      <c r="D991" t="s">
        <v>1433</v>
      </c>
      <c r="E991" t="s">
        <v>612</v>
      </c>
      <c r="F991" s="9" t="s">
        <v>612</v>
      </c>
      <c r="G991" s="18">
        <v>1375779</v>
      </c>
      <c r="H991">
        <v>0</v>
      </c>
      <c r="I991" s="29">
        <f t="shared" si="15"/>
        <v>1375779</v>
      </c>
      <c r="J991" t="str">
        <f>IFERROR(VLOOKUP(E991,'LEAID Match'!$A$2:$B$168,2,FALSE),"")</f>
        <v/>
      </c>
    </row>
    <row r="992" spans="1:10">
      <c r="A992">
        <v>2015</v>
      </c>
      <c r="B992" t="s">
        <v>1429</v>
      </c>
      <c r="C992" t="s">
        <v>1431</v>
      </c>
      <c r="D992" t="s">
        <v>1433</v>
      </c>
      <c r="E992" t="s">
        <v>77</v>
      </c>
      <c r="F992" s="9" t="s">
        <v>1076</v>
      </c>
      <c r="G992" s="18">
        <v>1962976.76</v>
      </c>
      <c r="H992">
        <v>0</v>
      </c>
      <c r="I992" s="29">
        <f t="shared" si="15"/>
        <v>1962976.76</v>
      </c>
      <c r="J992">
        <f>IFERROR(VLOOKUP(E992,'LEAID Match'!$A$2:$B$168,2,FALSE),"")</f>
        <v>3303240</v>
      </c>
    </row>
    <row r="993" spans="1:10">
      <c r="A993">
        <v>2016</v>
      </c>
      <c r="B993" t="s">
        <v>1429</v>
      </c>
      <c r="C993" t="s">
        <v>1431</v>
      </c>
      <c r="D993" t="s">
        <v>1433</v>
      </c>
      <c r="E993" t="s">
        <v>77</v>
      </c>
      <c r="F993" t="s">
        <v>613</v>
      </c>
      <c r="G993" s="28">
        <v>2146324</v>
      </c>
      <c r="H993">
        <v>0</v>
      </c>
      <c r="I993" s="29">
        <f t="shared" si="15"/>
        <v>2146324</v>
      </c>
      <c r="J993">
        <f>IFERROR(VLOOKUP(E993,'LEAID Match'!$A$2:$B$168,2,FALSE),"")</f>
        <v>3303240</v>
      </c>
    </row>
    <row r="994" spans="1:10">
      <c r="A994">
        <v>2017</v>
      </c>
      <c r="B994" t="s">
        <v>1429</v>
      </c>
      <c r="C994" t="s">
        <v>1431</v>
      </c>
      <c r="D994" t="s">
        <v>1433</v>
      </c>
      <c r="E994" t="s">
        <v>77</v>
      </c>
      <c r="F994" t="s">
        <v>613</v>
      </c>
      <c r="G994" s="28">
        <v>2187207</v>
      </c>
      <c r="H994">
        <v>0</v>
      </c>
      <c r="I994" s="29">
        <f t="shared" si="15"/>
        <v>2187207</v>
      </c>
      <c r="J994">
        <f>IFERROR(VLOOKUP(E994,'LEAID Match'!$A$2:$B$168,2,FALSE),"")</f>
        <v>3303240</v>
      </c>
    </row>
    <row r="995" spans="1:10">
      <c r="A995" s="27">
        <v>2018</v>
      </c>
      <c r="B995" t="s">
        <v>1429</v>
      </c>
      <c r="C995" t="s">
        <v>1431</v>
      </c>
      <c r="D995" t="s">
        <v>1433</v>
      </c>
      <c r="E995" t="s">
        <v>77</v>
      </c>
      <c r="F995" s="9" t="s">
        <v>613</v>
      </c>
      <c r="G995" s="18">
        <v>2732661</v>
      </c>
      <c r="H995">
        <v>0</v>
      </c>
      <c r="I995" s="29">
        <f t="shared" si="15"/>
        <v>2732661</v>
      </c>
      <c r="J995">
        <f>IFERROR(VLOOKUP(E995,'LEAID Match'!$A$2:$B$168,2,FALSE),"")</f>
        <v>3303240</v>
      </c>
    </row>
    <row r="996" spans="1:10">
      <c r="A996">
        <v>2019</v>
      </c>
      <c r="B996" t="s">
        <v>1429</v>
      </c>
      <c r="C996" t="s">
        <v>1431</v>
      </c>
      <c r="D996" t="s">
        <v>1433</v>
      </c>
      <c r="E996" t="s">
        <v>77</v>
      </c>
      <c r="F996" s="9" t="s">
        <v>613</v>
      </c>
      <c r="G996" s="18">
        <v>2868274</v>
      </c>
      <c r="H996">
        <v>0</v>
      </c>
      <c r="I996" s="29">
        <f t="shared" si="15"/>
        <v>2868274</v>
      </c>
      <c r="J996">
        <f>IFERROR(VLOOKUP(E996,'LEAID Match'!$A$2:$B$168,2,FALSE),"")</f>
        <v>3303240</v>
      </c>
    </row>
    <row r="997" spans="1:10">
      <c r="A997" s="27">
        <v>2020</v>
      </c>
      <c r="B997" t="s">
        <v>1429</v>
      </c>
      <c r="C997" t="s">
        <v>1431</v>
      </c>
      <c r="D997" t="s">
        <v>1433</v>
      </c>
      <c r="E997" t="s">
        <v>77</v>
      </c>
      <c r="F997" s="9" t="s">
        <v>77</v>
      </c>
      <c r="G997" s="18">
        <v>2934767</v>
      </c>
      <c r="H997">
        <v>0</v>
      </c>
      <c r="I997" s="29">
        <f t="shared" si="15"/>
        <v>2934767</v>
      </c>
      <c r="J997">
        <f>IFERROR(VLOOKUP(E997,'LEAID Match'!$A$2:$B$168,2,FALSE),"")</f>
        <v>3303240</v>
      </c>
    </row>
    <row r="998" spans="1:10">
      <c r="A998">
        <v>2021</v>
      </c>
      <c r="B998" t="s">
        <v>1429</v>
      </c>
      <c r="C998" t="s">
        <v>1431</v>
      </c>
      <c r="D998" t="s">
        <v>1433</v>
      </c>
      <c r="E998" t="s">
        <v>77</v>
      </c>
      <c r="F998" s="9" t="s">
        <v>77</v>
      </c>
      <c r="G998" s="18">
        <v>3016978</v>
      </c>
      <c r="H998">
        <v>0</v>
      </c>
      <c r="I998" s="29">
        <f t="shared" si="15"/>
        <v>3016978</v>
      </c>
      <c r="J998">
        <f>IFERROR(VLOOKUP(E998,'LEAID Match'!$A$2:$B$168,2,FALSE),"")</f>
        <v>3303240</v>
      </c>
    </row>
    <row r="999" spans="1:10">
      <c r="A999">
        <v>2022</v>
      </c>
      <c r="B999" t="s">
        <v>1429</v>
      </c>
      <c r="C999" t="s">
        <v>1431</v>
      </c>
      <c r="D999" t="s">
        <v>1433</v>
      </c>
      <c r="E999" t="s">
        <v>77</v>
      </c>
      <c r="F999" s="9" t="s">
        <v>77</v>
      </c>
      <c r="G999" s="18">
        <v>3913267</v>
      </c>
      <c r="H999">
        <v>0</v>
      </c>
      <c r="I999" s="29">
        <f t="shared" si="15"/>
        <v>3913267</v>
      </c>
      <c r="J999">
        <f>IFERROR(VLOOKUP(E999,'LEAID Match'!$A$2:$B$168,2,FALSE),"")</f>
        <v>3303240</v>
      </c>
    </row>
    <row r="1000" spans="1:10">
      <c r="A1000">
        <v>2023</v>
      </c>
      <c r="B1000" t="s">
        <v>1429</v>
      </c>
      <c r="C1000" t="s">
        <v>1431</v>
      </c>
      <c r="D1000" t="s">
        <v>1433</v>
      </c>
      <c r="E1000" t="s">
        <v>77</v>
      </c>
      <c r="F1000" t="s">
        <v>77</v>
      </c>
      <c r="G1000" s="28">
        <v>3984828</v>
      </c>
      <c r="H1000">
        <v>0</v>
      </c>
      <c r="I1000" s="29">
        <f t="shared" si="15"/>
        <v>3984828</v>
      </c>
      <c r="J1000">
        <f>IFERROR(VLOOKUP(E1000,'LEAID Match'!$A$2:$B$168,2,FALSE),"")</f>
        <v>3303240</v>
      </c>
    </row>
    <row r="1001" spans="1:10">
      <c r="A1001" s="27">
        <v>2020</v>
      </c>
      <c r="B1001" t="s">
        <v>1429</v>
      </c>
      <c r="C1001" t="s">
        <v>1431</v>
      </c>
      <c r="D1001" t="s">
        <v>1433</v>
      </c>
      <c r="E1001" t="s">
        <v>78</v>
      </c>
      <c r="F1001" s="9" t="s">
        <v>78</v>
      </c>
      <c r="G1001" s="18">
        <v>14476</v>
      </c>
      <c r="H1001">
        <v>0</v>
      </c>
      <c r="I1001" s="29">
        <f t="shared" si="15"/>
        <v>14476</v>
      </c>
      <c r="J1001" t="str">
        <f>IFERROR(VLOOKUP(E1001,'LEAID Match'!$A$2:$B$168,2,FALSE),"")</f>
        <v/>
      </c>
    </row>
    <row r="1002" spans="1:10">
      <c r="A1002">
        <v>2021</v>
      </c>
      <c r="B1002" t="s">
        <v>1429</v>
      </c>
      <c r="C1002" t="s">
        <v>1431</v>
      </c>
      <c r="D1002" t="s">
        <v>1433</v>
      </c>
      <c r="E1002" t="s">
        <v>78</v>
      </c>
      <c r="F1002" s="9" t="s">
        <v>78</v>
      </c>
      <c r="G1002" s="18">
        <v>14186</v>
      </c>
      <c r="H1002">
        <v>0</v>
      </c>
      <c r="I1002" s="29">
        <f t="shared" si="15"/>
        <v>14186</v>
      </c>
      <c r="J1002" t="str">
        <f>IFERROR(VLOOKUP(E1002,'LEAID Match'!$A$2:$B$168,2,FALSE),"")</f>
        <v/>
      </c>
    </row>
    <row r="1003" spans="1:10">
      <c r="A1003">
        <v>2022</v>
      </c>
      <c r="B1003" t="s">
        <v>1429</v>
      </c>
      <c r="C1003" t="s">
        <v>1431</v>
      </c>
      <c r="D1003" t="s">
        <v>1433</v>
      </c>
      <c r="E1003" t="s">
        <v>78</v>
      </c>
      <c r="F1003" s="9" t="s">
        <v>78</v>
      </c>
      <c r="G1003" s="18">
        <v>18449</v>
      </c>
      <c r="H1003">
        <v>0</v>
      </c>
      <c r="I1003" s="29">
        <f t="shared" si="15"/>
        <v>18449</v>
      </c>
      <c r="J1003" t="str">
        <f>IFERROR(VLOOKUP(E1003,'LEAID Match'!$A$2:$B$168,2,FALSE),"")</f>
        <v/>
      </c>
    </row>
    <row r="1004" spans="1:10">
      <c r="A1004">
        <v>2023</v>
      </c>
      <c r="B1004" t="s">
        <v>1429</v>
      </c>
      <c r="C1004" t="s">
        <v>1431</v>
      </c>
      <c r="D1004" t="s">
        <v>1433</v>
      </c>
      <c r="E1004" t="s">
        <v>78</v>
      </c>
      <c r="F1004" t="s">
        <v>78</v>
      </c>
      <c r="G1004" s="28">
        <v>19648</v>
      </c>
      <c r="H1004">
        <v>0</v>
      </c>
      <c r="I1004" s="29">
        <f t="shared" si="15"/>
        <v>19648</v>
      </c>
      <c r="J1004" t="str">
        <f>IFERROR(VLOOKUP(E1004,'LEAID Match'!$A$2:$B$168,2,FALSE),"")</f>
        <v/>
      </c>
    </row>
    <row r="1005" spans="1:10">
      <c r="A1005">
        <v>2015</v>
      </c>
      <c r="B1005" t="s">
        <v>1429</v>
      </c>
      <c r="C1005" t="s">
        <v>1431</v>
      </c>
      <c r="D1005" t="s">
        <v>1433</v>
      </c>
      <c r="E1005" t="s">
        <v>614</v>
      </c>
      <c r="F1005" s="9" t="s">
        <v>1077</v>
      </c>
      <c r="G1005" s="18">
        <v>10224.780000000001</v>
      </c>
      <c r="H1005">
        <v>0</v>
      </c>
      <c r="I1005" s="29">
        <f t="shared" si="15"/>
        <v>10224.780000000001</v>
      </c>
      <c r="J1005" t="str">
        <f>IFERROR(VLOOKUP(E1005,'LEAID Match'!$A$2:$B$168,2,FALSE),"")</f>
        <v/>
      </c>
    </row>
    <row r="1006" spans="1:10">
      <c r="A1006">
        <v>2016</v>
      </c>
      <c r="B1006" t="s">
        <v>1429</v>
      </c>
      <c r="C1006" t="s">
        <v>1431</v>
      </c>
      <c r="D1006" t="s">
        <v>1433</v>
      </c>
      <c r="E1006" t="s">
        <v>614</v>
      </c>
      <c r="F1006" t="s">
        <v>614</v>
      </c>
      <c r="G1006" s="28">
        <v>12495</v>
      </c>
      <c r="H1006">
        <v>0</v>
      </c>
      <c r="I1006" s="29">
        <f t="shared" si="15"/>
        <v>12495</v>
      </c>
      <c r="J1006" t="str">
        <f>IFERROR(VLOOKUP(E1006,'LEAID Match'!$A$2:$B$168,2,FALSE),"")</f>
        <v/>
      </c>
    </row>
    <row r="1007" spans="1:10">
      <c r="A1007">
        <v>2017</v>
      </c>
      <c r="B1007" t="s">
        <v>1429</v>
      </c>
      <c r="C1007" t="s">
        <v>1431</v>
      </c>
      <c r="D1007" t="s">
        <v>1433</v>
      </c>
      <c r="E1007" t="s">
        <v>614</v>
      </c>
      <c r="F1007" t="s">
        <v>614</v>
      </c>
      <c r="G1007" s="28">
        <v>12627</v>
      </c>
      <c r="H1007">
        <v>0</v>
      </c>
      <c r="I1007" s="29">
        <f t="shared" si="15"/>
        <v>12627</v>
      </c>
      <c r="J1007" t="str">
        <f>IFERROR(VLOOKUP(E1007,'LEAID Match'!$A$2:$B$168,2,FALSE),"")</f>
        <v/>
      </c>
    </row>
    <row r="1008" spans="1:10">
      <c r="A1008" s="27">
        <v>2018</v>
      </c>
      <c r="B1008" t="s">
        <v>1429</v>
      </c>
      <c r="C1008" t="s">
        <v>1431</v>
      </c>
      <c r="D1008" t="s">
        <v>1433</v>
      </c>
      <c r="E1008" t="s">
        <v>614</v>
      </c>
      <c r="F1008" s="9" t="s">
        <v>614</v>
      </c>
      <c r="G1008" s="18">
        <v>13698</v>
      </c>
      <c r="H1008">
        <v>0</v>
      </c>
      <c r="I1008" s="29">
        <f t="shared" si="15"/>
        <v>13698</v>
      </c>
      <c r="J1008" t="str">
        <f>IFERROR(VLOOKUP(E1008,'LEAID Match'!$A$2:$B$168,2,FALSE),"")</f>
        <v/>
      </c>
    </row>
    <row r="1009" spans="1:10">
      <c r="A1009">
        <v>2019</v>
      </c>
      <c r="B1009" t="s">
        <v>1429</v>
      </c>
      <c r="C1009" t="s">
        <v>1431</v>
      </c>
      <c r="D1009" t="s">
        <v>1433</v>
      </c>
      <c r="E1009" t="s">
        <v>614</v>
      </c>
      <c r="F1009" s="9" t="s">
        <v>614</v>
      </c>
      <c r="G1009" s="18">
        <v>14186</v>
      </c>
      <c r="H1009">
        <v>0</v>
      </c>
      <c r="I1009" s="29">
        <f t="shared" si="15"/>
        <v>14186</v>
      </c>
      <c r="J1009" t="str">
        <f>IFERROR(VLOOKUP(E1009,'LEAID Match'!$A$2:$B$168,2,FALSE),"")</f>
        <v/>
      </c>
    </row>
    <row r="1010" spans="1:10">
      <c r="A1010">
        <v>2015</v>
      </c>
      <c r="B1010" t="s">
        <v>1429</v>
      </c>
      <c r="C1010" t="s">
        <v>1431</v>
      </c>
      <c r="D1010" t="s">
        <v>1433</v>
      </c>
      <c r="E1010" t="s">
        <v>615</v>
      </c>
      <c r="F1010" s="9" t="s">
        <v>1078</v>
      </c>
      <c r="G1010" s="18">
        <v>231528.46</v>
      </c>
      <c r="H1010">
        <v>0</v>
      </c>
      <c r="I1010" s="29">
        <f t="shared" si="15"/>
        <v>231528.46</v>
      </c>
      <c r="J1010" t="str">
        <f>IFERROR(VLOOKUP(E1010,'LEAID Match'!$A$2:$B$168,2,FALSE),"")</f>
        <v/>
      </c>
    </row>
    <row r="1011" spans="1:10">
      <c r="A1011">
        <v>2016</v>
      </c>
      <c r="B1011" t="s">
        <v>1429</v>
      </c>
      <c r="C1011" t="s">
        <v>1431</v>
      </c>
      <c r="D1011" t="s">
        <v>1433</v>
      </c>
      <c r="E1011" t="s">
        <v>615</v>
      </c>
      <c r="F1011" t="s">
        <v>615</v>
      </c>
      <c r="G1011" s="28">
        <v>260616</v>
      </c>
      <c r="H1011">
        <v>0</v>
      </c>
      <c r="I1011" s="29">
        <f t="shared" si="15"/>
        <v>260616</v>
      </c>
      <c r="J1011" t="str">
        <f>IFERROR(VLOOKUP(E1011,'LEAID Match'!$A$2:$B$168,2,FALSE),"")</f>
        <v/>
      </c>
    </row>
    <row r="1012" spans="1:10">
      <c r="A1012">
        <v>2017</v>
      </c>
      <c r="B1012" t="s">
        <v>1429</v>
      </c>
      <c r="C1012" t="s">
        <v>1431</v>
      </c>
      <c r="D1012" t="s">
        <v>1433</v>
      </c>
      <c r="E1012" t="s">
        <v>615</v>
      </c>
      <c r="F1012" t="s">
        <v>615</v>
      </c>
      <c r="G1012" s="28">
        <v>265133</v>
      </c>
      <c r="H1012">
        <v>0</v>
      </c>
      <c r="I1012" s="29">
        <f t="shared" si="15"/>
        <v>265133</v>
      </c>
      <c r="J1012" t="str">
        <f>IFERROR(VLOOKUP(E1012,'LEAID Match'!$A$2:$B$168,2,FALSE),"")</f>
        <v/>
      </c>
    </row>
    <row r="1013" spans="1:10">
      <c r="A1013" s="27">
        <v>2018</v>
      </c>
      <c r="B1013" t="s">
        <v>1429</v>
      </c>
      <c r="C1013" t="s">
        <v>1431</v>
      </c>
      <c r="D1013" t="s">
        <v>1433</v>
      </c>
      <c r="E1013" t="s">
        <v>615</v>
      </c>
      <c r="F1013" s="9" t="s">
        <v>615</v>
      </c>
      <c r="G1013" s="18">
        <v>289287</v>
      </c>
      <c r="H1013">
        <v>0</v>
      </c>
      <c r="I1013" s="29">
        <f t="shared" si="15"/>
        <v>289287</v>
      </c>
      <c r="J1013" t="str">
        <f>IFERROR(VLOOKUP(E1013,'LEAID Match'!$A$2:$B$168,2,FALSE),"")</f>
        <v/>
      </c>
    </row>
    <row r="1014" spans="1:10">
      <c r="A1014">
        <v>2019</v>
      </c>
      <c r="B1014" t="s">
        <v>1429</v>
      </c>
      <c r="C1014" t="s">
        <v>1431</v>
      </c>
      <c r="D1014" t="s">
        <v>1433</v>
      </c>
      <c r="E1014" t="s">
        <v>615</v>
      </c>
      <c r="F1014" s="9" t="s">
        <v>615</v>
      </c>
      <c r="G1014" s="18">
        <v>277282</v>
      </c>
      <c r="H1014">
        <v>0</v>
      </c>
      <c r="I1014" s="29">
        <f t="shared" si="15"/>
        <v>277282</v>
      </c>
      <c r="J1014" t="str">
        <f>IFERROR(VLOOKUP(E1014,'LEAID Match'!$A$2:$B$168,2,FALSE),"")</f>
        <v/>
      </c>
    </row>
    <row r="1015" spans="1:10">
      <c r="A1015">
        <v>2015</v>
      </c>
      <c r="B1015" t="s">
        <v>1429</v>
      </c>
      <c r="C1015" t="s">
        <v>1431</v>
      </c>
      <c r="D1015" t="s">
        <v>1433</v>
      </c>
      <c r="E1015" t="s">
        <v>616</v>
      </c>
      <c r="F1015" s="9" t="s">
        <v>1079</v>
      </c>
      <c r="G1015" s="18">
        <v>9381.17</v>
      </c>
      <c r="H1015">
        <v>0</v>
      </c>
      <c r="I1015" s="29">
        <f t="shared" si="15"/>
        <v>9381.17</v>
      </c>
      <c r="J1015" t="str">
        <f>IFERROR(VLOOKUP(E1015,'LEAID Match'!$A$2:$B$168,2,FALSE),"")</f>
        <v/>
      </c>
    </row>
    <row r="1016" spans="1:10">
      <c r="A1016">
        <v>2016</v>
      </c>
      <c r="B1016" t="s">
        <v>1429</v>
      </c>
      <c r="C1016" t="s">
        <v>1431</v>
      </c>
      <c r="D1016" t="s">
        <v>1433</v>
      </c>
      <c r="E1016" t="s">
        <v>616</v>
      </c>
      <c r="F1016" t="s">
        <v>616</v>
      </c>
      <c r="G1016" s="28">
        <v>11216</v>
      </c>
      <c r="H1016">
        <v>0</v>
      </c>
      <c r="I1016" s="29">
        <f t="shared" si="15"/>
        <v>11216</v>
      </c>
      <c r="J1016" t="str">
        <f>IFERROR(VLOOKUP(E1016,'LEAID Match'!$A$2:$B$168,2,FALSE),"")</f>
        <v/>
      </c>
    </row>
    <row r="1017" spans="1:10">
      <c r="A1017">
        <v>2017</v>
      </c>
      <c r="B1017" t="s">
        <v>1429</v>
      </c>
      <c r="C1017" t="s">
        <v>1431</v>
      </c>
      <c r="D1017" t="s">
        <v>1433</v>
      </c>
      <c r="E1017" t="s">
        <v>616</v>
      </c>
      <c r="F1017" t="s">
        <v>616</v>
      </c>
      <c r="G1017" s="28">
        <v>12096</v>
      </c>
      <c r="H1017">
        <v>0</v>
      </c>
      <c r="I1017" s="29">
        <f t="shared" si="15"/>
        <v>12096</v>
      </c>
      <c r="J1017" t="str">
        <f>IFERROR(VLOOKUP(E1017,'LEAID Match'!$A$2:$B$168,2,FALSE),"")</f>
        <v/>
      </c>
    </row>
    <row r="1018" spans="1:10">
      <c r="A1018" s="27">
        <v>2018</v>
      </c>
      <c r="B1018" t="s">
        <v>1429</v>
      </c>
      <c r="C1018" t="s">
        <v>1431</v>
      </c>
      <c r="D1018" t="s">
        <v>1433</v>
      </c>
      <c r="E1018" t="s">
        <v>616</v>
      </c>
      <c r="F1018" s="9" t="s">
        <v>616</v>
      </c>
      <c r="G1018" s="18">
        <v>14433</v>
      </c>
      <c r="H1018">
        <v>0</v>
      </c>
      <c r="I1018" s="29">
        <f t="shared" si="15"/>
        <v>14433</v>
      </c>
      <c r="J1018" t="str">
        <f>IFERROR(VLOOKUP(E1018,'LEAID Match'!$A$2:$B$168,2,FALSE),"")</f>
        <v/>
      </c>
    </row>
    <row r="1019" spans="1:10">
      <c r="A1019">
        <v>2019</v>
      </c>
      <c r="B1019" t="s">
        <v>1429</v>
      </c>
      <c r="C1019" t="s">
        <v>1431</v>
      </c>
      <c r="D1019" t="s">
        <v>1433</v>
      </c>
      <c r="E1019" t="s">
        <v>616</v>
      </c>
      <c r="F1019" s="9" t="s">
        <v>616</v>
      </c>
      <c r="G1019" s="18">
        <v>17613</v>
      </c>
      <c r="H1019">
        <v>0</v>
      </c>
      <c r="I1019" s="29">
        <f t="shared" si="15"/>
        <v>17613</v>
      </c>
      <c r="J1019" t="str">
        <f>IFERROR(VLOOKUP(E1019,'LEAID Match'!$A$2:$B$168,2,FALSE),"")</f>
        <v/>
      </c>
    </row>
    <row r="1020" spans="1:10">
      <c r="A1020">
        <v>2015</v>
      </c>
      <c r="B1020" t="s">
        <v>1429</v>
      </c>
      <c r="C1020" t="s">
        <v>1431</v>
      </c>
      <c r="D1020" t="s">
        <v>1433</v>
      </c>
      <c r="E1020" t="s">
        <v>427</v>
      </c>
      <c r="F1020" s="9" t="s">
        <v>1080</v>
      </c>
      <c r="G1020" s="18">
        <v>164434.67000000001</v>
      </c>
      <c r="H1020">
        <v>0</v>
      </c>
      <c r="I1020" s="29">
        <f t="shared" si="15"/>
        <v>164434.67000000001</v>
      </c>
      <c r="J1020">
        <f>IFERROR(VLOOKUP(E1020,'LEAID Match'!$A$2:$B$168,2,FALSE),"")</f>
        <v>3303300</v>
      </c>
    </row>
    <row r="1021" spans="1:10">
      <c r="A1021">
        <v>2016</v>
      </c>
      <c r="B1021" t="s">
        <v>1429</v>
      </c>
      <c r="C1021" t="s">
        <v>1431</v>
      </c>
      <c r="D1021" t="s">
        <v>1433</v>
      </c>
      <c r="E1021" t="s">
        <v>427</v>
      </c>
      <c r="F1021" t="s">
        <v>617</v>
      </c>
      <c r="H1021">
        <v>0</v>
      </c>
      <c r="I1021" s="29">
        <f t="shared" si="15"/>
        <v>0</v>
      </c>
      <c r="J1021">
        <f>IFERROR(VLOOKUP(E1021,'LEAID Match'!$A$2:$B$168,2,FALSE),"")</f>
        <v>3303300</v>
      </c>
    </row>
    <row r="1022" spans="1:10">
      <c r="A1022">
        <v>2017</v>
      </c>
      <c r="B1022" t="s">
        <v>1429</v>
      </c>
      <c r="C1022" t="s">
        <v>1431</v>
      </c>
      <c r="D1022" t="s">
        <v>1433</v>
      </c>
      <c r="E1022" t="s">
        <v>427</v>
      </c>
      <c r="F1022" t="s">
        <v>617</v>
      </c>
      <c r="G1022" s="28">
        <v>0</v>
      </c>
      <c r="H1022">
        <v>0</v>
      </c>
      <c r="I1022" s="29">
        <f t="shared" si="15"/>
        <v>0</v>
      </c>
      <c r="J1022">
        <f>IFERROR(VLOOKUP(E1022,'LEAID Match'!$A$2:$B$168,2,FALSE),"")</f>
        <v>3303300</v>
      </c>
    </row>
    <row r="1023" spans="1:10">
      <c r="A1023" s="27">
        <v>2018</v>
      </c>
      <c r="B1023" t="s">
        <v>1429</v>
      </c>
      <c r="C1023" t="s">
        <v>1431</v>
      </c>
      <c r="D1023" t="s">
        <v>1433</v>
      </c>
      <c r="E1023" t="s">
        <v>427</v>
      </c>
      <c r="F1023" s="9" t="s">
        <v>617</v>
      </c>
      <c r="G1023" s="18"/>
      <c r="H1023">
        <v>0</v>
      </c>
      <c r="I1023" s="29">
        <f t="shared" si="15"/>
        <v>0</v>
      </c>
      <c r="J1023">
        <f>IFERROR(VLOOKUP(E1023,'LEAID Match'!$A$2:$B$168,2,FALSE),"")</f>
        <v>3303300</v>
      </c>
    </row>
    <row r="1024" spans="1:10">
      <c r="A1024">
        <v>2019</v>
      </c>
      <c r="B1024" t="s">
        <v>1429</v>
      </c>
      <c r="C1024" t="s">
        <v>1431</v>
      </c>
      <c r="D1024" t="s">
        <v>1433</v>
      </c>
      <c r="E1024" t="s">
        <v>427</v>
      </c>
      <c r="F1024" s="9" t="s">
        <v>617</v>
      </c>
      <c r="G1024" s="18"/>
      <c r="H1024">
        <v>0</v>
      </c>
      <c r="I1024" s="29">
        <f t="shared" si="15"/>
        <v>0</v>
      </c>
      <c r="J1024">
        <f>IFERROR(VLOOKUP(E1024,'LEAID Match'!$A$2:$B$168,2,FALSE),"")</f>
        <v>3303300</v>
      </c>
    </row>
    <row r="1025" spans="1:10">
      <c r="A1025" s="27">
        <v>2020</v>
      </c>
      <c r="B1025" t="s">
        <v>1429</v>
      </c>
      <c r="C1025" t="s">
        <v>1431</v>
      </c>
      <c r="D1025" t="s">
        <v>1433</v>
      </c>
      <c r="E1025" t="s">
        <v>427</v>
      </c>
      <c r="F1025" s="9" t="s">
        <v>427</v>
      </c>
      <c r="G1025" s="18"/>
      <c r="H1025">
        <v>0</v>
      </c>
      <c r="I1025" s="29">
        <f t="shared" si="15"/>
        <v>0</v>
      </c>
      <c r="J1025">
        <f>IFERROR(VLOOKUP(E1025,'LEAID Match'!$A$2:$B$168,2,FALSE),"")</f>
        <v>3303300</v>
      </c>
    </row>
    <row r="1026" spans="1:10">
      <c r="A1026">
        <v>2021</v>
      </c>
      <c r="B1026" t="s">
        <v>1429</v>
      </c>
      <c r="C1026" t="s">
        <v>1431</v>
      </c>
      <c r="D1026" t="s">
        <v>1433</v>
      </c>
      <c r="E1026" t="s">
        <v>427</v>
      </c>
      <c r="F1026" s="9" t="s">
        <v>427</v>
      </c>
      <c r="G1026" s="18"/>
      <c r="H1026">
        <v>0</v>
      </c>
      <c r="I1026" s="29">
        <f t="shared" si="15"/>
        <v>0</v>
      </c>
      <c r="J1026">
        <f>IFERROR(VLOOKUP(E1026,'LEAID Match'!$A$2:$B$168,2,FALSE),"")</f>
        <v>3303300</v>
      </c>
    </row>
    <row r="1027" spans="1:10">
      <c r="A1027">
        <v>2015</v>
      </c>
      <c r="B1027" t="s">
        <v>1429</v>
      </c>
      <c r="C1027" t="s">
        <v>1431</v>
      </c>
      <c r="D1027" t="s">
        <v>1433</v>
      </c>
      <c r="E1027" t="s">
        <v>79</v>
      </c>
      <c r="F1027" s="9" t="s">
        <v>1081</v>
      </c>
      <c r="G1027" s="18">
        <v>2318951.86</v>
      </c>
      <c r="H1027">
        <v>0</v>
      </c>
      <c r="I1027" s="29">
        <f t="shared" ref="I1027:I1090" si="16">SUM(G1027:H1027)</f>
        <v>2318951.86</v>
      </c>
      <c r="J1027">
        <f>IFERROR(VLOOKUP(E1027,'LEAID Match'!$A$2:$B$168,2,FALSE),"")</f>
        <v>3303330</v>
      </c>
    </row>
    <row r="1028" spans="1:10">
      <c r="A1028">
        <v>2016</v>
      </c>
      <c r="B1028" t="s">
        <v>1429</v>
      </c>
      <c r="C1028" t="s">
        <v>1431</v>
      </c>
      <c r="D1028" t="s">
        <v>1433</v>
      </c>
      <c r="E1028" t="s">
        <v>79</v>
      </c>
      <c r="F1028" t="s">
        <v>618</v>
      </c>
      <c r="G1028" s="28">
        <v>2500008</v>
      </c>
      <c r="H1028">
        <v>0</v>
      </c>
      <c r="I1028" s="29">
        <f t="shared" si="16"/>
        <v>2500008</v>
      </c>
      <c r="J1028">
        <f>IFERROR(VLOOKUP(E1028,'LEAID Match'!$A$2:$B$168,2,FALSE),"")</f>
        <v>3303330</v>
      </c>
    </row>
    <row r="1029" spans="1:10">
      <c r="A1029">
        <v>2017</v>
      </c>
      <c r="B1029" t="s">
        <v>1429</v>
      </c>
      <c r="C1029" t="s">
        <v>1431</v>
      </c>
      <c r="D1029" t="s">
        <v>1433</v>
      </c>
      <c r="E1029" t="s">
        <v>79</v>
      </c>
      <c r="F1029" t="s">
        <v>618</v>
      </c>
      <c r="G1029" s="28">
        <v>2561383</v>
      </c>
      <c r="H1029">
        <v>0</v>
      </c>
      <c r="I1029" s="29">
        <f t="shared" si="16"/>
        <v>2561383</v>
      </c>
      <c r="J1029">
        <f>IFERROR(VLOOKUP(E1029,'LEAID Match'!$A$2:$B$168,2,FALSE),"")</f>
        <v>3303330</v>
      </c>
    </row>
    <row r="1030" spans="1:10">
      <c r="A1030" s="27">
        <v>2018</v>
      </c>
      <c r="B1030" t="s">
        <v>1429</v>
      </c>
      <c r="C1030" t="s">
        <v>1431</v>
      </c>
      <c r="D1030" t="s">
        <v>1433</v>
      </c>
      <c r="E1030" t="s">
        <v>79</v>
      </c>
      <c r="F1030" s="9" t="s">
        <v>618</v>
      </c>
      <c r="G1030" s="18">
        <v>3114006</v>
      </c>
      <c r="H1030">
        <v>0</v>
      </c>
      <c r="I1030" s="29">
        <f t="shared" si="16"/>
        <v>3114006</v>
      </c>
      <c r="J1030">
        <f>IFERROR(VLOOKUP(E1030,'LEAID Match'!$A$2:$B$168,2,FALSE),"")</f>
        <v>3303330</v>
      </c>
    </row>
    <row r="1031" spans="1:10">
      <c r="A1031">
        <v>2019</v>
      </c>
      <c r="B1031" t="s">
        <v>1429</v>
      </c>
      <c r="C1031" t="s">
        <v>1431</v>
      </c>
      <c r="D1031" t="s">
        <v>1433</v>
      </c>
      <c r="E1031" t="s">
        <v>79</v>
      </c>
      <c r="F1031" s="9" t="s">
        <v>618</v>
      </c>
      <c r="G1031" s="18">
        <v>3210805</v>
      </c>
      <c r="H1031">
        <v>0</v>
      </c>
      <c r="I1031" s="29">
        <f t="shared" si="16"/>
        <v>3210805</v>
      </c>
      <c r="J1031">
        <f>IFERROR(VLOOKUP(E1031,'LEAID Match'!$A$2:$B$168,2,FALSE),"")</f>
        <v>3303330</v>
      </c>
    </row>
    <row r="1032" spans="1:10">
      <c r="A1032" s="27">
        <v>2020</v>
      </c>
      <c r="B1032" t="s">
        <v>1429</v>
      </c>
      <c r="C1032" t="s">
        <v>1431</v>
      </c>
      <c r="D1032" t="s">
        <v>1433</v>
      </c>
      <c r="E1032" t="s">
        <v>79</v>
      </c>
      <c r="F1032" s="9" t="s">
        <v>79</v>
      </c>
      <c r="G1032" s="18">
        <v>3314532</v>
      </c>
      <c r="H1032">
        <v>0</v>
      </c>
      <c r="I1032" s="29">
        <f t="shared" si="16"/>
        <v>3314532</v>
      </c>
      <c r="J1032">
        <f>IFERROR(VLOOKUP(E1032,'LEAID Match'!$A$2:$B$168,2,FALSE),"")</f>
        <v>3303330</v>
      </c>
    </row>
    <row r="1033" spans="1:10">
      <c r="A1033">
        <v>2021</v>
      </c>
      <c r="B1033" t="s">
        <v>1429</v>
      </c>
      <c r="C1033" t="s">
        <v>1431</v>
      </c>
      <c r="D1033" t="s">
        <v>1433</v>
      </c>
      <c r="E1033" t="s">
        <v>79</v>
      </c>
      <c r="F1033" s="9" t="s">
        <v>79</v>
      </c>
      <c r="G1033" s="18">
        <v>3466513</v>
      </c>
      <c r="H1033">
        <v>0</v>
      </c>
      <c r="I1033" s="29">
        <f t="shared" si="16"/>
        <v>3466513</v>
      </c>
      <c r="J1033">
        <f>IFERROR(VLOOKUP(E1033,'LEAID Match'!$A$2:$B$168,2,FALSE),"")</f>
        <v>3303330</v>
      </c>
    </row>
    <row r="1034" spans="1:10">
      <c r="A1034">
        <v>2022</v>
      </c>
      <c r="B1034" t="s">
        <v>1429</v>
      </c>
      <c r="C1034" t="s">
        <v>1431</v>
      </c>
      <c r="D1034" t="s">
        <v>1433</v>
      </c>
      <c r="E1034" t="s">
        <v>79</v>
      </c>
      <c r="F1034" s="9" t="s">
        <v>79</v>
      </c>
      <c r="G1034" s="18">
        <v>4442144</v>
      </c>
      <c r="H1034">
        <v>0</v>
      </c>
      <c r="I1034" s="29">
        <f t="shared" si="16"/>
        <v>4442144</v>
      </c>
      <c r="J1034">
        <f>IFERROR(VLOOKUP(E1034,'LEAID Match'!$A$2:$B$168,2,FALSE),"")</f>
        <v>3303330</v>
      </c>
    </row>
    <row r="1035" spans="1:10">
      <c r="A1035">
        <v>2023</v>
      </c>
      <c r="B1035" t="s">
        <v>1429</v>
      </c>
      <c r="C1035" t="s">
        <v>1431</v>
      </c>
      <c r="D1035" t="s">
        <v>1433</v>
      </c>
      <c r="E1035" t="s">
        <v>79</v>
      </c>
      <c r="F1035" t="s">
        <v>79</v>
      </c>
      <c r="G1035" s="28">
        <v>4563443</v>
      </c>
      <c r="H1035">
        <v>0</v>
      </c>
      <c r="I1035" s="29">
        <f t="shared" si="16"/>
        <v>4563443</v>
      </c>
      <c r="J1035">
        <f>IFERROR(VLOOKUP(E1035,'LEAID Match'!$A$2:$B$168,2,FALSE),"")</f>
        <v>3303330</v>
      </c>
    </row>
    <row r="1036" spans="1:10">
      <c r="A1036">
        <v>2015</v>
      </c>
      <c r="B1036" t="s">
        <v>1429</v>
      </c>
      <c r="C1036" t="s">
        <v>1431</v>
      </c>
      <c r="D1036" t="s">
        <v>1433</v>
      </c>
      <c r="E1036" t="s">
        <v>619</v>
      </c>
      <c r="F1036" s="9" t="s">
        <v>1082</v>
      </c>
      <c r="G1036" s="18">
        <v>9794.43</v>
      </c>
      <c r="H1036">
        <v>0</v>
      </c>
      <c r="I1036" s="29">
        <f t="shared" si="16"/>
        <v>9794.43</v>
      </c>
      <c r="J1036" t="str">
        <f>IFERROR(VLOOKUP(E1036,'LEAID Match'!$A$2:$B$168,2,FALSE),"")</f>
        <v/>
      </c>
    </row>
    <row r="1037" spans="1:10">
      <c r="A1037">
        <v>2016</v>
      </c>
      <c r="B1037" t="s">
        <v>1429</v>
      </c>
      <c r="C1037" t="s">
        <v>1431</v>
      </c>
      <c r="D1037" t="s">
        <v>1433</v>
      </c>
      <c r="E1037" t="s">
        <v>619</v>
      </c>
      <c r="F1037" t="s">
        <v>619</v>
      </c>
      <c r="G1037" s="28">
        <v>11141</v>
      </c>
      <c r="H1037">
        <v>0</v>
      </c>
      <c r="I1037" s="29">
        <f t="shared" si="16"/>
        <v>11141</v>
      </c>
      <c r="J1037" t="str">
        <f>IFERROR(VLOOKUP(E1037,'LEAID Match'!$A$2:$B$168,2,FALSE),"")</f>
        <v/>
      </c>
    </row>
    <row r="1038" spans="1:10">
      <c r="A1038">
        <v>2017</v>
      </c>
      <c r="B1038" t="s">
        <v>1429</v>
      </c>
      <c r="C1038" t="s">
        <v>1431</v>
      </c>
      <c r="D1038" t="s">
        <v>1433</v>
      </c>
      <c r="E1038" t="s">
        <v>619</v>
      </c>
      <c r="F1038" t="s">
        <v>619</v>
      </c>
      <c r="G1038" s="28">
        <v>20847</v>
      </c>
      <c r="H1038">
        <v>0</v>
      </c>
      <c r="I1038" s="29">
        <f t="shared" si="16"/>
        <v>20847</v>
      </c>
      <c r="J1038" t="str">
        <f>IFERROR(VLOOKUP(E1038,'LEAID Match'!$A$2:$B$168,2,FALSE),"")</f>
        <v/>
      </c>
    </row>
    <row r="1039" spans="1:10">
      <c r="A1039" s="27">
        <v>2018</v>
      </c>
      <c r="B1039" t="s">
        <v>1429</v>
      </c>
      <c r="C1039" t="s">
        <v>1431</v>
      </c>
      <c r="D1039" t="s">
        <v>1433</v>
      </c>
      <c r="E1039" t="s">
        <v>619</v>
      </c>
      <c r="F1039" s="9" t="s">
        <v>619</v>
      </c>
      <c r="G1039" s="18">
        <v>31876</v>
      </c>
      <c r="H1039">
        <v>0</v>
      </c>
      <c r="I1039" s="29">
        <f t="shared" si="16"/>
        <v>31876</v>
      </c>
      <c r="J1039" t="str">
        <f>IFERROR(VLOOKUP(E1039,'LEAID Match'!$A$2:$B$168,2,FALSE),"")</f>
        <v/>
      </c>
    </row>
    <row r="1040" spans="1:10">
      <c r="A1040">
        <v>2019</v>
      </c>
      <c r="B1040" t="s">
        <v>1429</v>
      </c>
      <c r="C1040" t="s">
        <v>1431</v>
      </c>
      <c r="D1040" t="s">
        <v>1433</v>
      </c>
      <c r="E1040" t="s">
        <v>619</v>
      </c>
      <c r="F1040" s="9" t="s">
        <v>619</v>
      </c>
      <c r="G1040" s="18">
        <v>36058</v>
      </c>
      <c r="H1040">
        <v>0</v>
      </c>
      <c r="I1040" s="29">
        <f t="shared" si="16"/>
        <v>36058</v>
      </c>
      <c r="J1040" t="str">
        <f>IFERROR(VLOOKUP(E1040,'LEAID Match'!$A$2:$B$168,2,FALSE),"")</f>
        <v/>
      </c>
    </row>
    <row r="1041" spans="1:10">
      <c r="A1041">
        <v>2015</v>
      </c>
      <c r="B1041" t="s">
        <v>1429</v>
      </c>
      <c r="C1041" t="s">
        <v>1431</v>
      </c>
      <c r="D1041" t="s">
        <v>1433</v>
      </c>
      <c r="E1041" t="s">
        <v>80</v>
      </c>
      <c r="F1041" s="9" t="s">
        <v>1083</v>
      </c>
      <c r="G1041" s="18">
        <v>1711668.86</v>
      </c>
      <c r="H1041">
        <v>0</v>
      </c>
      <c r="I1041" s="29">
        <f t="shared" si="16"/>
        <v>1711668.86</v>
      </c>
      <c r="J1041" t="str">
        <f>IFERROR(VLOOKUP(E1041,'LEAID Match'!$A$2:$B$168,2,FALSE),"")</f>
        <v/>
      </c>
    </row>
    <row r="1042" spans="1:10">
      <c r="A1042">
        <v>2016</v>
      </c>
      <c r="B1042" t="s">
        <v>1429</v>
      </c>
      <c r="C1042" t="s">
        <v>1431</v>
      </c>
      <c r="D1042" t="s">
        <v>1433</v>
      </c>
      <c r="E1042" t="s">
        <v>80</v>
      </c>
      <c r="F1042" t="s">
        <v>620</v>
      </c>
      <c r="G1042" s="28">
        <v>1912807</v>
      </c>
      <c r="H1042">
        <v>0</v>
      </c>
      <c r="I1042" s="29">
        <f t="shared" si="16"/>
        <v>1912807</v>
      </c>
      <c r="J1042" t="str">
        <f>IFERROR(VLOOKUP(E1042,'LEAID Match'!$A$2:$B$168,2,FALSE),"")</f>
        <v/>
      </c>
    </row>
    <row r="1043" spans="1:10">
      <c r="A1043">
        <v>2017</v>
      </c>
      <c r="B1043" t="s">
        <v>1429</v>
      </c>
      <c r="C1043" t="s">
        <v>1431</v>
      </c>
      <c r="D1043" t="s">
        <v>1433</v>
      </c>
      <c r="E1043" t="s">
        <v>80</v>
      </c>
      <c r="F1043" t="s">
        <v>620</v>
      </c>
      <c r="G1043" s="28">
        <v>1911928</v>
      </c>
      <c r="H1043">
        <v>0</v>
      </c>
      <c r="I1043" s="29">
        <f t="shared" si="16"/>
        <v>1911928</v>
      </c>
      <c r="J1043" t="str">
        <f>IFERROR(VLOOKUP(E1043,'LEAID Match'!$A$2:$B$168,2,FALSE),"")</f>
        <v/>
      </c>
    </row>
    <row r="1044" spans="1:10">
      <c r="A1044" s="27">
        <v>2018</v>
      </c>
      <c r="B1044" t="s">
        <v>1429</v>
      </c>
      <c r="C1044" t="s">
        <v>1431</v>
      </c>
      <c r="D1044" t="s">
        <v>1433</v>
      </c>
      <c r="E1044" t="s">
        <v>80</v>
      </c>
      <c r="F1044" s="9" t="s">
        <v>620</v>
      </c>
      <c r="G1044" s="18">
        <v>2120257</v>
      </c>
      <c r="H1044">
        <v>0</v>
      </c>
      <c r="I1044" s="29">
        <f t="shared" si="16"/>
        <v>2120257</v>
      </c>
      <c r="J1044" t="str">
        <f>IFERROR(VLOOKUP(E1044,'LEAID Match'!$A$2:$B$168,2,FALSE),"")</f>
        <v/>
      </c>
    </row>
    <row r="1045" spans="1:10">
      <c r="A1045">
        <v>2019</v>
      </c>
      <c r="B1045" t="s">
        <v>1429</v>
      </c>
      <c r="C1045" t="s">
        <v>1431</v>
      </c>
      <c r="D1045" t="s">
        <v>1433</v>
      </c>
      <c r="E1045" t="s">
        <v>80</v>
      </c>
      <c r="F1045" s="9" t="s">
        <v>620</v>
      </c>
      <c r="G1045" s="18">
        <v>2184904</v>
      </c>
      <c r="H1045">
        <v>0</v>
      </c>
      <c r="I1045" s="29">
        <f t="shared" si="16"/>
        <v>2184904</v>
      </c>
      <c r="J1045" t="str">
        <f>IFERROR(VLOOKUP(E1045,'LEAID Match'!$A$2:$B$168,2,FALSE),"")</f>
        <v/>
      </c>
    </row>
    <row r="1046" spans="1:10">
      <c r="A1046" s="27">
        <v>2020</v>
      </c>
      <c r="B1046" t="s">
        <v>1429</v>
      </c>
      <c r="C1046" t="s">
        <v>1431</v>
      </c>
      <c r="D1046" t="s">
        <v>1433</v>
      </c>
      <c r="E1046" t="s">
        <v>80</v>
      </c>
      <c r="F1046" s="9" t="s">
        <v>80</v>
      </c>
      <c r="G1046" s="18">
        <v>2160142</v>
      </c>
      <c r="H1046">
        <v>0</v>
      </c>
      <c r="I1046" s="29">
        <f t="shared" si="16"/>
        <v>2160142</v>
      </c>
      <c r="J1046" t="str">
        <f>IFERROR(VLOOKUP(E1046,'LEAID Match'!$A$2:$B$168,2,FALSE),"")</f>
        <v/>
      </c>
    </row>
    <row r="1047" spans="1:10">
      <c r="A1047">
        <v>2021</v>
      </c>
      <c r="B1047" t="s">
        <v>1429</v>
      </c>
      <c r="C1047" t="s">
        <v>1431</v>
      </c>
      <c r="D1047" t="s">
        <v>1433</v>
      </c>
      <c r="E1047" t="s">
        <v>80</v>
      </c>
      <c r="F1047" s="9" t="s">
        <v>80</v>
      </c>
      <c r="G1047" s="18">
        <v>2184792</v>
      </c>
      <c r="H1047">
        <v>0</v>
      </c>
      <c r="I1047" s="29">
        <f t="shared" si="16"/>
        <v>2184792</v>
      </c>
      <c r="J1047" t="str">
        <f>IFERROR(VLOOKUP(E1047,'LEAID Match'!$A$2:$B$168,2,FALSE),"")</f>
        <v/>
      </c>
    </row>
    <row r="1048" spans="1:10">
      <c r="A1048">
        <v>2022</v>
      </c>
      <c r="B1048" t="s">
        <v>1429</v>
      </c>
      <c r="C1048" t="s">
        <v>1431</v>
      </c>
      <c r="D1048" t="s">
        <v>1433</v>
      </c>
      <c r="E1048" t="s">
        <v>80</v>
      </c>
      <c r="F1048" s="9" t="s">
        <v>80</v>
      </c>
      <c r="G1048" s="18">
        <v>2679903</v>
      </c>
      <c r="H1048">
        <v>0</v>
      </c>
      <c r="I1048" s="29">
        <f t="shared" si="16"/>
        <v>2679903</v>
      </c>
      <c r="J1048" t="str">
        <f>IFERROR(VLOOKUP(E1048,'LEAID Match'!$A$2:$B$168,2,FALSE),"")</f>
        <v/>
      </c>
    </row>
    <row r="1049" spans="1:10">
      <c r="A1049">
        <v>2023</v>
      </c>
      <c r="B1049" t="s">
        <v>1429</v>
      </c>
      <c r="C1049" t="s">
        <v>1431</v>
      </c>
      <c r="D1049" t="s">
        <v>1433</v>
      </c>
      <c r="E1049" t="s">
        <v>80</v>
      </c>
      <c r="F1049" t="s">
        <v>80</v>
      </c>
      <c r="G1049" s="28">
        <v>2617656</v>
      </c>
      <c r="H1049">
        <v>0</v>
      </c>
      <c r="I1049" s="29">
        <f t="shared" si="16"/>
        <v>2617656</v>
      </c>
      <c r="J1049" t="str">
        <f>IFERROR(VLOOKUP(E1049,'LEAID Match'!$A$2:$B$168,2,FALSE),"")</f>
        <v/>
      </c>
    </row>
    <row r="1050" spans="1:10">
      <c r="A1050">
        <v>2015</v>
      </c>
      <c r="B1050" t="s">
        <v>1429</v>
      </c>
      <c r="C1050" t="s">
        <v>1431</v>
      </c>
      <c r="D1050" t="s">
        <v>1433</v>
      </c>
      <c r="E1050" t="s">
        <v>621</v>
      </c>
      <c r="F1050" s="9" t="s">
        <v>1084</v>
      </c>
      <c r="G1050" s="18">
        <v>89966.31</v>
      </c>
      <c r="H1050">
        <v>0</v>
      </c>
      <c r="I1050" s="29">
        <f t="shared" si="16"/>
        <v>89966.31</v>
      </c>
      <c r="J1050" t="str">
        <f>IFERROR(VLOOKUP(E1050,'LEAID Match'!$A$2:$B$168,2,FALSE),"")</f>
        <v/>
      </c>
    </row>
    <row r="1051" spans="1:10">
      <c r="A1051">
        <v>2016</v>
      </c>
      <c r="B1051" t="s">
        <v>1429</v>
      </c>
      <c r="C1051" t="s">
        <v>1431</v>
      </c>
      <c r="D1051" t="s">
        <v>1433</v>
      </c>
      <c r="E1051" t="s">
        <v>621</v>
      </c>
      <c r="F1051" t="s">
        <v>621</v>
      </c>
      <c r="G1051" s="28">
        <v>96963</v>
      </c>
      <c r="H1051">
        <v>0</v>
      </c>
      <c r="I1051" s="29">
        <f t="shared" si="16"/>
        <v>96963</v>
      </c>
      <c r="J1051" t="str">
        <f>IFERROR(VLOOKUP(E1051,'LEAID Match'!$A$2:$B$168,2,FALSE),"")</f>
        <v/>
      </c>
    </row>
    <row r="1052" spans="1:10">
      <c r="A1052">
        <v>2017</v>
      </c>
      <c r="B1052" t="s">
        <v>1429</v>
      </c>
      <c r="C1052" t="s">
        <v>1431</v>
      </c>
      <c r="D1052" t="s">
        <v>1433</v>
      </c>
      <c r="E1052" t="s">
        <v>621</v>
      </c>
      <c r="F1052" t="s">
        <v>621</v>
      </c>
      <c r="G1052" s="28">
        <v>107904</v>
      </c>
      <c r="H1052">
        <v>0</v>
      </c>
      <c r="I1052" s="29">
        <f t="shared" si="16"/>
        <v>107904</v>
      </c>
      <c r="J1052" t="str">
        <f>IFERROR(VLOOKUP(E1052,'LEAID Match'!$A$2:$B$168,2,FALSE),"")</f>
        <v/>
      </c>
    </row>
    <row r="1053" spans="1:10">
      <c r="A1053" s="27">
        <v>2018</v>
      </c>
      <c r="B1053" t="s">
        <v>1429</v>
      </c>
      <c r="C1053" t="s">
        <v>1431</v>
      </c>
      <c r="D1053" t="s">
        <v>1433</v>
      </c>
      <c r="E1053" t="s">
        <v>621</v>
      </c>
      <c r="F1053" s="9" t="s">
        <v>621</v>
      </c>
      <c r="G1053" s="18">
        <v>124226</v>
      </c>
      <c r="H1053">
        <v>0</v>
      </c>
      <c r="I1053" s="29">
        <f t="shared" si="16"/>
        <v>124226</v>
      </c>
      <c r="J1053" t="str">
        <f>IFERROR(VLOOKUP(E1053,'LEAID Match'!$A$2:$B$168,2,FALSE),"")</f>
        <v/>
      </c>
    </row>
    <row r="1054" spans="1:10">
      <c r="A1054">
        <v>2019</v>
      </c>
      <c r="B1054" t="s">
        <v>1429</v>
      </c>
      <c r="C1054" t="s">
        <v>1431</v>
      </c>
      <c r="D1054" t="s">
        <v>1433</v>
      </c>
      <c r="E1054" t="s">
        <v>621</v>
      </c>
      <c r="F1054" s="9" t="s">
        <v>621</v>
      </c>
      <c r="G1054" s="18">
        <v>135797</v>
      </c>
      <c r="H1054">
        <v>0</v>
      </c>
      <c r="I1054" s="29">
        <f t="shared" si="16"/>
        <v>135797</v>
      </c>
      <c r="J1054" t="str">
        <f>IFERROR(VLOOKUP(E1054,'LEAID Match'!$A$2:$B$168,2,FALSE),"")</f>
        <v/>
      </c>
    </row>
    <row r="1055" spans="1:10">
      <c r="A1055">
        <v>2015</v>
      </c>
      <c r="B1055" t="s">
        <v>1429</v>
      </c>
      <c r="C1055" t="s">
        <v>1431</v>
      </c>
      <c r="D1055" t="s">
        <v>1433</v>
      </c>
      <c r="E1055" t="s">
        <v>81</v>
      </c>
      <c r="F1055" s="9" t="s">
        <v>1085</v>
      </c>
      <c r="G1055" s="18">
        <v>215390.77</v>
      </c>
      <c r="H1055">
        <v>0</v>
      </c>
      <c r="I1055" s="29">
        <f t="shared" si="16"/>
        <v>215390.77</v>
      </c>
      <c r="J1055">
        <f>IFERROR(VLOOKUP(E1055,'LEAID Match'!$A$2:$B$168,2,FALSE),"")</f>
        <v>3303360</v>
      </c>
    </row>
    <row r="1056" spans="1:10">
      <c r="A1056">
        <v>2016</v>
      </c>
      <c r="B1056" t="s">
        <v>1429</v>
      </c>
      <c r="C1056" t="s">
        <v>1431</v>
      </c>
      <c r="D1056" t="s">
        <v>1433</v>
      </c>
      <c r="E1056" t="s">
        <v>81</v>
      </c>
      <c r="F1056" t="s">
        <v>622</v>
      </c>
      <c r="G1056" s="28">
        <v>233422</v>
      </c>
      <c r="H1056">
        <v>0</v>
      </c>
      <c r="I1056" s="29">
        <f t="shared" si="16"/>
        <v>233422</v>
      </c>
      <c r="J1056">
        <f>IFERROR(VLOOKUP(E1056,'LEAID Match'!$A$2:$B$168,2,FALSE),"")</f>
        <v>3303360</v>
      </c>
    </row>
    <row r="1057" spans="1:10">
      <c r="A1057">
        <v>2017</v>
      </c>
      <c r="B1057" t="s">
        <v>1429</v>
      </c>
      <c r="C1057" t="s">
        <v>1431</v>
      </c>
      <c r="D1057" t="s">
        <v>1433</v>
      </c>
      <c r="E1057" t="s">
        <v>81</v>
      </c>
      <c r="F1057" t="s">
        <v>622</v>
      </c>
      <c r="G1057" s="28">
        <v>246501</v>
      </c>
      <c r="H1057">
        <v>0</v>
      </c>
      <c r="I1057" s="29">
        <f t="shared" si="16"/>
        <v>246501</v>
      </c>
      <c r="J1057">
        <f>IFERROR(VLOOKUP(E1057,'LEAID Match'!$A$2:$B$168,2,FALSE),"")</f>
        <v>3303360</v>
      </c>
    </row>
    <row r="1058" spans="1:10">
      <c r="A1058" s="27">
        <v>2018</v>
      </c>
      <c r="B1058" t="s">
        <v>1429</v>
      </c>
      <c r="C1058" t="s">
        <v>1431</v>
      </c>
      <c r="D1058" t="s">
        <v>1433</v>
      </c>
      <c r="E1058" t="s">
        <v>81</v>
      </c>
      <c r="F1058" s="9" t="s">
        <v>622</v>
      </c>
      <c r="G1058" s="18">
        <v>314096</v>
      </c>
      <c r="H1058">
        <v>0</v>
      </c>
      <c r="I1058" s="29">
        <f t="shared" si="16"/>
        <v>314096</v>
      </c>
      <c r="J1058">
        <f>IFERROR(VLOOKUP(E1058,'LEAID Match'!$A$2:$B$168,2,FALSE),"")</f>
        <v>3303360</v>
      </c>
    </row>
    <row r="1059" spans="1:10">
      <c r="A1059">
        <v>2019</v>
      </c>
      <c r="B1059" t="s">
        <v>1429</v>
      </c>
      <c r="C1059" t="s">
        <v>1431</v>
      </c>
      <c r="D1059" t="s">
        <v>1433</v>
      </c>
      <c r="E1059" t="s">
        <v>81</v>
      </c>
      <c r="F1059" s="9" t="s">
        <v>622</v>
      </c>
      <c r="G1059" s="18">
        <v>323230</v>
      </c>
      <c r="H1059">
        <v>0</v>
      </c>
      <c r="I1059" s="29">
        <f t="shared" si="16"/>
        <v>323230</v>
      </c>
      <c r="J1059">
        <f>IFERROR(VLOOKUP(E1059,'LEAID Match'!$A$2:$B$168,2,FALSE),"")</f>
        <v>3303360</v>
      </c>
    </row>
    <row r="1060" spans="1:10">
      <c r="A1060" s="27">
        <v>2020</v>
      </c>
      <c r="B1060" t="s">
        <v>1429</v>
      </c>
      <c r="C1060" t="s">
        <v>1431</v>
      </c>
      <c r="D1060" t="s">
        <v>1433</v>
      </c>
      <c r="E1060" t="s">
        <v>81</v>
      </c>
      <c r="F1060" s="9" t="s">
        <v>81</v>
      </c>
      <c r="G1060" s="18">
        <v>354539</v>
      </c>
      <c r="H1060">
        <v>0</v>
      </c>
      <c r="I1060" s="29">
        <f t="shared" si="16"/>
        <v>354539</v>
      </c>
      <c r="J1060">
        <f>IFERROR(VLOOKUP(E1060,'LEAID Match'!$A$2:$B$168,2,FALSE),"")</f>
        <v>3303360</v>
      </c>
    </row>
    <row r="1061" spans="1:10">
      <c r="A1061">
        <v>2021</v>
      </c>
      <c r="B1061" t="s">
        <v>1429</v>
      </c>
      <c r="C1061" t="s">
        <v>1431</v>
      </c>
      <c r="D1061" t="s">
        <v>1433</v>
      </c>
      <c r="E1061" t="s">
        <v>81</v>
      </c>
      <c r="F1061" s="9" t="s">
        <v>81</v>
      </c>
      <c r="G1061" s="18">
        <v>339559</v>
      </c>
      <c r="H1061">
        <v>0</v>
      </c>
      <c r="I1061" s="29">
        <f t="shared" si="16"/>
        <v>339559</v>
      </c>
      <c r="J1061">
        <f>IFERROR(VLOOKUP(E1061,'LEAID Match'!$A$2:$B$168,2,FALSE),"")</f>
        <v>3303360</v>
      </c>
    </row>
    <row r="1062" spans="1:10">
      <c r="A1062">
        <v>2022</v>
      </c>
      <c r="B1062" t="s">
        <v>1429</v>
      </c>
      <c r="C1062" t="s">
        <v>1431</v>
      </c>
      <c r="D1062" t="s">
        <v>1433</v>
      </c>
      <c r="E1062" t="s">
        <v>81</v>
      </c>
      <c r="F1062" s="9" t="s">
        <v>81</v>
      </c>
      <c r="G1062" s="18">
        <v>462750</v>
      </c>
      <c r="H1062">
        <v>0</v>
      </c>
      <c r="I1062" s="29">
        <f t="shared" si="16"/>
        <v>462750</v>
      </c>
      <c r="J1062">
        <f>IFERROR(VLOOKUP(E1062,'LEAID Match'!$A$2:$B$168,2,FALSE),"")</f>
        <v>3303360</v>
      </c>
    </row>
    <row r="1063" spans="1:10">
      <c r="A1063">
        <v>2023</v>
      </c>
      <c r="B1063" t="s">
        <v>1429</v>
      </c>
      <c r="C1063" t="s">
        <v>1431</v>
      </c>
      <c r="D1063" t="s">
        <v>1433</v>
      </c>
      <c r="E1063" t="s">
        <v>81</v>
      </c>
      <c r="F1063" t="s">
        <v>81</v>
      </c>
      <c r="G1063" s="28">
        <v>458401</v>
      </c>
      <c r="H1063">
        <v>0</v>
      </c>
      <c r="I1063" s="29">
        <f t="shared" si="16"/>
        <v>458401</v>
      </c>
      <c r="J1063">
        <f>IFERROR(VLOOKUP(E1063,'LEAID Match'!$A$2:$B$168,2,FALSE),"")</f>
        <v>3303360</v>
      </c>
    </row>
    <row r="1064" spans="1:10">
      <c r="A1064">
        <v>2015</v>
      </c>
      <c r="B1064" t="s">
        <v>1429</v>
      </c>
      <c r="C1064" t="s">
        <v>1431</v>
      </c>
      <c r="D1064" t="s">
        <v>1433</v>
      </c>
      <c r="E1064" t="s">
        <v>82</v>
      </c>
      <c r="F1064" s="9" t="s">
        <v>1086</v>
      </c>
      <c r="G1064" s="18">
        <v>79632.11</v>
      </c>
      <c r="H1064">
        <v>0</v>
      </c>
      <c r="I1064" s="29">
        <f t="shared" si="16"/>
        <v>79632.11</v>
      </c>
      <c r="J1064">
        <f>IFERROR(VLOOKUP(E1064,'LEAID Match'!$A$2:$B$168,2,FALSE),"")</f>
        <v>3300048</v>
      </c>
    </row>
    <row r="1065" spans="1:10">
      <c r="A1065">
        <v>2016</v>
      </c>
      <c r="B1065" t="s">
        <v>1429</v>
      </c>
      <c r="C1065" t="s">
        <v>1431</v>
      </c>
      <c r="D1065" t="s">
        <v>1433</v>
      </c>
      <c r="E1065" t="s">
        <v>82</v>
      </c>
      <c r="F1065" t="s">
        <v>623</v>
      </c>
      <c r="G1065" s="28">
        <v>78847</v>
      </c>
      <c r="H1065">
        <v>0</v>
      </c>
      <c r="I1065" s="29">
        <f t="shared" si="16"/>
        <v>78847</v>
      </c>
      <c r="J1065">
        <f>IFERROR(VLOOKUP(E1065,'LEAID Match'!$A$2:$B$168,2,FALSE),"")</f>
        <v>3300048</v>
      </c>
    </row>
    <row r="1066" spans="1:10">
      <c r="A1066">
        <v>2017</v>
      </c>
      <c r="B1066" t="s">
        <v>1429</v>
      </c>
      <c r="C1066" t="s">
        <v>1431</v>
      </c>
      <c r="D1066" t="s">
        <v>1433</v>
      </c>
      <c r="E1066" t="s">
        <v>82</v>
      </c>
      <c r="F1066" t="s">
        <v>623</v>
      </c>
      <c r="G1066" s="28">
        <v>83289</v>
      </c>
      <c r="H1066">
        <v>0</v>
      </c>
      <c r="I1066" s="29">
        <f t="shared" si="16"/>
        <v>83289</v>
      </c>
      <c r="J1066">
        <f>IFERROR(VLOOKUP(E1066,'LEAID Match'!$A$2:$B$168,2,FALSE),"")</f>
        <v>3300048</v>
      </c>
    </row>
    <row r="1067" spans="1:10">
      <c r="A1067" s="27">
        <v>2018</v>
      </c>
      <c r="B1067" t="s">
        <v>1429</v>
      </c>
      <c r="C1067" t="s">
        <v>1431</v>
      </c>
      <c r="D1067" t="s">
        <v>1433</v>
      </c>
      <c r="E1067" t="s">
        <v>82</v>
      </c>
      <c r="F1067" s="9" t="s">
        <v>623</v>
      </c>
      <c r="G1067" s="18">
        <v>113076</v>
      </c>
      <c r="H1067">
        <v>0</v>
      </c>
      <c r="I1067" s="29">
        <f t="shared" si="16"/>
        <v>113076</v>
      </c>
      <c r="J1067">
        <f>IFERROR(VLOOKUP(E1067,'LEAID Match'!$A$2:$B$168,2,FALSE),"")</f>
        <v>3300048</v>
      </c>
    </row>
    <row r="1068" spans="1:10">
      <c r="A1068">
        <v>2019</v>
      </c>
      <c r="B1068" t="s">
        <v>1429</v>
      </c>
      <c r="C1068" t="s">
        <v>1431</v>
      </c>
      <c r="D1068" t="s">
        <v>1433</v>
      </c>
      <c r="E1068" t="s">
        <v>82</v>
      </c>
      <c r="F1068" s="9" t="s">
        <v>623</v>
      </c>
      <c r="G1068" s="18">
        <v>110369</v>
      </c>
      <c r="H1068">
        <v>0</v>
      </c>
      <c r="I1068" s="29">
        <f t="shared" si="16"/>
        <v>110369</v>
      </c>
      <c r="J1068">
        <f>IFERROR(VLOOKUP(E1068,'LEAID Match'!$A$2:$B$168,2,FALSE),"")</f>
        <v>3300048</v>
      </c>
    </row>
    <row r="1069" spans="1:10">
      <c r="A1069" s="27">
        <v>2020</v>
      </c>
      <c r="B1069" t="s">
        <v>1429</v>
      </c>
      <c r="C1069" t="s">
        <v>1431</v>
      </c>
      <c r="D1069" t="s">
        <v>1433</v>
      </c>
      <c r="E1069" t="s">
        <v>82</v>
      </c>
      <c r="F1069" s="9" t="s">
        <v>82</v>
      </c>
      <c r="G1069" s="18">
        <v>99079</v>
      </c>
      <c r="H1069">
        <v>0</v>
      </c>
      <c r="I1069" s="29">
        <f t="shared" si="16"/>
        <v>99079</v>
      </c>
      <c r="J1069">
        <f>IFERROR(VLOOKUP(E1069,'LEAID Match'!$A$2:$B$168,2,FALSE),"")</f>
        <v>3300048</v>
      </c>
    </row>
    <row r="1070" spans="1:10">
      <c r="A1070">
        <v>2021</v>
      </c>
      <c r="B1070" t="s">
        <v>1429</v>
      </c>
      <c r="C1070" t="s">
        <v>1431</v>
      </c>
      <c r="D1070" t="s">
        <v>1433</v>
      </c>
      <c r="E1070" t="s">
        <v>82</v>
      </c>
      <c r="F1070" s="9" t="s">
        <v>82</v>
      </c>
      <c r="G1070" s="18">
        <v>100273</v>
      </c>
      <c r="H1070">
        <v>0</v>
      </c>
      <c r="I1070" s="29">
        <f t="shared" si="16"/>
        <v>100273</v>
      </c>
      <c r="J1070">
        <f>IFERROR(VLOOKUP(E1070,'LEAID Match'!$A$2:$B$168,2,FALSE),"")</f>
        <v>3300048</v>
      </c>
    </row>
    <row r="1071" spans="1:10">
      <c r="A1071">
        <v>2022</v>
      </c>
      <c r="B1071" t="s">
        <v>1429</v>
      </c>
      <c r="C1071" t="s">
        <v>1431</v>
      </c>
      <c r="D1071" t="s">
        <v>1433</v>
      </c>
      <c r="E1071" t="s">
        <v>82</v>
      </c>
      <c r="F1071" s="9" t="s">
        <v>82</v>
      </c>
      <c r="G1071" s="18">
        <v>143656</v>
      </c>
      <c r="H1071">
        <v>0</v>
      </c>
      <c r="I1071" s="29">
        <f t="shared" si="16"/>
        <v>143656</v>
      </c>
      <c r="J1071">
        <f>IFERROR(VLOOKUP(E1071,'LEAID Match'!$A$2:$B$168,2,FALSE),"")</f>
        <v>3300048</v>
      </c>
    </row>
    <row r="1072" spans="1:10">
      <c r="A1072">
        <v>2023</v>
      </c>
      <c r="B1072" t="s">
        <v>1429</v>
      </c>
      <c r="C1072" t="s">
        <v>1431</v>
      </c>
      <c r="D1072" t="s">
        <v>1433</v>
      </c>
      <c r="E1072" t="s">
        <v>82</v>
      </c>
      <c r="F1072" t="s">
        <v>82</v>
      </c>
      <c r="G1072" s="28">
        <v>164599</v>
      </c>
      <c r="H1072">
        <v>0</v>
      </c>
      <c r="I1072" s="29">
        <f t="shared" si="16"/>
        <v>164599</v>
      </c>
      <c r="J1072">
        <f>IFERROR(VLOOKUP(E1072,'LEAID Match'!$A$2:$B$168,2,FALSE),"")</f>
        <v>3300048</v>
      </c>
    </row>
    <row r="1073" spans="1:10">
      <c r="A1073">
        <v>2015</v>
      </c>
      <c r="B1073" t="s">
        <v>1429</v>
      </c>
      <c r="C1073" t="s">
        <v>1431</v>
      </c>
      <c r="D1073" t="s">
        <v>1433</v>
      </c>
      <c r="E1073" t="s">
        <v>624</v>
      </c>
      <c r="F1073" s="9" t="s">
        <v>1087</v>
      </c>
      <c r="G1073" s="18">
        <v>67339.649999999994</v>
      </c>
      <c r="H1073">
        <v>0</v>
      </c>
      <c r="I1073" s="29">
        <f t="shared" si="16"/>
        <v>67339.649999999994</v>
      </c>
      <c r="J1073" t="str">
        <f>IFERROR(VLOOKUP(E1073,'LEAID Match'!$A$2:$B$168,2,FALSE),"")</f>
        <v/>
      </c>
    </row>
    <row r="1074" spans="1:10">
      <c r="A1074">
        <v>2015</v>
      </c>
      <c r="B1074" t="s">
        <v>1429</v>
      </c>
      <c r="C1074" t="s">
        <v>1431</v>
      </c>
      <c r="D1074" t="s">
        <v>1433</v>
      </c>
      <c r="E1074" t="s">
        <v>624</v>
      </c>
      <c r="F1074" s="9" t="s">
        <v>1088</v>
      </c>
      <c r="G1074" s="18">
        <v>169863.54</v>
      </c>
      <c r="H1074">
        <v>0</v>
      </c>
      <c r="I1074" s="29">
        <f t="shared" si="16"/>
        <v>169863.54</v>
      </c>
      <c r="J1074" t="str">
        <f>IFERROR(VLOOKUP(E1074,'LEAID Match'!$A$2:$B$168,2,FALSE),"")</f>
        <v/>
      </c>
    </row>
    <row r="1075" spans="1:10">
      <c r="A1075">
        <v>2016</v>
      </c>
      <c r="B1075" t="s">
        <v>1429</v>
      </c>
      <c r="C1075" t="s">
        <v>1431</v>
      </c>
      <c r="D1075" t="s">
        <v>1433</v>
      </c>
      <c r="E1075" t="s">
        <v>624</v>
      </c>
      <c r="F1075" t="s">
        <v>624</v>
      </c>
      <c r="G1075" s="28">
        <v>73226</v>
      </c>
      <c r="H1075">
        <v>0</v>
      </c>
      <c r="I1075" s="29">
        <f t="shared" si="16"/>
        <v>73226</v>
      </c>
      <c r="J1075" t="str">
        <f>IFERROR(VLOOKUP(E1075,'LEAID Match'!$A$2:$B$168,2,FALSE),"")</f>
        <v/>
      </c>
    </row>
    <row r="1076" spans="1:10">
      <c r="A1076">
        <v>2017</v>
      </c>
      <c r="B1076" t="s">
        <v>1429</v>
      </c>
      <c r="C1076" t="s">
        <v>1431</v>
      </c>
      <c r="D1076" t="s">
        <v>1433</v>
      </c>
      <c r="E1076" t="s">
        <v>624</v>
      </c>
      <c r="F1076" t="s">
        <v>624</v>
      </c>
      <c r="G1076" s="28">
        <v>85884</v>
      </c>
      <c r="H1076">
        <v>0</v>
      </c>
      <c r="I1076" s="29">
        <f t="shared" si="16"/>
        <v>85884</v>
      </c>
      <c r="J1076" t="str">
        <f>IFERROR(VLOOKUP(E1076,'LEAID Match'!$A$2:$B$168,2,FALSE),"")</f>
        <v/>
      </c>
    </row>
    <row r="1077" spans="1:10">
      <c r="A1077" s="27">
        <v>2018</v>
      </c>
      <c r="B1077" t="s">
        <v>1429</v>
      </c>
      <c r="C1077" t="s">
        <v>1431</v>
      </c>
      <c r="D1077" t="s">
        <v>1433</v>
      </c>
      <c r="E1077" t="s">
        <v>624</v>
      </c>
      <c r="F1077" s="9" t="s">
        <v>624</v>
      </c>
      <c r="G1077" s="18">
        <v>86097</v>
      </c>
      <c r="H1077">
        <v>0</v>
      </c>
      <c r="I1077" s="29">
        <f t="shared" si="16"/>
        <v>86097</v>
      </c>
      <c r="J1077" t="str">
        <f>IFERROR(VLOOKUP(E1077,'LEAID Match'!$A$2:$B$168,2,FALSE),"")</f>
        <v/>
      </c>
    </row>
    <row r="1078" spans="1:10">
      <c r="A1078" s="27">
        <v>2018</v>
      </c>
      <c r="B1078" t="s">
        <v>1429</v>
      </c>
      <c r="C1078" t="s">
        <v>1431</v>
      </c>
      <c r="D1078" t="s">
        <v>1433</v>
      </c>
      <c r="E1078" t="s">
        <v>624</v>
      </c>
      <c r="F1078" s="9" t="s">
        <v>625</v>
      </c>
      <c r="G1078" s="18">
        <v>196276</v>
      </c>
      <c r="H1078">
        <v>0</v>
      </c>
      <c r="I1078" s="29">
        <f t="shared" si="16"/>
        <v>196276</v>
      </c>
      <c r="J1078" t="str">
        <f>IFERROR(VLOOKUP(E1078,'LEAID Match'!$A$2:$B$168,2,FALSE),"")</f>
        <v/>
      </c>
    </row>
    <row r="1079" spans="1:10">
      <c r="A1079">
        <v>2019</v>
      </c>
      <c r="B1079" t="s">
        <v>1429</v>
      </c>
      <c r="C1079" t="s">
        <v>1431</v>
      </c>
      <c r="D1079" t="s">
        <v>1433</v>
      </c>
      <c r="E1079" t="s">
        <v>624</v>
      </c>
      <c r="F1079" s="9" t="s">
        <v>624</v>
      </c>
      <c r="G1079" s="18">
        <v>87352</v>
      </c>
      <c r="H1079">
        <v>0</v>
      </c>
      <c r="I1079" s="29">
        <f t="shared" si="16"/>
        <v>87352</v>
      </c>
      <c r="J1079" t="str">
        <f>IFERROR(VLOOKUP(E1079,'LEAID Match'!$A$2:$B$168,2,FALSE),"")</f>
        <v/>
      </c>
    </row>
    <row r="1080" spans="1:10">
      <c r="A1080">
        <v>2019</v>
      </c>
      <c r="B1080" t="s">
        <v>1429</v>
      </c>
      <c r="C1080" t="s">
        <v>1431</v>
      </c>
      <c r="D1080" t="s">
        <v>1433</v>
      </c>
      <c r="E1080" t="s">
        <v>624</v>
      </c>
      <c r="F1080" s="9" t="s">
        <v>625</v>
      </c>
      <c r="G1080" s="18">
        <v>213257</v>
      </c>
      <c r="H1080">
        <v>0</v>
      </c>
      <c r="I1080" s="29">
        <f t="shared" si="16"/>
        <v>213257</v>
      </c>
      <c r="J1080" t="str">
        <f>IFERROR(VLOOKUP(E1080,'LEAID Match'!$A$2:$B$168,2,FALSE),"")</f>
        <v/>
      </c>
    </row>
    <row r="1081" spans="1:10">
      <c r="A1081">
        <v>2016</v>
      </c>
      <c r="B1081" t="s">
        <v>1429</v>
      </c>
      <c r="C1081" t="s">
        <v>1431</v>
      </c>
      <c r="D1081" t="s">
        <v>1433</v>
      </c>
      <c r="E1081" t="s">
        <v>935</v>
      </c>
      <c r="F1081" t="s">
        <v>935</v>
      </c>
      <c r="G1081" s="28">
        <v>184511</v>
      </c>
      <c r="H1081">
        <v>0</v>
      </c>
      <c r="I1081" s="29">
        <f t="shared" si="16"/>
        <v>184511</v>
      </c>
      <c r="J1081" t="str">
        <f>IFERROR(VLOOKUP(E1081,'LEAID Match'!$A$2:$B$168,2,FALSE),"")</f>
        <v/>
      </c>
    </row>
    <row r="1082" spans="1:10">
      <c r="A1082">
        <v>2017</v>
      </c>
      <c r="B1082" t="s">
        <v>1429</v>
      </c>
      <c r="C1082" t="s">
        <v>1431</v>
      </c>
      <c r="D1082" t="s">
        <v>1433</v>
      </c>
      <c r="E1082" t="s">
        <v>935</v>
      </c>
      <c r="F1082" t="s">
        <v>935</v>
      </c>
      <c r="G1082" s="28">
        <v>179198</v>
      </c>
      <c r="H1082">
        <v>0</v>
      </c>
      <c r="I1082" s="29">
        <f t="shared" si="16"/>
        <v>179198</v>
      </c>
      <c r="J1082" t="str">
        <f>IFERROR(VLOOKUP(E1082,'LEAID Match'!$A$2:$B$168,2,FALSE),"")</f>
        <v/>
      </c>
    </row>
    <row r="1083" spans="1:10">
      <c r="A1083">
        <v>2015</v>
      </c>
      <c r="B1083" t="s">
        <v>1429</v>
      </c>
      <c r="C1083" t="s">
        <v>1431</v>
      </c>
      <c r="D1083" t="s">
        <v>1433</v>
      </c>
      <c r="E1083" t="s">
        <v>83</v>
      </c>
      <c r="F1083" s="9" t="s">
        <v>1089</v>
      </c>
      <c r="G1083" s="18">
        <v>285568.51</v>
      </c>
      <c r="H1083">
        <v>0</v>
      </c>
      <c r="I1083" s="29">
        <f t="shared" si="16"/>
        <v>285568.51</v>
      </c>
      <c r="J1083">
        <f>IFERROR(VLOOKUP(E1083,'LEAID Match'!$A$2:$B$168,2,FALSE),"")</f>
        <v>3303420</v>
      </c>
    </row>
    <row r="1084" spans="1:10">
      <c r="A1084">
        <v>2016</v>
      </c>
      <c r="B1084" t="s">
        <v>1429</v>
      </c>
      <c r="C1084" t="s">
        <v>1431</v>
      </c>
      <c r="D1084" t="s">
        <v>1433</v>
      </c>
      <c r="E1084" t="s">
        <v>83</v>
      </c>
      <c r="F1084" t="s">
        <v>626</v>
      </c>
      <c r="G1084" s="28">
        <v>308717</v>
      </c>
      <c r="H1084">
        <v>0</v>
      </c>
      <c r="I1084" s="29">
        <f t="shared" si="16"/>
        <v>308717</v>
      </c>
      <c r="J1084">
        <f>IFERROR(VLOOKUP(E1084,'LEAID Match'!$A$2:$B$168,2,FALSE),"")</f>
        <v>3303420</v>
      </c>
    </row>
    <row r="1085" spans="1:10">
      <c r="A1085">
        <v>2017</v>
      </c>
      <c r="B1085" t="s">
        <v>1429</v>
      </c>
      <c r="C1085" t="s">
        <v>1431</v>
      </c>
      <c r="D1085" t="s">
        <v>1433</v>
      </c>
      <c r="E1085" t="s">
        <v>83</v>
      </c>
      <c r="F1085" t="s">
        <v>626</v>
      </c>
      <c r="G1085" s="28">
        <v>318228</v>
      </c>
      <c r="H1085">
        <v>0</v>
      </c>
      <c r="I1085" s="29">
        <f t="shared" si="16"/>
        <v>318228</v>
      </c>
      <c r="J1085">
        <f>IFERROR(VLOOKUP(E1085,'LEAID Match'!$A$2:$B$168,2,FALSE),"")</f>
        <v>3303420</v>
      </c>
    </row>
    <row r="1086" spans="1:10">
      <c r="A1086" s="27">
        <v>2018</v>
      </c>
      <c r="B1086" t="s">
        <v>1429</v>
      </c>
      <c r="C1086" t="s">
        <v>1431</v>
      </c>
      <c r="D1086" t="s">
        <v>1433</v>
      </c>
      <c r="E1086" t="s">
        <v>83</v>
      </c>
      <c r="F1086" s="9" t="s">
        <v>626</v>
      </c>
      <c r="G1086" s="18">
        <v>448396</v>
      </c>
      <c r="H1086">
        <v>0</v>
      </c>
      <c r="I1086" s="29">
        <f t="shared" si="16"/>
        <v>448396</v>
      </c>
      <c r="J1086">
        <f>IFERROR(VLOOKUP(E1086,'LEAID Match'!$A$2:$B$168,2,FALSE),"")</f>
        <v>3303420</v>
      </c>
    </row>
    <row r="1087" spans="1:10">
      <c r="A1087">
        <v>2019</v>
      </c>
      <c r="B1087" t="s">
        <v>1429</v>
      </c>
      <c r="C1087" t="s">
        <v>1431</v>
      </c>
      <c r="D1087" t="s">
        <v>1433</v>
      </c>
      <c r="E1087" t="s">
        <v>83</v>
      </c>
      <c r="F1087" s="9" t="s">
        <v>626</v>
      </c>
      <c r="G1087" s="18">
        <v>476217</v>
      </c>
      <c r="H1087">
        <v>0</v>
      </c>
      <c r="I1087" s="29">
        <f t="shared" si="16"/>
        <v>476217</v>
      </c>
      <c r="J1087">
        <f>IFERROR(VLOOKUP(E1087,'LEAID Match'!$A$2:$B$168,2,FALSE),"")</f>
        <v>3303420</v>
      </c>
    </row>
    <row r="1088" spans="1:10">
      <c r="A1088" s="27">
        <v>2020</v>
      </c>
      <c r="B1088" t="s">
        <v>1429</v>
      </c>
      <c r="C1088" t="s">
        <v>1431</v>
      </c>
      <c r="D1088" t="s">
        <v>1433</v>
      </c>
      <c r="E1088" t="s">
        <v>83</v>
      </c>
      <c r="F1088" s="9" t="s">
        <v>83</v>
      </c>
      <c r="G1088" s="18">
        <v>480507</v>
      </c>
      <c r="H1088">
        <v>0</v>
      </c>
      <c r="I1088" s="29">
        <f t="shared" si="16"/>
        <v>480507</v>
      </c>
      <c r="J1088">
        <f>IFERROR(VLOOKUP(E1088,'LEAID Match'!$A$2:$B$168,2,FALSE),"")</f>
        <v>3303420</v>
      </c>
    </row>
    <row r="1089" spans="1:10">
      <c r="A1089">
        <v>2021</v>
      </c>
      <c r="B1089" t="s">
        <v>1429</v>
      </c>
      <c r="C1089" t="s">
        <v>1431</v>
      </c>
      <c r="D1089" t="s">
        <v>1433</v>
      </c>
      <c r="E1089" t="s">
        <v>83</v>
      </c>
      <c r="F1089" s="9" t="s">
        <v>83</v>
      </c>
      <c r="G1089" s="18">
        <v>535654</v>
      </c>
      <c r="H1089">
        <v>0</v>
      </c>
      <c r="I1089" s="29">
        <f t="shared" si="16"/>
        <v>535654</v>
      </c>
      <c r="J1089">
        <f>IFERROR(VLOOKUP(E1089,'LEAID Match'!$A$2:$B$168,2,FALSE),"")</f>
        <v>3303420</v>
      </c>
    </row>
    <row r="1090" spans="1:10">
      <c r="A1090">
        <v>2022</v>
      </c>
      <c r="B1090" t="s">
        <v>1429</v>
      </c>
      <c r="C1090" t="s">
        <v>1431</v>
      </c>
      <c r="D1090" t="s">
        <v>1433</v>
      </c>
      <c r="E1090" t="s">
        <v>83</v>
      </c>
      <c r="F1090" s="9" t="s">
        <v>83</v>
      </c>
      <c r="G1090" s="18">
        <v>631686</v>
      </c>
      <c r="H1090">
        <v>0</v>
      </c>
      <c r="I1090" s="29">
        <f t="shared" si="16"/>
        <v>631686</v>
      </c>
      <c r="J1090">
        <f>IFERROR(VLOOKUP(E1090,'LEAID Match'!$A$2:$B$168,2,FALSE),"")</f>
        <v>3303420</v>
      </c>
    </row>
    <row r="1091" spans="1:10">
      <c r="A1091">
        <v>2023</v>
      </c>
      <c r="B1091" t="s">
        <v>1429</v>
      </c>
      <c r="C1091" t="s">
        <v>1431</v>
      </c>
      <c r="D1091" t="s">
        <v>1433</v>
      </c>
      <c r="E1091" t="s">
        <v>83</v>
      </c>
      <c r="F1091" t="s">
        <v>83</v>
      </c>
      <c r="G1091" s="28">
        <v>726386</v>
      </c>
      <c r="H1091">
        <v>0</v>
      </c>
      <c r="I1091" s="29">
        <f t="shared" ref="I1091:I1154" si="17">SUM(G1091:H1091)</f>
        <v>726386</v>
      </c>
      <c r="J1091">
        <f>IFERROR(VLOOKUP(E1091,'LEAID Match'!$A$2:$B$168,2,FALSE),"")</f>
        <v>3303420</v>
      </c>
    </row>
    <row r="1092" spans="1:10">
      <c r="A1092">
        <v>2015</v>
      </c>
      <c r="B1092" t="s">
        <v>1429</v>
      </c>
      <c r="C1092" t="s">
        <v>1431</v>
      </c>
      <c r="D1092" t="s">
        <v>1433</v>
      </c>
      <c r="E1092" t="s">
        <v>627</v>
      </c>
      <c r="F1092" s="9" t="s">
        <v>1090</v>
      </c>
      <c r="G1092" s="18">
        <v>86512.19</v>
      </c>
      <c r="H1092">
        <v>0</v>
      </c>
      <c r="I1092" s="29">
        <f t="shared" si="17"/>
        <v>86512.19</v>
      </c>
      <c r="J1092" t="str">
        <f>IFERROR(VLOOKUP(E1092,'LEAID Match'!$A$2:$B$168,2,FALSE),"")</f>
        <v/>
      </c>
    </row>
    <row r="1093" spans="1:10">
      <c r="A1093">
        <v>2016</v>
      </c>
      <c r="B1093" t="s">
        <v>1429</v>
      </c>
      <c r="C1093" t="s">
        <v>1431</v>
      </c>
      <c r="D1093" t="s">
        <v>1433</v>
      </c>
      <c r="E1093" t="s">
        <v>627</v>
      </c>
      <c r="F1093" t="s">
        <v>627</v>
      </c>
      <c r="G1093" s="28">
        <v>94861</v>
      </c>
      <c r="H1093">
        <v>0</v>
      </c>
      <c r="I1093" s="29">
        <f t="shared" si="17"/>
        <v>94861</v>
      </c>
      <c r="J1093" t="str">
        <f>IFERROR(VLOOKUP(E1093,'LEAID Match'!$A$2:$B$168,2,FALSE),"")</f>
        <v/>
      </c>
    </row>
    <row r="1094" spans="1:10">
      <c r="A1094">
        <v>2017</v>
      </c>
      <c r="B1094" t="s">
        <v>1429</v>
      </c>
      <c r="C1094" t="s">
        <v>1431</v>
      </c>
      <c r="D1094" t="s">
        <v>1433</v>
      </c>
      <c r="E1094" t="s">
        <v>627</v>
      </c>
      <c r="F1094" t="s">
        <v>627</v>
      </c>
      <c r="G1094" s="28">
        <v>105694</v>
      </c>
      <c r="H1094">
        <v>0</v>
      </c>
      <c r="I1094" s="29">
        <f t="shared" si="17"/>
        <v>105694</v>
      </c>
      <c r="J1094" t="str">
        <f>IFERROR(VLOOKUP(E1094,'LEAID Match'!$A$2:$B$168,2,FALSE),"")</f>
        <v/>
      </c>
    </row>
    <row r="1095" spans="1:10">
      <c r="A1095" s="27">
        <v>2018</v>
      </c>
      <c r="B1095" t="s">
        <v>1429</v>
      </c>
      <c r="C1095" t="s">
        <v>1431</v>
      </c>
      <c r="D1095" t="s">
        <v>1433</v>
      </c>
      <c r="E1095" t="s">
        <v>627</v>
      </c>
      <c r="F1095" s="9" t="s">
        <v>627</v>
      </c>
      <c r="G1095" s="18">
        <v>105158</v>
      </c>
      <c r="H1095">
        <v>0</v>
      </c>
      <c r="I1095" s="29">
        <f t="shared" si="17"/>
        <v>105158</v>
      </c>
      <c r="J1095" t="str">
        <f>IFERROR(VLOOKUP(E1095,'LEAID Match'!$A$2:$B$168,2,FALSE),"")</f>
        <v/>
      </c>
    </row>
    <row r="1096" spans="1:10">
      <c r="A1096">
        <v>2019</v>
      </c>
      <c r="B1096" t="s">
        <v>1429</v>
      </c>
      <c r="C1096" t="s">
        <v>1431</v>
      </c>
      <c r="D1096" t="s">
        <v>1433</v>
      </c>
      <c r="E1096" t="s">
        <v>627</v>
      </c>
      <c r="F1096" s="9" t="s">
        <v>627</v>
      </c>
      <c r="G1096" s="18">
        <v>109984</v>
      </c>
      <c r="H1096">
        <v>0</v>
      </c>
      <c r="I1096" s="29">
        <f t="shared" si="17"/>
        <v>109984</v>
      </c>
      <c r="J1096" t="str">
        <f>IFERROR(VLOOKUP(E1096,'LEAID Match'!$A$2:$B$168,2,FALSE),"")</f>
        <v/>
      </c>
    </row>
    <row r="1097" spans="1:10">
      <c r="A1097">
        <v>2015</v>
      </c>
      <c r="B1097" t="s">
        <v>1429</v>
      </c>
      <c r="C1097" t="s">
        <v>1431</v>
      </c>
      <c r="D1097" t="s">
        <v>1433</v>
      </c>
      <c r="E1097" t="s">
        <v>628</v>
      </c>
      <c r="F1097" s="9" t="s">
        <v>1091</v>
      </c>
      <c r="G1097" s="18">
        <v>12077.89</v>
      </c>
      <c r="H1097">
        <v>0</v>
      </c>
      <c r="I1097" s="29">
        <f t="shared" si="17"/>
        <v>12077.89</v>
      </c>
      <c r="J1097" t="str">
        <f>IFERROR(VLOOKUP(E1097,'LEAID Match'!$A$2:$B$168,2,FALSE),"")</f>
        <v/>
      </c>
    </row>
    <row r="1098" spans="1:10">
      <c r="A1098">
        <v>2016</v>
      </c>
      <c r="B1098" t="s">
        <v>1429</v>
      </c>
      <c r="C1098" t="s">
        <v>1431</v>
      </c>
      <c r="D1098" t="s">
        <v>1433</v>
      </c>
      <c r="E1098" t="s">
        <v>628</v>
      </c>
      <c r="F1098" t="s">
        <v>628</v>
      </c>
      <c r="G1098" s="28">
        <v>16532</v>
      </c>
      <c r="H1098">
        <v>0</v>
      </c>
      <c r="I1098" s="29">
        <f t="shared" si="17"/>
        <v>16532</v>
      </c>
      <c r="J1098" t="str">
        <f>IFERROR(VLOOKUP(E1098,'LEAID Match'!$A$2:$B$168,2,FALSE),"")</f>
        <v/>
      </c>
    </row>
    <row r="1099" spans="1:10">
      <c r="A1099">
        <v>2017</v>
      </c>
      <c r="B1099" t="s">
        <v>1429</v>
      </c>
      <c r="C1099" t="s">
        <v>1431</v>
      </c>
      <c r="D1099" t="s">
        <v>1433</v>
      </c>
      <c r="E1099" t="s">
        <v>628</v>
      </c>
      <c r="F1099" t="s">
        <v>628</v>
      </c>
      <c r="G1099" s="28">
        <v>21747</v>
      </c>
      <c r="H1099">
        <v>0</v>
      </c>
      <c r="I1099" s="29">
        <f t="shared" si="17"/>
        <v>21747</v>
      </c>
      <c r="J1099" t="str">
        <f>IFERROR(VLOOKUP(E1099,'LEAID Match'!$A$2:$B$168,2,FALSE),"")</f>
        <v/>
      </c>
    </row>
    <row r="1100" spans="1:10">
      <c r="A1100" s="27">
        <v>2018</v>
      </c>
      <c r="B1100" t="s">
        <v>1429</v>
      </c>
      <c r="C1100" t="s">
        <v>1431</v>
      </c>
      <c r="D1100" t="s">
        <v>1433</v>
      </c>
      <c r="E1100" t="s">
        <v>628</v>
      </c>
      <c r="F1100" s="9" t="s">
        <v>628</v>
      </c>
      <c r="G1100" s="18">
        <v>23198</v>
      </c>
      <c r="H1100">
        <v>0</v>
      </c>
      <c r="I1100" s="29">
        <f t="shared" si="17"/>
        <v>23198</v>
      </c>
      <c r="J1100" t="str">
        <f>IFERROR(VLOOKUP(E1100,'LEAID Match'!$A$2:$B$168,2,FALSE),"")</f>
        <v/>
      </c>
    </row>
    <row r="1101" spans="1:10">
      <c r="A1101">
        <v>2019</v>
      </c>
      <c r="B1101" t="s">
        <v>1429</v>
      </c>
      <c r="C1101" t="s">
        <v>1431</v>
      </c>
      <c r="D1101" t="s">
        <v>1433</v>
      </c>
      <c r="E1101" t="s">
        <v>628</v>
      </c>
      <c r="F1101" s="9" t="s">
        <v>628</v>
      </c>
      <c r="G1101" s="18">
        <v>11138</v>
      </c>
      <c r="H1101">
        <v>0</v>
      </c>
      <c r="I1101" s="29">
        <f t="shared" si="17"/>
        <v>11138</v>
      </c>
      <c r="J1101" t="str">
        <f>IFERROR(VLOOKUP(E1101,'LEAID Match'!$A$2:$B$168,2,FALSE),"")</f>
        <v/>
      </c>
    </row>
    <row r="1102" spans="1:10">
      <c r="A1102">
        <v>2015</v>
      </c>
      <c r="B1102" t="s">
        <v>1429</v>
      </c>
      <c r="C1102" t="s">
        <v>1431</v>
      </c>
      <c r="D1102" t="s">
        <v>1433</v>
      </c>
      <c r="E1102" t="s">
        <v>84</v>
      </c>
      <c r="F1102" s="9" t="s">
        <v>1092</v>
      </c>
      <c r="G1102" s="18">
        <v>329581.11</v>
      </c>
      <c r="H1102">
        <v>0</v>
      </c>
      <c r="I1102" s="29">
        <f t="shared" si="17"/>
        <v>329581.11</v>
      </c>
      <c r="J1102">
        <f>IFERROR(VLOOKUP(E1102,'LEAID Match'!$A$2:$B$168,2,FALSE),"")</f>
        <v>3300035</v>
      </c>
    </row>
    <row r="1103" spans="1:10">
      <c r="A1103">
        <v>2016</v>
      </c>
      <c r="B1103" t="s">
        <v>1429</v>
      </c>
      <c r="C1103" t="s">
        <v>1431</v>
      </c>
      <c r="D1103" t="s">
        <v>1433</v>
      </c>
      <c r="E1103" t="s">
        <v>84</v>
      </c>
      <c r="F1103" t="s">
        <v>629</v>
      </c>
      <c r="G1103" s="28">
        <v>352488</v>
      </c>
      <c r="H1103">
        <v>0</v>
      </c>
      <c r="I1103" s="29">
        <f t="shared" si="17"/>
        <v>352488</v>
      </c>
      <c r="J1103">
        <f>IFERROR(VLOOKUP(E1103,'LEAID Match'!$A$2:$B$168,2,FALSE),"")</f>
        <v>3300035</v>
      </c>
    </row>
    <row r="1104" spans="1:10">
      <c r="A1104">
        <v>2017</v>
      </c>
      <c r="B1104" t="s">
        <v>1429</v>
      </c>
      <c r="C1104" t="s">
        <v>1431</v>
      </c>
      <c r="D1104" t="s">
        <v>1433</v>
      </c>
      <c r="E1104" t="s">
        <v>84</v>
      </c>
      <c r="F1104" t="s">
        <v>629</v>
      </c>
      <c r="G1104" s="28">
        <v>363969</v>
      </c>
      <c r="H1104">
        <v>0</v>
      </c>
      <c r="I1104" s="29">
        <f t="shared" si="17"/>
        <v>363969</v>
      </c>
      <c r="J1104">
        <f>IFERROR(VLOOKUP(E1104,'LEAID Match'!$A$2:$B$168,2,FALSE),"")</f>
        <v>3300035</v>
      </c>
    </row>
    <row r="1105" spans="1:10">
      <c r="A1105" s="27">
        <v>2018</v>
      </c>
      <c r="B1105" t="s">
        <v>1429</v>
      </c>
      <c r="C1105" t="s">
        <v>1431</v>
      </c>
      <c r="D1105" t="s">
        <v>1433</v>
      </c>
      <c r="E1105" t="s">
        <v>84</v>
      </c>
      <c r="F1105" s="9" t="s">
        <v>629</v>
      </c>
      <c r="G1105" s="18">
        <v>423885</v>
      </c>
      <c r="H1105">
        <v>0</v>
      </c>
      <c r="I1105" s="29">
        <f t="shared" si="17"/>
        <v>423885</v>
      </c>
      <c r="J1105">
        <f>IFERROR(VLOOKUP(E1105,'LEAID Match'!$A$2:$B$168,2,FALSE),"")</f>
        <v>3300035</v>
      </c>
    </row>
    <row r="1106" spans="1:10">
      <c r="A1106">
        <v>2019</v>
      </c>
      <c r="B1106" t="s">
        <v>1429</v>
      </c>
      <c r="C1106" t="s">
        <v>1431</v>
      </c>
      <c r="D1106" t="s">
        <v>1433</v>
      </c>
      <c r="E1106" t="s">
        <v>84</v>
      </c>
      <c r="F1106" s="9" t="s">
        <v>629</v>
      </c>
      <c r="G1106" s="18">
        <v>423843</v>
      </c>
      <c r="H1106">
        <v>0</v>
      </c>
      <c r="I1106" s="29">
        <f t="shared" si="17"/>
        <v>423843</v>
      </c>
      <c r="J1106">
        <f>IFERROR(VLOOKUP(E1106,'LEAID Match'!$A$2:$B$168,2,FALSE),"")</f>
        <v>3300035</v>
      </c>
    </row>
    <row r="1107" spans="1:10">
      <c r="A1107" s="27">
        <v>2020</v>
      </c>
      <c r="B1107" t="s">
        <v>1429</v>
      </c>
      <c r="C1107" t="s">
        <v>1431</v>
      </c>
      <c r="D1107" t="s">
        <v>1433</v>
      </c>
      <c r="E1107" t="s">
        <v>84</v>
      </c>
      <c r="F1107" s="9" t="s">
        <v>84</v>
      </c>
      <c r="G1107" s="18">
        <v>457202</v>
      </c>
      <c r="H1107">
        <v>0</v>
      </c>
      <c r="I1107" s="29">
        <f t="shared" si="17"/>
        <v>457202</v>
      </c>
      <c r="J1107">
        <f>IFERROR(VLOOKUP(E1107,'LEAID Match'!$A$2:$B$168,2,FALSE),"")</f>
        <v>3300035</v>
      </c>
    </row>
    <row r="1108" spans="1:10">
      <c r="A1108">
        <v>2021</v>
      </c>
      <c r="B1108" t="s">
        <v>1429</v>
      </c>
      <c r="C1108" t="s">
        <v>1431</v>
      </c>
      <c r="D1108" t="s">
        <v>1433</v>
      </c>
      <c r="E1108" t="s">
        <v>84</v>
      </c>
      <c r="F1108" s="9" t="s">
        <v>84</v>
      </c>
      <c r="G1108" s="18">
        <v>485090</v>
      </c>
      <c r="H1108">
        <v>0</v>
      </c>
      <c r="I1108" s="29">
        <f t="shared" si="17"/>
        <v>485090</v>
      </c>
      <c r="J1108">
        <f>IFERROR(VLOOKUP(E1108,'LEAID Match'!$A$2:$B$168,2,FALSE),"")</f>
        <v>3300035</v>
      </c>
    </row>
    <row r="1109" spans="1:10">
      <c r="A1109">
        <v>2022</v>
      </c>
      <c r="B1109" t="s">
        <v>1429</v>
      </c>
      <c r="C1109" t="s">
        <v>1431</v>
      </c>
      <c r="D1109" t="s">
        <v>1433</v>
      </c>
      <c r="E1109" t="s">
        <v>84</v>
      </c>
      <c r="F1109" s="9" t="s">
        <v>84</v>
      </c>
      <c r="G1109" s="18">
        <v>578527</v>
      </c>
      <c r="H1109">
        <v>0</v>
      </c>
      <c r="I1109" s="29">
        <f t="shared" si="17"/>
        <v>578527</v>
      </c>
      <c r="J1109">
        <f>IFERROR(VLOOKUP(E1109,'LEAID Match'!$A$2:$B$168,2,FALSE),"")</f>
        <v>3300035</v>
      </c>
    </row>
    <row r="1110" spans="1:10">
      <c r="A1110">
        <v>2023</v>
      </c>
      <c r="B1110" t="s">
        <v>1429</v>
      </c>
      <c r="C1110" t="s">
        <v>1431</v>
      </c>
      <c r="D1110" t="s">
        <v>1433</v>
      </c>
      <c r="E1110" t="s">
        <v>84</v>
      </c>
      <c r="F1110" t="s">
        <v>84</v>
      </c>
      <c r="G1110" s="28">
        <v>629989</v>
      </c>
      <c r="H1110">
        <v>0</v>
      </c>
      <c r="I1110" s="29">
        <f t="shared" si="17"/>
        <v>629989</v>
      </c>
      <c r="J1110">
        <f>IFERROR(VLOOKUP(E1110,'LEAID Match'!$A$2:$B$168,2,FALSE),"")</f>
        <v>3300035</v>
      </c>
    </row>
    <row r="1111" spans="1:10">
      <c r="A1111">
        <v>2015</v>
      </c>
      <c r="B1111" t="s">
        <v>1429</v>
      </c>
      <c r="C1111" t="s">
        <v>1431</v>
      </c>
      <c r="D1111" t="s">
        <v>1433</v>
      </c>
      <c r="E1111" t="s">
        <v>630</v>
      </c>
      <c r="F1111" s="9" t="s">
        <v>1093</v>
      </c>
      <c r="G1111" s="18">
        <v>251455.31</v>
      </c>
      <c r="H1111">
        <v>0</v>
      </c>
      <c r="I1111" s="29">
        <f t="shared" si="17"/>
        <v>251455.31</v>
      </c>
      <c r="J1111" t="str">
        <f>IFERROR(VLOOKUP(E1111,'LEAID Match'!$A$2:$B$168,2,FALSE),"")</f>
        <v/>
      </c>
    </row>
    <row r="1112" spans="1:10">
      <c r="A1112">
        <v>2016</v>
      </c>
      <c r="B1112" t="s">
        <v>1429</v>
      </c>
      <c r="C1112" t="s">
        <v>1431</v>
      </c>
      <c r="D1112" t="s">
        <v>1433</v>
      </c>
      <c r="E1112" t="s">
        <v>630</v>
      </c>
      <c r="F1112" t="s">
        <v>630</v>
      </c>
      <c r="G1112" s="28">
        <v>269156</v>
      </c>
      <c r="H1112">
        <v>0</v>
      </c>
      <c r="I1112" s="29">
        <f t="shared" si="17"/>
        <v>269156</v>
      </c>
      <c r="J1112" t="str">
        <f>IFERROR(VLOOKUP(E1112,'LEAID Match'!$A$2:$B$168,2,FALSE),"")</f>
        <v/>
      </c>
    </row>
    <row r="1113" spans="1:10">
      <c r="A1113">
        <v>2017</v>
      </c>
      <c r="B1113" t="s">
        <v>1429</v>
      </c>
      <c r="C1113" t="s">
        <v>1431</v>
      </c>
      <c r="D1113" t="s">
        <v>1433</v>
      </c>
      <c r="E1113" t="s">
        <v>630</v>
      </c>
      <c r="F1113" t="s">
        <v>630</v>
      </c>
      <c r="G1113" s="28">
        <v>278677</v>
      </c>
      <c r="H1113">
        <v>0</v>
      </c>
      <c r="I1113" s="29">
        <f t="shared" si="17"/>
        <v>278677</v>
      </c>
      <c r="J1113" t="str">
        <f>IFERROR(VLOOKUP(E1113,'LEAID Match'!$A$2:$B$168,2,FALSE),"")</f>
        <v/>
      </c>
    </row>
    <row r="1114" spans="1:10">
      <c r="A1114" s="27">
        <v>2018</v>
      </c>
      <c r="B1114" t="s">
        <v>1429</v>
      </c>
      <c r="C1114" t="s">
        <v>1431</v>
      </c>
      <c r="D1114" t="s">
        <v>1433</v>
      </c>
      <c r="E1114" t="s">
        <v>630</v>
      </c>
      <c r="F1114" s="9" t="s">
        <v>630</v>
      </c>
      <c r="G1114" s="18">
        <v>329504</v>
      </c>
      <c r="H1114">
        <v>0</v>
      </c>
      <c r="I1114" s="29">
        <f t="shared" si="17"/>
        <v>329504</v>
      </c>
      <c r="J1114" t="str">
        <f>IFERROR(VLOOKUP(E1114,'LEAID Match'!$A$2:$B$168,2,FALSE),"")</f>
        <v/>
      </c>
    </row>
    <row r="1115" spans="1:10">
      <c r="A1115">
        <v>2019</v>
      </c>
      <c r="B1115" t="s">
        <v>1429</v>
      </c>
      <c r="C1115" t="s">
        <v>1431</v>
      </c>
      <c r="D1115" t="s">
        <v>1433</v>
      </c>
      <c r="E1115" t="s">
        <v>630</v>
      </c>
      <c r="F1115" s="9" t="s">
        <v>630</v>
      </c>
      <c r="G1115" s="18">
        <v>361876</v>
      </c>
      <c r="H1115">
        <v>0</v>
      </c>
      <c r="I1115" s="29">
        <f t="shared" si="17"/>
        <v>361876</v>
      </c>
      <c r="J1115" t="str">
        <f>IFERROR(VLOOKUP(E1115,'LEAID Match'!$A$2:$B$168,2,FALSE),"")</f>
        <v/>
      </c>
    </row>
    <row r="1116" spans="1:10">
      <c r="A1116">
        <v>2015</v>
      </c>
      <c r="B1116" t="s">
        <v>1429</v>
      </c>
      <c r="C1116" t="s">
        <v>1431</v>
      </c>
      <c r="D1116" t="s">
        <v>1433</v>
      </c>
      <c r="E1116" t="s">
        <v>85</v>
      </c>
      <c r="F1116" s="9" t="s">
        <v>1094</v>
      </c>
      <c r="G1116" s="18">
        <v>887219.41</v>
      </c>
      <c r="H1116">
        <v>0</v>
      </c>
      <c r="I1116" s="29">
        <f t="shared" si="17"/>
        <v>887219.41</v>
      </c>
      <c r="J1116">
        <f>IFERROR(VLOOKUP(E1116,'LEAID Match'!$A$2:$B$168,2,FALSE),"")</f>
        <v>3303480</v>
      </c>
    </row>
    <row r="1117" spans="1:10">
      <c r="A1117">
        <v>2016</v>
      </c>
      <c r="B1117" t="s">
        <v>1429</v>
      </c>
      <c r="C1117" t="s">
        <v>1431</v>
      </c>
      <c r="D1117" t="s">
        <v>1433</v>
      </c>
      <c r="E1117" t="s">
        <v>85</v>
      </c>
      <c r="F1117" t="s">
        <v>631</v>
      </c>
      <c r="G1117" s="28">
        <v>977937</v>
      </c>
      <c r="H1117">
        <v>0</v>
      </c>
      <c r="I1117" s="29">
        <f t="shared" si="17"/>
        <v>977937</v>
      </c>
      <c r="J1117">
        <f>IFERROR(VLOOKUP(E1117,'LEAID Match'!$A$2:$B$168,2,FALSE),"")</f>
        <v>3303480</v>
      </c>
    </row>
    <row r="1118" spans="1:10">
      <c r="A1118">
        <v>2017</v>
      </c>
      <c r="B1118" t="s">
        <v>1429</v>
      </c>
      <c r="C1118" t="s">
        <v>1431</v>
      </c>
      <c r="D1118" t="s">
        <v>1433</v>
      </c>
      <c r="E1118" t="s">
        <v>85</v>
      </c>
      <c r="F1118" t="s">
        <v>631</v>
      </c>
      <c r="G1118" s="28">
        <v>984649</v>
      </c>
      <c r="H1118">
        <v>0</v>
      </c>
      <c r="I1118" s="29">
        <f t="shared" si="17"/>
        <v>984649</v>
      </c>
      <c r="J1118">
        <f>IFERROR(VLOOKUP(E1118,'LEAID Match'!$A$2:$B$168,2,FALSE),"")</f>
        <v>3303480</v>
      </c>
    </row>
    <row r="1119" spans="1:10">
      <c r="A1119" s="27">
        <v>2018</v>
      </c>
      <c r="B1119" t="s">
        <v>1429</v>
      </c>
      <c r="C1119" t="s">
        <v>1431</v>
      </c>
      <c r="D1119" t="s">
        <v>1433</v>
      </c>
      <c r="E1119" t="s">
        <v>85</v>
      </c>
      <c r="F1119" s="9" t="s">
        <v>631</v>
      </c>
      <c r="G1119" s="18">
        <v>1208447</v>
      </c>
      <c r="H1119">
        <v>0</v>
      </c>
      <c r="I1119" s="29">
        <f t="shared" si="17"/>
        <v>1208447</v>
      </c>
      <c r="J1119">
        <f>IFERROR(VLOOKUP(E1119,'LEAID Match'!$A$2:$B$168,2,FALSE),"")</f>
        <v>3303480</v>
      </c>
    </row>
    <row r="1120" spans="1:10">
      <c r="A1120">
        <v>2019</v>
      </c>
      <c r="B1120" t="s">
        <v>1429</v>
      </c>
      <c r="C1120" t="s">
        <v>1431</v>
      </c>
      <c r="D1120" t="s">
        <v>1433</v>
      </c>
      <c r="E1120" t="s">
        <v>85</v>
      </c>
      <c r="F1120" s="9" t="s">
        <v>631</v>
      </c>
      <c r="G1120" s="18">
        <v>1226224</v>
      </c>
      <c r="H1120">
        <v>0</v>
      </c>
      <c r="I1120" s="29">
        <f t="shared" si="17"/>
        <v>1226224</v>
      </c>
      <c r="J1120">
        <f>IFERROR(VLOOKUP(E1120,'LEAID Match'!$A$2:$B$168,2,FALSE),"")</f>
        <v>3303480</v>
      </c>
    </row>
    <row r="1121" spans="1:10">
      <c r="A1121" s="27">
        <v>2020</v>
      </c>
      <c r="B1121" t="s">
        <v>1429</v>
      </c>
      <c r="C1121" t="s">
        <v>1431</v>
      </c>
      <c r="D1121" t="s">
        <v>1433</v>
      </c>
      <c r="E1121" t="s">
        <v>85</v>
      </c>
      <c r="F1121" s="9" t="s">
        <v>85</v>
      </c>
      <c r="G1121" s="18">
        <v>1233889</v>
      </c>
      <c r="H1121">
        <v>0</v>
      </c>
      <c r="I1121" s="29">
        <f t="shared" si="17"/>
        <v>1233889</v>
      </c>
      <c r="J1121">
        <f>IFERROR(VLOOKUP(E1121,'LEAID Match'!$A$2:$B$168,2,FALSE),"")</f>
        <v>3303480</v>
      </c>
    </row>
    <row r="1122" spans="1:10">
      <c r="A1122">
        <v>2021</v>
      </c>
      <c r="B1122" t="s">
        <v>1429</v>
      </c>
      <c r="C1122" t="s">
        <v>1431</v>
      </c>
      <c r="D1122" t="s">
        <v>1433</v>
      </c>
      <c r="E1122" t="s">
        <v>85</v>
      </c>
      <c r="F1122" s="9" t="s">
        <v>85</v>
      </c>
      <c r="G1122" s="18">
        <v>1321128</v>
      </c>
      <c r="H1122">
        <v>0</v>
      </c>
      <c r="I1122" s="29">
        <f t="shared" si="17"/>
        <v>1321128</v>
      </c>
      <c r="J1122">
        <f>IFERROR(VLOOKUP(E1122,'LEAID Match'!$A$2:$B$168,2,FALSE),"")</f>
        <v>3303480</v>
      </c>
    </row>
    <row r="1123" spans="1:10">
      <c r="A1123">
        <v>2022</v>
      </c>
      <c r="B1123" t="s">
        <v>1429</v>
      </c>
      <c r="C1123" t="s">
        <v>1431</v>
      </c>
      <c r="D1123" t="s">
        <v>1433</v>
      </c>
      <c r="E1123" t="s">
        <v>85</v>
      </c>
      <c r="F1123" s="9" t="s">
        <v>85</v>
      </c>
      <c r="G1123" s="18">
        <v>1699552</v>
      </c>
      <c r="H1123">
        <v>0</v>
      </c>
      <c r="I1123" s="29">
        <f t="shared" si="17"/>
        <v>1699552</v>
      </c>
      <c r="J1123">
        <f>IFERROR(VLOOKUP(E1123,'LEAID Match'!$A$2:$B$168,2,FALSE),"")</f>
        <v>3303480</v>
      </c>
    </row>
    <row r="1124" spans="1:10">
      <c r="A1124">
        <v>2023</v>
      </c>
      <c r="B1124" t="s">
        <v>1429</v>
      </c>
      <c r="C1124" t="s">
        <v>1431</v>
      </c>
      <c r="D1124" t="s">
        <v>1433</v>
      </c>
      <c r="E1124" t="s">
        <v>85</v>
      </c>
      <c r="F1124" t="s">
        <v>85</v>
      </c>
      <c r="G1124" s="28">
        <v>1775199</v>
      </c>
      <c r="H1124">
        <v>0</v>
      </c>
      <c r="I1124" s="29">
        <f t="shared" si="17"/>
        <v>1775199</v>
      </c>
      <c r="J1124">
        <f>IFERROR(VLOOKUP(E1124,'LEAID Match'!$A$2:$B$168,2,FALSE),"")</f>
        <v>3303480</v>
      </c>
    </row>
    <row r="1125" spans="1:10">
      <c r="A1125">
        <v>2015</v>
      </c>
      <c r="B1125" t="s">
        <v>1429</v>
      </c>
      <c r="C1125" t="s">
        <v>1431</v>
      </c>
      <c r="D1125" t="s">
        <v>1433</v>
      </c>
      <c r="E1125" t="s">
        <v>632</v>
      </c>
      <c r="F1125" s="9" t="s">
        <v>1095</v>
      </c>
      <c r="G1125" s="18">
        <v>1837406.05</v>
      </c>
      <c r="H1125">
        <v>0</v>
      </c>
      <c r="I1125" s="29">
        <f t="shared" si="17"/>
        <v>1837406.05</v>
      </c>
      <c r="J1125" t="str">
        <f>IFERROR(VLOOKUP(E1125,'LEAID Match'!$A$2:$B$168,2,FALSE),"")</f>
        <v/>
      </c>
    </row>
    <row r="1126" spans="1:10">
      <c r="A1126">
        <v>2016</v>
      </c>
      <c r="B1126" t="s">
        <v>1429</v>
      </c>
      <c r="C1126" t="s">
        <v>1431</v>
      </c>
      <c r="D1126" t="s">
        <v>1433</v>
      </c>
      <c r="E1126" t="s">
        <v>632</v>
      </c>
      <c r="F1126" t="s">
        <v>632</v>
      </c>
      <c r="G1126" s="28">
        <v>1921762</v>
      </c>
      <c r="H1126">
        <v>0</v>
      </c>
      <c r="I1126" s="29">
        <f t="shared" si="17"/>
        <v>1921762</v>
      </c>
      <c r="J1126" t="str">
        <f>IFERROR(VLOOKUP(E1126,'LEAID Match'!$A$2:$B$168,2,FALSE),"")</f>
        <v/>
      </c>
    </row>
    <row r="1127" spans="1:10">
      <c r="A1127">
        <v>2017</v>
      </c>
      <c r="B1127" t="s">
        <v>1429</v>
      </c>
      <c r="C1127" t="s">
        <v>1431</v>
      </c>
      <c r="D1127" t="s">
        <v>1433</v>
      </c>
      <c r="E1127" t="s">
        <v>632</v>
      </c>
      <c r="F1127" t="s">
        <v>632</v>
      </c>
      <c r="G1127" s="28">
        <v>1934036</v>
      </c>
      <c r="H1127">
        <v>0</v>
      </c>
      <c r="I1127" s="29">
        <f t="shared" si="17"/>
        <v>1934036</v>
      </c>
      <c r="J1127" t="str">
        <f>IFERROR(VLOOKUP(E1127,'LEAID Match'!$A$2:$B$168,2,FALSE),"")</f>
        <v/>
      </c>
    </row>
    <row r="1128" spans="1:10">
      <c r="A1128" s="27">
        <v>2018</v>
      </c>
      <c r="B1128" t="s">
        <v>1429</v>
      </c>
      <c r="C1128" t="s">
        <v>1431</v>
      </c>
      <c r="D1128" t="s">
        <v>1433</v>
      </c>
      <c r="E1128" t="s">
        <v>632</v>
      </c>
      <c r="F1128" s="9" t="s">
        <v>632</v>
      </c>
      <c r="G1128" s="18">
        <v>2191695</v>
      </c>
      <c r="H1128">
        <v>0</v>
      </c>
      <c r="I1128" s="29">
        <f t="shared" si="17"/>
        <v>2191695</v>
      </c>
      <c r="J1128" t="str">
        <f>IFERROR(VLOOKUP(E1128,'LEAID Match'!$A$2:$B$168,2,FALSE),"")</f>
        <v/>
      </c>
    </row>
    <row r="1129" spans="1:10">
      <c r="A1129">
        <v>2019</v>
      </c>
      <c r="B1129" t="s">
        <v>1429</v>
      </c>
      <c r="C1129" t="s">
        <v>1431</v>
      </c>
      <c r="D1129" t="s">
        <v>1433</v>
      </c>
      <c r="E1129" t="s">
        <v>632</v>
      </c>
      <c r="F1129" s="9" t="s">
        <v>632</v>
      </c>
      <c r="G1129" s="18">
        <v>2281621</v>
      </c>
      <c r="H1129">
        <v>0</v>
      </c>
      <c r="I1129" s="29">
        <f t="shared" si="17"/>
        <v>2281621</v>
      </c>
      <c r="J1129" t="str">
        <f>IFERROR(VLOOKUP(E1129,'LEAID Match'!$A$2:$B$168,2,FALSE),"")</f>
        <v/>
      </c>
    </row>
    <row r="1130" spans="1:10">
      <c r="A1130">
        <v>2015</v>
      </c>
      <c r="B1130" t="s">
        <v>1429</v>
      </c>
      <c r="C1130" t="s">
        <v>1431</v>
      </c>
      <c r="D1130" t="s">
        <v>1433</v>
      </c>
      <c r="E1130" t="s">
        <v>633</v>
      </c>
      <c r="F1130" s="9" t="s">
        <v>1096</v>
      </c>
      <c r="G1130" s="18">
        <v>84159.26</v>
      </c>
      <c r="H1130">
        <v>0</v>
      </c>
      <c r="I1130" s="29">
        <f t="shared" si="17"/>
        <v>84159.26</v>
      </c>
      <c r="J1130" t="str">
        <f>IFERROR(VLOOKUP(E1130,'LEAID Match'!$A$2:$B$168,2,FALSE),"")</f>
        <v/>
      </c>
    </row>
    <row r="1131" spans="1:10">
      <c r="A1131">
        <v>2016</v>
      </c>
      <c r="B1131" t="s">
        <v>1429</v>
      </c>
      <c r="C1131" t="s">
        <v>1431</v>
      </c>
      <c r="D1131" t="s">
        <v>1433</v>
      </c>
      <c r="E1131" t="s">
        <v>633</v>
      </c>
      <c r="F1131" t="s">
        <v>633</v>
      </c>
      <c r="G1131" s="28">
        <v>83923</v>
      </c>
      <c r="H1131">
        <v>0</v>
      </c>
      <c r="I1131" s="29">
        <f t="shared" si="17"/>
        <v>83923</v>
      </c>
      <c r="J1131" t="str">
        <f>IFERROR(VLOOKUP(E1131,'LEAID Match'!$A$2:$B$168,2,FALSE),"")</f>
        <v/>
      </c>
    </row>
    <row r="1132" spans="1:10">
      <c r="A1132">
        <v>2017</v>
      </c>
      <c r="B1132" t="s">
        <v>1429</v>
      </c>
      <c r="C1132" t="s">
        <v>1431</v>
      </c>
      <c r="D1132" t="s">
        <v>1433</v>
      </c>
      <c r="E1132" t="s">
        <v>633</v>
      </c>
      <c r="F1132" t="s">
        <v>633</v>
      </c>
      <c r="G1132" s="28">
        <v>98928</v>
      </c>
      <c r="H1132">
        <v>0</v>
      </c>
      <c r="I1132" s="29">
        <f t="shared" si="17"/>
        <v>98928</v>
      </c>
      <c r="J1132" t="str">
        <f>IFERROR(VLOOKUP(E1132,'LEAID Match'!$A$2:$B$168,2,FALSE),"")</f>
        <v/>
      </c>
    </row>
    <row r="1133" spans="1:10">
      <c r="A1133" s="27">
        <v>2018</v>
      </c>
      <c r="B1133" t="s">
        <v>1429</v>
      </c>
      <c r="C1133" t="s">
        <v>1431</v>
      </c>
      <c r="D1133" t="s">
        <v>1433</v>
      </c>
      <c r="E1133" t="s">
        <v>633</v>
      </c>
      <c r="F1133" s="9" t="s">
        <v>633</v>
      </c>
      <c r="G1133" s="18">
        <v>108140</v>
      </c>
      <c r="H1133">
        <v>0</v>
      </c>
      <c r="I1133" s="29">
        <f t="shared" si="17"/>
        <v>108140</v>
      </c>
      <c r="J1133" t="str">
        <f>IFERROR(VLOOKUP(E1133,'LEAID Match'!$A$2:$B$168,2,FALSE),"")</f>
        <v/>
      </c>
    </row>
    <row r="1134" spans="1:10">
      <c r="A1134">
        <v>2019</v>
      </c>
      <c r="B1134" t="s">
        <v>1429</v>
      </c>
      <c r="C1134" t="s">
        <v>1431</v>
      </c>
      <c r="D1134" t="s">
        <v>1433</v>
      </c>
      <c r="E1134" t="s">
        <v>633</v>
      </c>
      <c r="F1134" s="9" t="s">
        <v>633</v>
      </c>
      <c r="G1134" s="18">
        <v>118335</v>
      </c>
      <c r="H1134">
        <v>0</v>
      </c>
      <c r="I1134" s="29">
        <f t="shared" si="17"/>
        <v>118335</v>
      </c>
      <c r="J1134" t="str">
        <f>IFERROR(VLOOKUP(E1134,'LEAID Match'!$A$2:$B$168,2,FALSE),"")</f>
        <v/>
      </c>
    </row>
    <row r="1135" spans="1:10">
      <c r="A1135">
        <v>2015</v>
      </c>
      <c r="B1135" t="s">
        <v>1429</v>
      </c>
      <c r="C1135" t="s">
        <v>1431</v>
      </c>
      <c r="D1135" t="s">
        <v>1433</v>
      </c>
      <c r="E1135" t="s">
        <v>86</v>
      </c>
      <c r="F1135" s="9" t="s">
        <v>1097</v>
      </c>
      <c r="G1135" s="18">
        <v>307101.01</v>
      </c>
      <c r="H1135">
        <v>0</v>
      </c>
      <c r="I1135" s="29">
        <f t="shared" si="17"/>
        <v>307101.01</v>
      </c>
      <c r="J1135">
        <f>IFERROR(VLOOKUP(E1135,'LEAID Match'!$A$2:$B$168,2,FALSE),"")</f>
        <v>3303540</v>
      </c>
    </row>
    <row r="1136" spans="1:10">
      <c r="A1136">
        <v>2016</v>
      </c>
      <c r="B1136" t="s">
        <v>1429</v>
      </c>
      <c r="C1136" t="s">
        <v>1431</v>
      </c>
      <c r="D1136" t="s">
        <v>1433</v>
      </c>
      <c r="E1136" t="s">
        <v>86</v>
      </c>
      <c r="F1136" t="s">
        <v>634</v>
      </c>
      <c r="G1136" s="28">
        <v>331554</v>
      </c>
      <c r="H1136">
        <v>0</v>
      </c>
      <c r="I1136" s="29">
        <f t="shared" si="17"/>
        <v>331554</v>
      </c>
      <c r="J1136">
        <f>IFERROR(VLOOKUP(E1136,'LEAID Match'!$A$2:$B$168,2,FALSE),"")</f>
        <v>3303540</v>
      </c>
    </row>
    <row r="1137" spans="1:10">
      <c r="A1137">
        <v>2017</v>
      </c>
      <c r="B1137" t="s">
        <v>1429</v>
      </c>
      <c r="C1137" t="s">
        <v>1431</v>
      </c>
      <c r="D1137" t="s">
        <v>1433</v>
      </c>
      <c r="E1137" t="s">
        <v>86</v>
      </c>
      <c r="F1137" t="s">
        <v>634</v>
      </c>
      <c r="G1137" s="28">
        <v>327937</v>
      </c>
      <c r="H1137">
        <v>0</v>
      </c>
      <c r="I1137" s="29">
        <f t="shared" si="17"/>
        <v>327937</v>
      </c>
      <c r="J1137">
        <f>IFERROR(VLOOKUP(E1137,'LEAID Match'!$A$2:$B$168,2,FALSE),"")</f>
        <v>3303540</v>
      </c>
    </row>
    <row r="1138" spans="1:10">
      <c r="A1138" s="27">
        <v>2018</v>
      </c>
      <c r="B1138" t="s">
        <v>1429</v>
      </c>
      <c r="C1138" t="s">
        <v>1431</v>
      </c>
      <c r="D1138" t="s">
        <v>1433</v>
      </c>
      <c r="E1138" t="s">
        <v>86</v>
      </c>
      <c r="F1138" s="9" t="s">
        <v>634</v>
      </c>
      <c r="G1138" s="18">
        <v>405884</v>
      </c>
      <c r="H1138">
        <v>0</v>
      </c>
      <c r="I1138" s="29">
        <f t="shared" si="17"/>
        <v>405884</v>
      </c>
      <c r="J1138">
        <f>IFERROR(VLOOKUP(E1138,'LEAID Match'!$A$2:$B$168,2,FALSE),"")</f>
        <v>3303540</v>
      </c>
    </row>
    <row r="1139" spans="1:10">
      <c r="A1139">
        <v>2019</v>
      </c>
      <c r="B1139" t="s">
        <v>1429</v>
      </c>
      <c r="C1139" t="s">
        <v>1431</v>
      </c>
      <c r="D1139" t="s">
        <v>1433</v>
      </c>
      <c r="E1139" t="s">
        <v>86</v>
      </c>
      <c r="F1139" s="9" t="s">
        <v>634</v>
      </c>
      <c r="G1139" s="18">
        <v>418514</v>
      </c>
      <c r="H1139">
        <v>0</v>
      </c>
      <c r="I1139" s="29">
        <f t="shared" si="17"/>
        <v>418514</v>
      </c>
      <c r="J1139">
        <f>IFERROR(VLOOKUP(E1139,'LEAID Match'!$A$2:$B$168,2,FALSE),"")</f>
        <v>3303540</v>
      </c>
    </row>
    <row r="1140" spans="1:10">
      <c r="A1140" s="27">
        <v>2020</v>
      </c>
      <c r="B1140" t="s">
        <v>1429</v>
      </c>
      <c r="C1140" t="s">
        <v>1431</v>
      </c>
      <c r="D1140" t="s">
        <v>1433</v>
      </c>
      <c r="E1140" t="s">
        <v>86</v>
      </c>
      <c r="F1140" s="9" t="s">
        <v>86</v>
      </c>
      <c r="G1140" s="18">
        <v>446272</v>
      </c>
      <c r="H1140">
        <v>0</v>
      </c>
      <c r="I1140" s="29">
        <f t="shared" si="17"/>
        <v>446272</v>
      </c>
      <c r="J1140">
        <f>IFERROR(VLOOKUP(E1140,'LEAID Match'!$A$2:$B$168,2,FALSE),"")</f>
        <v>3303540</v>
      </c>
    </row>
    <row r="1141" spans="1:10">
      <c r="A1141">
        <v>2021</v>
      </c>
      <c r="B1141" t="s">
        <v>1429</v>
      </c>
      <c r="C1141" t="s">
        <v>1431</v>
      </c>
      <c r="D1141" t="s">
        <v>1433</v>
      </c>
      <c r="E1141" t="s">
        <v>86</v>
      </c>
      <c r="F1141" s="9" t="s">
        <v>86</v>
      </c>
      <c r="G1141" s="18">
        <v>451526</v>
      </c>
      <c r="H1141">
        <v>0</v>
      </c>
      <c r="I1141" s="29">
        <f t="shared" si="17"/>
        <v>451526</v>
      </c>
      <c r="J1141">
        <f>IFERROR(VLOOKUP(E1141,'LEAID Match'!$A$2:$B$168,2,FALSE),"")</f>
        <v>3303540</v>
      </c>
    </row>
    <row r="1142" spans="1:10">
      <c r="A1142">
        <v>2022</v>
      </c>
      <c r="B1142" t="s">
        <v>1429</v>
      </c>
      <c r="C1142" t="s">
        <v>1431</v>
      </c>
      <c r="D1142" t="s">
        <v>1433</v>
      </c>
      <c r="E1142" t="s">
        <v>86</v>
      </c>
      <c r="F1142" s="9" t="s">
        <v>86</v>
      </c>
      <c r="G1142" s="18">
        <v>537593</v>
      </c>
      <c r="H1142">
        <v>0</v>
      </c>
      <c r="I1142" s="29">
        <f t="shared" si="17"/>
        <v>537593</v>
      </c>
      <c r="J1142">
        <f>IFERROR(VLOOKUP(E1142,'LEAID Match'!$A$2:$B$168,2,FALSE),"")</f>
        <v>3303540</v>
      </c>
    </row>
    <row r="1143" spans="1:10">
      <c r="A1143">
        <v>2023</v>
      </c>
      <c r="B1143" t="s">
        <v>1429</v>
      </c>
      <c r="C1143" t="s">
        <v>1431</v>
      </c>
      <c r="D1143" t="s">
        <v>1433</v>
      </c>
      <c r="E1143" t="s">
        <v>86</v>
      </c>
      <c r="F1143" t="s">
        <v>86</v>
      </c>
      <c r="G1143" s="28">
        <v>531904</v>
      </c>
      <c r="H1143">
        <v>0</v>
      </c>
      <c r="I1143" s="29">
        <f t="shared" si="17"/>
        <v>531904</v>
      </c>
      <c r="J1143">
        <f>IFERROR(VLOOKUP(E1143,'LEAID Match'!$A$2:$B$168,2,FALSE),"")</f>
        <v>3303540</v>
      </c>
    </row>
    <row r="1144" spans="1:10">
      <c r="A1144">
        <v>2015</v>
      </c>
      <c r="B1144" t="s">
        <v>1429</v>
      </c>
      <c r="C1144" t="s">
        <v>1431</v>
      </c>
      <c r="D1144" t="s">
        <v>1433</v>
      </c>
      <c r="E1144" t="s">
        <v>87</v>
      </c>
      <c r="F1144" s="9" t="s">
        <v>1098</v>
      </c>
      <c r="G1144" s="18">
        <v>1154749.1499999999</v>
      </c>
      <c r="H1144">
        <v>0</v>
      </c>
      <c r="I1144" s="29">
        <f t="shared" si="17"/>
        <v>1154749.1499999999</v>
      </c>
      <c r="J1144">
        <f>IFERROR(VLOOKUP(E1144,'LEAID Match'!$A$2:$B$168,2,FALSE),"")</f>
        <v>3303510</v>
      </c>
    </row>
    <row r="1145" spans="1:10">
      <c r="A1145">
        <v>2016</v>
      </c>
      <c r="B1145" t="s">
        <v>1429</v>
      </c>
      <c r="C1145" t="s">
        <v>1431</v>
      </c>
      <c r="D1145" t="s">
        <v>1433</v>
      </c>
      <c r="E1145" t="s">
        <v>87</v>
      </c>
      <c r="F1145" t="s">
        <v>635</v>
      </c>
      <c r="G1145" s="28">
        <v>1252591</v>
      </c>
      <c r="H1145">
        <v>0</v>
      </c>
      <c r="I1145" s="29">
        <f t="shared" si="17"/>
        <v>1252591</v>
      </c>
      <c r="J1145">
        <f>IFERROR(VLOOKUP(E1145,'LEAID Match'!$A$2:$B$168,2,FALSE),"")</f>
        <v>3303510</v>
      </c>
    </row>
    <row r="1146" spans="1:10">
      <c r="A1146">
        <v>2017</v>
      </c>
      <c r="B1146" t="s">
        <v>1429</v>
      </c>
      <c r="C1146" t="s">
        <v>1431</v>
      </c>
      <c r="D1146" t="s">
        <v>1433</v>
      </c>
      <c r="E1146" t="s">
        <v>87</v>
      </c>
      <c r="F1146" t="s">
        <v>635</v>
      </c>
      <c r="G1146" s="28">
        <v>1239390</v>
      </c>
      <c r="H1146">
        <v>0</v>
      </c>
      <c r="I1146" s="29">
        <f t="shared" si="17"/>
        <v>1239390</v>
      </c>
      <c r="J1146">
        <f>IFERROR(VLOOKUP(E1146,'LEAID Match'!$A$2:$B$168,2,FALSE),"")</f>
        <v>3303510</v>
      </c>
    </row>
    <row r="1147" spans="1:10">
      <c r="A1147" s="27">
        <v>2018</v>
      </c>
      <c r="B1147" t="s">
        <v>1429</v>
      </c>
      <c r="C1147" t="s">
        <v>1431</v>
      </c>
      <c r="D1147" t="s">
        <v>1433</v>
      </c>
      <c r="E1147" t="s">
        <v>87</v>
      </c>
      <c r="F1147" s="9" t="s">
        <v>635</v>
      </c>
      <c r="G1147" s="18">
        <v>1521586</v>
      </c>
      <c r="H1147">
        <v>0</v>
      </c>
      <c r="I1147" s="29">
        <f t="shared" si="17"/>
        <v>1521586</v>
      </c>
      <c r="J1147">
        <f>IFERROR(VLOOKUP(E1147,'LEAID Match'!$A$2:$B$168,2,FALSE),"")</f>
        <v>3303510</v>
      </c>
    </row>
    <row r="1148" spans="1:10">
      <c r="A1148">
        <v>2019</v>
      </c>
      <c r="B1148" t="s">
        <v>1429</v>
      </c>
      <c r="C1148" t="s">
        <v>1431</v>
      </c>
      <c r="D1148" t="s">
        <v>1433</v>
      </c>
      <c r="E1148" t="s">
        <v>87</v>
      </c>
      <c r="F1148" s="9" t="s">
        <v>635</v>
      </c>
      <c r="G1148" s="18">
        <v>1564494</v>
      </c>
      <c r="H1148">
        <v>0</v>
      </c>
      <c r="I1148" s="29">
        <f t="shared" si="17"/>
        <v>1564494</v>
      </c>
      <c r="J1148">
        <f>IFERROR(VLOOKUP(E1148,'LEAID Match'!$A$2:$B$168,2,FALSE),"")</f>
        <v>3303510</v>
      </c>
    </row>
    <row r="1149" spans="1:10">
      <c r="A1149" s="27">
        <v>2020</v>
      </c>
      <c r="B1149" t="s">
        <v>1429</v>
      </c>
      <c r="C1149" t="s">
        <v>1431</v>
      </c>
      <c r="D1149" t="s">
        <v>1433</v>
      </c>
      <c r="E1149" t="s">
        <v>87</v>
      </c>
      <c r="F1149" s="9" t="s">
        <v>87</v>
      </c>
      <c r="G1149" s="18">
        <v>1634330</v>
      </c>
      <c r="H1149">
        <v>0</v>
      </c>
      <c r="I1149" s="29">
        <f t="shared" si="17"/>
        <v>1634330</v>
      </c>
      <c r="J1149">
        <f>IFERROR(VLOOKUP(E1149,'LEAID Match'!$A$2:$B$168,2,FALSE),"")</f>
        <v>3303510</v>
      </c>
    </row>
    <row r="1150" spans="1:10">
      <c r="A1150">
        <v>2021</v>
      </c>
      <c r="B1150" t="s">
        <v>1429</v>
      </c>
      <c r="C1150" t="s">
        <v>1431</v>
      </c>
      <c r="D1150" t="s">
        <v>1433</v>
      </c>
      <c r="E1150" t="s">
        <v>87</v>
      </c>
      <c r="F1150" s="9" t="s">
        <v>87</v>
      </c>
      <c r="G1150" s="18">
        <v>1601759</v>
      </c>
      <c r="H1150">
        <v>0</v>
      </c>
      <c r="I1150" s="29">
        <f t="shared" si="17"/>
        <v>1601759</v>
      </c>
      <c r="J1150">
        <f>IFERROR(VLOOKUP(E1150,'LEAID Match'!$A$2:$B$168,2,FALSE),"")</f>
        <v>3303510</v>
      </c>
    </row>
    <row r="1151" spans="1:10">
      <c r="A1151">
        <v>2022</v>
      </c>
      <c r="B1151" t="s">
        <v>1429</v>
      </c>
      <c r="C1151" t="s">
        <v>1431</v>
      </c>
      <c r="D1151" t="s">
        <v>1433</v>
      </c>
      <c r="E1151" t="s">
        <v>87</v>
      </c>
      <c r="F1151" s="9" t="s">
        <v>87</v>
      </c>
      <c r="G1151" s="18">
        <v>2064786</v>
      </c>
      <c r="H1151">
        <v>0</v>
      </c>
      <c r="I1151" s="29">
        <f t="shared" si="17"/>
        <v>2064786</v>
      </c>
      <c r="J1151">
        <f>IFERROR(VLOOKUP(E1151,'LEAID Match'!$A$2:$B$168,2,FALSE),"")</f>
        <v>3303510</v>
      </c>
    </row>
    <row r="1152" spans="1:10">
      <c r="A1152">
        <v>2023</v>
      </c>
      <c r="B1152" t="s">
        <v>1429</v>
      </c>
      <c r="C1152" t="s">
        <v>1431</v>
      </c>
      <c r="D1152" t="s">
        <v>1433</v>
      </c>
      <c r="E1152" t="s">
        <v>87</v>
      </c>
      <c r="F1152" t="s">
        <v>87</v>
      </c>
      <c r="G1152" s="28">
        <v>2122759</v>
      </c>
      <c r="H1152">
        <v>0</v>
      </c>
      <c r="I1152" s="29">
        <f t="shared" si="17"/>
        <v>2122759</v>
      </c>
      <c r="J1152">
        <f>IFERROR(VLOOKUP(E1152,'LEAID Match'!$A$2:$B$168,2,FALSE),"")</f>
        <v>3303510</v>
      </c>
    </row>
    <row r="1153" spans="1:10">
      <c r="A1153">
        <v>2015</v>
      </c>
      <c r="B1153" t="s">
        <v>1429</v>
      </c>
      <c r="C1153" t="s">
        <v>1431</v>
      </c>
      <c r="D1153" t="s">
        <v>1433</v>
      </c>
      <c r="E1153" t="s">
        <v>636</v>
      </c>
      <c r="F1153" s="9" t="s">
        <v>1099</v>
      </c>
      <c r="G1153" s="18">
        <v>34835.589999999997</v>
      </c>
      <c r="H1153">
        <v>0</v>
      </c>
      <c r="I1153" s="29">
        <f t="shared" si="17"/>
        <v>34835.589999999997</v>
      </c>
      <c r="J1153" t="str">
        <f>IFERROR(VLOOKUP(E1153,'LEAID Match'!$A$2:$B$168,2,FALSE),"")</f>
        <v/>
      </c>
    </row>
    <row r="1154" spans="1:10">
      <c r="A1154">
        <v>2016</v>
      </c>
      <c r="B1154" t="s">
        <v>1429</v>
      </c>
      <c r="C1154" t="s">
        <v>1431</v>
      </c>
      <c r="D1154" t="s">
        <v>1433</v>
      </c>
      <c r="E1154" t="s">
        <v>636</v>
      </c>
      <c r="F1154" t="s">
        <v>636</v>
      </c>
      <c r="G1154" s="28">
        <v>34332</v>
      </c>
      <c r="H1154">
        <v>0</v>
      </c>
      <c r="I1154" s="29">
        <f t="shared" si="17"/>
        <v>34332</v>
      </c>
      <c r="J1154" t="str">
        <f>IFERROR(VLOOKUP(E1154,'LEAID Match'!$A$2:$B$168,2,FALSE),"")</f>
        <v/>
      </c>
    </row>
    <row r="1155" spans="1:10">
      <c r="A1155">
        <v>2017</v>
      </c>
      <c r="B1155" t="s">
        <v>1429</v>
      </c>
      <c r="C1155" t="s">
        <v>1431</v>
      </c>
      <c r="D1155" t="s">
        <v>1433</v>
      </c>
      <c r="E1155" t="s">
        <v>636</v>
      </c>
      <c r="F1155" t="s">
        <v>636</v>
      </c>
      <c r="G1155" s="28">
        <v>40441</v>
      </c>
      <c r="H1155">
        <v>0</v>
      </c>
      <c r="I1155" s="29">
        <f t="shared" ref="I1155:I1218" si="18">SUM(G1155:H1155)</f>
        <v>40441</v>
      </c>
      <c r="J1155" t="str">
        <f>IFERROR(VLOOKUP(E1155,'LEAID Match'!$A$2:$B$168,2,FALSE),"")</f>
        <v/>
      </c>
    </row>
    <row r="1156" spans="1:10">
      <c r="A1156" s="27">
        <v>2018</v>
      </c>
      <c r="B1156" t="s">
        <v>1429</v>
      </c>
      <c r="C1156" t="s">
        <v>1431</v>
      </c>
      <c r="D1156" t="s">
        <v>1433</v>
      </c>
      <c r="E1156" t="s">
        <v>636</v>
      </c>
      <c r="F1156" s="9" t="s">
        <v>636</v>
      </c>
      <c r="G1156" s="18">
        <v>47521</v>
      </c>
      <c r="H1156">
        <v>0</v>
      </c>
      <c r="I1156" s="29">
        <f t="shared" si="18"/>
        <v>47521</v>
      </c>
      <c r="J1156" t="str">
        <f>IFERROR(VLOOKUP(E1156,'LEAID Match'!$A$2:$B$168,2,FALSE),"")</f>
        <v/>
      </c>
    </row>
    <row r="1157" spans="1:10">
      <c r="A1157">
        <v>2019</v>
      </c>
      <c r="B1157" t="s">
        <v>1429</v>
      </c>
      <c r="C1157" t="s">
        <v>1431</v>
      </c>
      <c r="D1157" t="s">
        <v>1433</v>
      </c>
      <c r="E1157" t="s">
        <v>636</v>
      </c>
      <c r="F1157" s="9" t="s">
        <v>636</v>
      </c>
      <c r="G1157" s="18">
        <v>40210</v>
      </c>
      <c r="H1157">
        <v>0</v>
      </c>
      <c r="I1157" s="29">
        <f t="shared" si="18"/>
        <v>40210</v>
      </c>
      <c r="J1157" t="str">
        <f>IFERROR(VLOOKUP(E1157,'LEAID Match'!$A$2:$B$168,2,FALSE),"")</f>
        <v/>
      </c>
    </row>
    <row r="1158" spans="1:10">
      <c r="A1158">
        <v>2015</v>
      </c>
      <c r="B1158" t="s">
        <v>1429</v>
      </c>
      <c r="C1158" t="s">
        <v>1431</v>
      </c>
      <c r="D1158" t="s">
        <v>1433</v>
      </c>
      <c r="E1158" t="s">
        <v>637</v>
      </c>
      <c r="F1158" s="9" t="s">
        <v>1100</v>
      </c>
      <c r="G1158" s="18">
        <v>1161945.8700000001</v>
      </c>
      <c r="H1158">
        <v>0</v>
      </c>
      <c r="I1158" s="29">
        <f t="shared" si="18"/>
        <v>1161945.8700000001</v>
      </c>
      <c r="J1158" t="str">
        <f>IFERROR(VLOOKUP(E1158,'LEAID Match'!$A$2:$B$168,2,FALSE),"")</f>
        <v/>
      </c>
    </row>
    <row r="1159" spans="1:10">
      <c r="A1159">
        <v>2016</v>
      </c>
      <c r="B1159" t="s">
        <v>1429</v>
      </c>
      <c r="C1159" t="s">
        <v>1431</v>
      </c>
      <c r="D1159" t="s">
        <v>1433</v>
      </c>
      <c r="E1159" t="s">
        <v>637</v>
      </c>
      <c r="F1159" t="s">
        <v>637</v>
      </c>
      <c r="G1159" s="28">
        <v>1276679</v>
      </c>
      <c r="H1159">
        <v>0</v>
      </c>
      <c r="I1159" s="29">
        <f t="shared" si="18"/>
        <v>1276679</v>
      </c>
      <c r="J1159" t="str">
        <f>IFERROR(VLOOKUP(E1159,'LEAID Match'!$A$2:$B$168,2,FALSE),"")</f>
        <v/>
      </c>
    </row>
    <row r="1160" spans="1:10">
      <c r="A1160">
        <v>2017</v>
      </c>
      <c r="B1160" t="s">
        <v>1429</v>
      </c>
      <c r="C1160" t="s">
        <v>1431</v>
      </c>
      <c r="D1160" t="s">
        <v>1433</v>
      </c>
      <c r="E1160" t="s">
        <v>637</v>
      </c>
      <c r="F1160" t="s">
        <v>637</v>
      </c>
      <c r="G1160" s="28">
        <v>1363402</v>
      </c>
      <c r="H1160">
        <v>0</v>
      </c>
      <c r="I1160" s="29">
        <f t="shared" si="18"/>
        <v>1363402</v>
      </c>
      <c r="J1160" t="str">
        <f>IFERROR(VLOOKUP(E1160,'LEAID Match'!$A$2:$B$168,2,FALSE),"")</f>
        <v/>
      </c>
    </row>
    <row r="1161" spans="1:10">
      <c r="A1161" s="27">
        <v>2018</v>
      </c>
      <c r="B1161" t="s">
        <v>1429</v>
      </c>
      <c r="C1161" t="s">
        <v>1431</v>
      </c>
      <c r="D1161" t="s">
        <v>1433</v>
      </c>
      <c r="E1161" t="s">
        <v>637</v>
      </c>
      <c r="F1161" s="9" t="s">
        <v>637</v>
      </c>
      <c r="G1161" s="18">
        <v>1570337</v>
      </c>
      <c r="H1161">
        <v>0</v>
      </c>
      <c r="I1161" s="29">
        <f t="shared" si="18"/>
        <v>1570337</v>
      </c>
      <c r="J1161" t="str">
        <f>IFERROR(VLOOKUP(E1161,'LEAID Match'!$A$2:$B$168,2,FALSE),"")</f>
        <v/>
      </c>
    </row>
    <row r="1162" spans="1:10">
      <c r="A1162">
        <v>2019</v>
      </c>
      <c r="B1162" t="s">
        <v>1429</v>
      </c>
      <c r="C1162" t="s">
        <v>1431</v>
      </c>
      <c r="D1162" t="s">
        <v>1433</v>
      </c>
      <c r="E1162" t="s">
        <v>637</v>
      </c>
      <c r="F1162" s="9" t="s">
        <v>637</v>
      </c>
      <c r="G1162" s="18">
        <v>1532381</v>
      </c>
      <c r="H1162">
        <v>0</v>
      </c>
      <c r="I1162" s="29">
        <f t="shared" si="18"/>
        <v>1532381</v>
      </c>
      <c r="J1162" t="str">
        <f>IFERROR(VLOOKUP(E1162,'LEAID Match'!$A$2:$B$168,2,FALSE),"")</f>
        <v/>
      </c>
    </row>
    <row r="1163" spans="1:10">
      <c r="A1163">
        <v>2015</v>
      </c>
      <c r="B1163" t="s">
        <v>1429</v>
      </c>
      <c r="C1163" t="s">
        <v>1431</v>
      </c>
      <c r="D1163" t="s">
        <v>1433</v>
      </c>
      <c r="E1163" t="s">
        <v>88</v>
      </c>
      <c r="F1163" s="9" t="s">
        <v>1101</v>
      </c>
      <c r="G1163" s="18">
        <v>514145.53</v>
      </c>
      <c r="H1163">
        <v>0</v>
      </c>
      <c r="I1163" s="29">
        <f t="shared" si="18"/>
        <v>514145.53</v>
      </c>
      <c r="J1163">
        <f>IFERROR(VLOOKUP(E1163,'LEAID Match'!$A$2:$B$168,2,FALSE),"")</f>
        <v>3303600</v>
      </c>
    </row>
    <row r="1164" spans="1:10">
      <c r="A1164">
        <v>2016</v>
      </c>
      <c r="B1164" t="s">
        <v>1429</v>
      </c>
      <c r="C1164" t="s">
        <v>1431</v>
      </c>
      <c r="D1164" t="s">
        <v>1433</v>
      </c>
      <c r="E1164" t="s">
        <v>88</v>
      </c>
      <c r="F1164" t="s">
        <v>638</v>
      </c>
      <c r="G1164" s="28">
        <v>567390</v>
      </c>
      <c r="H1164">
        <v>0</v>
      </c>
      <c r="I1164" s="29">
        <f t="shared" si="18"/>
        <v>567390</v>
      </c>
      <c r="J1164">
        <f>IFERROR(VLOOKUP(E1164,'LEAID Match'!$A$2:$B$168,2,FALSE),"")</f>
        <v>3303600</v>
      </c>
    </row>
    <row r="1165" spans="1:10">
      <c r="A1165">
        <v>2017</v>
      </c>
      <c r="B1165" t="s">
        <v>1429</v>
      </c>
      <c r="C1165" t="s">
        <v>1431</v>
      </c>
      <c r="D1165" t="s">
        <v>1433</v>
      </c>
      <c r="E1165" t="s">
        <v>88</v>
      </c>
      <c r="F1165" t="s">
        <v>638</v>
      </c>
      <c r="G1165" s="28">
        <v>569025</v>
      </c>
      <c r="H1165">
        <v>0</v>
      </c>
      <c r="I1165" s="29">
        <f t="shared" si="18"/>
        <v>569025</v>
      </c>
      <c r="J1165">
        <f>IFERROR(VLOOKUP(E1165,'LEAID Match'!$A$2:$B$168,2,FALSE),"")</f>
        <v>3303600</v>
      </c>
    </row>
    <row r="1166" spans="1:10">
      <c r="A1166" s="27">
        <v>2018</v>
      </c>
      <c r="B1166" t="s">
        <v>1429</v>
      </c>
      <c r="C1166" t="s">
        <v>1431</v>
      </c>
      <c r="D1166" t="s">
        <v>1433</v>
      </c>
      <c r="E1166" t="s">
        <v>88</v>
      </c>
      <c r="F1166" s="9" t="s">
        <v>638</v>
      </c>
      <c r="G1166" s="18">
        <v>711484</v>
      </c>
      <c r="H1166">
        <v>0</v>
      </c>
      <c r="I1166" s="29">
        <f t="shared" si="18"/>
        <v>711484</v>
      </c>
      <c r="J1166">
        <f>IFERROR(VLOOKUP(E1166,'LEAID Match'!$A$2:$B$168,2,FALSE),"")</f>
        <v>3303600</v>
      </c>
    </row>
    <row r="1167" spans="1:10">
      <c r="A1167">
        <v>2019</v>
      </c>
      <c r="B1167" t="s">
        <v>1429</v>
      </c>
      <c r="C1167" t="s">
        <v>1431</v>
      </c>
      <c r="D1167" t="s">
        <v>1433</v>
      </c>
      <c r="E1167" t="s">
        <v>88</v>
      </c>
      <c r="F1167" s="9" t="s">
        <v>638</v>
      </c>
      <c r="G1167" s="18">
        <v>754641</v>
      </c>
      <c r="H1167">
        <v>0</v>
      </c>
      <c r="I1167" s="29">
        <f t="shared" si="18"/>
        <v>754641</v>
      </c>
      <c r="J1167">
        <f>IFERROR(VLOOKUP(E1167,'LEAID Match'!$A$2:$B$168,2,FALSE),"")</f>
        <v>3303600</v>
      </c>
    </row>
    <row r="1168" spans="1:10">
      <c r="A1168" s="27">
        <v>2020</v>
      </c>
      <c r="B1168" t="s">
        <v>1429</v>
      </c>
      <c r="C1168" t="s">
        <v>1431</v>
      </c>
      <c r="D1168" t="s">
        <v>1433</v>
      </c>
      <c r="E1168" t="s">
        <v>88</v>
      </c>
      <c r="F1168" s="9" t="s">
        <v>88</v>
      </c>
      <c r="G1168" s="18">
        <v>789328</v>
      </c>
      <c r="H1168">
        <v>0</v>
      </c>
      <c r="I1168" s="29">
        <f t="shared" si="18"/>
        <v>789328</v>
      </c>
      <c r="J1168">
        <f>IFERROR(VLOOKUP(E1168,'LEAID Match'!$A$2:$B$168,2,FALSE),"")</f>
        <v>3303600</v>
      </c>
    </row>
    <row r="1169" spans="1:10">
      <c r="A1169">
        <v>2021</v>
      </c>
      <c r="B1169" t="s">
        <v>1429</v>
      </c>
      <c r="C1169" t="s">
        <v>1431</v>
      </c>
      <c r="D1169" t="s">
        <v>1433</v>
      </c>
      <c r="E1169" t="s">
        <v>88</v>
      </c>
      <c r="F1169" s="9" t="s">
        <v>88</v>
      </c>
      <c r="G1169" s="18">
        <v>778805</v>
      </c>
      <c r="H1169">
        <v>0</v>
      </c>
      <c r="I1169" s="29">
        <f t="shared" si="18"/>
        <v>778805</v>
      </c>
      <c r="J1169">
        <f>IFERROR(VLOOKUP(E1169,'LEAID Match'!$A$2:$B$168,2,FALSE),"")</f>
        <v>3303600</v>
      </c>
    </row>
    <row r="1170" spans="1:10">
      <c r="A1170">
        <v>2022</v>
      </c>
      <c r="B1170" t="s">
        <v>1429</v>
      </c>
      <c r="C1170" t="s">
        <v>1431</v>
      </c>
      <c r="D1170" t="s">
        <v>1433</v>
      </c>
      <c r="E1170" t="s">
        <v>88</v>
      </c>
      <c r="F1170" s="9" t="s">
        <v>88</v>
      </c>
      <c r="G1170" s="18">
        <v>983420</v>
      </c>
      <c r="H1170">
        <v>0</v>
      </c>
      <c r="I1170" s="29">
        <f t="shared" si="18"/>
        <v>983420</v>
      </c>
      <c r="J1170">
        <f>IFERROR(VLOOKUP(E1170,'LEAID Match'!$A$2:$B$168,2,FALSE),"")</f>
        <v>3303600</v>
      </c>
    </row>
    <row r="1171" spans="1:10">
      <c r="A1171">
        <v>2023</v>
      </c>
      <c r="B1171" t="s">
        <v>1429</v>
      </c>
      <c r="C1171" t="s">
        <v>1431</v>
      </c>
      <c r="D1171" t="s">
        <v>1433</v>
      </c>
      <c r="E1171" t="s">
        <v>88</v>
      </c>
      <c r="F1171" t="s">
        <v>88</v>
      </c>
      <c r="G1171" s="28">
        <v>993820</v>
      </c>
      <c r="H1171">
        <v>0</v>
      </c>
      <c r="I1171" s="29">
        <f t="shared" si="18"/>
        <v>993820</v>
      </c>
      <c r="J1171">
        <f>IFERROR(VLOOKUP(E1171,'LEAID Match'!$A$2:$B$168,2,FALSE),"")</f>
        <v>3303600</v>
      </c>
    </row>
    <row r="1172" spans="1:10">
      <c r="A1172">
        <v>2015</v>
      </c>
      <c r="B1172" t="s">
        <v>1429</v>
      </c>
      <c r="C1172" t="s">
        <v>1431</v>
      </c>
      <c r="D1172" t="s">
        <v>1433</v>
      </c>
      <c r="E1172" t="s">
        <v>639</v>
      </c>
      <c r="F1172" s="9" t="s">
        <v>1102</v>
      </c>
      <c r="G1172" s="18">
        <v>11600.26</v>
      </c>
      <c r="H1172">
        <v>0</v>
      </c>
      <c r="I1172" s="29">
        <f t="shared" si="18"/>
        <v>11600.26</v>
      </c>
      <c r="J1172" t="str">
        <f>IFERROR(VLOOKUP(E1172,'LEAID Match'!$A$2:$B$168,2,FALSE),"")</f>
        <v/>
      </c>
    </row>
    <row r="1173" spans="1:10">
      <c r="A1173">
        <v>2016</v>
      </c>
      <c r="B1173" t="s">
        <v>1429</v>
      </c>
      <c r="C1173" t="s">
        <v>1431</v>
      </c>
      <c r="D1173" t="s">
        <v>1433</v>
      </c>
      <c r="E1173" t="s">
        <v>639</v>
      </c>
      <c r="F1173" t="s">
        <v>639</v>
      </c>
      <c r="G1173" s="28">
        <v>12542</v>
      </c>
      <c r="H1173">
        <v>0</v>
      </c>
      <c r="I1173" s="29">
        <f t="shared" si="18"/>
        <v>12542</v>
      </c>
      <c r="J1173" t="str">
        <f>IFERROR(VLOOKUP(E1173,'LEAID Match'!$A$2:$B$168,2,FALSE),"")</f>
        <v/>
      </c>
    </row>
    <row r="1174" spans="1:10">
      <c r="A1174">
        <v>2017</v>
      </c>
      <c r="B1174" t="s">
        <v>1429</v>
      </c>
      <c r="C1174" t="s">
        <v>1431</v>
      </c>
      <c r="D1174" t="s">
        <v>1433</v>
      </c>
      <c r="E1174" t="s">
        <v>639</v>
      </c>
      <c r="F1174" t="s">
        <v>639</v>
      </c>
      <c r="G1174" s="28">
        <v>13453</v>
      </c>
      <c r="H1174">
        <v>0</v>
      </c>
      <c r="I1174" s="29">
        <f t="shared" si="18"/>
        <v>13453</v>
      </c>
      <c r="J1174" t="str">
        <f>IFERROR(VLOOKUP(E1174,'LEAID Match'!$A$2:$B$168,2,FALSE),"")</f>
        <v/>
      </c>
    </row>
    <row r="1175" spans="1:10">
      <c r="A1175" s="27">
        <v>2018</v>
      </c>
      <c r="B1175" t="s">
        <v>1429</v>
      </c>
      <c r="C1175" t="s">
        <v>1431</v>
      </c>
      <c r="D1175" t="s">
        <v>1433</v>
      </c>
      <c r="E1175" t="s">
        <v>639</v>
      </c>
      <c r="F1175" s="9" t="s">
        <v>639</v>
      </c>
      <c r="G1175" s="18">
        <v>14870</v>
      </c>
      <c r="H1175">
        <v>0</v>
      </c>
      <c r="I1175" s="29">
        <f t="shared" si="18"/>
        <v>14870</v>
      </c>
      <c r="J1175" t="str">
        <f>IFERROR(VLOOKUP(E1175,'LEAID Match'!$A$2:$B$168,2,FALSE),"")</f>
        <v/>
      </c>
    </row>
    <row r="1176" spans="1:10">
      <c r="A1176">
        <v>2019</v>
      </c>
      <c r="B1176" t="s">
        <v>1429</v>
      </c>
      <c r="C1176" t="s">
        <v>1431</v>
      </c>
      <c r="D1176" t="s">
        <v>1433</v>
      </c>
      <c r="E1176" t="s">
        <v>639</v>
      </c>
      <c r="F1176" s="9" t="s">
        <v>639</v>
      </c>
      <c r="G1176" s="18">
        <v>15622</v>
      </c>
      <c r="H1176">
        <v>0</v>
      </c>
      <c r="I1176" s="29">
        <f t="shared" si="18"/>
        <v>15622</v>
      </c>
      <c r="J1176" t="str">
        <f>IFERROR(VLOOKUP(E1176,'LEAID Match'!$A$2:$B$168,2,FALSE),"")</f>
        <v/>
      </c>
    </row>
    <row r="1177" spans="1:10">
      <c r="A1177">
        <v>2015</v>
      </c>
      <c r="B1177" t="s">
        <v>1429</v>
      </c>
      <c r="C1177" t="s">
        <v>1431</v>
      </c>
      <c r="D1177" t="s">
        <v>1433</v>
      </c>
      <c r="E1177" t="s">
        <v>89</v>
      </c>
      <c r="F1177" s="9" t="s">
        <v>1103</v>
      </c>
      <c r="G1177" s="18">
        <v>58796.28</v>
      </c>
      <c r="H1177">
        <v>0</v>
      </c>
      <c r="I1177" s="29">
        <f t="shared" si="18"/>
        <v>58796.28</v>
      </c>
      <c r="J1177">
        <f>IFERROR(VLOOKUP(E1177,'LEAID Match'!$A$2:$B$168,2,FALSE),"")</f>
        <v>3303630</v>
      </c>
    </row>
    <row r="1178" spans="1:10">
      <c r="A1178">
        <v>2016</v>
      </c>
      <c r="B1178" t="s">
        <v>1429</v>
      </c>
      <c r="C1178" t="s">
        <v>1431</v>
      </c>
      <c r="D1178" t="s">
        <v>1433</v>
      </c>
      <c r="E1178" t="s">
        <v>89</v>
      </c>
      <c r="F1178" t="s">
        <v>640</v>
      </c>
      <c r="G1178" s="28">
        <v>57564</v>
      </c>
      <c r="H1178">
        <v>0</v>
      </c>
      <c r="I1178" s="29">
        <f t="shared" si="18"/>
        <v>57564</v>
      </c>
      <c r="J1178">
        <f>IFERROR(VLOOKUP(E1178,'LEAID Match'!$A$2:$B$168,2,FALSE),"")</f>
        <v>3303630</v>
      </c>
    </row>
    <row r="1179" spans="1:10">
      <c r="A1179">
        <v>2017</v>
      </c>
      <c r="B1179" t="s">
        <v>1429</v>
      </c>
      <c r="C1179" t="s">
        <v>1431</v>
      </c>
      <c r="D1179" t="s">
        <v>1433</v>
      </c>
      <c r="E1179" t="s">
        <v>89</v>
      </c>
      <c r="F1179" t="s">
        <v>640</v>
      </c>
      <c r="G1179" s="28">
        <v>63708</v>
      </c>
      <c r="H1179">
        <v>0</v>
      </c>
      <c r="I1179" s="29">
        <f t="shared" si="18"/>
        <v>63708</v>
      </c>
      <c r="J1179">
        <f>IFERROR(VLOOKUP(E1179,'LEAID Match'!$A$2:$B$168,2,FALSE),"")</f>
        <v>3303630</v>
      </c>
    </row>
    <row r="1180" spans="1:10">
      <c r="A1180" s="27">
        <v>2018</v>
      </c>
      <c r="B1180" t="s">
        <v>1429</v>
      </c>
      <c r="C1180" t="s">
        <v>1431</v>
      </c>
      <c r="D1180" t="s">
        <v>1433</v>
      </c>
      <c r="E1180" t="s">
        <v>89</v>
      </c>
      <c r="F1180" s="9" t="s">
        <v>640</v>
      </c>
      <c r="G1180" s="18">
        <v>68833</v>
      </c>
      <c r="H1180">
        <v>0</v>
      </c>
      <c r="I1180" s="29">
        <f t="shared" si="18"/>
        <v>68833</v>
      </c>
      <c r="J1180">
        <f>IFERROR(VLOOKUP(E1180,'LEAID Match'!$A$2:$B$168,2,FALSE),"")</f>
        <v>3303630</v>
      </c>
    </row>
    <row r="1181" spans="1:10">
      <c r="A1181">
        <v>2019</v>
      </c>
      <c r="B1181" t="s">
        <v>1429</v>
      </c>
      <c r="C1181" t="s">
        <v>1431</v>
      </c>
      <c r="D1181" t="s">
        <v>1433</v>
      </c>
      <c r="E1181" t="s">
        <v>89</v>
      </c>
      <c r="F1181" s="9" t="s">
        <v>640</v>
      </c>
      <c r="G1181" s="18">
        <v>72074</v>
      </c>
      <c r="H1181">
        <v>0</v>
      </c>
      <c r="I1181" s="29">
        <f t="shared" si="18"/>
        <v>72074</v>
      </c>
      <c r="J1181">
        <f>IFERROR(VLOOKUP(E1181,'LEAID Match'!$A$2:$B$168,2,FALSE),"")</f>
        <v>3303630</v>
      </c>
    </row>
    <row r="1182" spans="1:10">
      <c r="A1182" s="27">
        <v>2020</v>
      </c>
      <c r="B1182" t="s">
        <v>1429</v>
      </c>
      <c r="C1182" t="s">
        <v>1431</v>
      </c>
      <c r="D1182" t="s">
        <v>1433</v>
      </c>
      <c r="E1182" t="s">
        <v>89</v>
      </c>
      <c r="F1182" s="9" t="s">
        <v>89</v>
      </c>
      <c r="G1182" s="18">
        <v>75552</v>
      </c>
      <c r="H1182">
        <v>0</v>
      </c>
      <c r="I1182" s="29">
        <f t="shared" si="18"/>
        <v>75552</v>
      </c>
      <c r="J1182">
        <f>IFERROR(VLOOKUP(E1182,'LEAID Match'!$A$2:$B$168,2,FALSE),"")</f>
        <v>3303630</v>
      </c>
    </row>
    <row r="1183" spans="1:10">
      <c r="A1183">
        <v>2021</v>
      </c>
      <c r="B1183" t="s">
        <v>1429</v>
      </c>
      <c r="C1183" t="s">
        <v>1431</v>
      </c>
      <c r="D1183" t="s">
        <v>1433</v>
      </c>
      <c r="E1183" t="s">
        <v>89</v>
      </c>
      <c r="F1183" s="9" t="s">
        <v>89</v>
      </c>
      <c r="G1183" s="18">
        <v>76276</v>
      </c>
      <c r="H1183">
        <v>0</v>
      </c>
      <c r="I1183" s="29">
        <f t="shared" si="18"/>
        <v>76276</v>
      </c>
      <c r="J1183">
        <f>IFERROR(VLOOKUP(E1183,'LEAID Match'!$A$2:$B$168,2,FALSE),"")</f>
        <v>3303630</v>
      </c>
    </row>
    <row r="1184" spans="1:10">
      <c r="A1184">
        <v>2022</v>
      </c>
      <c r="B1184" t="s">
        <v>1429</v>
      </c>
      <c r="C1184" t="s">
        <v>1431</v>
      </c>
      <c r="D1184" t="s">
        <v>1433</v>
      </c>
      <c r="E1184" t="s">
        <v>89</v>
      </c>
      <c r="F1184" s="9" t="s">
        <v>89</v>
      </c>
      <c r="G1184" s="18">
        <v>117471</v>
      </c>
      <c r="H1184">
        <v>0</v>
      </c>
      <c r="I1184" s="29">
        <f t="shared" si="18"/>
        <v>117471</v>
      </c>
      <c r="J1184">
        <f>IFERROR(VLOOKUP(E1184,'LEAID Match'!$A$2:$B$168,2,FALSE),"")</f>
        <v>3303630</v>
      </c>
    </row>
    <row r="1185" spans="1:10">
      <c r="A1185">
        <v>2023</v>
      </c>
      <c r="B1185" t="s">
        <v>1429</v>
      </c>
      <c r="C1185" t="s">
        <v>1431</v>
      </c>
      <c r="D1185" t="s">
        <v>1433</v>
      </c>
      <c r="E1185" t="s">
        <v>89</v>
      </c>
      <c r="F1185" t="s">
        <v>89</v>
      </c>
      <c r="G1185" s="28">
        <v>118466</v>
      </c>
      <c r="H1185">
        <v>0</v>
      </c>
      <c r="I1185" s="29">
        <f t="shared" si="18"/>
        <v>118466</v>
      </c>
      <c r="J1185">
        <f>IFERROR(VLOOKUP(E1185,'LEAID Match'!$A$2:$B$168,2,FALSE),"")</f>
        <v>3303630</v>
      </c>
    </row>
    <row r="1186" spans="1:10">
      <c r="A1186">
        <v>2015</v>
      </c>
      <c r="B1186" t="s">
        <v>1429</v>
      </c>
      <c r="C1186" t="s">
        <v>1431</v>
      </c>
      <c r="D1186" t="s">
        <v>1433</v>
      </c>
      <c r="E1186" t="s">
        <v>641</v>
      </c>
      <c r="F1186" s="9" t="s">
        <v>1104</v>
      </c>
      <c r="G1186" s="18">
        <v>147137.01999999999</v>
      </c>
      <c r="H1186">
        <v>0</v>
      </c>
      <c r="I1186" s="29">
        <f t="shared" si="18"/>
        <v>147137.01999999999</v>
      </c>
      <c r="J1186" t="str">
        <f>IFERROR(VLOOKUP(E1186,'LEAID Match'!$A$2:$B$168,2,FALSE),"")</f>
        <v/>
      </c>
    </row>
    <row r="1187" spans="1:10">
      <c r="A1187">
        <v>2016</v>
      </c>
      <c r="B1187" t="s">
        <v>1429</v>
      </c>
      <c r="C1187" t="s">
        <v>1431</v>
      </c>
      <c r="D1187" t="s">
        <v>1433</v>
      </c>
      <c r="E1187" t="s">
        <v>641</v>
      </c>
      <c r="F1187" t="s">
        <v>641</v>
      </c>
      <c r="G1187" s="28">
        <v>148485</v>
      </c>
      <c r="H1187">
        <v>0</v>
      </c>
      <c r="I1187" s="29">
        <f t="shared" si="18"/>
        <v>148485</v>
      </c>
      <c r="J1187" t="str">
        <f>IFERROR(VLOOKUP(E1187,'LEAID Match'!$A$2:$B$168,2,FALSE),"")</f>
        <v/>
      </c>
    </row>
    <row r="1188" spans="1:10">
      <c r="A1188">
        <v>2017</v>
      </c>
      <c r="B1188" t="s">
        <v>1429</v>
      </c>
      <c r="C1188" t="s">
        <v>1431</v>
      </c>
      <c r="D1188" t="s">
        <v>1433</v>
      </c>
      <c r="E1188" t="s">
        <v>641</v>
      </c>
      <c r="F1188" t="s">
        <v>641</v>
      </c>
      <c r="G1188" s="28">
        <v>154625</v>
      </c>
      <c r="H1188">
        <v>0</v>
      </c>
      <c r="I1188" s="29">
        <f t="shared" si="18"/>
        <v>154625</v>
      </c>
      <c r="J1188" t="str">
        <f>IFERROR(VLOOKUP(E1188,'LEAID Match'!$A$2:$B$168,2,FALSE),"")</f>
        <v/>
      </c>
    </row>
    <row r="1189" spans="1:10">
      <c r="A1189" s="27">
        <v>2018</v>
      </c>
      <c r="B1189" t="s">
        <v>1429</v>
      </c>
      <c r="C1189" t="s">
        <v>1431</v>
      </c>
      <c r="D1189" t="s">
        <v>1433</v>
      </c>
      <c r="E1189" t="s">
        <v>641</v>
      </c>
      <c r="F1189" s="9" t="s">
        <v>641</v>
      </c>
      <c r="G1189" s="18">
        <v>152424</v>
      </c>
      <c r="H1189">
        <v>0</v>
      </c>
      <c r="I1189" s="29">
        <f t="shared" si="18"/>
        <v>152424</v>
      </c>
      <c r="J1189" t="str">
        <f>IFERROR(VLOOKUP(E1189,'LEAID Match'!$A$2:$B$168,2,FALSE),"")</f>
        <v/>
      </c>
    </row>
    <row r="1190" spans="1:10">
      <c r="A1190">
        <v>2019</v>
      </c>
      <c r="B1190" t="s">
        <v>1429</v>
      </c>
      <c r="C1190" t="s">
        <v>1431</v>
      </c>
      <c r="D1190" t="s">
        <v>1433</v>
      </c>
      <c r="E1190" t="s">
        <v>641</v>
      </c>
      <c r="F1190" s="9" t="s">
        <v>641</v>
      </c>
      <c r="G1190" s="18">
        <v>165948</v>
      </c>
      <c r="H1190">
        <v>0</v>
      </c>
      <c r="I1190" s="29">
        <f t="shared" si="18"/>
        <v>165948</v>
      </c>
      <c r="J1190" t="str">
        <f>IFERROR(VLOOKUP(E1190,'LEAID Match'!$A$2:$B$168,2,FALSE),"")</f>
        <v/>
      </c>
    </row>
    <row r="1191" spans="1:10">
      <c r="A1191">
        <v>2015</v>
      </c>
      <c r="B1191" t="s">
        <v>1429</v>
      </c>
      <c r="C1191" t="s">
        <v>1431</v>
      </c>
      <c r="D1191" t="s">
        <v>1433</v>
      </c>
      <c r="E1191" t="s">
        <v>90</v>
      </c>
      <c r="F1191" s="9" t="s">
        <v>1105</v>
      </c>
      <c r="G1191" s="18">
        <v>680233.91</v>
      </c>
      <c r="H1191">
        <v>0</v>
      </c>
      <c r="I1191" s="29">
        <f t="shared" si="18"/>
        <v>680233.91</v>
      </c>
      <c r="J1191">
        <f>IFERROR(VLOOKUP(E1191,'LEAID Match'!$A$2:$B$168,2,FALSE),"")</f>
        <v>3303660</v>
      </c>
    </row>
    <row r="1192" spans="1:10">
      <c r="A1192">
        <v>2016</v>
      </c>
      <c r="B1192" t="s">
        <v>1429</v>
      </c>
      <c r="C1192" t="s">
        <v>1431</v>
      </c>
      <c r="D1192" t="s">
        <v>1433</v>
      </c>
      <c r="E1192" t="s">
        <v>90</v>
      </c>
      <c r="F1192" t="s">
        <v>642</v>
      </c>
      <c r="G1192" s="28">
        <v>719867</v>
      </c>
      <c r="H1192">
        <v>0</v>
      </c>
      <c r="I1192" s="29">
        <f t="shared" si="18"/>
        <v>719867</v>
      </c>
      <c r="J1192">
        <f>IFERROR(VLOOKUP(E1192,'LEAID Match'!$A$2:$B$168,2,FALSE),"")</f>
        <v>3303660</v>
      </c>
    </row>
    <row r="1193" spans="1:10">
      <c r="A1193">
        <v>2017</v>
      </c>
      <c r="B1193" t="s">
        <v>1429</v>
      </c>
      <c r="C1193" t="s">
        <v>1431</v>
      </c>
      <c r="D1193" t="s">
        <v>1433</v>
      </c>
      <c r="E1193" t="s">
        <v>90</v>
      </c>
      <c r="F1193" t="s">
        <v>642</v>
      </c>
      <c r="G1193" s="28">
        <v>685373</v>
      </c>
      <c r="H1193">
        <v>0</v>
      </c>
      <c r="I1193" s="29">
        <f t="shared" si="18"/>
        <v>685373</v>
      </c>
      <c r="J1193">
        <f>IFERROR(VLOOKUP(E1193,'LEAID Match'!$A$2:$B$168,2,FALSE),"")</f>
        <v>3303660</v>
      </c>
    </row>
    <row r="1194" spans="1:10">
      <c r="A1194" s="27">
        <v>2018</v>
      </c>
      <c r="B1194" t="s">
        <v>1429</v>
      </c>
      <c r="C1194" t="s">
        <v>1431</v>
      </c>
      <c r="D1194" t="s">
        <v>1433</v>
      </c>
      <c r="E1194" t="s">
        <v>90</v>
      </c>
      <c r="F1194" s="9" t="s">
        <v>642</v>
      </c>
      <c r="G1194" s="18">
        <v>815653</v>
      </c>
      <c r="H1194">
        <v>0</v>
      </c>
      <c r="I1194" s="29">
        <f t="shared" si="18"/>
        <v>815653</v>
      </c>
      <c r="J1194">
        <f>IFERROR(VLOOKUP(E1194,'LEAID Match'!$A$2:$B$168,2,FALSE),"")</f>
        <v>3303660</v>
      </c>
    </row>
    <row r="1195" spans="1:10">
      <c r="A1195">
        <v>2019</v>
      </c>
      <c r="B1195" t="s">
        <v>1429</v>
      </c>
      <c r="C1195" t="s">
        <v>1431</v>
      </c>
      <c r="D1195" t="s">
        <v>1433</v>
      </c>
      <c r="E1195" t="s">
        <v>90</v>
      </c>
      <c r="F1195" s="9" t="s">
        <v>642</v>
      </c>
      <c r="G1195" s="18">
        <v>825507</v>
      </c>
      <c r="H1195">
        <v>0</v>
      </c>
      <c r="I1195" s="29">
        <f t="shared" si="18"/>
        <v>825507</v>
      </c>
      <c r="J1195">
        <f>IFERROR(VLOOKUP(E1195,'LEAID Match'!$A$2:$B$168,2,FALSE),"")</f>
        <v>3303660</v>
      </c>
    </row>
    <row r="1196" spans="1:10">
      <c r="A1196" s="27">
        <v>2020</v>
      </c>
      <c r="B1196" t="s">
        <v>1429</v>
      </c>
      <c r="C1196" t="s">
        <v>1431</v>
      </c>
      <c r="D1196" t="s">
        <v>1433</v>
      </c>
      <c r="E1196" t="s">
        <v>90</v>
      </c>
      <c r="F1196" s="9" t="s">
        <v>90</v>
      </c>
      <c r="G1196" s="18">
        <v>831716</v>
      </c>
      <c r="H1196">
        <v>0</v>
      </c>
      <c r="I1196" s="29">
        <f t="shared" si="18"/>
        <v>831716</v>
      </c>
      <c r="J1196">
        <f>IFERROR(VLOOKUP(E1196,'LEAID Match'!$A$2:$B$168,2,FALSE),"")</f>
        <v>3303660</v>
      </c>
    </row>
    <row r="1197" spans="1:10">
      <c r="A1197">
        <v>2021</v>
      </c>
      <c r="B1197" t="s">
        <v>1429</v>
      </c>
      <c r="C1197" t="s">
        <v>1431</v>
      </c>
      <c r="D1197" t="s">
        <v>1433</v>
      </c>
      <c r="E1197" t="s">
        <v>90</v>
      </c>
      <c r="F1197" s="9" t="s">
        <v>90</v>
      </c>
      <c r="G1197" s="18">
        <v>856700</v>
      </c>
      <c r="H1197">
        <v>0</v>
      </c>
      <c r="I1197" s="29">
        <f t="shared" si="18"/>
        <v>856700</v>
      </c>
      <c r="J1197">
        <f>IFERROR(VLOOKUP(E1197,'LEAID Match'!$A$2:$B$168,2,FALSE),"")</f>
        <v>3303660</v>
      </c>
    </row>
    <row r="1198" spans="1:10">
      <c r="A1198">
        <v>2022</v>
      </c>
      <c r="B1198" t="s">
        <v>1429</v>
      </c>
      <c r="C1198" t="s">
        <v>1431</v>
      </c>
      <c r="D1198" t="s">
        <v>1433</v>
      </c>
      <c r="E1198" t="s">
        <v>90</v>
      </c>
      <c r="F1198" s="9" t="s">
        <v>90</v>
      </c>
      <c r="G1198" s="18">
        <v>1123150</v>
      </c>
      <c r="H1198">
        <v>0</v>
      </c>
      <c r="I1198" s="29">
        <f t="shared" si="18"/>
        <v>1123150</v>
      </c>
      <c r="J1198">
        <f>IFERROR(VLOOKUP(E1198,'LEAID Match'!$A$2:$B$168,2,FALSE),"")</f>
        <v>3303660</v>
      </c>
    </row>
    <row r="1199" spans="1:10">
      <c r="A1199">
        <v>2023</v>
      </c>
      <c r="B1199" t="s">
        <v>1429</v>
      </c>
      <c r="C1199" t="s">
        <v>1431</v>
      </c>
      <c r="D1199" t="s">
        <v>1433</v>
      </c>
      <c r="E1199" t="s">
        <v>90</v>
      </c>
      <c r="F1199" t="s">
        <v>90</v>
      </c>
      <c r="G1199" s="28">
        <v>1138679</v>
      </c>
      <c r="H1199">
        <v>0</v>
      </c>
      <c r="I1199" s="29">
        <f t="shared" si="18"/>
        <v>1138679</v>
      </c>
      <c r="J1199">
        <f>IFERROR(VLOOKUP(E1199,'LEAID Match'!$A$2:$B$168,2,FALSE),"")</f>
        <v>3303660</v>
      </c>
    </row>
    <row r="1200" spans="1:10">
      <c r="A1200">
        <v>2015</v>
      </c>
      <c r="B1200" t="s">
        <v>1429</v>
      </c>
      <c r="C1200" t="s">
        <v>1431</v>
      </c>
      <c r="D1200" t="s">
        <v>1433</v>
      </c>
      <c r="E1200" t="s">
        <v>643</v>
      </c>
      <c r="F1200" s="9" t="s">
        <v>1106</v>
      </c>
      <c r="G1200" s="18">
        <v>17995.63</v>
      </c>
      <c r="H1200">
        <v>0</v>
      </c>
      <c r="I1200" s="29">
        <f t="shared" si="18"/>
        <v>17995.63</v>
      </c>
      <c r="J1200" t="str">
        <f>IFERROR(VLOOKUP(E1200,'LEAID Match'!$A$2:$B$168,2,FALSE),"")</f>
        <v/>
      </c>
    </row>
    <row r="1201" spans="1:10">
      <c r="A1201">
        <v>2016</v>
      </c>
      <c r="B1201" t="s">
        <v>1429</v>
      </c>
      <c r="C1201" t="s">
        <v>1431</v>
      </c>
      <c r="D1201" t="s">
        <v>1433</v>
      </c>
      <c r="E1201" t="s">
        <v>643</v>
      </c>
      <c r="F1201" t="s">
        <v>643</v>
      </c>
      <c r="G1201" s="28">
        <v>20170</v>
      </c>
      <c r="H1201">
        <v>0</v>
      </c>
      <c r="I1201" s="29">
        <f t="shared" si="18"/>
        <v>20170</v>
      </c>
      <c r="J1201" t="str">
        <f>IFERROR(VLOOKUP(E1201,'LEAID Match'!$A$2:$B$168,2,FALSE),"")</f>
        <v/>
      </c>
    </row>
    <row r="1202" spans="1:10">
      <c r="A1202">
        <v>2017</v>
      </c>
      <c r="B1202" t="s">
        <v>1429</v>
      </c>
      <c r="C1202" t="s">
        <v>1431</v>
      </c>
      <c r="D1202" t="s">
        <v>1433</v>
      </c>
      <c r="E1202" t="s">
        <v>643</v>
      </c>
      <c r="F1202" t="s">
        <v>643</v>
      </c>
      <c r="G1202" s="28">
        <v>20008</v>
      </c>
      <c r="H1202">
        <v>0</v>
      </c>
      <c r="I1202" s="29">
        <f t="shared" si="18"/>
        <v>20008</v>
      </c>
      <c r="J1202" t="str">
        <f>IFERROR(VLOOKUP(E1202,'LEAID Match'!$A$2:$B$168,2,FALSE),"")</f>
        <v/>
      </c>
    </row>
    <row r="1203" spans="1:10">
      <c r="A1203" s="27">
        <v>2018</v>
      </c>
      <c r="B1203" t="s">
        <v>1429</v>
      </c>
      <c r="C1203" t="s">
        <v>1431</v>
      </c>
      <c r="D1203" t="s">
        <v>1433</v>
      </c>
      <c r="E1203" t="s">
        <v>643</v>
      </c>
      <c r="F1203" s="9" t="s">
        <v>643</v>
      </c>
      <c r="G1203" s="18">
        <v>21862</v>
      </c>
      <c r="H1203">
        <v>0</v>
      </c>
      <c r="I1203" s="29">
        <f t="shared" si="18"/>
        <v>21862</v>
      </c>
      <c r="J1203" t="str">
        <f>IFERROR(VLOOKUP(E1203,'LEAID Match'!$A$2:$B$168,2,FALSE),"")</f>
        <v/>
      </c>
    </row>
    <row r="1204" spans="1:10">
      <c r="A1204">
        <v>2019</v>
      </c>
      <c r="B1204" t="s">
        <v>1429</v>
      </c>
      <c r="C1204" t="s">
        <v>1431</v>
      </c>
      <c r="D1204" t="s">
        <v>1433</v>
      </c>
      <c r="E1204" t="s">
        <v>643</v>
      </c>
      <c r="F1204" s="9" t="s">
        <v>643</v>
      </c>
      <c r="G1204" s="18">
        <v>22931</v>
      </c>
      <c r="H1204">
        <v>0</v>
      </c>
      <c r="I1204" s="29">
        <f t="shared" si="18"/>
        <v>22931</v>
      </c>
      <c r="J1204" t="str">
        <f>IFERROR(VLOOKUP(E1204,'LEAID Match'!$A$2:$B$168,2,FALSE),"")</f>
        <v/>
      </c>
    </row>
    <row r="1205" spans="1:10">
      <c r="A1205">
        <v>2015</v>
      </c>
      <c r="B1205" t="s">
        <v>1429</v>
      </c>
      <c r="C1205" t="s">
        <v>1431</v>
      </c>
      <c r="D1205" t="s">
        <v>1433</v>
      </c>
      <c r="E1205" t="s">
        <v>644</v>
      </c>
      <c r="F1205" s="9" t="s">
        <v>1107</v>
      </c>
      <c r="G1205" s="18">
        <v>233855.39</v>
      </c>
      <c r="H1205">
        <v>0</v>
      </c>
      <c r="I1205" s="29">
        <f t="shared" si="18"/>
        <v>233855.39</v>
      </c>
      <c r="J1205" t="str">
        <f>IFERROR(VLOOKUP(E1205,'LEAID Match'!$A$2:$B$168,2,FALSE),"")</f>
        <v/>
      </c>
    </row>
    <row r="1206" spans="1:10">
      <c r="A1206">
        <v>2016</v>
      </c>
      <c r="B1206" t="s">
        <v>1429</v>
      </c>
      <c r="C1206" t="s">
        <v>1431</v>
      </c>
      <c r="D1206" t="s">
        <v>1433</v>
      </c>
      <c r="E1206" t="s">
        <v>644</v>
      </c>
      <c r="F1206" t="s">
        <v>644</v>
      </c>
      <c r="G1206" s="28">
        <v>251599</v>
      </c>
      <c r="H1206">
        <v>0</v>
      </c>
      <c r="I1206" s="29">
        <f t="shared" si="18"/>
        <v>251599</v>
      </c>
      <c r="J1206" t="str">
        <f>IFERROR(VLOOKUP(E1206,'LEAID Match'!$A$2:$B$168,2,FALSE),"")</f>
        <v/>
      </c>
    </row>
    <row r="1207" spans="1:10">
      <c r="A1207">
        <v>2017</v>
      </c>
      <c r="B1207" t="s">
        <v>1429</v>
      </c>
      <c r="C1207" t="s">
        <v>1431</v>
      </c>
      <c r="D1207" t="s">
        <v>1433</v>
      </c>
      <c r="E1207" t="s">
        <v>644</v>
      </c>
      <c r="F1207" t="s">
        <v>644</v>
      </c>
      <c r="G1207" s="28">
        <v>258708</v>
      </c>
      <c r="H1207">
        <v>0</v>
      </c>
      <c r="I1207" s="29">
        <f t="shared" si="18"/>
        <v>258708</v>
      </c>
      <c r="J1207" t="str">
        <f>IFERROR(VLOOKUP(E1207,'LEAID Match'!$A$2:$B$168,2,FALSE),"")</f>
        <v/>
      </c>
    </row>
    <row r="1208" spans="1:10">
      <c r="A1208" s="27">
        <v>2018</v>
      </c>
      <c r="B1208" t="s">
        <v>1429</v>
      </c>
      <c r="C1208" t="s">
        <v>1431</v>
      </c>
      <c r="D1208" t="s">
        <v>1433</v>
      </c>
      <c r="E1208" t="s">
        <v>644</v>
      </c>
      <c r="F1208" s="9" t="s">
        <v>644</v>
      </c>
      <c r="G1208" s="18">
        <v>284592</v>
      </c>
      <c r="H1208">
        <v>0</v>
      </c>
      <c r="I1208" s="29">
        <f t="shared" si="18"/>
        <v>284592</v>
      </c>
      <c r="J1208" t="str">
        <f>IFERROR(VLOOKUP(E1208,'LEAID Match'!$A$2:$B$168,2,FALSE),"")</f>
        <v/>
      </c>
    </row>
    <row r="1209" spans="1:10">
      <c r="A1209">
        <v>2019</v>
      </c>
      <c r="B1209" t="s">
        <v>1429</v>
      </c>
      <c r="C1209" t="s">
        <v>1431</v>
      </c>
      <c r="D1209" t="s">
        <v>1433</v>
      </c>
      <c r="E1209" t="s">
        <v>644</v>
      </c>
      <c r="F1209" s="9" t="s">
        <v>644</v>
      </c>
      <c r="G1209" s="18">
        <v>298516</v>
      </c>
      <c r="H1209">
        <v>0</v>
      </c>
      <c r="I1209" s="29">
        <f t="shared" si="18"/>
        <v>298516</v>
      </c>
      <c r="J1209" t="str">
        <f>IFERROR(VLOOKUP(E1209,'LEAID Match'!$A$2:$B$168,2,FALSE),"")</f>
        <v/>
      </c>
    </row>
    <row r="1210" spans="1:10">
      <c r="A1210">
        <v>2015</v>
      </c>
      <c r="B1210" t="s">
        <v>1429</v>
      </c>
      <c r="C1210" t="s">
        <v>1431</v>
      </c>
      <c r="D1210" t="s">
        <v>1433</v>
      </c>
      <c r="E1210" t="s">
        <v>91</v>
      </c>
      <c r="F1210" s="9" t="s">
        <v>1108</v>
      </c>
      <c r="G1210" s="18">
        <v>364045.76</v>
      </c>
      <c r="H1210">
        <v>0</v>
      </c>
      <c r="I1210" s="29">
        <f t="shared" si="18"/>
        <v>364045.76</v>
      </c>
      <c r="J1210">
        <f>IFERROR(VLOOKUP(E1210,'LEAID Match'!$A$2:$B$168,2,FALSE),"")</f>
        <v>3303690</v>
      </c>
    </row>
    <row r="1211" spans="1:10">
      <c r="A1211">
        <v>2016</v>
      </c>
      <c r="B1211" t="s">
        <v>1429</v>
      </c>
      <c r="C1211" t="s">
        <v>1431</v>
      </c>
      <c r="D1211" t="s">
        <v>1433</v>
      </c>
      <c r="E1211" t="s">
        <v>91</v>
      </c>
      <c r="F1211" t="s">
        <v>645</v>
      </c>
      <c r="G1211" s="28">
        <v>398175</v>
      </c>
      <c r="H1211">
        <v>0</v>
      </c>
      <c r="I1211" s="29">
        <f t="shared" si="18"/>
        <v>398175</v>
      </c>
      <c r="J1211">
        <f>IFERROR(VLOOKUP(E1211,'LEAID Match'!$A$2:$B$168,2,FALSE),"")</f>
        <v>3303690</v>
      </c>
    </row>
    <row r="1212" spans="1:10">
      <c r="A1212">
        <v>2017</v>
      </c>
      <c r="B1212" t="s">
        <v>1429</v>
      </c>
      <c r="C1212" t="s">
        <v>1431</v>
      </c>
      <c r="D1212" t="s">
        <v>1433</v>
      </c>
      <c r="E1212" t="s">
        <v>91</v>
      </c>
      <c r="F1212" t="s">
        <v>645</v>
      </c>
      <c r="G1212" s="28">
        <v>406015</v>
      </c>
      <c r="H1212">
        <v>0</v>
      </c>
      <c r="I1212" s="29">
        <f t="shared" si="18"/>
        <v>406015</v>
      </c>
      <c r="J1212">
        <f>IFERROR(VLOOKUP(E1212,'LEAID Match'!$A$2:$B$168,2,FALSE),"")</f>
        <v>3303690</v>
      </c>
    </row>
    <row r="1213" spans="1:10">
      <c r="A1213" s="27">
        <v>2018</v>
      </c>
      <c r="B1213" t="s">
        <v>1429</v>
      </c>
      <c r="C1213" t="s">
        <v>1431</v>
      </c>
      <c r="D1213" t="s">
        <v>1433</v>
      </c>
      <c r="E1213" t="s">
        <v>91</v>
      </c>
      <c r="F1213" s="9" t="s">
        <v>645</v>
      </c>
      <c r="G1213" s="18">
        <v>486338</v>
      </c>
      <c r="H1213">
        <v>0</v>
      </c>
      <c r="I1213" s="29">
        <f t="shared" si="18"/>
        <v>486338</v>
      </c>
      <c r="J1213">
        <f>IFERROR(VLOOKUP(E1213,'LEAID Match'!$A$2:$B$168,2,FALSE),"")</f>
        <v>3303690</v>
      </c>
    </row>
    <row r="1214" spans="1:10">
      <c r="A1214">
        <v>2019</v>
      </c>
      <c r="B1214" t="s">
        <v>1429</v>
      </c>
      <c r="C1214" t="s">
        <v>1431</v>
      </c>
      <c r="D1214" t="s">
        <v>1433</v>
      </c>
      <c r="E1214" t="s">
        <v>91</v>
      </c>
      <c r="F1214" s="9" t="s">
        <v>645</v>
      </c>
      <c r="G1214" s="18">
        <v>492789</v>
      </c>
      <c r="H1214">
        <v>0</v>
      </c>
      <c r="I1214" s="29">
        <f t="shared" si="18"/>
        <v>492789</v>
      </c>
      <c r="J1214">
        <f>IFERROR(VLOOKUP(E1214,'LEAID Match'!$A$2:$B$168,2,FALSE),"")</f>
        <v>3303690</v>
      </c>
    </row>
    <row r="1215" spans="1:10">
      <c r="A1215" s="27">
        <v>2020</v>
      </c>
      <c r="B1215" t="s">
        <v>1429</v>
      </c>
      <c r="C1215" t="s">
        <v>1431</v>
      </c>
      <c r="D1215" t="s">
        <v>1433</v>
      </c>
      <c r="E1215" t="s">
        <v>91</v>
      </c>
      <c r="F1215" s="9" t="s">
        <v>91</v>
      </c>
      <c r="G1215" s="18">
        <v>493086</v>
      </c>
      <c r="H1215">
        <v>0</v>
      </c>
      <c r="I1215" s="29">
        <f t="shared" si="18"/>
        <v>493086</v>
      </c>
      <c r="J1215">
        <f>IFERROR(VLOOKUP(E1215,'LEAID Match'!$A$2:$B$168,2,FALSE),"")</f>
        <v>3303690</v>
      </c>
    </row>
    <row r="1216" spans="1:10">
      <c r="A1216">
        <v>2021</v>
      </c>
      <c r="B1216" t="s">
        <v>1429</v>
      </c>
      <c r="C1216" t="s">
        <v>1431</v>
      </c>
      <c r="D1216" t="s">
        <v>1433</v>
      </c>
      <c r="E1216" t="s">
        <v>91</v>
      </c>
      <c r="F1216" s="9" t="s">
        <v>91</v>
      </c>
      <c r="G1216" s="18">
        <v>506158</v>
      </c>
      <c r="H1216">
        <v>0</v>
      </c>
      <c r="I1216" s="29">
        <f t="shared" si="18"/>
        <v>506158</v>
      </c>
      <c r="J1216">
        <f>IFERROR(VLOOKUP(E1216,'LEAID Match'!$A$2:$B$168,2,FALSE),"")</f>
        <v>3303690</v>
      </c>
    </row>
    <row r="1217" spans="1:10">
      <c r="A1217">
        <v>2022</v>
      </c>
      <c r="B1217" t="s">
        <v>1429</v>
      </c>
      <c r="C1217" t="s">
        <v>1431</v>
      </c>
      <c r="D1217" t="s">
        <v>1433</v>
      </c>
      <c r="E1217" t="s">
        <v>91</v>
      </c>
      <c r="F1217" s="9" t="s">
        <v>91</v>
      </c>
      <c r="G1217" s="18">
        <v>638720</v>
      </c>
      <c r="H1217">
        <v>0</v>
      </c>
      <c r="I1217" s="29">
        <f t="shared" si="18"/>
        <v>638720</v>
      </c>
      <c r="J1217">
        <f>IFERROR(VLOOKUP(E1217,'LEAID Match'!$A$2:$B$168,2,FALSE),"")</f>
        <v>3303690</v>
      </c>
    </row>
    <row r="1218" spans="1:10">
      <c r="A1218">
        <v>2023</v>
      </c>
      <c r="B1218" t="s">
        <v>1429</v>
      </c>
      <c r="C1218" t="s">
        <v>1431</v>
      </c>
      <c r="D1218" t="s">
        <v>1433</v>
      </c>
      <c r="E1218" t="s">
        <v>91</v>
      </c>
      <c r="F1218" t="s">
        <v>91</v>
      </c>
      <c r="G1218" s="28">
        <v>619915</v>
      </c>
      <c r="H1218">
        <v>0</v>
      </c>
      <c r="I1218" s="29">
        <f t="shared" si="18"/>
        <v>619915</v>
      </c>
      <c r="J1218">
        <f>IFERROR(VLOOKUP(E1218,'LEAID Match'!$A$2:$B$168,2,FALSE),"")</f>
        <v>3303690</v>
      </c>
    </row>
    <row r="1219" spans="1:10">
      <c r="A1219">
        <v>2015</v>
      </c>
      <c r="B1219" t="s">
        <v>1429</v>
      </c>
      <c r="C1219" t="s">
        <v>1431</v>
      </c>
      <c r="D1219" t="s">
        <v>1433</v>
      </c>
      <c r="E1219" t="s">
        <v>92</v>
      </c>
      <c r="F1219" s="9" t="s">
        <v>1109</v>
      </c>
      <c r="G1219" s="18">
        <v>41083.39</v>
      </c>
      <c r="H1219">
        <v>0</v>
      </c>
      <c r="I1219" s="29">
        <f t="shared" ref="I1219:I1282" si="19">SUM(G1219:H1219)</f>
        <v>41083.39</v>
      </c>
      <c r="J1219">
        <f>IFERROR(VLOOKUP(E1219,'LEAID Match'!$A$2:$B$168,2,FALSE),"")</f>
        <v>3303720</v>
      </c>
    </row>
    <row r="1220" spans="1:10">
      <c r="A1220">
        <v>2016</v>
      </c>
      <c r="B1220" t="s">
        <v>1429</v>
      </c>
      <c r="C1220" t="s">
        <v>1431</v>
      </c>
      <c r="D1220" t="s">
        <v>1433</v>
      </c>
      <c r="E1220" t="s">
        <v>92</v>
      </c>
      <c r="F1220" t="s">
        <v>646</v>
      </c>
      <c r="G1220" s="28">
        <v>43535</v>
      </c>
      <c r="H1220">
        <v>0</v>
      </c>
      <c r="I1220" s="29">
        <f t="shared" si="19"/>
        <v>43535</v>
      </c>
      <c r="J1220">
        <f>IFERROR(VLOOKUP(E1220,'LEAID Match'!$A$2:$B$168,2,FALSE),"")</f>
        <v>3303720</v>
      </c>
    </row>
    <row r="1221" spans="1:10">
      <c r="A1221">
        <v>2017</v>
      </c>
      <c r="B1221" t="s">
        <v>1429</v>
      </c>
      <c r="C1221" t="s">
        <v>1431</v>
      </c>
      <c r="D1221" t="s">
        <v>1433</v>
      </c>
      <c r="E1221" t="s">
        <v>92</v>
      </c>
      <c r="F1221" t="s">
        <v>646</v>
      </c>
      <c r="G1221" s="28">
        <v>39248</v>
      </c>
      <c r="H1221">
        <v>0</v>
      </c>
      <c r="I1221" s="29">
        <f t="shared" si="19"/>
        <v>39248</v>
      </c>
      <c r="J1221">
        <f>IFERROR(VLOOKUP(E1221,'LEAID Match'!$A$2:$B$168,2,FALSE),"")</f>
        <v>3303720</v>
      </c>
    </row>
    <row r="1222" spans="1:10">
      <c r="A1222" s="27">
        <v>2018</v>
      </c>
      <c r="B1222" t="s">
        <v>1429</v>
      </c>
      <c r="C1222" t="s">
        <v>1431</v>
      </c>
      <c r="D1222" t="s">
        <v>1433</v>
      </c>
      <c r="E1222" t="s">
        <v>92</v>
      </c>
      <c r="F1222" s="9" t="s">
        <v>646</v>
      </c>
      <c r="G1222" s="18">
        <v>51377</v>
      </c>
      <c r="H1222">
        <v>0</v>
      </c>
      <c r="I1222" s="29">
        <f t="shared" si="19"/>
        <v>51377</v>
      </c>
      <c r="J1222">
        <f>IFERROR(VLOOKUP(E1222,'LEAID Match'!$A$2:$B$168,2,FALSE),"")</f>
        <v>3303720</v>
      </c>
    </row>
    <row r="1223" spans="1:10">
      <c r="A1223">
        <v>2019</v>
      </c>
      <c r="B1223" t="s">
        <v>1429</v>
      </c>
      <c r="C1223" t="s">
        <v>1431</v>
      </c>
      <c r="D1223" t="s">
        <v>1433</v>
      </c>
      <c r="E1223" t="s">
        <v>92</v>
      </c>
      <c r="F1223" s="9" t="s">
        <v>646</v>
      </c>
      <c r="G1223" s="18">
        <v>57110</v>
      </c>
      <c r="H1223">
        <v>0</v>
      </c>
      <c r="I1223" s="29">
        <f t="shared" si="19"/>
        <v>57110</v>
      </c>
      <c r="J1223">
        <f>IFERROR(VLOOKUP(E1223,'LEAID Match'!$A$2:$B$168,2,FALSE),"")</f>
        <v>3303720</v>
      </c>
    </row>
    <row r="1224" spans="1:10">
      <c r="A1224" s="27">
        <v>2020</v>
      </c>
      <c r="B1224" t="s">
        <v>1429</v>
      </c>
      <c r="C1224" t="s">
        <v>1431</v>
      </c>
      <c r="D1224" t="s">
        <v>1433</v>
      </c>
      <c r="E1224" t="s">
        <v>92</v>
      </c>
      <c r="F1224" s="9" t="s">
        <v>92</v>
      </c>
      <c r="G1224" s="18">
        <v>65602</v>
      </c>
      <c r="H1224">
        <v>0</v>
      </c>
      <c r="I1224" s="29">
        <f t="shared" si="19"/>
        <v>65602</v>
      </c>
      <c r="J1224">
        <f>IFERROR(VLOOKUP(E1224,'LEAID Match'!$A$2:$B$168,2,FALSE),"")</f>
        <v>3303720</v>
      </c>
    </row>
    <row r="1225" spans="1:10">
      <c r="A1225">
        <v>2021</v>
      </c>
      <c r="B1225" t="s">
        <v>1429</v>
      </c>
      <c r="C1225" t="s">
        <v>1431</v>
      </c>
      <c r="D1225" t="s">
        <v>1433</v>
      </c>
      <c r="E1225" t="s">
        <v>92</v>
      </c>
      <c r="F1225" s="9" t="s">
        <v>92</v>
      </c>
      <c r="G1225" s="18">
        <v>67935</v>
      </c>
      <c r="H1225">
        <v>0</v>
      </c>
      <c r="I1225" s="29">
        <f t="shared" si="19"/>
        <v>67935</v>
      </c>
      <c r="J1225">
        <f>IFERROR(VLOOKUP(E1225,'LEAID Match'!$A$2:$B$168,2,FALSE),"")</f>
        <v>3303720</v>
      </c>
    </row>
    <row r="1226" spans="1:10">
      <c r="A1226">
        <v>2022</v>
      </c>
      <c r="B1226" t="s">
        <v>1429</v>
      </c>
      <c r="C1226" t="s">
        <v>1431</v>
      </c>
      <c r="D1226" t="s">
        <v>1433</v>
      </c>
      <c r="E1226" t="s">
        <v>92</v>
      </c>
      <c r="F1226" s="9" t="s">
        <v>92</v>
      </c>
      <c r="G1226" s="18">
        <v>78861</v>
      </c>
      <c r="H1226">
        <v>0</v>
      </c>
      <c r="I1226" s="29">
        <f t="shared" si="19"/>
        <v>78861</v>
      </c>
      <c r="J1226">
        <f>IFERROR(VLOOKUP(E1226,'LEAID Match'!$A$2:$B$168,2,FALSE),"")</f>
        <v>3303720</v>
      </c>
    </row>
    <row r="1227" spans="1:10">
      <c r="A1227">
        <v>2023</v>
      </c>
      <c r="B1227" t="s">
        <v>1429</v>
      </c>
      <c r="C1227" t="s">
        <v>1431</v>
      </c>
      <c r="D1227" t="s">
        <v>1433</v>
      </c>
      <c r="E1227" t="s">
        <v>92</v>
      </c>
      <c r="F1227" t="s">
        <v>92</v>
      </c>
      <c r="G1227" s="28">
        <v>84673</v>
      </c>
      <c r="H1227">
        <v>0</v>
      </c>
      <c r="I1227" s="29">
        <f t="shared" si="19"/>
        <v>84673</v>
      </c>
      <c r="J1227">
        <f>IFERROR(VLOOKUP(E1227,'LEAID Match'!$A$2:$B$168,2,FALSE),"")</f>
        <v>3303720</v>
      </c>
    </row>
    <row r="1228" spans="1:10">
      <c r="A1228">
        <v>2015</v>
      </c>
      <c r="B1228" t="s">
        <v>1429</v>
      </c>
      <c r="C1228" t="s">
        <v>1431</v>
      </c>
      <c r="D1228" t="s">
        <v>1433</v>
      </c>
      <c r="E1228" t="s">
        <v>428</v>
      </c>
      <c r="F1228" s="9" t="s">
        <v>1110</v>
      </c>
      <c r="G1228" s="18">
        <v>1016636.4</v>
      </c>
      <c r="H1228">
        <v>0</v>
      </c>
      <c r="I1228" s="29">
        <f t="shared" si="19"/>
        <v>1016636.4</v>
      </c>
      <c r="J1228">
        <f>IFERROR(VLOOKUP(E1228,'LEAID Match'!$A$2:$B$168,2,FALSE),"")</f>
        <v>3303750</v>
      </c>
    </row>
    <row r="1229" spans="1:10">
      <c r="A1229">
        <v>2016</v>
      </c>
      <c r="B1229" t="s">
        <v>1429</v>
      </c>
      <c r="C1229" t="s">
        <v>1431</v>
      </c>
      <c r="D1229" t="s">
        <v>1433</v>
      </c>
      <c r="E1229" t="s">
        <v>428</v>
      </c>
      <c r="F1229" t="s">
        <v>647</v>
      </c>
      <c r="G1229" s="28">
        <v>1100686</v>
      </c>
      <c r="H1229">
        <v>0</v>
      </c>
      <c r="I1229" s="29">
        <f t="shared" si="19"/>
        <v>1100686</v>
      </c>
      <c r="J1229">
        <f>IFERROR(VLOOKUP(E1229,'LEAID Match'!$A$2:$B$168,2,FALSE),"")</f>
        <v>3303750</v>
      </c>
    </row>
    <row r="1230" spans="1:10">
      <c r="A1230">
        <v>2017</v>
      </c>
      <c r="B1230" t="s">
        <v>1429</v>
      </c>
      <c r="C1230" t="s">
        <v>1431</v>
      </c>
      <c r="D1230" t="s">
        <v>1433</v>
      </c>
      <c r="E1230" t="s">
        <v>428</v>
      </c>
      <c r="F1230" t="s">
        <v>647</v>
      </c>
      <c r="G1230" s="28">
        <v>1130656</v>
      </c>
      <c r="H1230">
        <v>0</v>
      </c>
      <c r="I1230" s="29">
        <f t="shared" si="19"/>
        <v>1130656</v>
      </c>
      <c r="J1230">
        <f>IFERROR(VLOOKUP(E1230,'LEAID Match'!$A$2:$B$168,2,FALSE),"")</f>
        <v>3303750</v>
      </c>
    </row>
    <row r="1231" spans="1:10">
      <c r="A1231" s="27">
        <v>2018</v>
      </c>
      <c r="B1231" t="s">
        <v>1429</v>
      </c>
      <c r="C1231" t="s">
        <v>1431</v>
      </c>
      <c r="D1231" t="s">
        <v>1433</v>
      </c>
      <c r="E1231" t="s">
        <v>428</v>
      </c>
      <c r="F1231" s="9" t="s">
        <v>647</v>
      </c>
      <c r="G1231" s="18">
        <v>1431435</v>
      </c>
      <c r="H1231">
        <v>0</v>
      </c>
      <c r="I1231" s="29">
        <f t="shared" si="19"/>
        <v>1431435</v>
      </c>
      <c r="J1231">
        <f>IFERROR(VLOOKUP(E1231,'LEAID Match'!$A$2:$B$168,2,FALSE),"")</f>
        <v>3303750</v>
      </c>
    </row>
    <row r="1232" spans="1:10">
      <c r="A1232">
        <v>2019</v>
      </c>
      <c r="B1232" t="s">
        <v>1429</v>
      </c>
      <c r="C1232" t="s">
        <v>1431</v>
      </c>
      <c r="D1232" t="s">
        <v>1433</v>
      </c>
      <c r="E1232" t="s">
        <v>428</v>
      </c>
      <c r="F1232" s="9" t="s">
        <v>647</v>
      </c>
      <c r="G1232" s="18">
        <v>1468774</v>
      </c>
      <c r="H1232">
        <v>0</v>
      </c>
      <c r="I1232" s="29">
        <f t="shared" si="19"/>
        <v>1468774</v>
      </c>
      <c r="J1232">
        <f>IFERROR(VLOOKUP(E1232,'LEAID Match'!$A$2:$B$168,2,FALSE),"")</f>
        <v>3303750</v>
      </c>
    </row>
    <row r="1233" spans="1:10">
      <c r="A1233" s="27">
        <v>2020</v>
      </c>
      <c r="B1233" t="s">
        <v>1429</v>
      </c>
      <c r="C1233" t="s">
        <v>1431</v>
      </c>
      <c r="D1233" t="s">
        <v>1433</v>
      </c>
      <c r="E1233" t="s">
        <v>428</v>
      </c>
      <c r="F1233" s="9" t="s">
        <v>428</v>
      </c>
      <c r="G1233" s="18">
        <v>1554022</v>
      </c>
      <c r="H1233">
        <v>0</v>
      </c>
      <c r="I1233" s="29">
        <f t="shared" si="19"/>
        <v>1554022</v>
      </c>
      <c r="J1233">
        <f>IFERROR(VLOOKUP(E1233,'LEAID Match'!$A$2:$B$168,2,FALSE),"")</f>
        <v>3303750</v>
      </c>
    </row>
    <row r="1234" spans="1:10">
      <c r="A1234">
        <v>2021</v>
      </c>
      <c r="B1234" t="s">
        <v>1429</v>
      </c>
      <c r="C1234" t="s">
        <v>1431</v>
      </c>
      <c r="D1234" t="s">
        <v>1433</v>
      </c>
      <c r="E1234" t="s">
        <v>428</v>
      </c>
      <c r="F1234" s="9" t="s">
        <v>428</v>
      </c>
      <c r="G1234" s="18">
        <v>1580689</v>
      </c>
      <c r="H1234">
        <v>0</v>
      </c>
      <c r="I1234" s="29">
        <f t="shared" si="19"/>
        <v>1580689</v>
      </c>
      <c r="J1234">
        <f>IFERROR(VLOOKUP(E1234,'LEAID Match'!$A$2:$B$168,2,FALSE),"")</f>
        <v>3303750</v>
      </c>
    </row>
    <row r="1235" spans="1:10">
      <c r="A1235">
        <v>2022</v>
      </c>
      <c r="B1235" t="s">
        <v>1429</v>
      </c>
      <c r="C1235" t="s">
        <v>1431</v>
      </c>
      <c r="D1235" t="s">
        <v>1433</v>
      </c>
      <c r="E1235" t="s">
        <v>428</v>
      </c>
      <c r="F1235" s="9" t="s">
        <v>428</v>
      </c>
      <c r="G1235" s="18">
        <v>1928991</v>
      </c>
      <c r="H1235">
        <v>0</v>
      </c>
      <c r="I1235" s="29">
        <f t="shared" si="19"/>
        <v>1928991</v>
      </c>
      <c r="J1235">
        <f>IFERROR(VLOOKUP(E1235,'LEAID Match'!$A$2:$B$168,2,FALSE),"")</f>
        <v>3303750</v>
      </c>
    </row>
    <row r="1236" spans="1:10">
      <c r="A1236">
        <v>2023</v>
      </c>
      <c r="B1236" t="s">
        <v>1429</v>
      </c>
      <c r="C1236" t="s">
        <v>1431</v>
      </c>
      <c r="D1236" t="s">
        <v>1433</v>
      </c>
      <c r="E1236" t="s">
        <v>428</v>
      </c>
      <c r="F1236" t="s">
        <v>428</v>
      </c>
      <c r="G1236" s="28">
        <v>2057825</v>
      </c>
      <c r="H1236">
        <v>0</v>
      </c>
      <c r="I1236" s="29">
        <f t="shared" si="19"/>
        <v>2057825</v>
      </c>
      <c r="J1236">
        <f>IFERROR(VLOOKUP(E1236,'LEAID Match'!$A$2:$B$168,2,FALSE),"")</f>
        <v>3303750</v>
      </c>
    </row>
    <row r="1237" spans="1:10">
      <c r="A1237">
        <v>2015</v>
      </c>
      <c r="B1237" t="s">
        <v>1429</v>
      </c>
      <c r="C1237" t="s">
        <v>1431</v>
      </c>
      <c r="D1237" t="s">
        <v>1433</v>
      </c>
      <c r="E1237" t="s">
        <v>648</v>
      </c>
      <c r="F1237" s="9" t="s">
        <v>1111</v>
      </c>
      <c r="G1237" s="18">
        <v>217714.47</v>
      </c>
      <c r="H1237">
        <v>0</v>
      </c>
      <c r="I1237" s="29">
        <f t="shared" si="19"/>
        <v>217714.47</v>
      </c>
      <c r="J1237" t="str">
        <f>IFERROR(VLOOKUP(E1237,'LEAID Match'!$A$2:$B$168,2,FALSE),"")</f>
        <v/>
      </c>
    </row>
    <row r="1238" spans="1:10">
      <c r="A1238">
        <v>2016</v>
      </c>
      <c r="B1238" t="s">
        <v>1429</v>
      </c>
      <c r="C1238" t="s">
        <v>1431</v>
      </c>
      <c r="D1238" t="s">
        <v>1433</v>
      </c>
      <c r="E1238" t="s">
        <v>648</v>
      </c>
      <c r="F1238" t="s">
        <v>648</v>
      </c>
      <c r="G1238" s="28">
        <v>244795</v>
      </c>
      <c r="H1238">
        <v>0</v>
      </c>
      <c r="I1238" s="29">
        <f t="shared" si="19"/>
        <v>244795</v>
      </c>
      <c r="J1238" t="str">
        <f>IFERROR(VLOOKUP(E1238,'LEAID Match'!$A$2:$B$168,2,FALSE),"")</f>
        <v/>
      </c>
    </row>
    <row r="1239" spans="1:10">
      <c r="A1239">
        <v>2017</v>
      </c>
      <c r="B1239" t="s">
        <v>1429</v>
      </c>
      <c r="C1239" t="s">
        <v>1431</v>
      </c>
      <c r="D1239" t="s">
        <v>1433</v>
      </c>
      <c r="E1239" t="s">
        <v>648</v>
      </c>
      <c r="F1239" t="s">
        <v>648</v>
      </c>
      <c r="G1239" s="28">
        <v>260913</v>
      </c>
      <c r="H1239">
        <v>0</v>
      </c>
      <c r="I1239" s="29">
        <f t="shared" si="19"/>
        <v>260913</v>
      </c>
      <c r="J1239" t="str">
        <f>IFERROR(VLOOKUP(E1239,'LEAID Match'!$A$2:$B$168,2,FALSE),"")</f>
        <v/>
      </c>
    </row>
    <row r="1240" spans="1:10">
      <c r="A1240" s="27">
        <v>2018</v>
      </c>
      <c r="B1240" t="s">
        <v>1429</v>
      </c>
      <c r="C1240" t="s">
        <v>1431</v>
      </c>
      <c r="D1240" t="s">
        <v>1433</v>
      </c>
      <c r="E1240" t="s">
        <v>648</v>
      </c>
      <c r="F1240" s="9" t="s">
        <v>648</v>
      </c>
      <c r="G1240" s="18">
        <v>298722</v>
      </c>
      <c r="H1240">
        <v>0</v>
      </c>
      <c r="I1240" s="29">
        <f t="shared" si="19"/>
        <v>298722</v>
      </c>
      <c r="J1240" t="str">
        <f>IFERROR(VLOOKUP(E1240,'LEAID Match'!$A$2:$B$168,2,FALSE),"")</f>
        <v/>
      </c>
    </row>
    <row r="1241" spans="1:10">
      <c r="A1241">
        <v>2019</v>
      </c>
      <c r="B1241" t="s">
        <v>1429</v>
      </c>
      <c r="C1241" t="s">
        <v>1431</v>
      </c>
      <c r="D1241" t="s">
        <v>1433</v>
      </c>
      <c r="E1241" t="s">
        <v>648</v>
      </c>
      <c r="F1241" s="9" t="s">
        <v>648</v>
      </c>
      <c r="G1241" s="18">
        <v>314512</v>
      </c>
      <c r="H1241">
        <v>0</v>
      </c>
      <c r="I1241" s="29">
        <f t="shared" si="19"/>
        <v>314512</v>
      </c>
      <c r="J1241" t="str">
        <f>IFERROR(VLOOKUP(E1241,'LEAID Match'!$A$2:$B$168,2,FALSE),"")</f>
        <v/>
      </c>
    </row>
    <row r="1242" spans="1:10">
      <c r="A1242">
        <v>2015</v>
      </c>
      <c r="B1242" t="s">
        <v>1429</v>
      </c>
      <c r="C1242" t="s">
        <v>1431</v>
      </c>
      <c r="D1242" t="s">
        <v>1433</v>
      </c>
      <c r="E1242" t="s">
        <v>429</v>
      </c>
      <c r="F1242" s="9" t="s">
        <v>1112</v>
      </c>
      <c r="G1242" s="18">
        <v>3351702.28</v>
      </c>
      <c r="H1242">
        <v>0</v>
      </c>
      <c r="I1242" s="29">
        <f t="shared" si="19"/>
        <v>3351702.28</v>
      </c>
      <c r="J1242" t="str">
        <f>IFERROR(VLOOKUP(E1242,'LEAID Match'!$A$2:$B$168,2,FALSE),"")</f>
        <v/>
      </c>
    </row>
    <row r="1243" spans="1:10">
      <c r="A1243">
        <v>2016</v>
      </c>
      <c r="B1243" t="s">
        <v>1429</v>
      </c>
      <c r="C1243" t="s">
        <v>1431</v>
      </c>
      <c r="D1243" t="s">
        <v>1433</v>
      </c>
      <c r="E1243" t="s">
        <v>429</v>
      </c>
      <c r="F1243" t="s">
        <v>649</v>
      </c>
      <c r="G1243" s="28">
        <v>3678917</v>
      </c>
      <c r="H1243">
        <v>0</v>
      </c>
      <c r="I1243" s="29">
        <f t="shared" si="19"/>
        <v>3678917</v>
      </c>
      <c r="J1243" t="str">
        <f>IFERROR(VLOOKUP(E1243,'LEAID Match'!$A$2:$B$168,2,FALSE),"")</f>
        <v/>
      </c>
    </row>
    <row r="1244" spans="1:10">
      <c r="A1244">
        <v>2017</v>
      </c>
      <c r="B1244" t="s">
        <v>1429</v>
      </c>
      <c r="C1244" t="s">
        <v>1431</v>
      </c>
      <c r="D1244" t="s">
        <v>1433</v>
      </c>
      <c r="E1244" t="s">
        <v>429</v>
      </c>
      <c r="F1244" t="s">
        <v>649</v>
      </c>
      <c r="G1244" s="28">
        <v>3668916</v>
      </c>
      <c r="H1244">
        <v>0</v>
      </c>
      <c r="I1244" s="29">
        <f t="shared" si="19"/>
        <v>3668916</v>
      </c>
      <c r="J1244" t="str">
        <f>IFERROR(VLOOKUP(E1244,'LEAID Match'!$A$2:$B$168,2,FALSE),"")</f>
        <v/>
      </c>
    </row>
    <row r="1245" spans="1:10">
      <c r="A1245" s="27">
        <v>2018</v>
      </c>
      <c r="B1245" t="s">
        <v>1429</v>
      </c>
      <c r="C1245" t="s">
        <v>1431</v>
      </c>
      <c r="D1245" t="s">
        <v>1433</v>
      </c>
      <c r="E1245" t="s">
        <v>429</v>
      </c>
      <c r="F1245" s="9" t="s">
        <v>649</v>
      </c>
      <c r="G1245" s="18">
        <v>3979087</v>
      </c>
      <c r="H1245">
        <v>0</v>
      </c>
      <c r="I1245" s="29">
        <f t="shared" si="19"/>
        <v>3979087</v>
      </c>
      <c r="J1245" t="str">
        <f>IFERROR(VLOOKUP(E1245,'LEAID Match'!$A$2:$B$168,2,FALSE),"")</f>
        <v/>
      </c>
    </row>
    <row r="1246" spans="1:10">
      <c r="A1246">
        <v>2019</v>
      </c>
      <c r="B1246" t="s">
        <v>1429</v>
      </c>
      <c r="C1246" t="s">
        <v>1431</v>
      </c>
      <c r="D1246" t="s">
        <v>1433</v>
      </c>
      <c r="E1246" t="s">
        <v>429</v>
      </c>
      <c r="F1246" s="9" t="s">
        <v>649</v>
      </c>
      <c r="G1246" s="18">
        <v>4027850</v>
      </c>
      <c r="H1246">
        <v>0</v>
      </c>
      <c r="I1246" s="29">
        <f t="shared" si="19"/>
        <v>4027850</v>
      </c>
      <c r="J1246" t="str">
        <f>IFERROR(VLOOKUP(E1246,'LEAID Match'!$A$2:$B$168,2,FALSE),"")</f>
        <v/>
      </c>
    </row>
    <row r="1247" spans="1:10">
      <c r="A1247" s="27">
        <v>2020</v>
      </c>
      <c r="B1247" t="s">
        <v>1429</v>
      </c>
      <c r="C1247" t="s">
        <v>1431</v>
      </c>
      <c r="D1247" t="s">
        <v>1433</v>
      </c>
      <c r="E1247" t="s">
        <v>429</v>
      </c>
      <c r="F1247" s="9" t="s">
        <v>429</v>
      </c>
      <c r="G1247" s="18">
        <v>3956572</v>
      </c>
      <c r="H1247">
        <v>0</v>
      </c>
      <c r="I1247" s="29">
        <f t="shared" si="19"/>
        <v>3956572</v>
      </c>
      <c r="J1247" t="str">
        <f>IFERROR(VLOOKUP(E1247,'LEAID Match'!$A$2:$B$168,2,FALSE),"")</f>
        <v/>
      </c>
    </row>
    <row r="1248" spans="1:10">
      <c r="A1248">
        <v>2021</v>
      </c>
      <c r="B1248" t="s">
        <v>1429</v>
      </c>
      <c r="C1248" t="s">
        <v>1431</v>
      </c>
      <c r="D1248" t="s">
        <v>1433</v>
      </c>
      <c r="E1248" t="s">
        <v>429</v>
      </c>
      <c r="F1248" s="9" t="s">
        <v>429</v>
      </c>
      <c r="G1248" s="18">
        <v>4079960</v>
      </c>
      <c r="H1248">
        <v>0</v>
      </c>
      <c r="I1248" s="29">
        <f t="shared" si="19"/>
        <v>4079960</v>
      </c>
      <c r="J1248" t="str">
        <f>IFERROR(VLOOKUP(E1248,'LEAID Match'!$A$2:$B$168,2,FALSE),"")</f>
        <v/>
      </c>
    </row>
    <row r="1249" spans="1:10">
      <c r="A1249">
        <v>2022</v>
      </c>
      <c r="B1249" t="s">
        <v>1429</v>
      </c>
      <c r="C1249" t="s">
        <v>1431</v>
      </c>
      <c r="D1249" t="s">
        <v>1433</v>
      </c>
      <c r="E1249" t="s">
        <v>429</v>
      </c>
      <c r="F1249" s="9" t="s">
        <v>429</v>
      </c>
      <c r="G1249" s="18">
        <v>5367770</v>
      </c>
      <c r="H1249">
        <v>0</v>
      </c>
      <c r="I1249" s="29">
        <f t="shared" si="19"/>
        <v>5367770</v>
      </c>
      <c r="J1249" t="str">
        <f>IFERROR(VLOOKUP(E1249,'LEAID Match'!$A$2:$B$168,2,FALSE),"")</f>
        <v/>
      </c>
    </row>
    <row r="1250" spans="1:10">
      <c r="A1250">
        <v>2023</v>
      </c>
      <c r="B1250" t="s">
        <v>1429</v>
      </c>
      <c r="C1250" t="s">
        <v>1431</v>
      </c>
      <c r="D1250" t="s">
        <v>1433</v>
      </c>
      <c r="E1250" t="s">
        <v>429</v>
      </c>
      <c r="F1250" t="s">
        <v>429</v>
      </c>
      <c r="G1250" s="28">
        <v>5398902</v>
      </c>
      <c r="H1250">
        <v>0</v>
      </c>
      <c r="I1250" s="29">
        <f t="shared" si="19"/>
        <v>5398902</v>
      </c>
      <c r="J1250" t="str">
        <f>IFERROR(VLOOKUP(E1250,'LEAID Match'!$A$2:$B$168,2,FALSE),"")</f>
        <v/>
      </c>
    </row>
    <row r="1251" spans="1:10">
      <c r="A1251">
        <v>2015</v>
      </c>
      <c r="B1251" t="s">
        <v>1429</v>
      </c>
      <c r="C1251" t="s">
        <v>1431</v>
      </c>
      <c r="D1251" t="s">
        <v>1433</v>
      </c>
      <c r="E1251" t="s">
        <v>650</v>
      </c>
      <c r="F1251" s="9" t="s">
        <v>1113</v>
      </c>
      <c r="G1251" s="18">
        <v>153092.16</v>
      </c>
      <c r="H1251">
        <v>0</v>
      </c>
      <c r="I1251" s="29">
        <f t="shared" si="19"/>
        <v>153092.16</v>
      </c>
      <c r="J1251" t="str">
        <f>IFERROR(VLOOKUP(E1251,'LEAID Match'!$A$2:$B$168,2,FALSE),"")</f>
        <v/>
      </c>
    </row>
    <row r="1252" spans="1:10">
      <c r="A1252">
        <v>2016</v>
      </c>
      <c r="B1252" t="s">
        <v>1429</v>
      </c>
      <c r="C1252" t="s">
        <v>1431</v>
      </c>
      <c r="D1252" t="s">
        <v>1433</v>
      </c>
      <c r="E1252" t="s">
        <v>650</v>
      </c>
      <c r="F1252" t="s">
        <v>650</v>
      </c>
      <c r="G1252" s="28">
        <v>171985</v>
      </c>
      <c r="H1252">
        <v>0</v>
      </c>
      <c r="I1252" s="29">
        <f t="shared" si="19"/>
        <v>171985</v>
      </c>
      <c r="J1252" t="str">
        <f>IFERROR(VLOOKUP(E1252,'LEAID Match'!$A$2:$B$168,2,FALSE),"")</f>
        <v/>
      </c>
    </row>
    <row r="1253" spans="1:10">
      <c r="A1253">
        <v>2017</v>
      </c>
      <c r="B1253" t="s">
        <v>1429</v>
      </c>
      <c r="C1253" t="s">
        <v>1431</v>
      </c>
      <c r="D1253" t="s">
        <v>1433</v>
      </c>
      <c r="E1253" t="s">
        <v>650</v>
      </c>
      <c r="F1253" t="s">
        <v>650</v>
      </c>
      <c r="G1253" s="28">
        <v>178215</v>
      </c>
      <c r="H1253">
        <v>0</v>
      </c>
      <c r="I1253" s="29">
        <f t="shared" si="19"/>
        <v>178215</v>
      </c>
      <c r="J1253" t="str">
        <f>IFERROR(VLOOKUP(E1253,'LEAID Match'!$A$2:$B$168,2,FALSE),"")</f>
        <v/>
      </c>
    </row>
    <row r="1254" spans="1:10">
      <c r="A1254" s="27">
        <v>2018</v>
      </c>
      <c r="B1254" t="s">
        <v>1429</v>
      </c>
      <c r="C1254" t="s">
        <v>1431</v>
      </c>
      <c r="D1254" t="s">
        <v>1433</v>
      </c>
      <c r="E1254" t="s">
        <v>650</v>
      </c>
      <c r="F1254" s="9" t="s">
        <v>650</v>
      </c>
      <c r="G1254" s="18">
        <v>220936</v>
      </c>
      <c r="H1254">
        <v>0</v>
      </c>
      <c r="I1254" s="29">
        <f t="shared" si="19"/>
        <v>220936</v>
      </c>
      <c r="J1254" t="str">
        <f>IFERROR(VLOOKUP(E1254,'LEAID Match'!$A$2:$B$168,2,FALSE),"")</f>
        <v/>
      </c>
    </row>
    <row r="1255" spans="1:10">
      <c r="A1255">
        <v>2019</v>
      </c>
      <c r="B1255" t="s">
        <v>1429</v>
      </c>
      <c r="C1255" t="s">
        <v>1431</v>
      </c>
      <c r="D1255" t="s">
        <v>1433</v>
      </c>
      <c r="E1255" t="s">
        <v>650</v>
      </c>
      <c r="F1255" s="9" t="s">
        <v>650</v>
      </c>
      <c r="G1255" s="18">
        <v>217313</v>
      </c>
      <c r="H1255">
        <v>0</v>
      </c>
      <c r="I1255" s="29">
        <f t="shared" si="19"/>
        <v>217313</v>
      </c>
      <c r="J1255" t="str">
        <f>IFERROR(VLOOKUP(E1255,'LEAID Match'!$A$2:$B$168,2,FALSE),"")</f>
        <v/>
      </c>
    </row>
    <row r="1256" spans="1:10">
      <c r="A1256">
        <v>2015</v>
      </c>
      <c r="B1256" t="s">
        <v>1429</v>
      </c>
      <c r="C1256" t="s">
        <v>1431</v>
      </c>
      <c r="D1256" t="s">
        <v>1433</v>
      </c>
      <c r="E1256" t="s">
        <v>430</v>
      </c>
      <c r="F1256" s="9" t="s">
        <v>1114</v>
      </c>
      <c r="G1256" s="18">
        <v>494408.74</v>
      </c>
      <c r="H1256">
        <v>0</v>
      </c>
      <c r="I1256" s="29">
        <f t="shared" si="19"/>
        <v>494408.74</v>
      </c>
      <c r="J1256">
        <f>IFERROR(VLOOKUP(E1256,'LEAID Match'!$A$2:$B$168,2,FALSE),"")</f>
        <v>3303780</v>
      </c>
    </row>
    <row r="1257" spans="1:10">
      <c r="A1257">
        <v>2016</v>
      </c>
      <c r="B1257" t="s">
        <v>1429</v>
      </c>
      <c r="C1257" t="s">
        <v>1431</v>
      </c>
      <c r="D1257" t="s">
        <v>1433</v>
      </c>
      <c r="E1257" t="s">
        <v>430</v>
      </c>
      <c r="F1257" t="s">
        <v>651</v>
      </c>
      <c r="G1257" s="28">
        <v>531970</v>
      </c>
      <c r="H1257">
        <v>0</v>
      </c>
      <c r="I1257" s="29">
        <f t="shared" si="19"/>
        <v>531970</v>
      </c>
      <c r="J1257">
        <f>IFERROR(VLOOKUP(E1257,'LEAID Match'!$A$2:$B$168,2,FALSE),"")</f>
        <v>3303780</v>
      </c>
    </row>
    <row r="1258" spans="1:10">
      <c r="A1258">
        <v>2017</v>
      </c>
      <c r="B1258" t="s">
        <v>1429</v>
      </c>
      <c r="C1258" t="s">
        <v>1431</v>
      </c>
      <c r="D1258" t="s">
        <v>1433</v>
      </c>
      <c r="E1258" t="s">
        <v>430</v>
      </c>
      <c r="F1258" t="s">
        <v>651</v>
      </c>
      <c r="G1258" s="28">
        <v>565340</v>
      </c>
      <c r="H1258">
        <v>0</v>
      </c>
      <c r="I1258" s="29">
        <f t="shared" si="19"/>
        <v>565340</v>
      </c>
      <c r="J1258">
        <f>IFERROR(VLOOKUP(E1258,'LEAID Match'!$A$2:$B$168,2,FALSE),"")</f>
        <v>3303780</v>
      </c>
    </row>
    <row r="1259" spans="1:10">
      <c r="A1259" s="27">
        <v>2018</v>
      </c>
      <c r="B1259" t="s">
        <v>1429</v>
      </c>
      <c r="C1259" t="s">
        <v>1431</v>
      </c>
      <c r="D1259" t="s">
        <v>1433</v>
      </c>
      <c r="E1259" t="s">
        <v>430</v>
      </c>
      <c r="F1259" s="9" t="s">
        <v>651</v>
      </c>
      <c r="G1259" s="18">
        <v>711682</v>
      </c>
      <c r="H1259">
        <v>0</v>
      </c>
      <c r="I1259" s="29">
        <f t="shared" si="19"/>
        <v>711682</v>
      </c>
      <c r="J1259">
        <f>IFERROR(VLOOKUP(E1259,'LEAID Match'!$A$2:$B$168,2,FALSE),"")</f>
        <v>3303780</v>
      </c>
    </row>
    <row r="1260" spans="1:10">
      <c r="A1260">
        <v>2019</v>
      </c>
      <c r="B1260" t="s">
        <v>1429</v>
      </c>
      <c r="C1260" t="s">
        <v>1431</v>
      </c>
      <c r="D1260" t="s">
        <v>1433</v>
      </c>
      <c r="E1260" t="s">
        <v>430</v>
      </c>
      <c r="F1260" s="9" t="s">
        <v>651</v>
      </c>
      <c r="G1260" s="18">
        <v>774361</v>
      </c>
      <c r="H1260">
        <v>0</v>
      </c>
      <c r="I1260" s="29">
        <f t="shared" si="19"/>
        <v>774361</v>
      </c>
      <c r="J1260">
        <f>IFERROR(VLOOKUP(E1260,'LEAID Match'!$A$2:$B$168,2,FALSE),"")</f>
        <v>3303780</v>
      </c>
    </row>
    <row r="1261" spans="1:10">
      <c r="A1261" s="27">
        <v>2020</v>
      </c>
      <c r="B1261" t="s">
        <v>1429</v>
      </c>
      <c r="C1261" t="s">
        <v>1431</v>
      </c>
      <c r="D1261" t="s">
        <v>1433</v>
      </c>
      <c r="E1261" t="s">
        <v>430</v>
      </c>
      <c r="F1261" s="9" t="s">
        <v>430</v>
      </c>
      <c r="G1261" s="18">
        <v>808548</v>
      </c>
      <c r="H1261">
        <v>0</v>
      </c>
      <c r="I1261" s="29">
        <f t="shared" si="19"/>
        <v>808548</v>
      </c>
      <c r="J1261">
        <f>IFERROR(VLOOKUP(E1261,'LEAID Match'!$A$2:$B$168,2,FALSE),"")</f>
        <v>3303780</v>
      </c>
    </row>
    <row r="1262" spans="1:10">
      <c r="A1262">
        <v>2021</v>
      </c>
      <c r="B1262" t="s">
        <v>1429</v>
      </c>
      <c r="C1262" t="s">
        <v>1431</v>
      </c>
      <c r="D1262" t="s">
        <v>1433</v>
      </c>
      <c r="E1262" t="s">
        <v>430</v>
      </c>
      <c r="F1262" s="9" t="s">
        <v>430</v>
      </c>
      <c r="G1262" s="18">
        <v>862477</v>
      </c>
      <c r="H1262">
        <v>0</v>
      </c>
      <c r="I1262" s="29">
        <f t="shared" si="19"/>
        <v>862477</v>
      </c>
      <c r="J1262">
        <f>IFERROR(VLOOKUP(E1262,'LEAID Match'!$A$2:$B$168,2,FALSE),"")</f>
        <v>3303780</v>
      </c>
    </row>
    <row r="1263" spans="1:10">
      <c r="A1263">
        <v>2022</v>
      </c>
      <c r="B1263" t="s">
        <v>1429</v>
      </c>
      <c r="C1263" t="s">
        <v>1431</v>
      </c>
      <c r="D1263" t="s">
        <v>1433</v>
      </c>
      <c r="E1263" t="s">
        <v>430</v>
      </c>
      <c r="F1263" s="9" t="s">
        <v>430</v>
      </c>
      <c r="G1263" s="18">
        <v>1067886</v>
      </c>
      <c r="H1263">
        <v>0</v>
      </c>
      <c r="I1263" s="29">
        <f t="shared" si="19"/>
        <v>1067886</v>
      </c>
      <c r="J1263">
        <f>IFERROR(VLOOKUP(E1263,'LEAID Match'!$A$2:$B$168,2,FALSE),"")</f>
        <v>3303780</v>
      </c>
    </row>
    <row r="1264" spans="1:10">
      <c r="A1264">
        <v>2023</v>
      </c>
      <c r="B1264" t="s">
        <v>1429</v>
      </c>
      <c r="C1264" t="s">
        <v>1431</v>
      </c>
      <c r="D1264" t="s">
        <v>1433</v>
      </c>
      <c r="E1264" t="s">
        <v>430</v>
      </c>
      <c r="F1264" t="s">
        <v>430</v>
      </c>
      <c r="G1264" s="28">
        <v>1072127</v>
      </c>
      <c r="H1264">
        <v>0</v>
      </c>
      <c r="I1264" s="29">
        <f t="shared" si="19"/>
        <v>1072127</v>
      </c>
      <c r="J1264">
        <f>IFERROR(VLOOKUP(E1264,'LEAID Match'!$A$2:$B$168,2,FALSE),"")</f>
        <v>3303780</v>
      </c>
    </row>
    <row r="1265" spans="1:10">
      <c r="A1265">
        <v>2015</v>
      </c>
      <c r="B1265" t="s">
        <v>1429</v>
      </c>
      <c r="C1265" t="s">
        <v>1431</v>
      </c>
      <c r="D1265" t="s">
        <v>1433</v>
      </c>
      <c r="E1265" t="s">
        <v>652</v>
      </c>
      <c r="F1265" s="9" t="s">
        <v>1115</v>
      </c>
      <c r="G1265" s="18">
        <v>115339.7</v>
      </c>
      <c r="H1265">
        <v>0</v>
      </c>
      <c r="I1265" s="29">
        <f t="shared" si="19"/>
        <v>115339.7</v>
      </c>
      <c r="J1265" t="str">
        <f>IFERROR(VLOOKUP(E1265,'LEAID Match'!$A$2:$B$168,2,FALSE),"")</f>
        <v/>
      </c>
    </row>
    <row r="1266" spans="1:10">
      <c r="A1266">
        <v>2016</v>
      </c>
      <c r="B1266" t="s">
        <v>1429</v>
      </c>
      <c r="C1266" t="s">
        <v>1431</v>
      </c>
      <c r="D1266" t="s">
        <v>1433</v>
      </c>
      <c r="E1266" t="s">
        <v>652</v>
      </c>
      <c r="F1266" t="s">
        <v>652</v>
      </c>
      <c r="G1266" s="28">
        <v>114230</v>
      </c>
      <c r="H1266">
        <v>0</v>
      </c>
      <c r="I1266" s="29">
        <f t="shared" si="19"/>
        <v>114230</v>
      </c>
      <c r="J1266" t="str">
        <f>IFERROR(VLOOKUP(E1266,'LEAID Match'!$A$2:$B$168,2,FALSE),"")</f>
        <v/>
      </c>
    </row>
    <row r="1267" spans="1:10">
      <c r="A1267">
        <v>2017</v>
      </c>
      <c r="B1267" t="s">
        <v>1429</v>
      </c>
      <c r="C1267" t="s">
        <v>1431</v>
      </c>
      <c r="D1267" t="s">
        <v>1433</v>
      </c>
      <c r="E1267" t="s">
        <v>652</v>
      </c>
      <c r="F1267" t="s">
        <v>652</v>
      </c>
      <c r="G1267" s="28">
        <v>114185</v>
      </c>
      <c r="H1267">
        <v>0</v>
      </c>
      <c r="I1267" s="29">
        <f t="shared" si="19"/>
        <v>114185</v>
      </c>
      <c r="J1267" t="str">
        <f>IFERROR(VLOOKUP(E1267,'LEAID Match'!$A$2:$B$168,2,FALSE),"")</f>
        <v/>
      </c>
    </row>
    <row r="1268" spans="1:10">
      <c r="A1268" s="27">
        <v>2018</v>
      </c>
      <c r="B1268" t="s">
        <v>1429</v>
      </c>
      <c r="C1268" t="s">
        <v>1431</v>
      </c>
      <c r="D1268" t="s">
        <v>1433</v>
      </c>
      <c r="E1268" t="s">
        <v>652</v>
      </c>
      <c r="F1268" s="9" t="s">
        <v>652</v>
      </c>
      <c r="G1268" s="18">
        <v>125971</v>
      </c>
      <c r="H1268">
        <v>0</v>
      </c>
      <c r="I1268" s="29">
        <f t="shared" si="19"/>
        <v>125971</v>
      </c>
      <c r="J1268" t="str">
        <f>IFERROR(VLOOKUP(E1268,'LEAID Match'!$A$2:$B$168,2,FALSE),"")</f>
        <v/>
      </c>
    </row>
    <row r="1269" spans="1:10">
      <c r="A1269">
        <v>2019</v>
      </c>
      <c r="B1269" t="s">
        <v>1429</v>
      </c>
      <c r="C1269" t="s">
        <v>1431</v>
      </c>
      <c r="D1269" t="s">
        <v>1433</v>
      </c>
      <c r="E1269" t="s">
        <v>652</v>
      </c>
      <c r="F1269" s="9" t="s">
        <v>652</v>
      </c>
      <c r="G1269" s="18">
        <v>127872</v>
      </c>
      <c r="H1269">
        <v>0</v>
      </c>
      <c r="I1269" s="29">
        <f t="shared" si="19"/>
        <v>127872</v>
      </c>
      <c r="J1269" t="str">
        <f>IFERROR(VLOOKUP(E1269,'LEAID Match'!$A$2:$B$168,2,FALSE),"")</f>
        <v/>
      </c>
    </row>
    <row r="1270" spans="1:10">
      <c r="A1270">
        <v>2015</v>
      </c>
      <c r="B1270" t="s">
        <v>1429</v>
      </c>
      <c r="C1270" t="s">
        <v>1431</v>
      </c>
      <c r="D1270" t="s">
        <v>1433</v>
      </c>
      <c r="E1270" t="s">
        <v>431</v>
      </c>
      <c r="F1270" s="9" t="s">
        <v>1116</v>
      </c>
      <c r="G1270" s="18">
        <v>214198.19</v>
      </c>
      <c r="H1270">
        <v>0</v>
      </c>
      <c r="I1270" s="29">
        <f t="shared" si="19"/>
        <v>214198.19</v>
      </c>
      <c r="J1270">
        <f>IFERROR(VLOOKUP(E1270,'LEAID Match'!$A$2:$B$168,2,FALSE),"")</f>
        <v>3303810</v>
      </c>
    </row>
    <row r="1271" spans="1:10">
      <c r="A1271">
        <v>2016</v>
      </c>
      <c r="B1271" t="s">
        <v>1429</v>
      </c>
      <c r="C1271" t="s">
        <v>1431</v>
      </c>
      <c r="D1271" t="s">
        <v>1433</v>
      </c>
      <c r="E1271" t="s">
        <v>431</v>
      </c>
      <c r="F1271" t="s">
        <v>653</v>
      </c>
      <c r="G1271" s="28">
        <v>203467</v>
      </c>
      <c r="H1271">
        <v>0</v>
      </c>
      <c r="I1271" s="29">
        <f t="shared" si="19"/>
        <v>203467</v>
      </c>
      <c r="J1271">
        <f>IFERROR(VLOOKUP(E1271,'LEAID Match'!$A$2:$B$168,2,FALSE),"")</f>
        <v>3303810</v>
      </c>
    </row>
    <row r="1272" spans="1:10">
      <c r="A1272">
        <v>2017</v>
      </c>
      <c r="B1272" t="s">
        <v>1429</v>
      </c>
      <c r="C1272" t="s">
        <v>1431</v>
      </c>
      <c r="D1272" t="s">
        <v>1433</v>
      </c>
      <c r="E1272" t="s">
        <v>431</v>
      </c>
      <c r="F1272" t="s">
        <v>653</v>
      </c>
      <c r="G1272" s="28">
        <v>206455</v>
      </c>
      <c r="H1272">
        <v>0</v>
      </c>
      <c r="I1272" s="29">
        <f t="shared" si="19"/>
        <v>206455</v>
      </c>
      <c r="J1272">
        <f>IFERROR(VLOOKUP(E1272,'LEAID Match'!$A$2:$B$168,2,FALSE),"")</f>
        <v>3303810</v>
      </c>
    </row>
    <row r="1273" spans="1:10">
      <c r="A1273" s="27">
        <v>2018</v>
      </c>
      <c r="B1273" t="s">
        <v>1429</v>
      </c>
      <c r="C1273" t="s">
        <v>1431</v>
      </c>
      <c r="D1273" t="s">
        <v>1433</v>
      </c>
      <c r="E1273" t="s">
        <v>431</v>
      </c>
      <c r="F1273" s="9" t="s">
        <v>653</v>
      </c>
      <c r="G1273" s="18">
        <v>260652</v>
      </c>
      <c r="H1273">
        <v>0</v>
      </c>
      <c r="I1273" s="29">
        <f t="shared" si="19"/>
        <v>260652</v>
      </c>
      <c r="J1273">
        <f>IFERROR(VLOOKUP(E1273,'LEAID Match'!$A$2:$B$168,2,FALSE),"")</f>
        <v>3303810</v>
      </c>
    </row>
    <row r="1274" spans="1:10">
      <c r="A1274">
        <v>2019</v>
      </c>
      <c r="B1274" t="s">
        <v>1429</v>
      </c>
      <c r="C1274" t="s">
        <v>1431</v>
      </c>
      <c r="D1274" t="s">
        <v>1433</v>
      </c>
      <c r="E1274" t="s">
        <v>431</v>
      </c>
      <c r="F1274" s="9" t="s">
        <v>653</v>
      </c>
      <c r="G1274" s="18">
        <v>258772</v>
      </c>
      <c r="H1274">
        <v>0</v>
      </c>
      <c r="I1274" s="29">
        <f t="shared" si="19"/>
        <v>258772</v>
      </c>
      <c r="J1274">
        <f>IFERROR(VLOOKUP(E1274,'LEAID Match'!$A$2:$B$168,2,FALSE),"")</f>
        <v>3303810</v>
      </c>
    </row>
    <row r="1275" spans="1:10">
      <c r="A1275" s="27">
        <v>2020</v>
      </c>
      <c r="B1275" t="s">
        <v>1429</v>
      </c>
      <c r="C1275" t="s">
        <v>1431</v>
      </c>
      <c r="D1275" t="s">
        <v>1433</v>
      </c>
      <c r="E1275" t="s">
        <v>431</v>
      </c>
      <c r="F1275" s="9" t="s">
        <v>431</v>
      </c>
      <c r="G1275" s="18">
        <v>272500</v>
      </c>
      <c r="H1275">
        <v>0</v>
      </c>
      <c r="I1275" s="29">
        <f t="shared" si="19"/>
        <v>272500</v>
      </c>
      <c r="J1275">
        <f>IFERROR(VLOOKUP(E1275,'LEAID Match'!$A$2:$B$168,2,FALSE),"")</f>
        <v>3303810</v>
      </c>
    </row>
    <row r="1276" spans="1:10">
      <c r="A1276">
        <v>2021</v>
      </c>
      <c r="B1276" t="s">
        <v>1429</v>
      </c>
      <c r="C1276" t="s">
        <v>1431</v>
      </c>
      <c r="D1276" t="s">
        <v>1433</v>
      </c>
      <c r="E1276" t="s">
        <v>431</v>
      </c>
      <c r="F1276" s="9" t="s">
        <v>431</v>
      </c>
      <c r="G1276" s="18">
        <v>293497</v>
      </c>
      <c r="H1276">
        <v>0</v>
      </c>
      <c r="I1276" s="29">
        <f t="shared" si="19"/>
        <v>293497</v>
      </c>
      <c r="J1276">
        <f>IFERROR(VLOOKUP(E1276,'LEAID Match'!$A$2:$B$168,2,FALSE),"")</f>
        <v>3303810</v>
      </c>
    </row>
    <row r="1277" spans="1:10">
      <c r="A1277">
        <v>2022</v>
      </c>
      <c r="B1277" t="s">
        <v>1429</v>
      </c>
      <c r="C1277" t="s">
        <v>1431</v>
      </c>
      <c r="D1277" t="s">
        <v>1433</v>
      </c>
      <c r="E1277" t="s">
        <v>431</v>
      </c>
      <c r="F1277" s="9" t="s">
        <v>431</v>
      </c>
      <c r="G1277" s="18">
        <v>354547</v>
      </c>
      <c r="H1277">
        <v>0</v>
      </c>
      <c r="I1277" s="29">
        <f t="shared" si="19"/>
        <v>354547</v>
      </c>
      <c r="J1277">
        <f>IFERROR(VLOOKUP(E1277,'LEAID Match'!$A$2:$B$168,2,FALSE),"")</f>
        <v>3303810</v>
      </c>
    </row>
    <row r="1278" spans="1:10">
      <c r="A1278">
        <v>2023</v>
      </c>
      <c r="B1278" t="s">
        <v>1429</v>
      </c>
      <c r="C1278" t="s">
        <v>1431</v>
      </c>
      <c r="D1278" t="s">
        <v>1433</v>
      </c>
      <c r="E1278" t="s">
        <v>431</v>
      </c>
      <c r="F1278" t="s">
        <v>431</v>
      </c>
      <c r="G1278" s="28">
        <v>391362</v>
      </c>
      <c r="H1278">
        <v>0</v>
      </c>
      <c r="I1278" s="29">
        <f t="shared" si="19"/>
        <v>391362</v>
      </c>
      <c r="J1278">
        <f>IFERROR(VLOOKUP(E1278,'LEAID Match'!$A$2:$B$168,2,FALSE),"")</f>
        <v>3303810</v>
      </c>
    </row>
    <row r="1279" spans="1:10">
      <c r="A1279">
        <v>2015</v>
      </c>
      <c r="B1279" t="s">
        <v>1429</v>
      </c>
      <c r="C1279" t="s">
        <v>1431</v>
      </c>
      <c r="D1279" t="s">
        <v>1433</v>
      </c>
      <c r="E1279" t="s">
        <v>654</v>
      </c>
      <c r="F1279" s="9" t="s">
        <v>1117</v>
      </c>
      <c r="G1279" s="18">
        <v>531432.73</v>
      </c>
      <c r="H1279">
        <v>0</v>
      </c>
      <c r="I1279" s="29">
        <f t="shared" si="19"/>
        <v>531432.73</v>
      </c>
      <c r="J1279" t="str">
        <f>IFERROR(VLOOKUP(E1279,'LEAID Match'!$A$2:$B$168,2,FALSE),"")</f>
        <v/>
      </c>
    </row>
    <row r="1280" spans="1:10">
      <c r="A1280">
        <v>2016</v>
      </c>
      <c r="B1280" t="s">
        <v>1429</v>
      </c>
      <c r="C1280" t="s">
        <v>1431</v>
      </c>
      <c r="D1280" t="s">
        <v>1433</v>
      </c>
      <c r="E1280" t="s">
        <v>654</v>
      </c>
      <c r="F1280" t="s">
        <v>654</v>
      </c>
      <c r="G1280" s="28">
        <v>575771</v>
      </c>
      <c r="H1280">
        <v>0</v>
      </c>
      <c r="I1280" s="29">
        <f t="shared" si="19"/>
        <v>575771</v>
      </c>
      <c r="J1280" t="str">
        <f>IFERROR(VLOOKUP(E1280,'LEAID Match'!$A$2:$B$168,2,FALSE),"")</f>
        <v/>
      </c>
    </row>
    <row r="1281" spans="1:10">
      <c r="A1281">
        <v>2017</v>
      </c>
      <c r="B1281" t="s">
        <v>1429</v>
      </c>
      <c r="C1281" t="s">
        <v>1431</v>
      </c>
      <c r="D1281" t="s">
        <v>1433</v>
      </c>
      <c r="E1281" t="s">
        <v>654</v>
      </c>
      <c r="F1281" t="s">
        <v>654</v>
      </c>
      <c r="G1281" s="28">
        <v>570697</v>
      </c>
      <c r="H1281">
        <v>0</v>
      </c>
      <c r="I1281" s="29">
        <f t="shared" si="19"/>
        <v>570697</v>
      </c>
      <c r="J1281" t="str">
        <f>IFERROR(VLOOKUP(E1281,'LEAID Match'!$A$2:$B$168,2,FALSE),"")</f>
        <v/>
      </c>
    </row>
    <row r="1282" spans="1:10">
      <c r="A1282" s="27">
        <v>2018</v>
      </c>
      <c r="B1282" t="s">
        <v>1429</v>
      </c>
      <c r="C1282" t="s">
        <v>1431</v>
      </c>
      <c r="D1282" t="s">
        <v>1433</v>
      </c>
      <c r="E1282" t="s">
        <v>654</v>
      </c>
      <c r="F1282" s="9" t="s">
        <v>654</v>
      </c>
      <c r="G1282" s="18">
        <v>633926</v>
      </c>
      <c r="H1282">
        <v>0</v>
      </c>
      <c r="I1282" s="29">
        <f t="shared" si="19"/>
        <v>633926</v>
      </c>
      <c r="J1282" t="str">
        <f>IFERROR(VLOOKUP(E1282,'LEAID Match'!$A$2:$B$168,2,FALSE),"")</f>
        <v/>
      </c>
    </row>
    <row r="1283" spans="1:10">
      <c r="A1283">
        <v>2019</v>
      </c>
      <c r="B1283" t="s">
        <v>1429</v>
      </c>
      <c r="C1283" t="s">
        <v>1431</v>
      </c>
      <c r="D1283" t="s">
        <v>1433</v>
      </c>
      <c r="E1283" t="s">
        <v>654</v>
      </c>
      <c r="F1283" s="9" t="s">
        <v>654</v>
      </c>
      <c r="G1283" s="18">
        <v>632027</v>
      </c>
      <c r="H1283">
        <v>0</v>
      </c>
      <c r="I1283" s="29">
        <f t="shared" ref="I1283:I1346" si="20">SUM(G1283:H1283)</f>
        <v>632027</v>
      </c>
      <c r="J1283" t="str">
        <f>IFERROR(VLOOKUP(E1283,'LEAID Match'!$A$2:$B$168,2,FALSE),"")</f>
        <v/>
      </c>
    </row>
    <row r="1284" spans="1:10">
      <c r="A1284">
        <v>2015</v>
      </c>
      <c r="B1284" t="s">
        <v>1429</v>
      </c>
      <c r="C1284" t="s">
        <v>1431</v>
      </c>
      <c r="D1284" t="s">
        <v>1433</v>
      </c>
      <c r="E1284" t="s">
        <v>432</v>
      </c>
      <c r="F1284" s="9" t="s">
        <v>1118</v>
      </c>
      <c r="G1284" s="18">
        <v>560542.6</v>
      </c>
      <c r="H1284">
        <v>0</v>
      </c>
      <c r="I1284" s="29">
        <f t="shared" si="20"/>
        <v>560542.6</v>
      </c>
      <c r="J1284">
        <f>IFERROR(VLOOKUP(E1284,'LEAID Match'!$A$2:$B$168,2,FALSE),"")</f>
        <v>3303840</v>
      </c>
    </row>
    <row r="1285" spans="1:10">
      <c r="A1285">
        <v>2016</v>
      </c>
      <c r="B1285" t="s">
        <v>1429</v>
      </c>
      <c r="C1285" t="s">
        <v>1431</v>
      </c>
      <c r="D1285" t="s">
        <v>1433</v>
      </c>
      <c r="E1285" t="s">
        <v>432</v>
      </c>
      <c r="F1285" t="s">
        <v>655</v>
      </c>
      <c r="G1285" s="28">
        <v>628394</v>
      </c>
      <c r="H1285">
        <v>0</v>
      </c>
      <c r="I1285" s="29">
        <f t="shared" si="20"/>
        <v>628394</v>
      </c>
      <c r="J1285">
        <f>IFERROR(VLOOKUP(E1285,'LEAID Match'!$A$2:$B$168,2,FALSE),"")</f>
        <v>3303840</v>
      </c>
    </row>
    <row r="1286" spans="1:10">
      <c r="A1286">
        <v>2017</v>
      </c>
      <c r="B1286" t="s">
        <v>1429</v>
      </c>
      <c r="C1286" t="s">
        <v>1431</v>
      </c>
      <c r="D1286" t="s">
        <v>1433</v>
      </c>
      <c r="E1286" t="s">
        <v>432</v>
      </c>
      <c r="F1286" t="s">
        <v>655</v>
      </c>
      <c r="G1286" s="28">
        <v>661757</v>
      </c>
      <c r="H1286">
        <v>0</v>
      </c>
      <c r="I1286" s="29">
        <f t="shared" si="20"/>
        <v>661757</v>
      </c>
      <c r="J1286">
        <f>IFERROR(VLOOKUP(E1286,'LEAID Match'!$A$2:$B$168,2,FALSE),"")</f>
        <v>3303840</v>
      </c>
    </row>
    <row r="1287" spans="1:10">
      <c r="A1287" s="27">
        <v>2018</v>
      </c>
      <c r="B1287" t="s">
        <v>1429</v>
      </c>
      <c r="C1287" t="s">
        <v>1431</v>
      </c>
      <c r="D1287" t="s">
        <v>1433</v>
      </c>
      <c r="E1287" t="s">
        <v>432</v>
      </c>
      <c r="F1287" s="9" t="s">
        <v>655</v>
      </c>
      <c r="G1287" s="18">
        <v>811374</v>
      </c>
      <c r="H1287">
        <v>0</v>
      </c>
      <c r="I1287" s="29">
        <f t="shared" si="20"/>
        <v>811374</v>
      </c>
      <c r="J1287">
        <f>IFERROR(VLOOKUP(E1287,'LEAID Match'!$A$2:$B$168,2,FALSE),"")</f>
        <v>3303840</v>
      </c>
    </row>
    <row r="1288" spans="1:10">
      <c r="A1288">
        <v>2019</v>
      </c>
      <c r="B1288" t="s">
        <v>1429</v>
      </c>
      <c r="C1288" t="s">
        <v>1431</v>
      </c>
      <c r="D1288" t="s">
        <v>1433</v>
      </c>
      <c r="E1288" t="s">
        <v>432</v>
      </c>
      <c r="F1288" s="9" t="s">
        <v>655</v>
      </c>
      <c r="G1288" s="18">
        <v>866199</v>
      </c>
      <c r="H1288">
        <v>0</v>
      </c>
      <c r="I1288" s="29">
        <f t="shared" si="20"/>
        <v>866199</v>
      </c>
      <c r="J1288">
        <f>IFERROR(VLOOKUP(E1288,'LEAID Match'!$A$2:$B$168,2,FALSE),"")</f>
        <v>3303840</v>
      </c>
    </row>
    <row r="1289" spans="1:10">
      <c r="A1289" s="27">
        <v>2020</v>
      </c>
      <c r="B1289" t="s">
        <v>1429</v>
      </c>
      <c r="C1289" t="s">
        <v>1431</v>
      </c>
      <c r="D1289" t="s">
        <v>1433</v>
      </c>
      <c r="E1289" t="s">
        <v>432</v>
      </c>
      <c r="F1289" s="9" t="s">
        <v>432</v>
      </c>
      <c r="G1289" s="18">
        <v>923117</v>
      </c>
      <c r="H1289">
        <v>0</v>
      </c>
      <c r="I1289" s="29">
        <f t="shared" si="20"/>
        <v>923117</v>
      </c>
      <c r="J1289">
        <f>IFERROR(VLOOKUP(E1289,'LEAID Match'!$A$2:$B$168,2,FALSE),"")</f>
        <v>3303840</v>
      </c>
    </row>
    <row r="1290" spans="1:10">
      <c r="A1290">
        <v>2021</v>
      </c>
      <c r="B1290" t="s">
        <v>1429</v>
      </c>
      <c r="C1290" t="s">
        <v>1431</v>
      </c>
      <c r="D1290" t="s">
        <v>1433</v>
      </c>
      <c r="E1290" t="s">
        <v>432</v>
      </c>
      <c r="F1290" s="9" t="s">
        <v>432</v>
      </c>
      <c r="G1290" s="18">
        <v>934802</v>
      </c>
      <c r="H1290">
        <v>0</v>
      </c>
      <c r="I1290" s="29">
        <f t="shared" si="20"/>
        <v>934802</v>
      </c>
      <c r="J1290">
        <f>IFERROR(VLOOKUP(E1290,'LEAID Match'!$A$2:$B$168,2,FALSE),"")</f>
        <v>3303840</v>
      </c>
    </row>
    <row r="1291" spans="1:10">
      <c r="A1291">
        <v>2022</v>
      </c>
      <c r="B1291" t="s">
        <v>1429</v>
      </c>
      <c r="C1291" t="s">
        <v>1431</v>
      </c>
      <c r="D1291" t="s">
        <v>1433</v>
      </c>
      <c r="E1291" t="s">
        <v>432</v>
      </c>
      <c r="F1291" s="9" t="s">
        <v>432</v>
      </c>
      <c r="G1291" s="18">
        <v>1209793</v>
      </c>
      <c r="H1291">
        <v>0</v>
      </c>
      <c r="I1291" s="29">
        <f t="shared" si="20"/>
        <v>1209793</v>
      </c>
      <c r="J1291">
        <f>IFERROR(VLOOKUP(E1291,'LEAID Match'!$A$2:$B$168,2,FALSE),"")</f>
        <v>3303840</v>
      </c>
    </row>
    <row r="1292" spans="1:10">
      <c r="A1292">
        <v>2023</v>
      </c>
      <c r="B1292" t="s">
        <v>1429</v>
      </c>
      <c r="C1292" t="s">
        <v>1431</v>
      </c>
      <c r="D1292" t="s">
        <v>1433</v>
      </c>
      <c r="E1292" t="s">
        <v>432</v>
      </c>
      <c r="F1292" t="s">
        <v>432</v>
      </c>
      <c r="G1292" s="28">
        <v>1305467</v>
      </c>
      <c r="H1292">
        <v>0</v>
      </c>
      <c r="I1292" s="29">
        <f t="shared" si="20"/>
        <v>1305467</v>
      </c>
      <c r="J1292">
        <f>IFERROR(VLOOKUP(E1292,'LEAID Match'!$A$2:$B$168,2,FALSE),"")</f>
        <v>3303840</v>
      </c>
    </row>
    <row r="1293" spans="1:10">
      <c r="A1293">
        <v>2015</v>
      </c>
      <c r="B1293" t="s">
        <v>1429</v>
      </c>
      <c r="C1293" t="s">
        <v>1431</v>
      </c>
      <c r="D1293" t="s">
        <v>1433</v>
      </c>
      <c r="E1293" t="s">
        <v>433</v>
      </c>
      <c r="F1293" s="9" t="s">
        <v>1119</v>
      </c>
      <c r="G1293" s="18">
        <v>997389.08</v>
      </c>
      <c r="H1293">
        <v>0</v>
      </c>
      <c r="I1293" s="29">
        <f t="shared" si="20"/>
        <v>997389.08</v>
      </c>
      <c r="J1293">
        <f>IFERROR(VLOOKUP(E1293,'LEAID Match'!$A$2:$B$168,2,FALSE),"")</f>
        <v>3303850</v>
      </c>
    </row>
    <row r="1294" spans="1:10">
      <c r="A1294">
        <v>2016</v>
      </c>
      <c r="B1294" t="s">
        <v>1429</v>
      </c>
      <c r="C1294" t="s">
        <v>1431</v>
      </c>
      <c r="D1294" t="s">
        <v>1433</v>
      </c>
      <c r="E1294" t="s">
        <v>433</v>
      </c>
      <c r="F1294" t="s">
        <v>656</v>
      </c>
      <c r="G1294" s="28">
        <v>1080148</v>
      </c>
      <c r="H1294">
        <v>0</v>
      </c>
      <c r="I1294" s="29">
        <f t="shared" si="20"/>
        <v>1080148</v>
      </c>
      <c r="J1294">
        <f>IFERROR(VLOOKUP(E1294,'LEAID Match'!$A$2:$B$168,2,FALSE),"")</f>
        <v>3303850</v>
      </c>
    </row>
    <row r="1295" spans="1:10">
      <c r="A1295">
        <v>2017</v>
      </c>
      <c r="B1295" t="s">
        <v>1429</v>
      </c>
      <c r="C1295" t="s">
        <v>1431</v>
      </c>
      <c r="D1295" t="s">
        <v>1433</v>
      </c>
      <c r="E1295" t="s">
        <v>433</v>
      </c>
      <c r="F1295" t="s">
        <v>656</v>
      </c>
      <c r="G1295" s="28">
        <v>1107580</v>
      </c>
      <c r="H1295">
        <v>0</v>
      </c>
      <c r="I1295" s="29">
        <f t="shared" si="20"/>
        <v>1107580</v>
      </c>
      <c r="J1295">
        <f>IFERROR(VLOOKUP(E1295,'LEAID Match'!$A$2:$B$168,2,FALSE),"")</f>
        <v>3303850</v>
      </c>
    </row>
    <row r="1296" spans="1:10">
      <c r="A1296" s="27">
        <v>2018</v>
      </c>
      <c r="B1296" t="s">
        <v>1429</v>
      </c>
      <c r="C1296" t="s">
        <v>1431</v>
      </c>
      <c r="D1296" t="s">
        <v>1433</v>
      </c>
      <c r="E1296" t="s">
        <v>433</v>
      </c>
      <c r="F1296" s="9" t="s">
        <v>656</v>
      </c>
      <c r="G1296" s="18">
        <v>1406920</v>
      </c>
      <c r="H1296">
        <v>0</v>
      </c>
      <c r="I1296" s="29">
        <f t="shared" si="20"/>
        <v>1406920</v>
      </c>
      <c r="J1296">
        <f>IFERROR(VLOOKUP(E1296,'LEAID Match'!$A$2:$B$168,2,FALSE),"")</f>
        <v>3303850</v>
      </c>
    </row>
    <row r="1297" spans="1:10">
      <c r="A1297">
        <v>2019</v>
      </c>
      <c r="B1297" t="s">
        <v>1429</v>
      </c>
      <c r="C1297" t="s">
        <v>1431</v>
      </c>
      <c r="D1297" t="s">
        <v>1433</v>
      </c>
      <c r="E1297" t="s">
        <v>433</v>
      </c>
      <c r="F1297" s="9" t="s">
        <v>656</v>
      </c>
      <c r="G1297" s="18">
        <v>1487653</v>
      </c>
      <c r="H1297">
        <v>0</v>
      </c>
      <c r="I1297" s="29">
        <f t="shared" si="20"/>
        <v>1487653</v>
      </c>
      <c r="J1297">
        <f>IFERROR(VLOOKUP(E1297,'LEAID Match'!$A$2:$B$168,2,FALSE),"")</f>
        <v>3303850</v>
      </c>
    </row>
    <row r="1298" spans="1:10">
      <c r="A1298" s="27">
        <v>2020</v>
      </c>
      <c r="B1298" t="s">
        <v>1429</v>
      </c>
      <c r="C1298" t="s">
        <v>1431</v>
      </c>
      <c r="D1298" t="s">
        <v>1433</v>
      </c>
      <c r="E1298" t="s">
        <v>433</v>
      </c>
      <c r="F1298" s="9" t="s">
        <v>433</v>
      </c>
      <c r="G1298" s="18">
        <v>1533521</v>
      </c>
      <c r="H1298">
        <v>0</v>
      </c>
      <c r="I1298" s="29">
        <f t="shared" si="20"/>
        <v>1533521</v>
      </c>
      <c r="J1298">
        <f>IFERROR(VLOOKUP(E1298,'LEAID Match'!$A$2:$B$168,2,FALSE),"")</f>
        <v>3303850</v>
      </c>
    </row>
    <row r="1299" spans="1:10">
      <c r="A1299">
        <v>2021</v>
      </c>
      <c r="B1299" t="s">
        <v>1429</v>
      </c>
      <c r="C1299" t="s">
        <v>1431</v>
      </c>
      <c r="D1299" t="s">
        <v>1433</v>
      </c>
      <c r="E1299" t="s">
        <v>433</v>
      </c>
      <c r="F1299" s="9" t="s">
        <v>433</v>
      </c>
      <c r="G1299" s="18">
        <v>1569160</v>
      </c>
      <c r="H1299">
        <v>0</v>
      </c>
      <c r="I1299" s="29">
        <f t="shared" si="20"/>
        <v>1569160</v>
      </c>
      <c r="J1299">
        <f>IFERROR(VLOOKUP(E1299,'LEAID Match'!$A$2:$B$168,2,FALSE),"")</f>
        <v>3303850</v>
      </c>
    </row>
    <row r="1300" spans="1:10">
      <c r="A1300">
        <v>2022</v>
      </c>
      <c r="B1300" t="s">
        <v>1429</v>
      </c>
      <c r="C1300" t="s">
        <v>1431</v>
      </c>
      <c r="D1300" t="s">
        <v>1433</v>
      </c>
      <c r="E1300" t="s">
        <v>433</v>
      </c>
      <c r="F1300" s="9" t="s">
        <v>433</v>
      </c>
      <c r="G1300" s="18">
        <v>1946978</v>
      </c>
      <c r="H1300">
        <v>0</v>
      </c>
      <c r="I1300" s="29">
        <f t="shared" si="20"/>
        <v>1946978</v>
      </c>
      <c r="J1300">
        <f>IFERROR(VLOOKUP(E1300,'LEAID Match'!$A$2:$B$168,2,FALSE),"")</f>
        <v>3303850</v>
      </c>
    </row>
    <row r="1301" spans="1:10">
      <c r="A1301">
        <v>2023</v>
      </c>
      <c r="B1301" t="s">
        <v>1429</v>
      </c>
      <c r="C1301" t="s">
        <v>1431</v>
      </c>
      <c r="D1301" t="s">
        <v>1433</v>
      </c>
      <c r="E1301" t="s">
        <v>433</v>
      </c>
      <c r="F1301" t="s">
        <v>433</v>
      </c>
      <c r="G1301" s="28">
        <v>2037716</v>
      </c>
      <c r="H1301">
        <v>0</v>
      </c>
      <c r="I1301" s="29">
        <f t="shared" si="20"/>
        <v>2037716</v>
      </c>
      <c r="J1301">
        <f>IFERROR(VLOOKUP(E1301,'LEAID Match'!$A$2:$B$168,2,FALSE),"")</f>
        <v>3303850</v>
      </c>
    </row>
    <row r="1302" spans="1:10">
      <c r="A1302">
        <v>2015</v>
      </c>
      <c r="B1302" t="s">
        <v>1429</v>
      </c>
      <c r="C1302" t="s">
        <v>1431</v>
      </c>
      <c r="D1302" t="s">
        <v>1433</v>
      </c>
      <c r="E1302" t="s">
        <v>657</v>
      </c>
      <c r="F1302" s="9" t="s">
        <v>1120</v>
      </c>
      <c r="G1302" s="18">
        <v>1091578.23</v>
      </c>
      <c r="H1302">
        <v>0</v>
      </c>
      <c r="I1302" s="29">
        <f t="shared" si="20"/>
        <v>1091578.23</v>
      </c>
      <c r="J1302" t="str">
        <f>IFERROR(VLOOKUP(E1302,'LEAID Match'!$A$2:$B$168,2,FALSE),"")</f>
        <v/>
      </c>
    </row>
    <row r="1303" spans="1:10">
      <c r="A1303">
        <v>2016</v>
      </c>
      <c r="B1303" t="s">
        <v>1429</v>
      </c>
      <c r="C1303" t="s">
        <v>1431</v>
      </c>
      <c r="D1303" t="s">
        <v>1433</v>
      </c>
      <c r="E1303" t="s">
        <v>657</v>
      </c>
      <c r="F1303" t="s">
        <v>657</v>
      </c>
      <c r="G1303" s="28">
        <v>1172886</v>
      </c>
      <c r="H1303">
        <v>0</v>
      </c>
      <c r="I1303" s="29">
        <f t="shared" si="20"/>
        <v>1172886</v>
      </c>
      <c r="J1303" t="str">
        <f>IFERROR(VLOOKUP(E1303,'LEAID Match'!$A$2:$B$168,2,FALSE),"")</f>
        <v/>
      </c>
    </row>
    <row r="1304" spans="1:10">
      <c r="A1304">
        <v>2017</v>
      </c>
      <c r="B1304" t="s">
        <v>1429</v>
      </c>
      <c r="C1304" t="s">
        <v>1431</v>
      </c>
      <c r="D1304" t="s">
        <v>1433</v>
      </c>
      <c r="E1304" t="s">
        <v>657</v>
      </c>
      <c r="F1304" t="s">
        <v>657</v>
      </c>
      <c r="G1304" s="28">
        <v>1154486</v>
      </c>
      <c r="H1304">
        <v>0</v>
      </c>
      <c r="I1304" s="29">
        <f t="shared" si="20"/>
        <v>1154486</v>
      </c>
      <c r="J1304" t="str">
        <f>IFERROR(VLOOKUP(E1304,'LEAID Match'!$A$2:$B$168,2,FALSE),"")</f>
        <v/>
      </c>
    </row>
    <row r="1305" spans="1:10">
      <c r="A1305" s="27">
        <v>2018</v>
      </c>
      <c r="B1305" t="s">
        <v>1429</v>
      </c>
      <c r="C1305" t="s">
        <v>1431</v>
      </c>
      <c r="D1305" t="s">
        <v>1433</v>
      </c>
      <c r="E1305" t="s">
        <v>657</v>
      </c>
      <c r="F1305" s="9" t="s">
        <v>657</v>
      </c>
      <c r="G1305" s="18">
        <v>1335914</v>
      </c>
      <c r="H1305">
        <v>0</v>
      </c>
      <c r="I1305" s="29">
        <f t="shared" si="20"/>
        <v>1335914</v>
      </c>
      <c r="J1305" t="str">
        <f>IFERROR(VLOOKUP(E1305,'LEAID Match'!$A$2:$B$168,2,FALSE),"")</f>
        <v/>
      </c>
    </row>
    <row r="1306" spans="1:10">
      <c r="A1306">
        <v>2019</v>
      </c>
      <c r="B1306" t="s">
        <v>1429</v>
      </c>
      <c r="C1306" t="s">
        <v>1431</v>
      </c>
      <c r="D1306" t="s">
        <v>1433</v>
      </c>
      <c r="E1306" t="s">
        <v>657</v>
      </c>
      <c r="F1306" s="9" t="s">
        <v>657</v>
      </c>
      <c r="G1306" s="18">
        <v>1385672</v>
      </c>
      <c r="H1306">
        <v>0</v>
      </c>
      <c r="I1306" s="29">
        <f t="shared" si="20"/>
        <v>1385672</v>
      </c>
      <c r="J1306" t="str">
        <f>IFERROR(VLOOKUP(E1306,'LEAID Match'!$A$2:$B$168,2,FALSE),"")</f>
        <v/>
      </c>
    </row>
    <row r="1307" spans="1:10">
      <c r="A1307">
        <v>2015</v>
      </c>
      <c r="B1307" t="s">
        <v>1429</v>
      </c>
      <c r="C1307" t="s">
        <v>1431</v>
      </c>
      <c r="D1307" t="s">
        <v>1433</v>
      </c>
      <c r="E1307" t="s">
        <v>434</v>
      </c>
      <c r="F1307" s="9" t="s">
        <v>1121</v>
      </c>
      <c r="G1307" s="18">
        <v>23609.57</v>
      </c>
      <c r="H1307">
        <v>0</v>
      </c>
      <c r="I1307" s="29">
        <f t="shared" si="20"/>
        <v>23609.57</v>
      </c>
      <c r="J1307" t="str">
        <f>IFERROR(VLOOKUP(E1307,'LEAID Match'!$A$2:$B$168,2,FALSE),"")</f>
        <v/>
      </c>
    </row>
    <row r="1308" spans="1:10">
      <c r="A1308">
        <v>2016</v>
      </c>
      <c r="B1308" t="s">
        <v>1429</v>
      </c>
      <c r="C1308" t="s">
        <v>1431</v>
      </c>
      <c r="D1308" t="s">
        <v>1433</v>
      </c>
      <c r="E1308" t="s">
        <v>434</v>
      </c>
      <c r="F1308" t="s">
        <v>658</v>
      </c>
      <c r="G1308" s="28">
        <v>30769</v>
      </c>
      <c r="H1308">
        <v>0</v>
      </c>
      <c r="I1308" s="29">
        <f t="shared" si="20"/>
        <v>30769</v>
      </c>
      <c r="J1308" t="str">
        <f>IFERROR(VLOOKUP(E1308,'LEAID Match'!$A$2:$B$168,2,FALSE),"")</f>
        <v/>
      </c>
    </row>
    <row r="1309" spans="1:10">
      <c r="A1309">
        <v>2017</v>
      </c>
      <c r="B1309" t="s">
        <v>1429</v>
      </c>
      <c r="C1309" t="s">
        <v>1431</v>
      </c>
      <c r="D1309" t="s">
        <v>1433</v>
      </c>
      <c r="E1309" t="s">
        <v>434</v>
      </c>
      <c r="F1309" t="s">
        <v>658</v>
      </c>
      <c r="G1309" s="28">
        <v>32726</v>
      </c>
      <c r="H1309">
        <v>0</v>
      </c>
      <c r="I1309" s="29">
        <f t="shared" si="20"/>
        <v>32726</v>
      </c>
      <c r="J1309" t="str">
        <f>IFERROR(VLOOKUP(E1309,'LEAID Match'!$A$2:$B$168,2,FALSE),"")</f>
        <v/>
      </c>
    </row>
    <row r="1310" spans="1:10">
      <c r="A1310" s="27">
        <v>2018</v>
      </c>
      <c r="B1310" t="s">
        <v>1429</v>
      </c>
      <c r="C1310" t="s">
        <v>1431</v>
      </c>
      <c r="D1310" t="s">
        <v>1433</v>
      </c>
      <c r="E1310" t="s">
        <v>434</v>
      </c>
      <c r="F1310" s="9" t="s">
        <v>658</v>
      </c>
      <c r="G1310" s="18">
        <v>36202</v>
      </c>
      <c r="H1310">
        <v>0</v>
      </c>
      <c r="I1310" s="29">
        <f t="shared" si="20"/>
        <v>36202</v>
      </c>
      <c r="J1310" t="str">
        <f>IFERROR(VLOOKUP(E1310,'LEAID Match'!$A$2:$B$168,2,FALSE),"")</f>
        <v/>
      </c>
    </row>
    <row r="1311" spans="1:10">
      <c r="A1311">
        <v>2019</v>
      </c>
      <c r="B1311" t="s">
        <v>1429</v>
      </c>
      <c r="C1311" t="s">
        <v>1431</v>
      </c>
      <c r="D1311" t="s">
        <v>1433</v>
      </c>
      <c r="E1311" t="s">
        <v>434</v>
      </c>
      <c r="F1311" s="9" t="s">
        <v>658</v>
      </c>
      <c r="G1311" s="18">
        <v>35953</v>
      </c>
      <c r="H1311">
        <v>0</v>
      </c>
      <c r="I1311" s="29">
        <f t="shared" si="20"/>
        <v>35953</v>
      </c>
      <c r="J1311" t="str">
        <f>IFERROR(VLOOKUP(E1311,'LEAID Match'!$A$2:$B$168,2,FALSE),"")</f>
        <v/>
      </c>
    </row>
    <row r="1312" spans="1:10">
      <c r="A1312" s="27">
        <v>2020</v>
      </c>
      <c r="B1312" t="s">
        <v>1429</v>
      </c>
      <c r="C1312" t="s">
        <v>1431</v>
      </c>
      <c r="D1312" t="s">
        <v>1433</v>
      </c>
      <c r="E1312" t="s">
        <v>434</v>
      </c>
      <c r="F1312" s="9" t="s">
        <v>434</v>
      </c>
      <c r="G1312" s="18">
        <v>38619</v>
      </c>
      <c r="H1312">
        <v>0</v>
      </c>
      <c r="I1312" s="29">
        <f t="shared" si="20"/>
        <v>38619</v>
      </c>
      <c r="J1312" t="str">
        <f>IFERROR(VLOOKUP(E1312,'LEAID Match'!$A$2:$B$168,2,FALSE),"")</f>
        <v/>
      </c>
    </row>
    <row r="1313" spans="1:10">
      <c r="A1313">
        <v>2021</v>
      </c>
      <c r="B1313" t="s">
        <v>1429</v>
      </c>
      <c r="C1313" t="s">
        <v>1431</v>
      </c>
      <c r="D1313" t="s">
        <v>1433</v>
      </c>
      <c r="E1313" t="s">
        <v>434</v>
      </c>
      <c r="F1313" s="9" t="s">
        <v>434</v>
      </c>
      <c r="G1313" s="18">
        <v>39433</v>
      </c>
      <c r="H1313">
        <v>0</v>
      </c>
      <c r="I1313" s="29">
        <f t="shared" si="20"/>
        <v>39433</v>
      </c>
      <c r="J1313" t="str">
        <f>IFERROR(VLOOKUP(E1313,'LEAID Match'!$A$2:$B$168,2,FALSE),"")</f>
        <v/>
      </c>
    </row>
    <row r="1314" spans="1:10">
      <c r="A1314">
        <v>2022</v>
      </c>
      <c r="B1314" t="s">
        <v>1429</v>
      </c>
      <c r="C1314" t="s">
        <v>1431</v>
      </c>
      <c r="D1314" t="s">
        <v>1433</v>
      </c>
      <c r="E1314" t="s">
        <v>434</v>
      </c>
      <c r="F1314" s="9" t="s">
        <v>434</v>
      </c>
      <c r="G1314" s="18">
        <v>51422</v>
      </c>
      <c r="H1314">
        <v>0</v>
      </c>
      <c r="I1314" s="29">
        <f t="shared" si="20"/>
        <v>51422</v>
      </c>
      <c r="J1314" t="str">
        <f>IFERROR(VLOOKUP(E1314,'LEAID Match'!$A$2:$B$168,2,FALSE),"")</f>
        <v/>
      </c>
    </row>
    <row r="1315" spans="1:10">
      <c r="A1315">
        <v>2023</v>
      </c>
      <c r="B1315" t="s">
        <v>1429</v>
      </c>
      <c r="C1315" t="s">
        <v>1431</v>
      </c>
      <c r="D1315" t="s">
        <v>1433</v>
      </c>
      <c r="E1315" t="s">
        <v>434</v>
      </c>
      <c r="F1315" t="s">
        <v>434</v>
      </c>
      <c r="G1315" s="28">
        <v>58448</v>
      </c>
      <c r="H1315">
        <v>0</v>
      </c>
      <c r="I1315" s="29">
        <f t="shared" si="20"/>
        <v>58448</v>
      </c>
      <c r="J1315" t="str">
        <f>IFERROR(VLOOKUP(E1315,'LEAID Match'!$A$2:$B$168,2,FALSE),"")</f>
        <v/>
      </c>
    </row>
    <row r="1316" spans="1:10">
      <c r="A1316">
        <v>2015</v>
      </c>
      <c r="B1316" t="s">
        <v>1429</v>
      </c>
      <c r="C1316" t="s">
        <v>1431</v>
      </c>
      <c r="D1316" t="s">
        <v>1433</v>
      </c>
      <c r="E1316" t="s">
        <v>435</v>
      </c>
      <c r="F1316" s="9" t="s">
        <v>1122</v>
      </c>
      <c r="G1316" s="18">
        <v>969344.36</v>
      </c>
      <c r="H1316">
        <v>0</v>
      </c>
      <c r="I1316" s="29">
        <f t="shared" si="20"/>
        <v>969344.36</v>
      </c>
      <c r="J1316">
        <f>IFERROR(VLOOKUP(E1316,'LEAID Match'!$A$2:$B$168,2,FALSE),"")</f>
        <v>3303870</v>
      </c>
    </row>
    <row r="1317" spans="1:10">
      <c r="A1317">
        <v>2016</v>
      </c>
      <c r="B1317" t="s">
        <v>1429</v>
      </c>
      <c r="C1317" t="s">
        <v>1431</v>
      </c>
      <c r="D1317" t="s">
        <v>1433</v>
      </c>
      <c r="E1317" t="s">
        <v>435</v>
      </c>
      <c r="F1317" t="s">
        <v>659</v>
      </c>
      <c r="G1317" s="28">
        <v>1054406</v>
      </c>
      <c r="H1317">
        <v>0</v>
      </c>
      <c r="I1317" s="29">
        <f t="shared" si="20"/>
        <v>1054406</v>
      </c>
      <c r="J1317">
        <f>IFERROR(VLOOKUP(E1317,'LEAID Match'!$A$2:$B$168,2,FALSE),"")</f>
        <v>3303870</v>
      </c>
    </row>
    <row r="1318" spans="1:10">
      <c r="A1318">
        <v>2017</v>
      </c>
      <c r="B1318" t="s">
        <v>1429</v>
      </c>
      <c r="C1318" t="s">
        <v>1431</v>
      </c>
      <c r="D1318" t="s">
        <v>1433</v>
      </c>
      <c r="E1318" t="s">
        <v>435</v>
      </c>
      <c r="F1318" t="s">
        <v>659</v>
      </c>
      <c r="G1318" s="28">
        <v>1049064</v>
      </c>
      <c r="H1318">
        <v>0</v>
      </c>
      <c r="I1318" s="29">
        <f t="shared" si="20"/>
        <v>1049064</v>
      </c>
      <c r="J1318">
        <f>IFERROR(VLOOKUP(E1318,'LEAID Match'!$A$2:$B$168,2,FALSE),"")</f>
        <v>3303870</v>
      </c>
    </row>
    <row r="1319" spans="1:10">
      <c r="A1319" s="27">
        <v>2018</v>
      </c>
      <c r="B1319" t="s">
        <v>1429</v>
      </c>
      <c r="C1319" t="s">
        <v>1431</v>
      </c>
      <c r="D1319" t="s">
        <v>1433</v>
      </c>
      <c r="E1319" t="s">
        <v>435</v>
      </c>
      <c r="F1319" s="9" t="s">
        <v>659</v>
      </c>
      <c r="G1319" s="18">
        <v>1293784</v>
      </c>
      <c r="H1319">
        <v>0</v>
      </c>
      <c r="I1319" s="29">
        <f t="shared" si="20"/>
        <v>1293784</v>
      </c>
      <c r="J1319">
        <f>IFERROR(VLOOKUP(E1319,'LEAID Match'!$A$2:$B$168,2,FALSE),"")</f>
        <v>3303870</v>
      </c>
    </row>
    <row r="1320" spans="1:10">
      <c r="A1320">
        <v>2019</v>
      </c>
      <c r="B1320" t="s">
        <v>1429</v>
      </c>
      <c r="C1320" t="s">
        <v>1431</v>
      </c>
      <c r="D1320" t="s">
        <v>1433</v>
      </c>
      <c r="E1320" t="s">
        <v>435</v>
      </c>
      <c r="F1320" s="9" t="s">
        <v>659</v>
      </c>
      <c r="G1320" s="18">
        <v>1313104</v>
      </c>
      <c r="H1320">
        <v>0</v>
      </c>
      <c r="I1320" s="29">
        <f t="shared" si="20"/>
        <v>1313104</v>
      </c>
      <c r="J1320">
        <f>IFERROR(VLOOKUP(E1320,'LEAID Match'!$A$2:$B$168,2,FALSE),"")</f>
        <v>3303870</v>
      </c>
    </row>
    <row r="1321" spans="1:10">
      <c r="A1321" s="27">
        <v>2020</v>
      </c>
      <c r="B1321" t="s">
        <v>1429</v>
      </c>
      <c r="C1321" t="s">
        <v>1431</v>
      </c>
      <c r="D1321" t="s">
        <v>1433</v>
      </c>
      <c r="E1321" t="s">
        <v>435</v>
      </c>
      <c r="F1321" s="9" t="s">
        <v>435</v>
      </c>
      <c r="G1321" s="18">
        <v>1363517</v>
      </c>
      <c r="H1321">
        <v>0</v>
      </c>
      <c r="I1321" s="29">
        <f t="shared" si="20"/>
        <v>1363517</v>
      </c>
      <c r="J1321">
        <f>IFERROR(VLOOKUP(E1321,'LEAID Match'!$A$2:$B$168,2,FALSE),"")</f>
        <v>3303870</v>
      </c>
    </row>
    <row r="1322" spans="1:10">
      <c r="A1322">
        <v>2021</v>
      </c>
      <c r="B1322" t="s">
        <v>1429</v>
      </c>
      <c r="C1322" t="s">
        <v>1431</v>
      </c>
      <c r="D1322" t="s">
        <v>1433</v>
      </c>
      <c r="E1322" t="s">
        <v>435</v>
      </c>
      <c r="F1322" s="9" t="s">
        <v>435</v>
      </c>
      <c r="G1322" s="18">
        <v>1362492</v>
      </c>
      <c r="H1322">
        <v>0</v>
      </c>
      <c r="I1322" s="29">
        <f t="shared" si="20"/>
        <v>1362492</v>
      </c>
      <c r="J1322">
        <f>IFERROR(VLOOKUP(E1322,'LEAID Match'!$A$2:$B$168,2,FALSE),"")</f>
        <v>3303870</v>
      </c>
    </row>
    <row r="1323" spans="1:10">
      <c r="A1323">
        <v>2022</v>
      </c>
      <c r="B1323" t="s">
        <v>1429</v>
      </c>
      <c r="C1323" t="s">
        <v>1431</v>
      </c>
      <c r="D1323" t="s">
        <v>1433</v>
      </c>
      <c r="E1323" t="s">
        <v>435</v>
      </c>
      <c r="F1323" s="9" t="s">
        <v>435</v>
      </c>
      <c r="G1323" s="18">
        <v>1690620</v>
      </c>
      <c r="H1323">
        <v>0</v>
      </c>
      <c r="I1323" s="29">
        <f t="shared" si="20"/>
        <v>1690620</v>
      </c>
      <c r="J1323">
        <f>IFERROR(VLOOKUP(E1323,'LEAID Match'!$A$2:$B$168,2,FALSE),"")</f>
        <v>3303870</v>
      </c>
    </row>
    <row r="1324" spans="1:10">
      <c r="A1324">
        <v>2023</v>
      </c>
      <c r="B1324" t="s">
        <v>1429</v>
      </c>
      <c r="C1324" t="s">
        <v>1431</v>
      </c>
      <c r="D1324" t="s">
        <v>1433</v>
      </c>
      <c r="E1324" t="s">
        <v>435</v>
      </c>
      <c r="F1324" t="s">
        <v>435</v>
      </c>
      <c r="G1324" s="28">
        <v>1754504</v>
      </c>
      <c r="H1324">
        <v>0</v>
      </c>
      <c r="I1324" s="29">
        <f t="shared" si="20"/>
        <v>1754504</v>
      </c>
      <c r="J1324">
        <f>IFERROR(VLOOKUP(E1324,'LEAID Match'!$A$2:$B$168,2,FALSE),"")</f>
        <v>3303870</v>
      </c>
    </row>
    <row r="1325" spans="1:10">
      <c r="A1325">
        <v>2015</v>
      </c>
      <c r="B1325" t="s">
        <v>1429</v>
      </c>
      <c r="C1325" t="s">
        <v>1431</v>
      </c>
      <c r="D1325" t="s">
        <v>1433</v>
      </c>
      <c r="E1325" t="s">
        <v>436</v>
      </c>
      <c r="F1325" s="9" t="s">
        <v>1123</v>
      </c>
      <c r="G1325" s="18">
        <v>31656.62</v>
      </c>
      <c r="H1325">
        <v>0</v>
      </c>
      <c r="I1325" s="29">
        <f t="shared" si="20"/>
        <v>31656.62</v>
      </c>
      <c r="J1325" t="str">
        <f>IFERROR(VLOOKUP(E1325,'LEAID Match'!$A$2:$B$168,2,FALSE),"")</f>
        <v/>
      </c>
    </row>
    <row r="1326" spans="1:10">
      <c r="A1326">
        <v>2016</v>
      </c>
      <c r="B1326" t="s">
        <v>1429</v>
      </c>
      <c r="C1326" t="s">
        <v>1431</v>
      </c>
      <c r="D1326" t="s">
        <v>1433</v>
      </c>
      <c r="E1326" t="s">
        <v>436</v>
      </c>
      <c r="F1326" t="s">
        <v>436</v>
      </c>
      <c r="G1326" s="28">
        <v>33900</v>
      </c>
      <c r="H1326">
        <v>0</v>
      </c>
      <c r="I1326" s="29">
        <f t="shared" si="20"/>
        <v>33900</v>
      </c>
      <c r="J1326" t="str">
        <f>IFERROR(VLOOKUP(E1326,'LEAID Match'!$A$2:$B$168,2,FALSE),"")</f>
        <v/>
      </c>
    </row>
    <row r="1327" spans="1:10">
      <c r="A1327">
        <v>2017</v>
      </c>
      <c r="B1327" t="s">
        <v>1429</v>
      </c>
      <c r="C1327" t="s">
        <v>1431</v>
      </c>
      <c r="D1327" t="s">
        <v>1433</v>
      </c>
      <c r="E1327" t="s">
        <v>436</v>
      </c>
      <c r="F1327" t="s">
        <v>436</v>
      </c>
      <c r="G1327" s="28">
        <v>34822</v>
      </c>
      <c r="H1327">
        <v>0</v>
      </c>
      <c r="I1327" s="29">
        <f t="shared" si="20"/>
        <v>34822</v>
      </c>
      <c r="J1327" t="str">
        <f>IFERROR(VLOOKUP(E1327,'LEAID Match'!$A$2:$B$168,2,FALSE),"")</f>
        <v/>
      </c>
    </row>
    <row r="1328" spans="1:10">
      <c r="A1328" s="27">
        <v>2018</v>
      </c>
      <c r="B1328" t="s">
        <v>1429</v>
      </c>
      <c r="C1328" t="s">
        <v>1431</v>
      </c>
      <c r="D1328" t="s">
        <v>1433</v>
      </c>
      <c r="E1328" t="s">
        <v>436</v>
      </c>
      <c r="F1328" s="9" t="s">
        <v>436</v>
      </c>
      <c r="G1328" s="18">
        <v>38411</v>
      </c>
      <c r="H1328">
        <v>0</v>
      </c>
      <c r="I1328" s="29">
        <f t="shared" si="20"/>
        <v>38411</v>
      </c>
      <c r="J1328" t="str">
        <f>IFERROR(VLOOKUP(E1328,'LEAID Match'!$A$2:$B$168,2,FALSE),"")</f>
        <v/>
      </c>
    </row>
    <row r="1329" spans="1:10">
      <c r="A1329">
        <v>2019</v>
      </c>
      <c r="B1329" t="s">
        <v>1429</v>
      </c>
      <c r="C1329" t="s">
        <v>1431</v>
      </c>
      <c r="D1329" t="s">
        <v>1433</v>
      </c>
      <c r="E1329" t="s">
        <v>436</v>
      </c>
      <c r="F1329" s="9" t="s">
        <v>436</v>
      </c>
      <c r="G1329" s="18">
        <v>40246</v>
      </c>
      <c r="H1329">
        <v>0</v>
      </c>
      <c r="I1329" s="29">
        <f t="shared" si="20"/>
        <v>40246</v>
      </c>
      <c r="J1329" t="str">
        <f>IFERROR(VLOOKUP(E1329,'LEAID Match'!$A$2:$B$168,2,FALSE),"")</f>
        <v/>
      </c>
    </row>
    <row r="1330" spans="1:10">
      <c r="A1330" s="27">
        <v>2020</v>
      </c>
      <c r="B1330" t="s">
        <v>1429</v>
      </c>
      <c r="C1330" t="s">
        <v>1431</v>
      </c>
      <c r="D1330" t="s">
        <v>1433</v>
      </c>
      <c r="E1330" t="s">
        <v>436</v>
      </c>
      <c r="F1330" s="9" t="s">
        <v>436</v>
      </c>
      <c r="G1330" s="18">
        <v>44685</v>
      </c>
      <c r="H1330">
        <v>0</v>
      </c>
      <c r="I1330" s="29">
        <f t="shared" si="20"/>
        <v>44685</v>
      </c>
      <c r="J1330" t="str">
        <f>IFERROR(VLOOKUP(E1330,'LEAID Match'!$A$2:$B$168,2,FALSE),"")</f>
        <v/>
      </c>
    </row>
    <row r="1331" spans="1:10">
      <c r="A1331">
        <v>2021</v>
      </c>
      <c r="B1331" t="s">
        <v>1429</v>
      </c>
      <c r="C1331" t="s">
        <v>1431</v>
      </c>
      <c r="D1331" t="s">
        <v>1433</v>
      </c>
      <c r="E1331" t="s">
        <v>436</v>
      </c>
      <c r="F1331" s="9" t="s">
        <v>436</v>
      </c>
      <c r="G1331" s="18">
        <v>44484</v>
      </c>
      <c r="H1331">
        <v>0</v>
      </c>
      <c r="I1331" s="29">
        <f t="shared" si="20"/>
        <v>44484</v>
      </c>
      <c r="J1331" t="str">
        <f>IFERROR(VLOOKUP(E1331,'LEAID Match'!$A$2:$B$168,2,FALSE),"")</f>
        <v/>
      </c>
    </row>
    <row r="1332" spans="1:10">
      <c r="A1332">
        <v>2022</v>
      </c>
      <c r="B1332" t="s">
        <v>1429</v>
      </c>
      <c r="C1332" t="s">
        <v>1431</v>
      </c>
      <c r="D1332" t="s">
        <v>1433</v>
      </c>
      <c r="E1332" t="s">
        <v>436</v>
      </c>
      <c r="F1332" s="9" t="s">
        <v>436</v>
      </c>
      <c r="G1332" s="18">
        <v>59348</v>
      </c>
      <c r="H1332">
        <v>0</v>
      </c>
      <c r="I1332" s="29">
        <f t="shared" si="20"/>
        <v>59348</v>
      </c>
      <c r="J1332" t="str">
        <f>IFERROR(VLOOKUP(E1332,'LEAID Match'!$A$2:$B$168,2,FALSE),"")</f>
        <v/>
      </c>
    </row>
    <row r="1333" spans="1:10">
      <c r="A1333">
        <v>2023</v>
      </c>
      <c r="B1333" t="s">
        <v>1429</v>
      </c>
      <c r="C1333" t="s">
        <v>1431</v>
      </c>
      <c r="D1333" t="s">
        <v>1433</v>
      </c>
      <c r="E1333" t="s">
        <v>436</v>
      </c>
      <c r="F1333" t="s">
        <v>436</v>
      </c>
      <c r="G1333" s="28">
        <v>63953</v>
      </c>
      <c r="H1333">
        <v>0</v>
      </c>
      <c r="I1333" s="29">
        <f t="shared" si="20"/>
        <v>63953</v>
      </c>
      <c r="J1333" t="str">
        <f>IFERROR(VLOOKUP(E1333,'LEAID Match'!$A$2:$B$168,2,FALSE),"")</f>
        <v/>
      </c>
    </row>
    <row r="1334" spans="1:10">
      <c r="A1334">
        <v>2015</v>
      </c>
      <c r="B1334" t="s">
        <v>1429</v>
      </c>
      <c r="C1334" t="s">
        <v>1431</v>
      </c>
      <c r="D1334" t="s">
        <v>1433</v>
      </c>
      <c r="E1334" t="s">
        <v>660</v>
      </c>
      <c r="F1334" s="9" t="s">
        <v>1124</v>
      </c>
      <c r="G1334" s="18">
        <v>22370.85</v>
      </c>
      <c r="H1334">
        <v>0</v>
      </c>
      <c r="I1334" s="29">
        <f t="shared" si="20"/>
        <v>22370.85</v>
      </c>
      <c r="J1334" t="str">
        <f>IFERROR(VLOOKUP(E1334,'LEAID Match'!$A$2:$B$168,2,FALSE),"")</f>
        <v/>
      </c>
    </row>
    <row r="1335" spans="1:10">
      <c r="A1335">
        <v>2016</v>
      </c>
      <c r="B1335" t="s">
        <v>1429</v>
      </c>
      <c r="C1335" t="s">
        <v>1431</v>
      </c>
      <c r="D1335" t="s">
        <v>1433</v>
      </c>
      <c r="E1335" t="s">
        <v>660</v>
      </c>
      <c r="F1335" t="s">
        <v>660</v>
      </c>
      <c r="G1335" s="28">
        <v>22597</v>
      </c>
      <c r="H1335">
        <v>0</v>
      </c>
      <c r="I1335" s="29">
        <f t="shared" si="20"/>
        <v>22597</v>
      </c>
      <c r="J1335" t="str">
        <f>IFERROR(VLOOKUP(E1335,'LEAID Match'!$A$2:$B$168,2,FALSE),"")</f>
        <v/>
      </c>
    </row>
    <row r="1336" spans="1:10">
      <c r="A1336">
        <v>2017</v>
      </c>
      <c r="B1336" t="s">
        <v>1429</v>
      </c>
      <c r="C1336" t="s">
        <v>1431</v>
      </c>
      <c r="D1336" t="s">
        <v>1433</v>
      </c>
      <c r="E1336" t="s">
        <v>660</v>
      </c>
      <c r="F1336" t="s">
        <v>660</v>
      </c>
      <c r="G1336" s="28">
        <v>31600</v>
      </c>
      <c r="H1336">
        <v>0</v>
      </c>
      <c r="I1336" s="29">
        <f t="shared" si="20"/>
        <v>31600</v>
      </c>
      <c r="J1336" t="str">
        <f>IFERROR(VLOOKUP(E1336,'LEAID Match'!$A$2:$B$168,2,FALSE),"")</f>
        <v/>
      </c>
    </row>
    <row r="1337" spans="1:10">
      <c r="A1337" s="27">
        <v>2018</v>
      </c>
      <c r="B1337" t="s">
        <v>1429</v>
      </c>
      <c r="C1337" t="s">
        <v>1431</v>
      </c>
      <c r="D1337" t="s">
        <v>1433</v>
      </c>
      <c r="E1337" t="s">
        <v>660</v>
      </c>
      <c r="F1337" s="9" t="s">
        <v>660</v>
      </c>
      <c r="G1337" s="18">
        <v>36207</v>
      </c>
      <c r="H1337">
        <v>0</v>
      </c>
      <c r="I1337" s="29">
        <f t="shared" si="20"/>
        <v>36207</v>
      </c>
      <c r="J1337" t="str">
        <f>IFERROR(VLOOKUP(E1337,'LEAID Match'!$A$2:$B$168,2,FALSE),"")</f>
        <v/>
      </c>
    </row>
    <row r="1338" spans="1:10">
      <c r="A1338">
        <v>2019</v>
      </c>
      <c r="B1338" t="s">
        <v>1429</v>
      </c>
      <c r="C1338" t="s">
        <v>1431</v>
      </c>
      <c r="D1338" t="s">
        <v>1433</v>
      </c>
      <c r="E1338" t="s">
        <v>660</v>
      </c>
      <c r="F1338" s="9" t="s">
        <v>660</v>
      </c>
      <c r="G1338" s="18">
        <v>34347</v>
      </c>
      <c r="H1338">
        <v>0</v>
      </c>
      <c r="I1338" s="29">
        <f t="shared" si="20"/>
        <v>34347</v>
      </c>
      <c r="J1338" t="str">
        <f>IFERROR(VLOOKUP(E1338,'LEAID Match'!$A$2:$B$168,2,FALSE),"")</f>
        <v/>
      </c>
    </row>
    <row r="1339" spans="1:10">
      <c r="A1339" s="27">
        <v>2020</v>
      </c>
      <c r="B1339" t="s">
        <v>1429</v>
      </c>
      <c r="C1339" t="s">
        <v>1431</v>
      </c>
      <c r="D1339" t="s">
        <v>1433</v>
      </c>
      <c r="E1339" t="s">
        <v>660</v>
      </c>
      <c r="F1339" s="9" t="s">
        <v>437</v>
      </c>
      <c r="G1339" s="18">
        <v>37020</v>
      </c>
      <c r="H1339">
        <v>0</v>
      </c>
      <c r="I1339" s="29">
        <f t="shared" si="20"/>
        <v>37020</v>
      </c>
      <c r="J1339" t="str">
        <f>IFERROR(VLOOKUP(E1339,'LEAID Match'!$A$2:$B$168,2,FALSE),"")</f>
        <v/>
      </c>
    </row>
    <row r="1340" spans="1:10">
      <c r="A1340">
        <v>2021</v>
      </c>
      <c r="B1340" t="s">
        <v>1429</v>
      </c>
      <c r="C1340" t="s">
        <v>1431</v>
      </c>
      <c r="D1340" t="s">
        <v>1433</v>
      </c>
      <c r="E1340" t="s">
        <v>660</v>
      </c>
      <c r="F1340" s="9" t="s">
        <v>437</v>
      </c>
      <c r="G1340" s="18">
        <v>38556</v>
      </c>
      <c r="H1340">
        <v>0</v>
      </c>
      <c r="I1340" s="29">
        <f t="shared" si="20"/>
        <v>38556</v>
      </c>
      <c r="J1340" t="str">
        <f>IFERROR(VLOOKUP(E1340,'LEAID Match'!$A$2:$B$168,2,FALSE),"")</f>
        <v/>
      </c>
    </row>
    <row r="1341" spans="1:10">
      <c r="A1341">
        <v>2022</v>
      </c>
      <c r="B1341" t="s">
        <v>1429</v>
      </c>
      <c r="C1341" t="s">
        <v>1431</v>
      </c>
      <c r="D1341" t="s">
        <v>1433</v>
      </c>
      <c r="E1341" t="s">
        <v>660</v>
      </c>
      <c r="F1341" s="9" t="s">
        <v>437</v>
      </c>
      <c r="G1341" s="18">
        <v>52507</v>
      </c>
      <c r="H1341">
        <v>0</v>
      </c>
      <c r="I1341" s="29">
        <f t="shared" si="20"/>
        <v>52507</v>
      </c>
      <c r="J1341" t="str">
        <f>IFERROR(VLOOKUP(E1341,'LEAID Match'!$A$2:$B$168,2,FALSE),"")</f>
        <v/>
      </c>
    </row>
    <row r="1342" spans="1:10">
      <c r="A1342">
        <v>2023</v>
      </c>
      <c r="B1342" t="s">
        <v>1429</v>
      </c>
      <c r="C1342" t="s">
        <v>1431</v>
      </c>
      <c r="D1342" t="s">
        <v>1433</v>
      </c>
      <c r="E1342" t="s">
        <v>660</v>
      </c>
      <c r="F1342" t="s">
        <v>437</v>
      </c>
      <c r="G1342" s="28">
        <v>50127</v>
      </c>
      <c r="H1342">
        <v>0</v>
      </c>
      <c r="I1342" s="29">
        <f t="shared" si="20"/>
        <v>50127</v>
      </c>
      <c r="J1342" t="str">
        <f>IFERROR(VLOOKUP(E1342,'LEAID Match'!$A$2:$B$168,2,FALSE),"")</f>
        <v/>
      </c>
    </row>
    <row r="1343" spans="1:10">
      <c r="A1343">
        <v>2015</v>
      </c>
      <c r="B1343" t="s">
        <v>1429</v>
      </c>
      <c r="C1343" t="s">
        <v>1431</v>
      </c>
      <c r="D1343" t="s">
        <v>1433</v>
      </c>
      <c r="E1343" t="s">
        <v>661</v>
      </c>
      <c r="F1343" s="9" t="s">
        <v>1125</v>
      </c>
      <c r="G1343" s="18">
        <v>307143.36</v>
      </c>
      <c r="H1343">
        <v>0</v>
      </c>
      <c r="I1343" s="29">
        <f t="shared" si="20"/>
        <v>307143.36</v>
      </c>
      <c r="J1343" t="str">
        <f>IFERROR(VLOOKUP(E1343,'LEAID Match'!$A$2:$B$168,2,FALSE),"")</f>
        <v/>
      </c>
    </row>
    <row r="1344" spans="1:10">
      <c r="A1344">
        <v>2016</v>
      </c>
      <c r="B1344" t="s">
        <v>1429</v>
      </c>
      <c r="C1344" t="s">
        <v>1431</v>
      </c>
      <c r="D1344" t="s">
        <v>1433</v>
      </c>
      <c r="E1344" t="s">
        <v>661</v>
      </c>
      <c r="F1344" t="s">
        <v>661</v>
      </c>
      <c r="G1344" s="28">
        <v>340458</v>
      </c>
      <c r="H1344">
        <v>0</v>
      </c>
      <c r="I1344" s="29">
        <f t="shared" si="20"/>
        <v>340458</v>
      </c>
      <c r="J1344" t="str">
        <f>IFERROR(VLOOKUP(E1344,'LEAID Match'!$A$2:$B$168,2,FALSE),"")</f>
        <v/>
      </c>
    </row>
    <row r="1345" spans="1:10">
      <c r="A1345">
        <v>2017</v>
      </c>
      <c r="B1345" t="s">
        <v>1429</v>
      </c>
      <c r="C1345" t="s">
        <v>1431</v>
      </c>
      <c r="D1345" t="s">
        <v>1433</v>
      </c>
      <c r="E1345" t="s">
        <v>661</v>
      </c>
      <c r="F1345" t="s">
        <v>661</v>
      </c>
      <c r="G1345" s="28">
        <v>326464</v>
      </c>
      <c r="H1345">
        <v>0</v>
      </c>
      <c r="I1345" s="29">
        <f t="shared" si="20"/>
        <v>326464</v>
      </c>
      <c r="J1345" t="str">
        <f>IFERROR(VLOOKUP(E1345,'LEAID Match'!$A$2:$B$168,2,FALSE),"")</f>
        <v/>
      </c>
    </row>
    <row r="1346" spans="1:10">
      <c r="A1346" s="27">
        <v>2018</v>
      </c>
      <c r="B1346" t="s">
        <v>1429</v>
      </c>
      <c r="C1346" t="s">
        <v>1431</v>
      </c>
      <c r="D1346" t="s">
        <v>1433</v>
      </c>
      <c r="E1346" t="s">
        <v>661</v>
      </c>
      <c r="F1346" s="9" t="s">
        <v>661</v>
      </c>
      <c r="G1346" s="18">
        <v>379065</v>
      </c>
      <c r="H1346">
        <v>0</v>
      </c>
      <c r="I1346" s="29">
        <f t="shared" si="20"/>
        <v>379065</v>
      </c>
      <c r="J1346" t="str">
        <f>IFERROR(VLOOKUP(E1346,'LEAID Match'!$A$2:$B$168,2,FALSE),"")</f>
        <v/>
      </c>
    </row>
    <row r="1347" spans="1:10">
      <c r="A1347">
        <v>2019</v>
      </c>
      <c r="B1347" t="s">
        <v>1429</v>
      </c>
      <c r="C1347" t="s">
        <v>1431</v>
      </c>
      <c r="D1347" t="s">
        <v>1433</v>
      </c>
      <c r="E1347" t="s">
        <v>661</v>
      </c>
      <c r="F1347" s="9" t="s">
        <v>661</v>
      </c>
      <c r="G1347" s="18">
        <v>399265</v>
      </c>
      <c r="H1347">
        <v>0</v>
      </c>
      <c r="I1347" s="29">
        <f t="shared" ref="I1347:I1410" si="21">SUM(G1347:H1347)</f>
        <v>399265</v>
      </c>
      <c r="J1347" t="str">
        <f>IFERROR(VLOOKUP(E1347,'LEAID Match'!$A$2:$B$168,2,FALSE),"")</f>
        <v/>
      </c>
    </row>
    <row r="1348" spans="1:10">
      <c r="A1348">
        <v>2015</v>
      </c>
      <c r="B1348" t="s">
        <v>1429</v>
      </c>
      <c r="C1348" t="s">
        <v>1431</v>
      </c>
      <c r="D1348" t="s">
        <v>1433</v>
      </c>
      <c r="E1348" t="s">
        <v>438</v>
      </c>
      <c r="F1348" s="9" t="s">
        <v>1126</v>
      </c>
      <c r="G1348" s="18">
        <v>979224.15</v>
      </c>
      <c r="H1348">
        <v>0</v>
      </c>
      <c r="I1348" s="29">
        <f t="shared" si="21"/>
        <v>979224.15</v>
      </c>
      <c r="J1348">
        <f>IFERROR(VLOOKUP(E1348,'LEAID Match'!$A$2:$B$168,2,FALSE),"")</f>
        <v>3303900</v>
      </c>
    </row>
    <row r="1349" spans="1:10">
      <c r="A1349">
        <v>2016</v>
      </c>
      <c r="B1349" t="s">
        <v>1429</v>
      </c>
      <c r="C1349" t="s">
        <v>1431</v>
      </c>
      <c r="D1349" t="s">
        <v>1433</v>
      </c>
      <c r="E1349" t="s">
        <v>438</v>
      </c>
      <c r="F1349" t="s">
        <v>662</v>
      </c>
      <c r="G1349" s="28">
        <v>1033806</v>
      </c>
      <c r="H1349">
        <v>0</v>
      </c>
      <c r="I1349" s="29">
        <f t="shared" si="21"/>
        <v>1033806</v>
      </c>
      <c r="J1349">
        <f>IFERROR(VLOOKUP(E1349,'LEAID Match'!$A$2:$B$168,2,FALSE),"")</f>
        <v>3303900</v>
      </c>
    </row>
    <row r="1350" spans="1:10">
      <c r="A1350">
        <v>2017</v>
      </c>
      <c r="B1350" t="s">
        <v>1429</v>
      </c>
      <c r="C1350" t="s">
        <v>1431</v>
      </c>
      <c r="D1350" t="s">
        <v>1433</v>
      </c>
      <c r="E1350" t="s">
        <v>438</v>
      </c>
      <c r="F1350" t="s">
        <v>662</v>
      </c>
      <c r="G1350" s="28">
        <v>1003634</v>
      </c>
      <c r="H1350">
        <v>0</v>
      </c>
      <c r="I1350" s="29">
        <f t="shared" si="21"/>
        <v>1003634</v>
      </c>
      <c r="J1350">
        <f>IFERROR(VLOOKUP(E1350,'LEAID Match'!$A$2:$B$168,2,FALSE),"")</f>
        <v>3303900</v>
      </c>
    </row>
    <row r="1351" spans="1:10">
      <c r="A1351" s="27">
        <v>2018</v>
      </c>
      <c r="B1351" t="s">
        <v>1429</v>
      </c>
      <c r="C1351" t="s">
        <v>1431</v>
      </c>
      <c r="D1351" t="s">
        <v>1433</v>
      </c>
      <c r="E1351" t="s">
        <v>438</v>
      </c>
      <c r="F1351" s="9" t="s">
        <v>662</v>
      </c>
      <c r="G1351" s="18">
        <v>1232262</v>
      </c>
      <c r="H1351">
        <v>0</v>
      </c>
      <c r="I1351" s="29">
        <f t="shared" si="21"/>
        <v>1232262</v>
      </c>
      <c r="J1351">
        <f>IFERROR(VLOOKUP(E1351,'LEAID Match'!$A$2:$B$168,2,FALSE),"")</f>
        <v>3303900</v>
      </c>
    </row>
    <row r="1352" spans="1:10">
      <c r="A1352">
        <v>2019</v>
      </c>
      <c r="B1352" t="s">
        <v>1429</v>
      </c>
      <c r="C1352" t="s">
        <v>1431</v>
      </c>
      <c r="D1352" t="s">
        <v>1433</v>
      </c>
      <c r="E1352" t="s">
        <v>438</v>
      </c>
      <c r="F1352" s="9" t="s">
        <v>662</v>
      </c>
      <c r="G1352" s="18">
        <v>1281708</v>
      </c>
      <c r="H1352">
        <v>0</v>
      </c>
      <c r="I1352" s="29">
        <f t="shared" si="21"/>
        <v>1281708</v>
      </c>
      <c r="J1352">
        <f>IFERROR(VLOOKUP(E1352,'LEAID Match'!$A$2:$B$168,2,FALSE),"")</f>
        <v>3303900</v>
      </c>
    </row>
    <row r="1353" spans="1:10">
      <c r="A1353" s="27">
        <v>2020</v>
      </c>
      <c r="B1353" t="s">
        <v>1429</v>
      </c>
      <c r="C1353" t="s">
        <v>1431</v>
      </c>
      <c r="D1353" t="s">
        <v>1433</v>
      </c>
      <c r="E1353" t="s">
        <v>438</v>
      </c>
      <c r="F1353" s="9" t="s">
        <v>438</v>
      </c>
      <c r="G1353" s="18">
        <v>1345244</v>
      </c>
      <c r="H1353">
        <v>0</v>
      </c>
      <c r="I1353" s="29">
        <f t="shared" si="21"/>
        <v>1345244</v>
      </c>
      <c r="J1353">
        <f>IFERROR(VLOOKUP(E1353,'LEAID Match'!$A$2:$B$168,2,FALSE),"")</f>
        <v>3303900</v>
      </c>
    </row>
    <row r="1354" spans="1:10">
      <c r="A1354">
        <v>2021</v>
      </c>
      <c r="B1354" t="s">
        <v>1429</v>
      </c>
      <c r="C1354" t="s">
        <v>1431</v>
      </c>
      <c r="D1354" t="s">
        <v>1433</v>
      </c>
      <c r="E1354" t="s">
        <v>438</v>
      </c>
      <c r="F1354" s="9" t="s">
        <v>438</v>
      </c>
      <c r="G1354" s="18">
        <v>1313896</v>
      </c>
      <c r="H1354">
        <v>0</v>
      </c>
      <c r="I1354" s="29">
        <f t="shared" si="21"/>
        <v>1313896</v>
      </c>
      <c r="J1354">
        <f>IFERROR(VLOOKUP(E1354,'LEAID Match'!$A$2:$B$168,2,FALSE),"")</f>
        <v>3303900</v>
      </c>
    </row>
    <row r="1355" spans="1:10">
      <c r="A1355">
        <v>2022</v>
      </c>
      <c r="B1355" t="s">
        <v>1429</v>
      </c>
      <c r="C1355" t="s">
        <v>1431</v>
      </c>
      <c r="D1355" t="s">
        <v>1433</v>
      </c>
      <c r="E1355" t="s">
        <v>438</v>
      </c>
      <c r="F1355" s="9" t="s">
        <v>438</v>
      </c>
      <c r="G1355" s="18">
        <v>1729256</v>
      </c>
      <c r="H1355">
        <v>0</v>
      </c>
      <c r="I1355" s="29">
        <f t="shared" si="21"/>
        <v>1729256</v>
      </c>
      <c r="J1355">
        <f>IFERROR(VLOOKUP(E1355,'LEAID Match'!$A$2:$B$168,2,FALSE),"")</f>
        <v>3303900</v>
      </c>
    </row>
    <row r="1356" spans="1:10">
      <c r="A1356">
        <v>2023</v>
      </c>
      <c r="B1356" t="s">
        <v>1429</v>
      </c>
      <c r="C1356" t="s">
        <v>1431</v>
      </c>
      <c r="D1356" t="s">
        <v>1433</v>
      </c>
      <c r="E1356" t="s">
        <v>438</v>
      </c>
      <c r="F1356" t="s">
        <v>438</v>
      </c>
      <c r="G1356" s="28">
        <v>1844870</v>
      </c>
      <c r="H1356">
        <v>0</v>
      </c>
      <c r="I1356" s="29">
        <f t="shared" si="21"/>
        <v>1844870</v>
      </c>
      <c r="J1356">
        <f>IFERROR(VLOOKUP(E1356,'LEAID Match'!$A$2:$B$168,2,FALSE),"")</f>
        <v>3303900</v>
      </c>
    </row>
    <row r="1357" spans="1:10">
      <c r="A1357">
        <v>2015</v>
      </c>
      <c r="B1357" t="s">
        <v>1429</v>
      </c>
      <c r="C1357" t="s">
        <v>1431</v>
      </c>
      <c r="D1357" t="s">
        <v>1433</v>
      </c>
      <c r="E1357" t="s">
        <v>663</v>
      </c>
      <c r="F1357" s="9" t="s">
        <v>1127</v>
      </c>
      <c r="G1357" s="18">
        <v>1838020.34</v>
      </c>
      <c r="H1357">
        <v>0</v>
      </c>
      <c r="I1357" s="29">
        <f t="shared" si="21"/>
        <v>1838020.34</v>
      </c>
      <c r="J1357" t="str">
        <f>IFERROR(VLOOKUP(E1357,'LEAID Match'!$A$2:$B$168,2,FALSE),"")</f>
        <v/>
      </c>
    </row>
    <row r="1358" spans="1:10">
      <c r="A1358">
        <v>2016</v>
      </c>
      <c r="B1358" t="s">
        <v>1429</v>
      </c>
      <c r="C1358" t="s">
        <v>1431</v>
      </c>
      <c r="D1358" t="s">
        <v>1433</v>
      </c>
      <c r="E1358" t="s">
        <v>663</v>
      </c>
      <c r="F1358" t="s">
        <v>663</v>
      </c>
      <c r="G1358" s="28">
        <v>2022094</v>
      </c>
      <c r="H1358">
        <v>0</v>
      </c>
      <c r="I1358" s="29">
        <f t="shared" si="21"/>
        <v>2022094</v>
      </c>
      <c r="J1358" t="str">
        <f>IFERROR(VLOOKUP(E1358,'LEAID Match'!$A$2:$B$168,2,FALSE),"")</f>
        <v/>
      </c>
    </row>
    <row r="1359" spans="1:10">
      <c r="A1359">
        <v>2017</v>
      </c>
      <c r="B1359" t="s">
        <v>1429</v>
      </c>
      <c r="C1359" t="s">
        <v>1431</v>
      </c>
      <c r="D1359" t="s">
        <v>1433</v>
      </c>
      <c r="E1359" t="s">
        <v>663</v>
      </c>
      <c r="F1359" t="s">
        <v>663</v>
      </c>
      <c r="G1359" s="28">
        <v>2116407</v>
      </c>
      <c r="H1359">
        <v>0</v>
      </c>
      <c r="I1359" s="29">
        <f t="shared" si="21"/>
        <v>2116407</v>
      </c>
      <c r="J1359" t="str">
        <f>IFERROR(VLOOKUP(E1359,'LEAID Match'!$A$2:$B$168,2,FALSE),"")</f>
        <v/>
      </c>
    </row>
    <row r="1360" spans="1:10">
      <c r="A1360" s="27">
        <v>2018</v>
      </c>
      <c r="B1360" t="s">
        <v>1429</v>
      </c>
      <c r="C1360" t="s">
        <v>1431</v>
      </c>
      <c r="D1360" t="s">
        <v>1433</v>
      </c>
      <c r="E1360" t="s">
        <v>663</v>
      </c>
      <c r="F1360" s="9" t="s">
        <v>663</v>
      </c>
      <c r="G1360" s="18">
        <v>2386346</v>
      </c>
      <c r="H1360">
        <v>0</v>
      </c>
      <c r="I1360" s="29">
        <f t="shared" si="21"/>
        <v>2386346</v>
      </c>
      <c r="J1360" t="str">
        <f>IFERROR(VLOOKUP(E1360,'LEAID Match'!$A$2:$B$168,2,FALSE),"")</f>
        <v/>
      </c>
    </row>
    <row r="1361" spans="1:10">
      <c r="A1361">
        <v>2019</v>
      </c>
      <c r="B1361" t="s">
        <v>1429</v>
      </c>
      <c r="C1361" t="s">
        <v>1431</v>
      </c>
      <c r="D1361" t="s">
        <v>1433</v>
      </c>
      <c r="E1361" t="s">
        <v>663</v>
      </c>
      <c r="F1361" s="9" t="s">
        <v>663</v>
      </c>
      <c r="G1361" s="18">
        <v>2485315</v>
      </c>
      <c r="H1361">
        <v>0</v>
      </c>
      <c r="I1361" s="29">
        <f t="shared" si="21"/>
        <v>2485315</v>
      </c>
      <c r="J1361" t="str">
        <f>IFERROR(VLOOKUP(E1361,'LEAID Match'!$A$2:$B$168,2,FALSE),"")</f>
        <v/>
      </c>
    </row>
    <row r="1362" spans="1:10">
      <c r="A1362">
        <v>2015</v>
      </c>
      <c r="B1362" t="s">
        <v>1429</v>
      </c>
      <c r="C1362" t="s">
        <v>1431</v>
      </c>
      <c r="D1362" t="s">
        <v>1433</v>
      </c>
      <c r="E1362" t="s">
        <v>439</v>
      </c>
      <c r="F1362" s="9" t="s">
        <v>1128</v>
      </c>
      <c r="G1362" s="18">
        <v>2455868.37</v>
      </c>
      <c r="H1362">
        <v>0</v>
      </c>
      <c r="I1362" s="29">
        <f t="shared" si="21"/>
        <v>2455868.37</v>
      </c>
      <c r="J1362">
        <f>IFERROR(VLOOKUP(E1362,'LEAID Match'!$A$2:$B$168,2,FALSE),"")</f>
        <v>3303930</v>
      </c>
    </row>
    <row r="1363" spans="1:10">
      <c r="A1363">
        <v>2016</v>
      </c>
      <c r="B1363" t="s">
        <v>1429</v>
      </c>
      <c r="C1363" t="s">
        <v>1431</v>
      </c>
      <c r="D1363" t="s">
        <v>1433</v>
      </c>
      <c r="E1363" t="s">
        <v>439</v>
      </c>
      <c r="F1363" t="s">
        <v>664</v>
      </c>
      <c r="G1363" s="28">
        <v>2670481</v>
      </c>
      <c r="H1363">
        <v>0</v>
      </c>
      <c r="I1363" s="29">
        <f t="shared" si="21"/>
        <v>2670481</v>
      </c>
      <c r="J1363">
        <f>IFERROR(VLOOKUP(E1363,'LEAID Match'!$A$2:$B$168,2,FALSE),"")</f>
        <v>3303930</v>
      </c>
    </row>
    <row r="1364" spans="1:10">
      <c r="A1364">
        <v>2017</v>
      </c>
      <c r="B1364" t="s">
        <v>1429</v>
      </c>
      <c r="C1364" t="s">
        <v>1431</v>
      </c>
      <c r="D1364" t="s">
        <v>1433</v>
      </c>
      <c r="E1364" t="s">
        <v>439</v>
      </c>
      <c r="F1364" t="s">
        <v>664</v>
      </c>
      <c r="G1364" s="28">
        <v>2720074</v>
      </c>
      <c r="H1364">
        <v>0</v>
      </c>
      <c r="I1364" s="29">
        <f t="shared" si="21"/>
        <v>2720074</v>
      </c>
      <c r="J1364">
        <f>IFERROR(VLOOKUP(E1364,'LEAID Match'!$A$2:$B$168,2,FALSE),"")</f>
        <v>3303930</v>
      </c>
    </row>
    <row r="1365" spans="1:10">
      <c r="A1365" s="27">
        <v>2018</v>
      </c>
      <c r="B1365" t="s">
        <v>1429</v>
      </c>
      <c r="C1365" t="s">
        <v>1431</v>
      </c>
      <c r="D1365" t="s">
        <v>1433</v>
      </c>
      <c r="E1365" t="s">
        <v>439</v>
      </c>
      <c r="F1365" s="9" t="s">
        <v>664</v>
      </c>
      <c r="G1365" s="18">
        <v>3371390</v>
      </c>
      <c r="H1365">
        <v>0</v>
      </c>
      <c r="I1365" s="29">
        <f t="shared" si="21"/>
        <v>3371390</v>
      </c>
      <c r="J1365">
        <f>IFERROR(VLOOKUP(E1365,'LEAID Match'!$A$2:$B$168,2,FALSE),"")</f>
        <v>3303930</v>
      </c>
    </row>
    <row r="1366" spans="1:10">
      <c r="A1366">
        <v>2019</v>
      </c>
      <c r="B1366" t="s">
        <v>1429</v>
      </c>
      <c r="C1366" t="s">
        <v>1431</v>
      </c>
      <c r="D1366" t="s">
        <v>1433</v>
      </c>
      <c r="E1366" t="s">
        <v>439</v>
      </c>
      <c r="F1366" s="9" t="s">
        <v>664</v>
      </c>
      <c r="G1366" s="18">
        <v>3391496</v>
      </c>
      <c r="H1366">
        <v>0</v>
      </c>
      <c r="I1366" s="29">
        <f t="shared" si="21"/>
        <v>3391496</v>
      </c>
      <c r="J1366">
        <f>IFERROR(VLOOKUP(E1366,'LEAID Match'!$A$2:$B$168,2,FALSE),"")</f>
        <v>3303930</v>
      </c>
    </row>
    <row r="1367" spans="1:10">
      <c r="A1367" s="27">
        <v>2020</v>
      </c>
      <c r="B1367" t="s">
        <v>1429</v>
      </c>
      <c r="C1367" t="s">
        <v>1431</v>
      </c>
      <c r="D1367" t="s">
        <v>1433</v>
      </c>
      <c r="E1367" t="s">
        <v>439</v>
      </c>
      <c r="F1367" s="9" t="s">
        <v>439</v>
      </c>
      <c r="G1367" s="18">
        <v>3514331</v>
      </c>
      <c r="H1367">
        <v>0</v>
      </c>
      <c r="I1367" s="29">
        <f t="shared" si="21"/>
        <v>3514331</v>
      </c>
      <c r="J1367">
        <f>IFERROR(VLOOKUP(E1367,'LEAID Match'!$A$2:$B$168,2,FALSE),"")</f>
        <v>3303930</v>
      </c>
    </row>
    <row r="1368" spans="1:10">
      <c r="A1368">
        <v>2021</v>
      </c>
      <c r="B1368" t="s">
        <v>1429</v>
      </c>
      <c r="C1368" t="s">
        <v>1431</v>
      </c>
      <c r="D1368" t="s">
        <v>1433</v>
      </c>
      <c r="E1368" t="s">
        <v>439</v>
      </c>
      <c r="F1368" s="9" t="s">
        <v>439</v>
      </c>
      <c r="G1368" s="18">
        <v>3581263</v>
      </c>
      <c r="H1368">
        <v>0</v>
      </c>
      <c r="I1368" s="29">
        <f t="shared" si="21"/>
        <v>3581263</v>
      </c>
      <c r="J1368">
        <f>IFERROR(VLOOKUP(E1368,'LEAID Match'!$A$2:$B$168,2,FALSE),"")</f>
        <v>3303930</v>
      </c>
    </row>
    <row r="1369" spans="1:10">
      <c r="A1369">
        <v>2022</v>
      </c>
      <c r="B1369" t="s">
        <v>1429</v>
      </c>
      <c r="C1369" t="s">
        <v>1431</v>
      </c>
      <c r="D1369" t="s">
        <v>1433</v>
      </c>
      <c r="E1369" t="s">
        <v>439</v>
      </c>
      <c r="F1369" s="9" t="s">
        <v>439</v>
      </c>
      <c r="G1369" s="18">
        <v>4589266</v>
      </c>
      <c r="H1369">
        <v>0</v>
      </c>
      <c r="I1369" s="29">
        <f t="shared" si="21"/>
        <v>4589266</v>
      </c>
      <c r="J1369">
        <f>IFERROR(VLOOKUP(E1369,'LEAID Match'!$A$2:$B$168,2,FALSE),"")</f>
        <v>3303930</v>
      </c>
    </row>
    <row r="1370" spans="1:10">
      <c r="A1370">
        <v>2023</v>
      </c>
      <c r="B1370" t="s">
        <v>1429</v>
      </c>
      <c r="C1370" t="s">
        <v>1431</v>
      </c>
      <c r="D1370" t="s">
        <v>1433</v>
      </c>
      <c r="E1370" t="s">
        <v>439</v>
      </c>
      <c r="F1370" t="s">
        <v>439</v>
      </c>
      <c r="G1370" s="28">
        <v>4721017</v>
      </c>
      <c r="H1370">
        <v>0</v>
      </c>
      <c r="I1370" s="29">
        <f t="shared" si="21"/>
        <v>4721017</v>
      </c>
      <c r="J1370">
        <f>IFERROR(VLOOKUP(E1370,'LEAID Match'!$A$2:$B$168,2,FALSE),"")</f>
        <v>3303930</v>
      </c>
    </row>
    <row r="1371" spans="1:10">
      <c r="A1371">
        <v>2015</v>
      </c>
      <c r="B1371" t="s">
        <v>1429</v>
      </c>
      <c r="C1371" t="s">
        <v>1431</v>
      </c>
      <c r="D1371" t="s">
        <v>1433</v>
      </c>
      <c r="E1371" t="s">
        <v>440</v>
      </c>
      <c r="F1371" s="9" t="s">
        <v>1129</v>
      </c>
      <c r="G1371" s="18">
        <v>1206476.3</v>
      </c>
      <c r="H1371">
        <v>0</v>
      </c>
      <c r="I1371" s="29">
        <f t="shared" si="21"/>
        <v>1206476.3</v>
      </c>
      <c r="J1371">
        <f>IFERROR(VLOOKUP(E1371,'LEAID Match'!$A$2:$B$168,2,FALSE),"")</f>
        <v>3303960</v>
      </c>
    </row>
    <row r="1372" spans="1:10">
      <c r="A1372">
        <v>2016</v>
      </c>
      <c r="B1372" t="s">
        <v>1429</v>
      </c>
      <c r="C1372" t="s">
        <v>1431</v>
      </c>
      <c r="D1372" t="s">
        <v>1433</v>
      </c>
      <c r="E1372" t="s">
        <v>440</v>
      </c>
      <c r="F1372" t="s">
        <v>665</v>
      </c>
      <c r="G1372" s="28">
        <v>1294047</v>
      </c>
      <c r="H1372">
        <v>0</v>
      </c>
      <c r="I1372" s="29">
        <f t="shared" si="21"/>
        <v>1294047</v>
      </c>
      <c r="J1372">
        <f>IFERROR(VLOOKUP(E1372,'LEAID Match'!$A$2:$B$168,2,FALSE),"")</f>
        <v>3303960</v>
      </c>
    </row>
    <row r="1373" spans="1:10">
      <c r="A1373">
        <v>2017</v>
      </c>
      <c r="B1373" t="s">
        <v>1429</v>
      </c>
      <c r="C1373" t="s">
        <v>1431</v>
      </c>
      <c r="D1373" t="s">
        <v>1433</v>
      </c>
      <c r="E1373" t="s">
        <v>440</v>
      </c>
      <c r="F1373" t="s">
        <v>665</v>
      </c>
      <c r="G1373" s="28">
        <v>1364069</v>
      </c>
      <c r="H1373">
        <v>0</v>
      </c>
      <c r="I1373" s="29">
        <f t="shared" si="21"/>
        <v>1364069</v>
      </c>
      <c r="J1373">
        <f>IFERROR(VLOOKUP(E1373,'LEAID Match'!$A$2:$B$168,2,FALSE),"")</f>
        <v>3303960</v>
      </c>
    </row>
    <row r="1374" spans="1:10">
      <c r="A1374" s="27">
        <v>2018</v>
      </c>
      <c r="B1374" t="s">
        <v>1429</v>
      </c>
      <c r="C1374" t="s">
        <v>1431</v>
      </c>
      <c r="D1374" t="s">
        <v>1433</v>
      </c>
      <c r="E1374" t="s">
        <v>440</v>
      </c>
      <c r="F1374" s="9" t="s">
        <v>665</v>
      </c>
      <c r="G1374" s="18">
        <v>1663874</v>
      </c>
      <c r="H1374">
        <v>0</v>
      </c>
      <c r="I1374" s="29">
        <f t="shared" si="21"/>
        <v>1663874</v>
      </c>
      <c r="J1374">
        <f>IFERROR(VLOOKUP(E1374,'LEAID Match'!$A$2:$B$168,2,FALSE),"")</f>
        <v>3303960</v>
      </c>
    </row>
    <row r="1375" spans="1:10">
      <c r="A1375">
        <v>2019</v>
      </c>
      <c r="B1375" t="s">
        <v>1429</v>
      </c>
      <c r="C1375" t="s">
        <v>1431</v>
      </c>
      <c r="D1375" t="s">
        <v>1433</v>
      </c>
      <c r="E1375" t="s">
        <v>440</v>
      </c>
      <c r="F1375" s="9" t="s">
        <v>665</v>
      </c>
      <c r="G1375" s="18">
        <v>1737209</v>
      </c>
      <c r="H1375">
        <v>0</v>
      </c>
      <c r="I1375" s="29">
        <f t="shared" si="21"/>
        <v>1737209</v>
      </c>
      <c r="J1375">
        <f>IFERROR(VLOOKUP(E1375,'LEAID Match'!$A$2:$B$168,2,FALSE),"")</f>
        <v>3303960</v>
      </c>
    </row>
    <row r="1376" spans="1:10">
      <c r="A1376" s="27">
        <v>2020</v>
      </c>
      <c r="B1376" t="s">
        <v>1429</v>
      </c>
      <c r="C1376" t="s">
        <v>1431</v>
      </c>
      <c r="D1376" t="s">
        <v>1433</v>
      </c>
      <c r="E1376" t="s">
        <v>440</v>
      </c>
      <c r="F1376" s="9" t="s">
        <v>440</v>
      </c>
      <c r="G1376" s="18">
        <v>1829128</v>
      </c>
      <c r="H1376">
        <v>0</v>
      </c>
      <c r="I1376" s="29">
        <f t="shared" si="21"/>
        <v>1829128</v>
      </c>
      <c r="J1376">
        <f>IFERROR(VLOOKUP(E1376,'LEAID Match'!$A$2:$B$168,2,FALSE),"")</f>
        <v>3303960</v>
      </c>
    </row>
    <row r="1377" spans="1:10">
      <c r="A1377">
        <v>2021</v>
      </c>
      <c r="B1377" t="s">
        <v>1429</v>
      </c>
      <c r="C1377" t="s">
        <v>1431</v>
      </c>
      <c r="D1377" t="s">
        <v>1433</v>
      </c>
      <c r="E1377" t="s">
        <v>440</v>
      </c>
      <c r="F1377" s="9" t="s">
        <v>440</v>
      </c>
      <c r="G1377" s="18">
        <v>1890836</v>
      </c>
      <c r="H1377">
        <v>0</v>
      </c>
      <c r="I1377" s="29">
        <f t="shared" si="21"/>
        <v>1890836</v>
      </c>
      <c r="J1377">
        <f>IFERROR(VLOOKUP(E1377,'LEAID Match'!$A$2:$B$168,2,FALSE),"")</f>
        <v>3303960</v>
      </c>
    </row>
    <row r="1378" spans="1:10">
      <c r="A1378">
        <v>2022</v>
      </c>
      <c r="B1378" t="s">
        <v>1429</v>
      </c>
      <c r="C1378" t="s">
        <v>1431</v>
      </c>
      <c r="D1378" t="s">
        <v>1433</v>
      </c>
      <c r="E1378" t="s">
        <v>440</v>
      </c>
      <c r="F1378" s="9" t="s">
        <v>440</v>
      </c>
      <c r="G1378" s="18">
        <v>2400676</v>
      </c>
      <c r="H1378">
        <v>0</v>
      </c>
      <c r="I1378" s="29">
        <f t="shared" si="21"/>
        <v>2400676</v>
      </c>
      <c r="J1378">
        <f>IFERROR(VLOOKUP(E1378,'LEAID Match'!$A$2:$B$168,2,FALSE),"")</f>
        <v>3303960</v>
      </c>
    </row>
    <row r="1379" spans="1:10">
      <c r="A1379">
        <v>2023</v>
      </c>
      <c r="B1379" t="s">
        <v>1429</v>
      </c>
      <c r="C1379" t="s">
        <v>1431</v>
      </c>
      <c r="D1379" t="s">
        <v>1433</v>
      </c>
      <c r="E1379" t="s">
        <v>440</v>
      </c>
      <c r="F1379" t="s">
        <v>440</v>
      </c>
      <c r="G1379" s="28">
        <v>2358704</v>
      </c>
      <c r="H1379">
        <v>0</v>
      </c>
      <c r="I1379" s="29">
        <f t="shared" si="21"/>
        <v>2358704</v>
      </c>
      <c r="J1379">
        <f>IFERROR(VLOOKUP(E1379,'LEAID Match'!$A$2:$B$168,2,FALSE),"")</f>
        <v>3303960</v>
      </c>
    </row>
    <row r="1380" spans="1:10">
      <c r="A1380">
        <v>2015</v>
      </c>
      <c r="B1380" t="s">
        <v>1429</v>
      </c>
      <c r="C1380" t="s">
        <v>1431</v>
      </c>
      <c r="D1380" t="s">
        <v>1433</v>
      </c>
      <c r="E1380" t="s">
        <v>666</v>
      </c>
      <c r="F1380" s="9" t="s">
        <v>1130</v>
      </c>
      <c r="G1380" s="18">
        <v>57021.88</v>
      </c>
      <c r="H1380">
        <v>0</v>
      </c>
      <c r="I1380" s="29">
        <f t="shared" si="21"/>
        <v>57021.88</v>
      </c>
      <c r="J1380" t="str">
        <f>IFERROR(VLOOKUP(E1380,'LEAID Match'!$A$2:$B$168,2,FALSE),"")</f>
        <v/>
      </c>
    </row>
    <row r="1381" spans="1:10">
      <c r="A1381">
        <v>2016</v>
      </c>
      <c r="B1381" t="s">
        <v>1429</v>
      </c>
      <c r="C1381" t="s">
        <v>1431</v>
      </c>
      <c r="D1381" t="s">
        <v>1433</v>
      </c>
      <c r="E1381" t="s">
        <v>666</v>
      </c>
      <c r="F1381" t="s">
        <v>666</v>
      </c>
      <c r="G1381" s="28">
        <v>63986</v>
      </c>
      <c r="H1381">
        <v>0</v>
      </c>
      <c r="I1381" s="29">
        <f t="shared" si="21"/>
        <v>63986</v>
      </c>
      <c r="J1381" t="str">
        <f>IFERROR(VLOOKUP(E1381,'LEAID Match'!$A$2:$B$168,2,FALSE),"")</f>
        <v/>
      </c>
    </row>
    <row r="1382" spans="1:10">
      <c r="A1382">
        <v>2017</v>
      </c>
      <c r="B1382" t="s">
        <v>1429</v>
      </c>
      <c r="C1382" t="s">
        <v>1431</v>
      </c>
      <c r="D1382" t="s">
        <v>1433</v>
      </c>
      <c r="E1382" t="s">
        <v>666</v>
      </c>
      <c r="F1382" t="s">
        <v>666</v>
      </c>
      <c r="G1382" s="28">
        <v>58675</v>
      </c>
      <c r="H1382">
        <v>0</v>
      </c>
      <c r="I1382" s="29">
        <f t="shared" si="21"/>
        <v>58675</v>
      </c>
      <c r="J1382" t="str">
        <f>IFERROR(VLOOKUP(E1382,'LEAID Match'!$A$2:$B$168,2,FALSE),"")</f>
        <v/>
      </c>
    </row>
    <row r="1383" spans="1:10">
      <c r="A1383" s="27">
        <v>2018</v>
      </c>
      <c r="B1383" t="s">
        <v>1429</v>
      </c>
      <c r="C1383" t="s">
        <v>1431</v>
      </c>
      <c r="D1383" t="s">
        <v>1433</v>
      </c>
      <c r="E1383" t="s">
        <v>666</v>
      </c>
      <c r="F1383" s="9" t="s">
        <v>666</v>
      </c>
      <c r="G1383" s="18">
        <v>60127</v>
      </c>
      <c r="H1383">
        <v>0</v>
      </c>
      <c r="I1383" s="29">
        <f t="shared" si="21"/>
        <v>60127</v>
      </c>
      <c r="J1383" t="str">
        <f>IFERROR(VLOOKUP(E1383,'LEAID Match'!$A$2:$B$168,2,FALSE),"")</f>
        <v/>
      </c>
    </row>
    <row r="1384" spans="1:10">
      <c r="A1384">
        <v>2019</v>
      </c>
      <c r="B1384" t="s">
        <v>1429</v>
      </c>
      <c r="C1384" t="s">
        <v>1431</v>
      </c>
      <c r="D1384" t="s">
        <v>1433</v>
      </c>
      <c r="E1384" t="s">
        <v>666</v>
      </c>
      <c r="F1384" s="9" t="s">
        <v>666</v>
      </c>
      <c r="G1384" s="18">
        <v>63542</v>
      </c>
      <c r="H1384">
        <v>0</v>
      </c>
      <c r="I1384" s="29">
        <f t="shared" si="21"/>
        <v>63542</v>
      </c>
      <c r="J1384" t="str">
        <f>IFERROR(VLOOKUP(E1384,'LEAID Match'!$A$2:$B$168,2,FALSE),"")</f>
        <v/>
      </c>
    </row>
    <row r="1385" spans="1:10">
      <c r="A1385">
        <v>2015</v>
      </c>
      <c r="B1385" t="s">
        <v>1429</v>
      </c>
      <c r="C1385" t="s">
        <v>1431</v>
      </c>
      <c r="D1385" t="s">
        <v>1433</v>
      </c>
      <c r="E1385" t="s">
        <v>441</v>
      </c>
      <c r="F1385" s="9" t="s">
        <v>1131</v>
      </c>
      <c r="G1385" s="18">
        <v>48592.08</v>
      </c>
      <c r="H1385">
        <v>0</v>
      </c>
      <c r="I1385" s="29">
        <f t="shared" si="21"/>
        <v>48592.08</v>
      </c>
      <c r="J1385">
        <f>IFERROR(VLOOKUP(E1385,'LEAID Match'!$A$2:$B$168,2,FALSE),"")</f>
        <v>3303990</v>
      </c>
    </row>
    <row r="1386" spans="1:10">
      <c r="A1386">
        <v>2016</v>
      </c>
      <c r="B1386" t="s">
        <v>1429</v>
      </c>
      <c r="C1386" t="s">
        <v>1431</v>
      </c>
      <c r="D1386" t="s">
        <v>1433</v>
      </c>
      <c r="E1386" t="s">
        <v>441</v>
      </c>
      <c r="F1386" t="s">
        <v>667</v>
      </c>
      <c r="G1386" s="28">
        <v>55820</v>
      </c>
      <c r="H1386">
        <v>0</v>
      </c>
      <c r="I1386" s="29">
        <f t="shared" si="21"/>
        <v>55820</v>
      </c>
      <c r="J1386">
        <f>IFERROR(VLOOKUP(E1386,'LEAID Match'!$A$2:$B$168,2,FALSE),"")</f>
        <v>3303990</v>
      </c>
    </row>
    <row r="1387" spans="1:10">
      <c r="A1387">
        <v>2017</v>
      </c>
      <c r="B1387" t="s">
        <v>1429</v>
      </c>
      <c r="C1387" t="s">
        <v>1431</v>
      </c>
      <c r="D1387" t="s">
        <v>1433</v>
      </c>
      <c r="E1387" t="s">
        <v>441</v>
      </c>
      <c r="F1387" t="s">
        <v>667</v>
      </c>
      <c r="G1387" s="28">
        <v>59744</v>
      </c>
      <c r="H1387">
        <v>0</v>
      </c>
      <c r="I1387" s="29">
        <f t="shared" si="21"/>
        <v>59744</v>
      </c>
      <c r="J1387">
        <f>IFERROR(VLOOKUP(E1387,'LEAID Match'!$A$2:$B$168,2,FALSE),"")</f>
        <v>3303990</v>
      </c>
    </row>
    <row r="1388" spans="1:10">
      <c r="A1388" s="27">
        <v>2018</v>
      </c>
      <c r="B1388" t="s">
        <v>1429</v>
      </c>
      <c r="C1388" t="s">
        <v>1431</v>
      </c>
      <c r="D1388" t="s">
        <v>1433</v>
      </c>
      <c r="E1388" t="s">
        <v>441</v>
      </c>
      <c r="F1388" s="9" t="s">
        <v>667</v>
      </c>
      <c r="G1388" s="18">
        <v>76268</v>
      </c>
      <c r="H1388">
        <v>0</v>
      </c>
      <c r="I1388" s="29">
        <f t="shared" si="21"/>
        <v>76268</v>
      </c>
      <c r="J1388">
        <f>IFERROR(VLOOKUP(E1388,'LEAID Match'!$A$2:$B$168,2,FALSE),"")</f>
        <v>3303990</v>
      </c>
    </row>
    <row r="1389" spans="1:10">
      <c r="A1389">
        <v>2019</v>
      </c>
      <c r="B1389" t="s">
        <v>1429</v>
      </c>
      <c r="C1389" t="s">
        <v>1431</v>
      </c>
      <c r="D1389" t="s">
        <v>1433</v>
      </c>
      <c r="E1389" t="s">
        <v>441</v>
      </c>
      <c r="F1389" s="9" t="s">
        <v>667</v>
      </c>
      <c r="G1389" s="18">
        <v>83268</v>
      </c>
      <c r="H1389">
        <v>0</v>
      </c>
      <c r="I1389" s="29">
        <f t="shared" si="21"/>
        <v>83268</v>
      </c>
      <c r="J1389">
        <f>IFERROR(VLOOKUP(E1389,'LEAID Match'!$A$2:$B$168,2,FALSE),"")</f>
        <v>3303990</v>
      </c>
    </row>
    <row r="1390" spans="1:10">
      <c r="A1390" s="27">
        <v>2020</v>
      </c>
      <c r="B1390" t="s">
        <v>1429</v>
      </c>
      <c r="C1390" t="s">
        <v>1431</v>
      </c>
      <c r="D1390" t="s">
        <v>1433</v>
      </c>
      <c r="E1390" t="s">
        <v>441</v>
      </c>
      <c r="F1390" s="9" t="s">
        <v>441</v>
      </c>
      <c r="G1390" s="18">
        <v>80479</v>
      </c>
      <c r="H1390">
        <v>0</v>
      </c>
      <c r="I1390" s="29">
        <f t="shared" si="21"/>
        <v>80479</v>
      </c>
      <c r="J1390">
        <f>IFERROR(VLOOKUP(E1390,'LEAID Match'!$A$2:$B$168,2,FALSE),"")</f>
        <v>3303990</v>
      </c>
    </row>
    <row r="1391" spans="1:10">
      <c r="A1391">
        <v>2021</v>
      </c>
      <c r="B1391" t="s">
        <v>1429</v>
      </c>
      <c r="C1391" t="s">
        <v>1431</v>
      </c>
      <c r="D1391" t="s">
        <v>1433</v>
      </c>
      <c r="E1391" t="s">
        <v>441</v>
      </c>
      <c r="F1391" s="9" t="s">
        <v>441</v>
      </c>
      <c r="G1391" s="18">
        <v>87197</v>
      </c>
      <c r="H1391">
        <v>0</v>
      </c>
      <c r="I1391" s="29">
        <f t="shared" si="21"/>
        <v>87197</v>
      </c>
      <c r="J1391">
        <f>IFERROR(VLOOKUP(E1391,'LEAID Match'!$A$2:$B$168,2,FALSE),"")</f>
        <v>3303990</v>
      </c>
    </row>
    <row r="1392" spans="1:10">
      <c r="A1392">
        <v>2022</v>
      </c>
      <c r="B1392" t="s">
        <v>1429</v>
      </c>
      <c r="C1392" t="s">
        <v>1431</v>
      </c>
      <c r="D1392" t="s">
        <v>1433</v>
      </c>
      <c r="E1392" t="s">
        <v>441</v>
      </c>
      <c r="F1392" s="9" t="s">
        <v>441</v>
      </c>
      <c r="G1392" s="18">
        <v>120627</v>
      </c>
      <c r="H1392">
        <v>0</v>
      </c>
      <c r="I1392" s="29">
        <f t="shared" si="21"/>
        <v>120627</v>
      </c>
      <c r="J1392">
        <f>IFERROR(VLOOKUP(E1392,'LEAID Match'!$A$2:$B$168,2,FALSE),"")</f>
        <v>3303990</v>
      </c>
    </row>
    <row r="1393" spans="1:10">
      <c r="A1393">
        <v>2023</v>
      </c>
      <c r="B1393" t="s">
        <v>1429</v>
      </c>
      <c r="C1393" t="s">
        <v>1431</v>
      </c>
      <c r="D1393" t="s">
        <v>1433</v>
      </c>
      <c r="E1393" t="s">
        <v>441</v>
      </c>
      <c r="F1393" t="s">
        <v>441</v>
      </c>
      <c r="G1393" s="28">
        <v>139503</v>
      </c>
      <c r="H1393">
        <v>0</v>
      </c>
      <c r="I1393" s="29">
        <f t="shared" si="21"/>
        <v>139503</v>
      </c>
      <c r="J1393">
        <f>IFERROR(VLOOKUP(E1393,'LEAID Match'!$A$2:$B$168,2,FALSE),"")</f>
        <v>3303990</v>
      </c>
    </row>
    <row r="1394" spans="1:10">
      <c r="A1394">
        <v>2015</v>
      </c>
      <c r="B1394" t="s">
        <v>1429</v>
      </c>
      <c r="C1394" t="s">
        <v>1431</v>
      </c>
      <c r="D1394" t="s">
        <v>1433</v>
      </c>
      <c r="E1394" t="s">
        <v>668</v>
      </c>
      <c r="F1394" s="9" t="s">
        <v>1132</v>
      </c>
      <c r="G1394" s="18">
        <v>347422.87</v>
      </c>
      <c r="H1394">
        <v>0</v>
      </c>
      <c r="I1394" s="29">
        <f t="shared" si="21"/>
        <v>347422.87</v>
      </c>
      <c r="J1394" t="str">
        <f>IFERROR(VLOOKUP(E1394,'LEAID Match'!$A$2:$B$168,2,FALSE),"")</f>
        <v/>
      </c>
    </row>
    <row r="1395" spans="1:10">
      <c r="A1395">
        <v>2016</v>
      </c>
      <c r="B1395" t="s">
        <v>1429</v>
      </c>
      <c r="C1395" t="s">
        <v>1431</v>
      </c>
      <c r="D1395" t="s">
        <v>1433</v>
      </c>
      <c r="E1395" t="s">
        <v>668</v>
      </c>
      <c r="F1395" t="s">
        <v>668</v>
      </c>
      <c r="G1395" s="28">
        <v>384550</v>
      </c>
      <c r="H1395">
        <v>0</v>
      </c>
      <c r="I1395" s="29">
        <f t="shared" si="21"/>
        <v>384550</v>
      </c>
      <c r="J1395" t="str">
        <f>IFERROR(VLOOKUP(E1395,'LEAID Match'!$A$2:$B$168,2,FALSE),"")</f>
        <v/>
      </c>
    </row>
    <row r="1396" spans="1:10">
      <c r="A1396">
        <v>2017</v>
      </c>
      <c r="B1396" t="s">
        <v>1429</v>
      </c>
      <c r="C1396" t="s">
        <v>1431</v>
      </c>
      <c r="D1396" t="s">
        <v>1433</v>
      </c>
      <c r="E1396" t="s">
        <v>668</v>
      </c>
      <c r="F1396" t="s">
        <v>668</v>
      </c>
      <c r="G1396" s="28">
        <v>380045</v>
      </c>
      <c r="H1396">
        <v>0</v>
      </c>
      <c r="I1396" s="29">
        <f t="shared" si="21"/>
        <v>380045</v>
      </c>
      <c r="J1396" t="str">
        <f>IFERROR(VLOOKUP(E1396,'LEAID Match'!$A$2:$B$168,2,FALSE),"")</f>
        <v/>
      </c>
    </row>
    <row r="1397" spans="1:10">
      <c r="A1397" s="27">
        <v>2018</v>
      </c>
      <c r="B1397" t="s">
        <v>1429</v>
      </c>
      <c r="C1397" t="s">
        <v>1431</v>
      </c>
      <c r="D1397" t="s">
        <v>1433</v>
      </c>
      <c r="E1397" t="s">
        <v>668</v>
      </c>
      <c r="F1397" s="9" t="s">
        <v>668</v>
      </c>
      <c r="G1397" s="18">
        <v>426826</v>
      </c>
      <c r="H1397">
        <v>0</v>
      </c>
      <c r="I1397" s="29">
        <f t="shared" si="21"/>
        <v>426826</v>
      </c>
      <c r="J1397" t="str">
        <f>IFERROR(VLOOKUP(E1397,'LEAID Match'!$A$2:$B$168,2,FALSE),"")</f>
        <v/>
      </c>
    </row>
    <row r="1398" spans="1:10">
      <c r="A1398">
        <v>2019</v>
      </c>
      <c r="B1398" t="s">
        <v>1429</v>
      </c>
      <c r="C1398" t="s">
        <v>1431</v>
      </c>
      <c r="D1398" t="s">
        <v>1433</v>
      </c>
      <c r="E1398" t="s">
        <v>668</v>
      </c>
      <c r="F1398" s="9" t="s">
        <v>668</v>
      </c>
      <c r="G1398" s="18">
        <v>442845</v>
      </c>
      <c r="H1398">
        <v>0</v>
      </c>
      <c r="I1398" s="29">
        <f t="shared" si="21"/>
        <v>442845</v>
      </c>
      <c r="J1398" t="str">
        <f>IFERROR(VLOOKUP(E1398,'LEAID Match'!$A$2:$B$168,2,FALSE),"")</f>
        <v/>
      </c>
    </row>
    <row r="1399" spans="1:10">
      <c r="A1399">
        <v>2015</v>
      </c>
      <c r="B1399" t="s">
        <v>1429</v>
      </c>
      <c r="C1399" t="s">
        <v>1431</v>
      </c>
      <c r="D1399" t="s">
        <v>1433</v>
      </c>
      <c r="E1399" t="s">
        <v>442</v>
      </c>
      <c r="F1399" s="9" t="s">
        <v>1133</v>
      </c>
      <c r="G1399" s="18">
        <v>1285675.54</v>
      </c>
      <c r="H1399">
        <v>0</v>
      </c>
      <c r="I1399" s="29">
        <f t="shared" si="21"/>
        <v>1285675.54</v>
      </c>
      <c r="J1399">
        <f>IFERROR(VLOOKUP(E1399,'LEAID Match'!$A$2:$B$168,2,FALSE),"")</f>
        <v>3304030</v>
      </c>
    </row>
    <row r="1400" spans="1:10">
      <c r="A1400">
        <v>2016</v>
      </c>
      <c r="B1400" t="s">
        <v>1429</v>
      </c>
      <c r="C1400" t="s">
        <v>1431</v>
      </c>
      <c r="D1400" t="s">
        <v>1433</v>
      </c>
      <c r="E1400" t="s">
        <v>442</v>
      </c>
      <c r="F1400" t="s">
        <v>669</v>
      </c>
      <c r="G1400" s="28">
        <v>1351060</v>
      </c>
      <c r="H1400">
        <v>0</v>
      </c>
      <c r="I1400" s="29">
        <f t="shared" si="21"/>
        <v>1351060</v>
      </c>
      <c r="J1400">
        <f>IFERROR(VLOOKUP(E1400,'LEAID Match'!$A$2:$B$168,2,FALSE),"")</f>
        <v>3304030</v>
      </c>
    </row>
    <row r="1401" spans="1:10">
      <c r="A1401">
        <v>2017</v>
      </c>
      <c r="B1401" t="s">
        <v>1429</v>
      </c>
      <c r="C1401" t="s">
        <v>1431</v>
      </c>
      <c r="D1401" t="s">
        <v>1433</v>
      </c>
      <c r="E1401" t="s">
        <v>442</v>
      </c>
      <c r="F1401" t="s">
        <v>669</v>
      </c>
      <c r="G1401" s="28">
        <v>1406037</v>
      </c>
      <c r="H1401">
        <v>0</v>
      </c>
      <c r="I1401" s="29">
        <f t="shared" si="21"/>
        <v>1406037</v>
      </c>
      <c r="J1401">
        <f>IFERROR(VLOOKUP(E1401,'LEAID Match'!$A$2:$B$168,2,FALSE),"")</f>
        <v>3304030</v>
      </c>
    </row>
    <row r="1402" spans="1:10">
      <c r="A1402" s="27">
        <v>2018</v>
      </c>
      <c r="B1402" t="s">
        <v>1429</v>
      </c>
      <c r="C1402" t="s">
        <v>1431</v>
      </c>
      <c r="D1402" t="s">
        <v>1433</v>
      </c>
      <c r="E1402" t="s">
        <v>442</v>
      </c>
      <c r="F1402" s="9" t="s">
        <v>669</v>
      </c>
      <c r="G1402" s="18">
        <v>1672515</v>
      </c>
      <c r="H1402">
        <v>0</v>
      </c>
      <c r="I1402" s="29">
        <f t="shared" si="21"/>
        <v>1672515</v>
      </c>
      <c r="J1402">
        <f>IFERROR(VLOOKUP(E1402,'LEAID Match'!$A$2:$B$168,2,FALSE),"")</f>
        <v>3304030</v>
      </c>
    </row>
    <row r="1403" spans="1:10">
      <c r="A1403">
        <v>2019</v>
      </c>
      <c r="B1403" t="s">
        <v>1429</v>
      </c>
      <c r="C1403" t="s">
        <v>1431</v>
      </c>
      <c r="D1403" t="s">
        <v>1433</v>
      </c>
      <c r="E1403" t="s">
        <v>442</v>
      </c>
      <c r="F1403" s="9" t="s">
        <v>669</v>
      </c>
      <c r="G1403" s="18">
        <v>1653730</v>
      </c>
      <c r="H1403">
        <v>0</v>
      </c>
      <c r="I1403" s="29">
        <f t="shared" si="21"/>
        <v>1653730</v>
      </c>
      <c r="J1403">
        <f>IFERROR(VLOOKUP(E1403,'LEAID Match'!$A$2:$B$168,2,FALSE),"")</f>
        <v>3304030</v>
      </c>
    </row>
    <row r="1404" spans="1:10">
      <c r="A1404" s="27">
        <v>2020</v>
      </c>
      <c r="B1404" t="s">
        <v>1429</v>
      </c>
      <c r="C1404" t="s">
        <v>1431</v>
      </c>
      <c r="D1404" t="s">
        <v>1433</v>
      </c>
      <c r="E1404" t="s">
        <v>442</v>
      </c>
      <c r="F1404" s="9" t="s">
        <v>442</v>
      </c>
      <c r="G1404" s="18">
        <v>1763539</v>
      </c>
      <c r="H1404">
        <v>0</v>
      </c>
      <c r="I1404" s="29">
        <f t="shared" si="21"/>
        <v>1763539</v>
      </c>
      <c r="J1404">
        <f>IFERROR(VLOOKUP(E1404,'LEAID Match'!$A$2:$B$168,2,FALSE),"")</f>
        <v>3304030</v>
      </c>
    </row>
    <row r="1405" spans="1:10">
      <c r="A1405">
        <v>2021</v>
      </c>
      <c r="B1405" t="s">
        <v>1429</v>
      </c>
      <c r="C1405" t="s">
        <v>1431</v>
      </c>
      <c r="D1405" t="s">
        <v>1433</v>
      </c>
      <c r="E1405" t="s">
        <v>442</v>
      </c>
      <c r="F1405" s="9" t="s">
        <v>442</v>
      </c>
      <c r="G1405" s="18">
        <v>1755904</v>
      </c>
      <c r="H1405">
        <v>0</v>
      </c>
      <c r="I1405" s="29">
        <f t="shared" si="21"/>
        <v>1755904</v>
      </c>
      <c r="J1405">
        <f>IFERROR(VLOOKUP(E1405,'LEAID Match'!$A$2:$B$168,2,FALSE),"")</f>
        <v>3304030</v>
      </c>
    </row>
    <row r="1406" spans="1:10">
      <c r="A1406">
        <v>2022</v>
      </c>
      <c r="B1406" t="s">
        <v>1429</v>
      </c>
      <c r="C1406" t="s">
        <v>1431</v>
      </c>
      <c r="D1406" t="s">
        <v>1433</v>
      </c>
      <c r="E1406" t="s">
        <v>442</v>
      </c>
      <c r="F1406" s="9" t="s">
        <v>442</v>
      </c>
      <c r="G1406" s="18">
        <v>2228132</v>
      </c>
      <c r="H1406">
        <v>0</v>
      </c>
      <c r="I1406" s="29">
        <f t="shared" si="21"/>
        <v>2228132</v>
      </c>
      <c r="J1406">
        <f>IFERROR(VLOOKUP(E1406,'LEAID Match'!$A$2:$B$168,2,FALSE),"")</f>
        <v>3304030</v>
      </c>
    </row>
    <row r="1407" spans="1:10">
      <c r="A1407">
        <v>2023</v>
      </c>
      <c r="B1407" t="s">
        <v>1429</v>
      </c>
      <c r="C1407" t="s">
        <v>1431</v>
      </c>
      <c r="D1407" t="s">
        <v>1433</v>
      </c>
      <c r="E1407" t="s">
        <v>442</v>
      </c>
      <c r="F1407" t="s">
        <v>442</v>
      </c>
      <c r="G1407" s="28">
        <v>2214410</v>
      </c>
      <c r="H1407">
        <v>0</v>
      </c>
      <c r="I1407" s="29">
        <f t="shared" si="21"/>
        <v>2214410</v>
      </c>
      <c r="J1407">
        <f>IFERROR(VLOOKUP(E1407,'LEAID Match'!$A$2:$B$168,2,FALSE),"")</f>
        <v>3304030</v>
      </c>
    </row>
    <row r="1408" spans="1:10">
      <c r="A1408">
        <v>2015</v>
      </c>
      <c r="B1408" t="s">
        <v>1429</v>
      </c>
      <c r="C1408" t="s">
        <v>1431</v>
      </c>
      <c r="D1408" t="s">
        <v>1433</v>
      </c>
      <c r="E1408" t="s">
        <v>670</v>
      </c>
      <c r="F1408" s="9" t="s">
        <v>1134</v>
      </c>
      <c r="G1408" s="18">
        <v>10247.44</v>
      </c>
      <c r="H1408">
        <v>0</v>
      </c>
      <c r="I1408" s="29">
        <f t="shared" si="21"/>
        <v>10247.44</v>
      </c>
      <c r="J1408" t="str">
        <f>IFERROR(VLOOKUP(E1408,'LEAID Match'!$A$2:$B$168,2,FALSE),"")</f>
        <v/>
      </c>
    </row>
    <row r="1409" spans="1:10">
      <c r="A1409">
        <v>2016</v>
      </c>
      <c r="B1409" t="s">
        <v>1429</v>
      </c>
      <c r="C1409" t="s">
        <v>1431</v>
      </c>
      <c r="D1409" t="s">
        <v>1433</v>
      </c>
      <c r="E1409" t="s">
        <v>670</v>
      </c>
      <c r="F1409" t="s">
        <v>670</v>
      </c>
      <c r="G1409" s="28">
        <v>10264</v>
      </c>
      <c r="H1409">
        <v>0</v>
      </c>
      <c r="I1409" s="29">
        <f t="shared" si="21"/>
        <v>10264</v>
      </c>
      <c r="J1409" t="str">
        <f>IFERROR(VLOOKUP(E1409,'LEAID Match'!$A$2:$B$168,2,FALSE),"")</f>
        <v/>
      </c>
    </row>
    <row r="1410" spans="1:10">
      <c r="A1410">
        <v>2017</v>
      </c>
      <c r="B1410" t="s">
        <v>1429</v>
      </c>
      <c r="C1410" t="s">
        <v>1431</v>
      </c>
      <c r="D1410" t="s">
        <v>1433</v>
      </c>
      <c r="E1410" t="s">
        <v>670</v>
      </c>
      <c r="F1410" t="s">
        <v>670</v>
      </c>
      <c r="G1410" s="28">
        <v>10997</v>
      </c>
      <c r="H1410">
        <v>0</v>
      </c>
      <c r="I1410" s="29">
        <f t="shared" si="21"/>
        <v>10997</v>
      </c>
      <c r="J1410" t="str">
        <f>IFERROR(VLOOKUP(E1410,'LEAID Match'!$A$2:$B$168,2,FALSE),"")</f>
        <v/>
      </c>
    </row>
    <row r="1411" spans="1:10">
      <c r="A1411" s="27">
        <v>2018</v>
      </c>
      <c r="B1411" t="s">
        <v>1429</v>
      </c>
      <c r="C1411" t="s">
        <v>1431</v>
      </c>
      <c r="D1411" t="s">
        <v>1433</v>
      </c>
      <c r="E1411" t="s">
        <v>670</v>
      </c>
      <c r="F1411" s="9" t="s">
        <v>670</v>
      </c>
      <c r="G1411" s="18">
        <v>11560</v>
      </c>
      <c r="H1411">
        <v>0</v>
      </c>
      <c r="I1411" s="29">
        <f t="shared" ref="I1411:I1474" si="22">SUM(G1411:H1411)</f>
        <v>11560</v>
      </c>
      <c r="J1411" t="str">
        <f>IFERROR(VLOOKUP(E1411,'LEAID Match'!$A$2:$B$168,2,FALSE),"")</f>
        <v/>
      </c>
    </row>
    <row r="1412" spans="1:10">
      <c r="A1412">
        <v>2019</v>
      </c>
      <c r="B1412" t="s">
        <v>1429</v>
      </c>
      <c r="C1412" t="s">
        <v>1431</v>
      </c>
      <c r="D1412" t="s">
        <v>1433</v>
      </c>
      <c r="E1412" t="s">
        <v>670</v>
      </c>
      <c r="F1412" s="9" t="s">
        <v>670</v>
      </c>
      <c r="G1412" s="18">
        <v>11530</v>
      </c>
      <c r="H1412">
        <v>0</v>
      </c>
      <c r="I1412" s="29">
        <f t="shared" si="22"/>
        <v>11530</v>
      </c>
      <c r="J1412" t="str">
        <f>IFERROR(VLOOKUP(E1412,'LEAID Match'!$A$2:$B$168,2,FALSE),"")</f>
        <v/>
      </c>
    </row>
    <row r="1413" spans="1:10">
      <c r="A1413">
        <v>2015</v>
      </c>
      <c r="B1413" t="s">
        <v>1429</v>
      </c>
      <c r="C1413" t="s">
        <v>1431</v>
      </c>
      <c r="D1413" t="s">
        <v>1433</v>
      </c>
      <c r="E1413" t="s">
        <v>443</v>
      </c>
      <c r="F1413" s="9" t="s">
        <v>1135</v>
      </c>
      <c r="G1413" s="18">
        <v>708179.34</v>
      </c>
      <c r="H1413">
        <v>0</v>
      </c>
      <c r="I1413" s="29">
        <f t="shared" si="22"/>
        <v>708179.34</v>
      </c>
      <c r="J1413">
        <f>IFERROR(VLOOKUP(E1413,'LEAID Match'!$A$2:$B$168,2,FALSE),"")</f>
        <v>3300003</v>
      </c>
    </row>
    <row r="1414" spans="1:10">
      <c r="A1414">
        <v>2016</v>
      </c>
      <c r="B1414" t="s">
        <v>1429</v>
      </c>
      <c r="C1414" t="s">
        <v>1431</v>
      </c>
      <c r="D1414" t="s">
        <v>1433</v>
      </c>
      <c r="E1414" t="s">
        <v>443</v>
      </c>
      <c r="F1414" t="s">
        <v>671</v>
      </c>
      <c r="G1414" s="28">
        <v>754672</v>
      </c>
      <c r="H1414">
        <v>0</v>
      </c>
      <c r="I1414" s="29">
        <f t="shared" si="22"/>
        <v>754672</v>
      </c>
      <c r="J1414">
        <f>IFERROR(VLOOKUP(E1414,'LEAID Match'!$A$2:$B$168,2,FALSE),"")</f>
        <v>3300003</v>
      </c>
    </row>
    <row r="1415" spans="1:10">
      <c r="A1415">
        <v>2017</v>
      </c>
      <c r="B1415" t="s">
        <v>1429</v>
      </c>
      <c r="C1415" t="s">
        <v>1431</v>
      </c>
      <c r="D1415" t="s">
        <v>1433</v>
      </c>
      <c r="E1415" t="s">
        <v>443</v>
      </c>
      <c r="F1415" t="s">
        <v>671</v>
      </c>
      <c r="G1415" s="28">
        <v>747571</v>
      </c>
      <c r="H1415">
        <v>0</v>
      </c>
      <c r="I1415" s="29">
        <f t="shared" si="22"/>
        <v>747571</v>
      </c>
      <c r="J1415">
        <f>IFERROR(VLOOKUP(E1415,'LEAID Match'!$A$2:$B$168,2,FALSE),"")</f>
        <v>3300003</v>
      </c>
    </row>
    <row r="1416" spans="1:10">
      <c r="A1416" s="27">
        <v>2018</v>
      </c>
      <c r="B1416" t="s">
        <v>1429</v>
      </c>
      <c r="C1416" t="s">
        <v>1431</v>
      </c>
      <c r="D1416" t="s">
        <v>1433</v>
      </c>
      <c r="E1416" t="s">
        <v>443</v>
      </c>
      <c r="F1416" s="9" t="s">
        <v>671</v>
      </c>
      <c r="G1416" s="18">
        <v>888519</v>
      </c>
      <c r="H1416">
        <v>0</v>
      </c>
      <c r="I1416" s="29">
        <f t="shared" si="22"/>
        <v>888519</v>
      </c>
      <c r="J1416">
        <f>IFERROR(VLOOKUP(E1416,'LEAID Match'!$A$2:$B$168,2,FALSE),"")</f>
        <v>3300003</v>
      </c>
    </row>
    <row r="1417" spans="1:10">
      <c r="A1417">
        <v>2019</v>
      </c>
      <c r="B1417" t="s">
        <v>1429</v>
      </c>
      <c r="C1417" t="s">
        <v>1431</v>
      </c>
      <c r="D1417" t="s">
        <v>1433</v>
      </c>
      <c r="E1417" t="s">
        <v>443</v>
      </c>
      <c r="F1417" s="9" t="s">
        <v>671</v>
      </c>
      <c r="G1417" s="18">
        <v>886260</v>
      </c>
      <c r="H1417">
        <v>0</v>
      </c>
      <c r="I1417" s="29">
        <f t="shared" si="22"/>
        <v>886260</v>
      </c>
      <c r="J1417">
        <f>IFERROR(VLOOKUP(E1417,'LEAID Match'!$A$2:$B$168,2,FALSE),"")</f>
        <v>3300003</v>
      </c>
    </row>
    <row r="1418" spans="1:10">
      <c r="A1418" s="27">
        <v>2020</v>
      </c>
      <c r="B1418" t="s">
        <v>1429</v>
      </c>
      <c r="C1418" t="s">
        <v>1431</v>
      </c>
      <c r="D1418" t="s">
        <v>1433</v>
      </c>
      <c r="E1418" t="s">
        <v>443</v>
      </c>
      <c r="F1418" s="9" t="s">
        <v>443</v>
      </c>
      <c r="G1418" s="18">
        <v>875339</v>
      </c>
      <c r="H1418">
        <v>0</v>
      </c>
      <c r="I1418" s="29">
        <f t="shared" si="22"/>
        <v>875339</v>
      </c>
      <c r="J1418">
        <f>IFERROR(VLOOKUP(E1418,'LEAID Match'!$A$2:$B$168,2,FALSE),"")</f>
        <v>3300003</v>
      </c>
    </row>
    <row r="1419" spans="1:10">
      <c r="A1419">
        <v>2021</v>
      </c>
      <c r="B1419" t="s">
        <v>1429</v>
      </c>
      <c r="C1419" t="s">
        <v>1431</v>
      </c>
      <c r="D1419" t="s">
        <v>1433</v>
      </c>
      <c r="E1419" t="s">
        <v>443</v>
      </c>
      <c r="F1419" s="9" t="s">
        <v>443</v>
      </c>
      <c r="G1419" s="18">
        <v>902610</v>
      </c>
      <c r="H1419">
        <v>0</v>
      </c>
      <c r="I1419" s="29">
        <f t="shared" si="22"/>
        <v>902610</v>
      </c>
      <c r="J1419">
        <f>IFERROR(VLOOKUP(E1419,'LEAID Match'!$A$2:$B$168,2,FALSE),"")</f>
        <v>3300003</v>
      </c>
    </row>
    <row r="1420" spans="1:10">
      <c r="A1420">
        <v>2022</v>
      </c>
      <c r="B1420" t="s">
        <v>1429</v>
      </c>
      <c r="C1420" t="s">
        <v>1431</v>
      </c>
      <c r="D1420" t="s">
        <v>1433</v>
      </c>
      <c r="E1420" t="s">
        <v>443</v>
      </c>
      <c r="F1420" s="9" t="s">
        <v>443</v>
      </c>
      <c r="G1420" s="18">
        <v>1061164</v>
      </c>
      <c r="H1420">
        <v>0</v>
      </c>
      <c r="I1420" s="29">
        <f t="shared" si="22"/>
        <v>1061164</v>
      </c>
      <c r="J1420">
        <f>IFERROR(VLOOKUP(E1420,'LEAID Match'!$A$2:$B$168,2,FALSE),"")</f>
        <v>3300003</v>
      </c>
    </row>
    <row r="1421" spans="1:10">
      <c r="A1421">
        <v>2023</v>
      </c>
      <c r="B1421" t="s">
        <v>1429</v>
      </c>
      <c r="C1421" t="s">
        <v>1431</v>
      </c>
      <c r="D1421" t="s">
        <v>1433</v>
      </c>
      <c r="E1421" t="s">
        <v>443</v>
      </c>
      <c r="F1421" t="s">
        <v>443</v>
      </c>
      <c r="G1421" s="28">
        <v>1050006</v>
      </c>
      <c r="H1421">
        <v>0</v>
      </c>
      <c r="I1421" s="29">
        <f t="shared" si="22"/>
        <v>1050006</v>
      </c>
      <c r="J1421">
        <f>IFERROR(VLOOKUP(E1421,'LEAID Match'!$A$2:$B$168,2,FALSE),"")</f>
        <v>3300003</v>
      </c>
    </row>
    <row r="1422" spans="1:10">
      <c r="A1422">
        <v>2015</v>
      </c>
      <c r="B1422" t="s">
        <v>1429</v>
      </c>
      <c r="C1422" t="s">
        <v>1431</v>
      </c>
      <c r="D1422" t="s">
        <v>1433</v>
      </c>
      <c r="E1422" t="s">
        <v>672</v>
      </c>
      <c r="F1422" s="9" t="s">
        <v>1136</v>
      </c>
      <c r="G1422" s="18">
        <v>1793368.27</v>
      </c>
      <c r="H1422">
        <v>0</v>
      </c>
      <c r="I1422" s="29">
        <f t="shared" si="22"/>
        <v>1793368.27</v>
      </c>
      <c r="J1422">
        <f>IFERROR(VLOOKUP(E1422,'LEAID Match'!$A$2:$B$168,2,FALSE),"")</f>
        <v>3304040</v>
      </c>
    </row>
    <row r="1423" spans="1:10">
      <c r="A1423">
        <v>2016</v>
      </c>
      <c r="B1423" t="s">
        <v>1429</v>
      </c>
      <c r="C1423" t="s">
        <v>1431</v>
      </c>
      <c r="D1423" t="s">
        <v>1433</v>
      </c>
      <c r="E1423" t="s">
        <v>672</v>
      </c>
      <c r="F1423" t="s">
        <v>672</v>
      </c>
      <c r="G1423" s="28">
        <v>1939660</v>
      </c>
      <c r="H1423">
        <v>0</v>
      </c>
      <c r="I1423" s="29">
        <f t="shared" si="22"/>
        <v>1939660</v>
      </c>
      <c r="J1423">
        <f>IFERROR(VLOOKUP(E1423,'LEAID Match'!$A$2:$B$168,2,FALSE),"")</f>
        <v>3304040</v>
      </c>
    </row>
    <row r="1424" spans="1:10">
      <c r="A1424">
        <v>2017</v>
      </c>
      <c r="B1424" t="s">
        <v>1429</v>
      </c>
      <c r="C1424" t="s">
        <v>1431</v>
      </c>
      <c r="D1424" t="s">
        <v>1433</v>
      </c>
      <c r="E1424" t="s">
        <v>672</v>
      </c>
      <c r="F1424" t="s">
        <v>672</v>
      </c>
      <c r="G1424" s="28">
        <v>1976562</v>
      </c>
      <c r="H1424">
        <v>0</v>
      </c>
      <c r="I1424" s="29">
        <f t="shared" si="22"/>
        <v>1976562</v>
      </c>
      <c r="J1424">
        <f>IFERROR(VLOOKUP(E1424,'LEAID Match'!$A$2:$B$168,2,FALSE),"")</f>
        <v>3304040</v>
      </c>
    </row>
    <row r="1425" spans="1:10">
      <c r="A1425" s="27">
        <v>2018</v>
      </c>
      <c r="B1425" t="s">
        <v>1429</v>
      </c>
      <c r="C1425" t="s">
        <v>1431</v>
      </c>
      <c r="D1425" t="s">
        <v>1433</v>
      </c>
      <c r="E1425" t="s">
        <v>672</v>
      </c>
      <c r="F1425" s="9" t="s">
        <v>672</v>
      </c>
      <c r="G1425" s="18">
        <v>2443078</v>
      </c>
      <c r="H1425">
        <v>0</v>
      </c>
      <c r="I1425" s="29">
        <f t="shared" si="22"/>
        <v>2443078</v>
      </c>
      <c r="J1425">
        <f>IFERROR(VLOOKUP(E1425,'LEAID Match'!$A$2:$B$168,2,FALSE),"")</f>
        <v>3304040</v>
      </c>
    </row>
    <row r="1426" spans="1:10">
      <c r="A1426">
        <v>2019</v>
      </c>
      <c r="B1426" t="s">
        <v>1429</v>
      </c>
      <c r="C1426" t="s">
        <v>1431</v>
      </c>
      <c r="D1426" t="s">
        <v>1433</v>
      </c>
      <c r="E1426" t="s">
        <v>672</v>
      </c>
      <c r="F1426" s="9" t="s">
        <v>672</v>
      </c>
      <c r="G1426" s="18">
        <v>2486051</v>
      </c>
      <c r="H1426">
        <v>0</v>
      </c>
      <c r="I1426" s="29">
        <f t="shared" si="22"/>
        <v>2486051</v>
      </c>
      <c r="J1426">
        <f>IFERROR(VLOOKUP(E1426,'LEAID Match'!$A$2:$B$168,2,FALSE),"")</f>
        <v>3304040</v>
      </c>
    </row>
    <row r="1427" spans="1:10">
      <c r="A1427" s="27">
        <v>2020</v>
      </c>
      <c r="B1427" t="s">
        <v>1429</v>
      </c>
      <c r="C1427" t="s">
        <v>1431</v>
      </c>
      <c r="D1427" t="s">
        <v>1433</v>
      </c>
      <c r="E1427" t="s">
        <v>672</v>
      </c>
      <c r="F1427" s="9" t="s">
        <v>444</v>
      </c>
      <c r="G1427" s="18">
        <v>2656495</v>
      </c>
      <c r="H1427">
        <v>0</v>
      </c>
      <c r="I1427" s="29">
        <f t="shared" si="22"/>
        <v>2656495</v>
      </c>
      <c r="J1427">
        <f>IFERROR(VLOOKUP(E1427,'LEAID Match'!$A$2:$B$168,2,FALSE),"")</f>
        <v>3304040</v>
      </c>
    </row>
    <row r="1428" spans="1:10">
      <c r="A1428">
        <v>2021</v>
      </c>
      <c r="B1428" t="s">
        <v>1429</v>
      </c>
      <c r="C1428" t="s">
        <v>1431</v>
      </c>
      <c r="D1428" t="s">
        <v>1433</v>
      </c>
      <c r="E1428" t="s">
        <v>672</v>
      </c>
      <c r="F1428" s="9" t="s">
        <v>444</v>
      </c>
      <c r="G1428" s="18">
        <v>2792833</v>
      </c>
      <c r="H1428">
        <v>0</v>
      </c>
      <c r="I1428" s="29">
        <f t="shared" si="22"/>
        <v>2792833</v>
      </c>
      <c r="J1428">
        <f>IFERROR(VLOOKUP(E1428,'LEAID Match'!$A$2:$B$168,2,FALSE),"")</f>
        <v>3304040</v>
      </c>
    </row>
    <row r="1429" spans="1:10">
      <c r="A1429">
        <v>2022</v>
      </c>
      <c r="B1429" t="s">
        <v>1429</v>
      </c>
      <c r="C1429" t="s">
        <v>1431</v>
      </c>
      <c r="D1429" t="s">
        <v>1433</v>
      </c>
      <c r="E1429" t="s">
        <v>672</v>
      </c>
      <c r="F1429" s="9" t="s">
        <v>444</v>
      </c>
      <c r="G1429" s="18">
        <v>3573530</v>
      </c>
      <c r="H1429">
        <v>0</v>
      </c>
      <c r="I1429" s="29">
        <f t="shared" si="22"/>
        <v>3573530</v>
      </c>
      <c r="J1429">
        <f>IFERROR(VLOOKUP(E1429,'LEAID Match'!$A$2:$B$168,2,FALSE),"")</f>
        <v>3304040</v>
      </c>
    </row>
    <row r="1430" spans="1:10">
      <c r="A1430">
        <v>2023</v>
      </c>
      <c r="B1430" t="s">
        <v>1429</v>
      </c>
      <c r="C1430" t="s">
        <v>1431</v>
      </c>
      <c r="D1430" t="s">
        <v>1433</v>
      </c>
      <c r="E1430" t="s">
        <v>672</v>
      </c>
      <c r="F1430" t="s">
        <v>444</v>
      </c>
      <c r="G1430" s="28">
        <v>3756213</v>
      </c>
      <c r="H1430">
        <v>0</v>
      </c>
      <c r="I1430" s="29">
        <f t="shared" si="22"/>
        <v>3756213</v>
      </c>
      <c r="J1430">
        <f>IFERROR(VLOOKUP(E1430,'LEAID Match'!$A$2:$B$168,2,FALSE),"")</f>
        <v>3304040</v>
      </c>
    </row>
    <row r="1431" spans="1:10">
      <c r="A1431">
        <v>2015</v>
      </c>
      <c r="B1431" t="s">
        <v>1429</v>
      </c>
      <c r="C1431" t="s">
        <v>1431</v>
      </c>
      <c r="D1431" t="s">
        <v>1433</v>
      </c>
      <c r="E1431" t="s">
        <v>673</v>
      </c>
      <c r="F1431" s="9" t="s">
        <v>1137</v>
      </c>
      <c r="G1431" s="18">
        <v>2589225.4500000002</v>
      </c>
      <c r="H1431">
        <v>0</v>
      </c>
      <c r="I1431" s="29">
        <f t="shared" si="22"/>
        <v>2589225.4500000002</v>
      </c>
      <c r="J1431" t="str">
        <f>IFERROR(VLOOKUP(E1431,'LEAID Match'!$A$2:$B$168,2,FALSE),"")</f>
        <v/>
      </c>
    </row>
    <row r="1432" spans="1:10">
      <c r="A1432">
        <v>2016</v>
      </c>
      <c r="B1432" t="s">
        <v>1429</v>
      </c>
      <c r="C1432" t="s">
        <v>1431</v>
      </c>
      <c r="D1432" t="s">
        <v>1433</v>
      </c>
      <c r="E1432" t="s">
        <v>673</v>
      </c>
      <c r="F1432" t="s">
        <v>673</v>
      </c>
      <c r="G1432" s="28">
        <v>2748377</v>
      </c>
      <c r="H1432">
        <v>0</v>
      </c>
      <c r="I1432" s="29">
        <f t="shared" si="22"/>
        <v>2748377</v>
      </c>
      <c r="J1432" t="str">
        <f>IFERROR(VLOOKUP(E1432,'LEAID Match'!$A$2:$B$168,2,FALSE),"")</f>
        <v/>
      </c>
    </row>
    <row r="1433" spans="1:10">
      <c r="A1433">
        <v>2017</v>
      </c>
      <c r="B1433" t="s">
        <v>1429</v>
      </c>
      <c r="C1433" t="s">
        <v>1431</v>
      </c>
      <c r="D1433" t="s">
        <v>1433</v>
      </c>
      <c r="E1433" t="s">
        <v>673</v>
      </c>
      <c r="F1433" t="s">
        <v>673</v>
      </c>
      <c r="G1433" s="28">
        <v>2752386</v>
      </c>
      <c r="H1433">
        <v>0</v>
      </c>
      <c r="I1433" s="29">
        <f t="shared" si="22"/>
        <v>2752386</v>
      </c>
      <c r="J1433" t="str">
        <f>IFERROR(VLOOKUP(E1433,'LEAID Match'!$A$2:$B$168,2,FALSE),"")</f>
        <v/>
      </c>
    </row>
    <row r="1434" spans="1:10">
      <c r="A1434" s="27">
        <v>2018</v>
      </c>
      <c r="B1434" t="s">
        <v>1429</v>
      </c>
      <c r="C1434" t="s">
        <v>1431</v>
      </c>
      <c r="D1434" t="s">
        <v>1433</v>
      </c>
      <c r="E1434" t="s">
        <v>673</v>
      </c>
      <c r="F1434" s="9" t="s">
        <v>673</v>
      </c>
      <c r="G1434" s="18">
        <v>3003249</v>
      </c>
      <c r="H1434">
        <v>0</v>
      </c>
      <c r="I1434" s="29">
        <f t="shared" si="22"/>
        <v>3003249</v>
      </c>
      <c r="J1434" t="str">
        <f>IFERROR(VLOOKUP(E1434,'LEAID Match'!$A$2:$B$168,2,FALSE),"")</f>
        <v/>
      </c>
    </row>
    <row r="1435" spans="1:10">
      <c r="A1435">
        <v>2019</v>
      </c>
      <c r="B1435" t="s">
        <v>1429</v>
      </c>
      <c r="C1435" t="s">
        <v>1431</v>
      </c>
      <c r="D1435" t="s">
        <v>1433</v>
      </c>
      <c r="E1435" t="s">
        <v>673</v>
      </c>
      <c r="F1435" s="9" t="s">
        <v>673</v>
      </c>
      <c r="G1435" s="18">
        <v>3103365</v>
      </c>
      <c r="H1435">
        <v>0</v>
      </c>
      <c r="I1435" s="29">
        <f t="shared" si="22"/>
        <v>3103365</v>
      </c>
      <c r="J1435" t="str">
        <f>IFERROR(VLOOKUP(E1435,'LEAID Match'!$A$2:$B$168,2,FALSE),"")</f>
        <v/>
      </c>
    </row>
    <row r="1436" spans="1:10">
      <c r="A1436">
        <v>2015</v>
      </c>
      <c r="B1436" t="s">
        <v>1429</v>
      </c>
      <c r="C1436" t="s">
        <v>1431</v>
      </c>
      <c r="D1436" t="s">
        <v>1433</v>
      </c>
      <c r="E1436" t="s">
        <v>445</v>
      </c>
      <c r="F1436" s="9" t="s">
        <v>1138</v>
      </c>
      <c r="G1436" s="18">
        <v>3108554.47</v>
      </c>
      <c r="H1436">
        <v>0</v>
      </c>
      <c r="I1436" s="29">
        <f t="shared" si="22"/>
        <v>3108554.47</v>
      </c>
      <c r="J1436">
        <f>IFERROR(VLOOKUP(E1436,'LEAID Match'!$A$2:$B$168,2,FALSE),"")</f>
        <v>3304050</v>
      </c>
    </row>
    <row r="1437" spans="1:10">
      <c r="A1437">
        <v>2016</v>
      </c>
      <c r="B1437" t="s">
        <v>1429</v>
      </c>
      <c r="C1437" t="s">
        <v>1431</v>
      </c>
      <c r="D1437" t="s">
        <v>1433</v>
      </c>
      <c r="E1437" t="s">
        <v>445</v>
      </c>
      <c r="F1437" t="s">
        <v>674</v>
      </c>
      <c r="G1437" s="28">
        <v>3237453</v>
      </c>
      <c r="H1437">
        <v>0</v>
      </c>
      <c r="I1437" s="29">
        <f t="shared" si="22"/>
        <v>3237453</v>
      </c>
      <c r="J1437">
        <f>IFERROR(VLOOKUP(E1437,'LEAID Match'!$A$2:$B$168,2,FALSE),"")</f>
        <v>3304050</v>
      </c>
    </row>
    <row r="1438" spans="1:10">
      <c r="A1438">
        <v>2017</v>
      </c>
      <c r="B1438" t="s">
        <v>1429</v>
      </c>
      <c r="C1438" t="s">
        <v>1431</v>
      </c>
      <c r="D1438" t="s">
        <v>1433</v>
      </c>
      <c r="E1438" t="s">
        <v>445</v>
      </c>
      <c r="F1438" t="s">
        <v>674</v>
      </c>
      <c r="G1438" s="28">
        <v>3137062</v>
      </c>
      <c r="H1438">
        <v>0</v>
      </c>
      <c r="I1438" s="29">
        <f t="shared" si="22"/>
        <v>3137062</v>
      </c>
      <c r="J1438">
        <f>IFERROR(VLOOKUP(E1438,'LEAID Match'!$A$2:$B$168,2,FALSE),"")</f>
        <v>3304050</v>
      </c>
    </row>
    <row r="1439" spans="1:10">
      <c r="A1439" s="27">
        <v>2018</v>
      </c>
      <c r="B1439" t="s">
        <v>1429</v>
      </c>
      <c r="C1439" t="s">
        <v>1431</v>
      </c>
      <c r="D1439" t="s">
        <v>1433</v>
      </c>
      <c r="E1439" t="s">
        <v>445</v>
      </c>
      <c r="F1439" s="9" t="s">
        <v>674</v>
      </c>
      <c r="G1439" s="18">
        <v>3821136</v>
      </c>
      <c r="H1439">
        <v>0</v>
      </c>
      <c r="I1439" s="29">
        <f t="shared" si="22"/>
        <v>3821136</v>
      </c>
      <c r="J1439">
        <f>IFERROR(VLOOKUP(E1439,'LEAID Match'!$A$2:$B$168,2,FALSE),"")</f>
        <v>3304050</v>
      </c>
    </row>
    <row r="1440" spans="1:10">
      <c r="A1440">
        <v>2019</v>
      </c>
      <c r="B1440" t="s">
        <v>1429</v>
      </c>
      <c r="C1440" t="s">
        <v>1431</v>
      </c>
      <c r="D1440" t="s">
        <v>1433</v>
      </c>
      <c r="E1440" t="s">
        <v>445</v>
      </c>
      <c r="F1440" s="9" t="s">
        <v>674</v>
      </c>
      <c r="G1440" s="18">
        <v>3778102</v>
      </c>
      <c r="H1440">
        <v>0</v>
      </c>
      <c r="I1440" s="29">
        <f t="shared" si="22"/>
        <v>3778102</v>
      </c>
      <c r="J1440">
        <f>IFERROR(VLOOKUP(E1440,'LEAID Match'!$A$2:$B$168,2,FALSE),"")</f>
        <v>3304050</v>
      </c>
    </row>
    <row r="1441" spans="1:10">
      <c r="A1441" s="27">
        <v>2020</v>
      </c>
      <c r="B1441" t="s">
        <v>1429</v>
      </c>
      <c r="C1441" t="s">
        <v>1431</v>
      </c>
      <c r="D1441" t="s">
        <v>1433</v>
      </c>
      <c r="E1441" t="s">
        <v>445</v>
      </c>
      <c r="F1441" s="9" t="s">
        <v>445</v>
      </c>
      <c r="G1441" s="18">
        <v>3917205</v>
      </c>
      <c r="H1441">
        <v>0</v>
      </c>
      <c r="I1441" s="29">
        <f t="shared" si="22"/>
        <v>3917205</v>
      </c>
      <c r="J1441">
        <f>IFERROR(VLOOKUP(E1441,'LEAID Match'!$A$2:$B$168,2,FALSE),"")</f>
        <v>3304050</v>
      </c>
    </row>
    <row r="1442" spans="1:10">
      <c r="A1442">
        <v>2021</v>
      </c>
      <c r="B1442" t="s">
        <v>1429</v>
      </c>
      <c r="C1442" t="s">
        <v>1431</v>
      </c>
      <c r="D1442" t="s">
        <v>1433</v>
      </c>
      <c r="E1442" t="s">
        <v>445</v>
      </c>
      <c r="F1442" s="9" t="s">
        <v>445</v>
      </c>
      <c r="G1442" s="18">
        <v>3900962</v>
      </c>
      <c r="H1442">
        <v>0</v>
      </c>
      <c r="I1442" s="29">
        <f t="shared" si="22"/>
        <v>3900962</v>
      </c>
      <c r="J1442">
        <f>IFERROR(VLOOKUP(E1442,'LEAID Match'!$A$2:$B$168,2,FALSE),"")</f>
        <v>3304050</v>
      </c>
    </row>
    <row r="1443" spans="1:10">
      <c r="A1443">
        <v>2022</v>
      </c>
      <c r="B1443" t="s">
        <v>1429</v>
      </c>
      <c r="C1443" t="s">
        <v>1431</v>
      </c>
      <c r="D1443" t="s">
        <v>1433</v>
      </c>
      <c r="E1443" t="s">
        <v>445</v>
      </c>
      <c r="F1443" s="9" t="s">
        <v>445</v>
      </c>
      <c r="G1443" s="18">
        <v>4852905</v>
      </c>
      <c r="H1443">
        <v>0</v>
      </c>
      <c r="I1443" s="29">
        <f t="shared" si="22"/>
        <v>4852905</v>
      </c>
      <c r="J1443">
        <f>IFERROR(VLOOKUP(E1443,'LEAID Match'!$A$2:$B$168,2,FALSE),"")</f>
        <v>3304050</v>
      </c>
    </row>
    <row r="1444" spans="1:10">
      <c r="A1444">
        <v>2023</v>
      </c>
      <c r="B1444" t="s">
        <v>1429</v>
      </c>
      <c r="C1444" t="s">
        <v>1431</v>
      </c>
      <c r="D1444" t="s">
        <v>1433</v>
      </c>
      <c r="E1444" t="s">
        <v>445</v>
      </c>
      <c r="F1444" t="s">
        <v>445</v>
      </c>
      <c r="G1444" s="28">
        <v>4911374</v>
      </c>
      <c r="H1444">
        <v>0</v>
      </c>
      <c r="I1444" s="29">
        <f t="shared" si="22"/>
        <v>4911374</v>
      </c>
      <c r="J1444">
        <f>IFERROR(VLOOKUP(E1444,'LEAID Match'!$A$2:$B$168,2,FALSE),"")</f>
        <v>3304050</v>
      </c>
    </row>
    <row r="1445" spans="1:10">
      <c r="A1445">
        <v>2015</v>
      </c>
      <c r="B1445" t="s">
        <v>1429</v>
      </c>
      <c r="C1445" t="s">
        <v>1431</v>
      </c>
      <c r="D1445" t="s">
        <v>1433</v>
      </c>
      <c r="E1445" t="s">
        <v>675</v>
      </c>
      <c r="F1445" s="9" t="s">
        <v>1139</v>
      </c>
      <c r="G1445" s="18">
        <v>47096.11</v>
      </c>
      <c r="H1445">
        <v>0</v>
      </c>
      <c r="I1445" s="29">
        <f t="shared" si="22"/>
        <v>47096.11</v>
      </c>
      <c r="J1445" t="str">
        <f>IFERROR(VLOOKUP(E1445,'LEAID Match'!$A$2:$B$168,2,FALSE),"")</f>
        <v/>
      </c>
    </row>
    <row r="1446" spans="1:10">
      <c r="A1446">
        <v>2016</v>
      </c>
      <c r="B1446" t="s">
        <v>1429</v>
      </c>
      <c r="C1446" t="s">
        <v>1431</v>
      </c>
      <c r="D1446" t="s">
        <v>1433</v>
      </c>
      <c r="E1446" t="s">
        <v>675</v>
      </c>
      <c r="F1446" t="s">
        <v>675</v>
      </c>
      <c r="G1446" s="28">
        <v>50963</v>
      </c>
      <c r="H1446">
        <v>0</v>
      </c>
      <c r="I1446" s="29">
        <f t="shared" si="22"/>
        <v>50963</v>
      </c>
      <c r="J1446" t="str">
        <f>IFERROR(VLOOKUP(E1446,'LEAID Match'!$A$2:$B$168,2,FALSE),"")</f>
        <v/>
      </c>
    </row>
    <row r="1447" spans="1:10">
      <c r="A1447">
        <v>2017</v>
      </c>
      <c r="B1447" t="s">
        <v>1429</v>
      </c>
      <c r="C1447" t="s">
        <v>1431</v>
      </c>
      <c r="D1447" t="s">
        <v>1433</v>
      </c>
      <c r="E1447" t="s">
        <v>675</v>
      </c>
      <c r="F1447" t="s">
        <v>675</v>
      </c>
      <c r="G1447" s="28">
        <v>51327</v>
      </c>
      <c r="H1447">
        <v>0</v>
      </c>
      <c r="I1447" s="29">
        <f t="shared" si="22"/>
        <v>51327</v>
      </c>
      <c r="J1447" t="str">
        <f>IFERROR(VLOOKUP(E1447,'LEAID Match'!$A$2:$B$168,2,FALSE),"")</f>
        <v/>
      </c>
    </row>
    <row r="1448" spans="1:10">
      <c r="A1448" s="27">
        <v>2018</v>
      </c>
      <c r="B1448" t="s">
        <v>1429</v>
      </c>
      <c r="C1448" t="s">
        <v>1431</v>
      </c>
      <c r="D1448" t="s">
        <v>1433</v>
      </c>
      <c r="E1448" t="s">
        <v>675</v>
      </c>
      <c r="F1448" s="9" t="s">
        <v>675</v>
      </c>
      <c r="G1448" s="18">
        <v>67121</v>
      </c>
      <c r="H1448">
        <v>0</v>
      </c>
      <c r="I1448" s="29">
        <f t="shared" si="22"/>
        <v>67121</v>
      </c>
      <c r="J1448" t="str">
        <f>IFERROR(VLOOKUP(E1448,'LEAID Match'!$A$2:$B$168,2,FALSE),"")</f>
        <v/>
      </c>
    </row>
    <row r="1449" spans="1:10">
      <c r="A1449">
        <v>2019</v>
      </c>
      <c r="B1449" t="s">
        <v>1429</v>
      </c>
      <c r="C1449" t="s">
        <v>1431</v>
      </c>
      <c r="D1449" t="s">
        <v>1433</v>
      </c>
      <c r="E1449" t="s">
        <v>675</v>
      </c>
      <c r="F1449" s="9" t="s">
        <v>675</v>
      </c>
      <c r="G1449" s="18">
        <v>73154</v>
      </c>
      <c r="H1449">
        <v>0</v>
      </c>
      <c r="I1449" s="29">
        <f t="shared" si="22"/>
        <v>73154</v>
      </c>
      <c r="J1449" t="str">
        <f>IFERROR(VLOOKUP(E1449,'LEAID Match'!$A$2:$B$168,2,FALSE),"")</f>
        <v/>
      </c>
    </row>
    <row r="1450" spans="1:10">
      <c r="A1450">
        <v>2015</v>
      </c>
      <c r="B1450" t="s">
        <v>1429</v>
      </c>
      <c r="C1450" t="s">
        <v>1431</v>
      </c>
      <c r="D1450" t="s">
        <v>1433</v>
      </c>
      <c r="E1450" t="s">
        <v>446</v>
      </c>
      <c r="F1450" s="9" t="s">
        <v>1140</v>
      </c>
      <c r="G1450" s="18">
        <v>131778.1</v>
      </c>
      <c r="H1450">
        <v>0</v>
      </c>
      <c r="I1450" s="29">
        <f t="shared" si="22"/>
        <v>131778.1</v>
      </c>
      <c r="J1450">
        <f>IFERROR(VLOOKUP(E1450,'LEAID Match'!$A$2:$B$168,2,FALSE),"")</f>
        <v>3304080</v>
      </c>
    </row>
    <row r="1451" spans="1:10">
      <c r="A1451">
        <v>2016</v>
      </c>
      <c r="B1451" t="s">
        <v>1429</v>
      </c>
      <c r="C1451" t="s">
        <v>1431</v>
      </c>
      <c r="D1451" t="s">
        <v>1433</v>
      </c>
      <c r="E1451" t="s">
        <v>446</v>
      </c>
      <c r="F1451" t="s">
        <v>676</v>
      </c>
      <c r="G1451" s="28">
        <v>130535</v>
      </c>
      <c r="H1451">
        <v>0</v>
      </c>
      <c r="I1451" s="29">
        <f t="shared" si="22"/>
        <v>130535</v>
      </c>
      <c r="J1451">
        <f>IFERROR(VLOOKUP(E1451,'LEAID Match'!$A$2:$B$168,2,FALSE),"")</f>
        <v>3304080</v>
      </c>
    </row>
    <row r="1452" spans="1:10">
      <c r="A1452">
        <v>2017</v>
      </c>
      <c r="B1452" t="s">
        <v>1429</v>
      </c>
      <c r="C1452" t="s">
        <v>1431</v>
      </c>
      <c r="D1452" t="s">
        <v>1433</v>
      </c>
      <c r="E1452" t="s">
        <v>446</v>
      </c>
      <c r="F1452" t="s">
        <v>676</v>
      </c>
      <c r="G1452" s="28">
        <v>135523</v>
      </c>
      <c r="H1452">
        <v>0</v>
      </c>
      <c r="I1452" s="29">
        <f t="shared" si="22"/>
        <v>135523</v>
      </c>
      <c r="J1452">
        <f>IFERROR(VLOOKUP(E1452,'LEAID Match'!$A$2:$B$168,2,FALSE),"")</f>
        <v>3304080</v>
      </c>
    </row>
    <row r="1453" spans="1:10">
      <c r="A1453" s="27">
        <v>2018</v>
      </c>
      <c r="B1453" t="s">
        <v>1429</v>
      </c>
      <c r="C1453" t="s">
        <v>1431</v>
      </c>
      <c r="D1453" t="s">
        <v>1433</v>
      </c>
      <c r="E1453" t="s">
        <v>446</v>
      </c>
      <c r="F1453" s="9" t="s">
        <v>676</v>
      </c>
      <c r="G1453" s="18">
        <v>157689</v>
      </c>
      <c r="H1453">
        <v>0</v>
      </c>
      <c r="I1453" s="29">
        <f t="shared" si="22"/>
        <v>157689</v>
      </c>
      <c r="J1453">
        <f>IFERROR(VLOOKUP(E1453,'LEAID Match'!$A$2:$B$168,2,FALSE),"")</f>
        <v>3304080</v>
      </c>
    </row>
    <row r="1454" spans="1:10">
      <c r="A1454">
        <v>2019</v>
      </c>
      <c r="B1454" t="s">
        <v>1429</v>
      </c>
      <c r="C1454" t="s">
        <v>1431</v>
      </c>
      <c r="D1454" t="s">
        <v>1433</v>
      </c>
      <c r="E1454" t="s">
        <v>446</v>
      </c>
      <c r="F1454" s="9" t="s">
        <v>676</v>
      </c>
      <c r="G1454" s="18">
        <v>175346</v>
      </c>
      <c r="H1454">
        <v>0</v>
      </c>
      <c r="I1454" s="29">
        <f t="shared" si="22"/>
        <v>175346</v>
      </c>
      <c r="J1454">
        <f>IFERROR(VLOOKUP(E1454,'LEAID Match'!$A$2:$B$168,2,FALSE),"")</f>
        <v>3304080</v>
      </c>
    </row>
    <row r="1455" spans="1:10">
      <c r="A1455" s="27">
        <v>2020</v>
      </c>
      <c r="B1455" t="s">
        <v>1429</v>
      </c>
      <c r="C1455" t="s">
        <v>1431</v>
      </c>
      <c r="D1455" t="s">
        <v>1433</v>
      </c>
      <c r="E1455" t="s">
        <v>446</v>
      </c>
      <c r="F1455" s="9" t="s">
        <v>446</v>
      </c>
      <c r="G1455" s="18">
        <v>192292</v>
      </c>
      <c r="H1455">
        <v>0</v>
      </c>
      <c r="I1455" s="29">
        <f t="shared" si="22"/>
        <v>192292</v>
      </c>
      <c r="J1455">
        <f>IFERROR(VLOOKUP(E1455,'LEAID Match'!$A$2:$B$168,2,FALSE),"")</f>
        <v>3304080</v>
      </c>
    </row>
    <row r="1456" spans="1:10">
      <c r="A1456">
        <v>2021</v>
      </c>
      <c r="B1456" t="s">
        <v>1429</v>
      </c>
      <c r="C1456" t="s">
        <v>1431</v>
      </c>
      <c r="D1456" t="s">
        <v>1433</v>
      </c>
      <c r="E1456" t="s">
        <v>446</v>
      </c>
      <c r="F1456" s="9" t="s">
        <v>446</v>
      </c>
      <c r="G1456" s="18">
        <v>225520</v>
      </c>
      <c r="H1456">
        <v>0</v>
      </c>
      <c r="I1456" s="29">
        <f t="shared" si="22"/>
        <v>225520</v>
      </c>
      <c r="J1456">
        <f>IFERROR(VLOOKUP(E1456,'LEAID Match'!$A$2:$B$168,2,FALSE),"")</f>
        <v>3304080</v>
      </c>
    </row>
    <row r="1457" spans="1:10">
      <c r="A1457">
        <v>2022</v>
      </c>
      <c r="B1457" t="s">
        <v>1429</v>
      </c>
      <c r="C1457" t="s">
        <v>1431</v>
      </c>
      <c r="D1457" t="s">
        <v>1433</v>
      </c>
      <c r="E1457" t="s">
        <v>446</v>
      </c>
      <c r="F1457" s="9" t="s">
        <v>446</v>
      </c>
      <c r="G1457" s="18">
        <v>293165</v>
      </c>
      <c r="H1457">
        <v>0</v>
      </c>
      <c r="I1457" s="29">
        <f t="shared" si="22"/>
        <v>293165</v>
      </c>
      <c r="J1457">
        <f>IFERROR(VLOOKUP(E1457,'LEAID Match'!$A$2:$B$168,2,FALSE),"")</f>
        <v>3304080</v>
      </c>
    </row>
    <row r="1458" spans="1:10">
      <c r="A1458">
        <v>2023</v>
      </c>
      <c r="B1458" t="s">
        <v>1429</v>
      </c>
      <c r="C1458" t="s">
        <v>1431</v>
      </c>
      <c r="D1458" t="s">
        <v>1433</v>
      </c>
      <c r="E1458" t="s">
        <v>446</v>
      </c>
      <c r="F1458" t="s">
        <v>446</v>
      </c>
      <c r="G1458" s="28">
        <v>319390</v>
      </c>
      <c r="H1458">
        <v>0</v>
      </c>
      <c r="I1458" s="29">
        <f t="shared" si="22"/>
        <v>319390</v>
      </c>
      <c r="J1458">
        <f>IFERROR(VLOOKUP(E1458,'LEAID Match'!$A$2:$B$168,2,FALSE),"")</f>
        <v>3304080</v>
      </c>
    </row>
    <row r="1459" spans="1:10">
      <c r="A1459">
        <v>2015</v>
      </c>
      <c r="B1459" t="s">
        <v>1429</v>
      </c>
      <c r="C1459" t="s">
        <v>1431</v>
      </c>
      <c r="D1459" t="s">
        <v>1433</v>
      </c>
      <c r="E1459" t="s">
        <v>677</v>
      </c>
      <c r="F1459" s="9" t="s">
        <v>1141</v>
      </c>
      <c r="G1459" s="18">
        <v>247709.77</v>
      </c>
      <c r="H1459">
        <v>0</v>
      </c>
      <c r="I1459" s="29">
        <f t="shared" si="22"/>
        <v>247709.77</v>
      </c>
      <c r="J1459" t="str">
        <f>IFERROR(VLOOKUP(E1459,'LEAID Match'!$A$2:$B$168,2,FALSE),"")</f>
        <v/>
      </c>
    </row>
    <row r="1460" spans="1:10">
      <c r="A1460">
        <v>2016</v>
      </c>
      <c r="B1460" t="s">
        <v>1429</v>
      </c>
      <c r="C1460" t="s">
        <v>1431</v>
      </c>
      <c r="D1460" t="s">
        <v>1433</v>
      </c>
      <c r="E1460" t="s">
        <v>677</v>
      </c>
      <c r="F1460" t="s">
        <v>677</v>
      </c>
      <c r="G1460" s="28">
        <v>258486</v>
      </c>
      <c r="H1460">
        <v>0</v>
      </c>
      <c r="I1460" s="29">
        <f t="shared" si="22"/>
        <v>258486</v>
      </c>
      <c r="J1460" t="str">
        <f>IFERROR(VLOOKUP(E1460,'LEAID Match'!$A$2:$B$168,2,FALSE),"")</f>
        <v/>
      </c>
    </row>
    <row r="1461" spans="1:10">
      <c r="A1461">
        <v>2017</v>
      </c>
      <c r="B1461" t="s">
        <v>1429</v>
      </c>
      <c r="C1461" t="s">
        <v>1431</v>
      </c>
      <c r="D1461" t="s">
        <v>1433</v>
      </c>
      <c r="E1461" t="s">
        <v>677</v>
      </c>
      <c r="F1461" t="s">
        <v>677</v>
      </c>
      <c r="G1461" s="28">
        <v>247897</v>
      </c>
      <c r="H1461">
        <v>0</v>
      </c>
      <c r="I1461" s="29">
        <f t="shared" si="22"/>
        <v>247897</v>
      </c>
      <c r="J1461" t="str">
        <f>IFERROR(VLOOKUP(E1461,'LEAID Match'!$A$2:$B$168,2,FALSE),"")</f>
        <v/>
      </c>
    </row>
    <row r="1462" spans="1:10">
      <c r="A1462" s="27">
        <v>2018</v>
      </c>
      <c r="B1462" t="s">
        <v>1429</v>
      </c>
      <c r="C1462" t="s">
        <v>1431</v>
      </c>
      <c r="D1462" t="s">
        <v>1433</v>
      </c>
      <c r="E1462" t="s">
        <v>677</v>
      </c>
      <c r="F1462" s="9" t="s">
        <v>677</v>
      </c>
      <c r="G1462" s="18">
        <v>268834</v>
      </c>
      <c r="H1462">
        <v>0</v>
      </c>
      <c r="I1462" s="29">
        <f t="shared" si="22"/>
        <v>268834</v>
      </c>
      <c r="J1462" t="str">
        <f>IFERROR(VLOOKUP(E1462,'LEAID Match'!$A$2:$B$168,2,FALSE),"")</f>
        <v/>
      </c>
    </row>
    <row r="1463" spans="1:10">
      <c r="A1463">
        <v>2019</v>
      </c>
      <c r="B1463" t="s">
        <v>1429</v>
      </c>
      <c r="C1463" t="s">
        <v>1431</v>
      </c>
      <c r="D1463" t="s">
        <v>1433</v>
      </c>
      <c r="E1463" t="s">
        <v>677</v>
      </c>
      <c r="F1463" s="9" t="s">
        <v>677</v>
      </c>
      <c r="G1463" s="18">
        <v>282115</v>
      </c>
      <c r="H1463">
        <v>0</v>
      </c>
      <c r="I1463" s="29">
        <f t="shared" si="22"/>
        <v>282115</v>
      </c>
      <c r="J1463" t="str">
        <f>IFERROR(VLOOKUP(E1463,'LEAID Match'!$A$2:$B$168,2,FALSE),"")</f>
        <v/>
      </c>
    </row>
    <row r="1464" spans="1:10">
      <c r="A1464">
        <v>2015</v>
      </c>
      <c r="B1464" t="s">
        <v>1429</v>
      </c>
      <c r="C1464" t="s">
        <v>1431</v>
      </c>
      <c r="D1464" t="s">
        <v>1433</v>
      </c>
      <c r="E1464" t="s">
        <v>678</v>
      </c>
      <c r="F1464" s="9" t="s">
        <v>1142</v>
      </c>
      <c r="G1464" s="18">
        <v>1594651.34</v>
      </c>
      <c r="H1464">
        <v>0</v>
      </c>
      <c r="I1464" s="29">
        <f t="shared" si="22"/>
        <v>1594651.34</v>
      </c>
      <c r="J1464" t="str">
        <f>IFERROR(VLOOKUP(E1464,'LEAID Match'!$A$2:$B$168,2,FALSE),"")</f>
        <v/>
      </c>
    </row>
    <row r="1465" spans="1:10">
      <c r="A1465">
        <v>2016</v>
      </c>
      <c r="B1465" t="s">
        <v>1429</v>
      </c>
      <c r="C1465" t="s">
        <v>1431</v>
      </c>
      <c r="D1465" t="s">
        <v>1433</v>
      </c>
      <c r="E1465" t="s">
        <v>678</v>
      </c>
      <c r="F1465" t="s">
        <v>678</v>
      </c>
      <c r="G1465" s="28">
        <v>1812269</v>
      </c>
      <c r="H1465">
        <v>0</v>
      </c>
      <c r="I1465" s="29">
        <f t="shared" si="22"/>
        <v>1812269</v>
      </c>
      <c r="J1465" t="str">
        <f>IFERROR(VLOOKUP(E1465,'LEAID Match'!$A$2:$B$168,2,FALSE),"")</f>
        <v/>
      </c>
    </row>
    <row r="1466" spans="1:10">
      <c r="A1466">
        <v>2017</v>
      </c>
      <c r="B1466" t="s">
        <v>1429</v>
      </c>
      <c r="C1466" t="s">
        <v>1431</v>
      </c>
      <c r="D1466" t="s">
        <v>1433</v>
      </c>
      <c r="E1466" t="s">
        <v>678</v>
      </c>
      <c r="F1466" t="s">
        <v>678</v>
      </c>
      <c r="G1466" s="28">
        <v>1851539</v>
      </c>
      <c r="H1466">
        <v>0</v>
      </c>
      <c r="I1466" s="29">
        <f t="shared" si="22"/>
        <v>1851539</v>
      </c>
      <c r="J1466" t="str">
        <f>IFERROR(VLOOKUP(E1466,'LEAID Match'!$A$2:$B$168,2,FALSE),"")</f>
        <v/>
      </c>
    </row>
    <row r="1467" spans="1:10">
      <c r="A1467" s="27">
        <v>2018</v>
      </c>
      <c r="B1467" t="s">
        <v>1429</v>
      </c>
      <c r="C1467" t="s">
        <v>1431</v>
      </c>
      <c r="D1467" t="s">
        <v>1433</v>
      </c>
      <c r="E1467" t="s">
        <v>678</v>
      </c>
      <c r="F1467" s="9" t="s">
        <v>678</v>
      </c>
      <c r="G1467" s="18">
        <v>2004991</v>
      </c>
      <c r="H1467">
        <v>0</v>
      </c>
      <c r="I1467" s="29">
        <f t="shared" si="22"/>
        <v>2004991</v>
      </c>
      <c r="J1467" t="str">
        <f>IFERROR(VLOOKUP(E1467,'LEAID Match'!$A$2:$B$168,2,FALSE),"")</f>
        <v/>
      </c>
    </row>
    <row r="1468" spans="1:10">
      <c r="A1468">
        <v>2019</v>
      </c>
      <c r="B1468" t="s">
        <v>1429</v>
      </c>
      <c r="C1468" t="s">
        <v>1431</v>
      </c>
      <c r="D1468" t="s">
        <v>1433</v>
      </c>
      <c r="E1468" t="s">
        <v>678</v>
      </c>
      <c r="F1468" s="9" t="s">
        <v>678</v>
      </c>
      <c r="G1468" s="18">
        <v>2069034</v>
      </c>
      <c r="H1468">
        <v>0</v>
      </c>
      <c r="I1468" s="29">
        <f t="shared" si="22"/>
        <v>2069034</v>
      </c>
      <c r="J1468" t="str">
        <f>IFERROR(VLOOKUP(E1468,'LEAID Match'!$A$2:$B$168,2,FALSE),"")</f>
        <v/>
      </c>
    </row>
    <row r="1469" spans="1:10">
      <c r="A1469">
        <v>2015</v>
      </c>
      <c r="B1469" t="s">
        <v>1429</v>
      </c>
      <c r="C1469" t="s">
        <v>1431</v>
      </c>
      <c r="D1469" t="s">
        <v>1433</v>
      </c>
      <c r="E1469" t="s">
        <v>447</v>
      </c>
      <c r="F1469" s="9" t="s">
        <v>1143</v>
      </c>
      <c r="G1469" s="18">
        <v>90234.06</v>
      </c>
      <c r="H1469">
        <v>0</v>
      </c>
      <c r="I1469" s="29">
        <f t="shared" si="22"/>
        <v>90234.06</v>
      </c>
      <c r="J1469" t="str">
        <f>IFERROR(VLOOKUP(E1469,'LEAID Match'!$A$2:$B$168,2,FALSE),"")</f>
        <v/>
      </c>
    </row>
    <row r="1470" spans="1:10">
      <c r="A1470">
        <v>2016</v>
      </c>
      <c r="B1470" t="s">
        <v>1429</v>
      </c>
      <c r="C1470" t="s">
        <v>1431</v>
      </c>
      <c r="D1470" t="s">
        <v>1433</v>
      </c>
      <c r="E1470" t="s">
        <v>447</v>
      </c>
      <c r="F1470" t="s">
        <v>447</v>
      </c>
      <c r="G1470" s="28">
        <v>99095</v>
      </c>
      <c r="H1470">
        <v>0</v>
      </c>
      <c r="I1470" s="29">
        <f t="shared" si="22"/>
        <v>99095</v>
      </c>
      <c r="J1470" t="str">
        <f>IFERROR(VLOOKUP(E1470,'LEAID Match'!$A$2:$B$168,2,FALSE),"")</f>
        <v/>
      </c>
    </row>
    <row r="1471" spans="1:10">
      <c r="A1471">
        <v>2017</v>
      </c>
      <c r="B1471" t="s">
        <v>1429</v>
      </c>
      <c r="C1471" t="s">
        <v>1431</v>
      </c>
      <c r="D1471" t="s">
        <v>1433</v>
      </c>
      <c r="E1471" t="s">
        <v>447</v>
      </c>
      <c r="F1471" t="s">
        <v>447</v>
      </c>
      <c r="G1471" s="28">
        <v>104755</v>
      </c>
      <c r="H1471">
        <v>0</v>
      </c>
      <c r="I1471" s="29">
        <f t="shared" si="22"/>
        <v>104755</v>
      </c>
      <c r="J1471" t="str">
        <f>IFERROR(VLOOKUP(E1471,'LEAID Match'!$A$2:$B$168,2,FALSE),"")</f>
        <v/>
      </c>
    </row>
    <row r="1472" spans="1:10">
      <c r="A1472" s="27">
        <v>2018</v>
      </c>
      <c r="B1472" t="s">
        <v>1429</v>
      </c>
      <c r="C1472" t="s">
        <v>1431</v>
      </c>
      <c r="D1472" t="s">
        <v>1433</v>
      </c>
      <c r="E1472" t="s">
        <v>447</v>
      </c>
      <c r="F1472" s="9" t="s">
        <v>447</v>
      </c>
      <c r="G1472" s="18">
        <v>111698</v>
      </c>
      <c r="H1472">
        <v>0</v>
      </c>
      <c r="I1472" s="29">
        <f t="shared" si="22"/>
        <v>111698</v>
      </c>
      <c r="J1472" t="str">
        <f>IFERROR(VLOOKUP(E1472,'LEAID Match'!$A$2:$B$168,2,FALSE),"")</f>
        <v/>
      </c>
    </row>
    <row r="1473" spans="1:10">
      <c r="A1473">
        <v>2019</v>
      </c>
      <c r="B1473" t="s">
        <v>1429</v>
      </c>
      <c r="C1473" t="s">
        <v>1431</v>
      </c>
      <c r="D1473" t="s">
        <v>1433</v>
      </c>
      <c r="E1473" t="s">
        <v>447</v>
      </c>
      <c r="F1473" s="9" t="s">
        <v>447</v>
      </c>
      <c r="G1473" s="18">
        <v>118984</v>
      </c>
      <c r="H1473">
        <v>0</v>
      </c>
      <c r="I1473" s="29">
        <f t="shared" si="22"/>
        <v>118984</v>
      </c>
      <c r="J1473" t="str">
        <f>IFERROR(VLOOKUP(E1473,'LEAID Match'!$A$2:$B$168,2,FALSE),"")</f>
        <v/>
      </c>
    </row>
    <row r="1474" spans="1:10">
      <c r="A1474" s="27">
        <v>2020</v>
      </c>
      <c r="B1474" t="s">
        <v>1429</v>
      </c>
      <c r="C1474" t="s">
        <v>1431</v>
      </c>
      <c r="D1474" t="s">
        <v>1433</v>
      </c>
      <c r="E1474" t="s">
        <v>447</v>
      </c>
      <c r="F1474" s="9" t="s">
        <v>447</v>
      </c>
      <c r="G1474" s="18">
        <v>133565</v>
      </c>
      <c r="H1474">
        <v>0</v>
      </c>
      <c r="I1474" s="29">
        <f t="shared" si="22"/>
        <v>133565</v>
      </c>
      <c r="J1474" t="str">
        <f>IFERROR(VLOOKUP(E1474,'LEAID Match'!$A$2:$B$168,2,FALSE),"")</f>
        <v/>
      </c>
    </row>
    <row r="1475" spans="1:10">
      <c r="A1475">
        <v>2021</v>
      </c>
      <c r="B1475" t="s">
        <v>1429</v>
      </c>
      <c r="C1475" t="s">
        <v>1431</v>
      </c>
      <c r="D1475" t="s">
        <v>1433</v>
      </c>
      <c r="E1475" t="s">
        <v>447</v>
      </c>
      <c r="F1475" s="9" t="s">
        <v>447</v>
      </c>
      <c r="G1475" s="18">
        <v>148602</v>
      </c>
      <c r="H1475">
        <v>0</v>
      </c>
      <c r="I1475" s="29">
        <f t="shared" ref="I1475:I1538" si="23">SUM(G1475:H1475)</f>
        <v>148602</v>
      </c>
      <c r="J1475" t="str">
        <f>IFERROR(VLOOKUP(E1475,'LEAID Match'!$A$2:$B$168,2,FALSE),"")</f>
        <v/>
      </c>
    </row>
    <row r="1476" spans="1:10">
      <c r="A1476">
        <v>2022</v>
      </c>
      <c r="B1476" t="s">
        <v>1429</v>
      </c>
      <c r="C1476" t="s">
        <v>1431</v>
      </c>
      <c r="D1476" t="s">
        <v>1433</v>
      </c>
      <c r="E1476" t="s">
        <v>447</v>
      </c>
      <c r="F1476" s="9" t="s">
        <v>447</v>
      </c>
      <c r="G1476" s="18">
        <v>208043</v>
      </c>
      <c r="H1476">
        <v>0</v>
      </c>
      <c r="I1476" s="29">
        <f t="shared" si="23"/>
        <v>208043</v>
      </c>
      <c r="J1476" t="str">
        <f>IFERROR(VLOOKUP(E1476,'LEAID Match'!$A$2:$B$168,2,FALSE),"")</f>
        <v/>
      </c>
    </row>
    <row r="1477" spans="1:10">
      <c r="A1477">
        <v>2023</v>
      </c>
      <c r="B1477" t="s">
        <v>1429</v>
      </c>
      <c r="C1477" t="s">
        <v>1431</v>
      </c>
      <c r="D1477" t="s">
        <v>1433</v>
      </c>
      <c r="E1477" t="s">
        <v>447</v>
      </c>
      <c r="F1477" t="s">
        <v>447</v>
      </c>
      <c r="G1477" s="28">
        <v>261690</v>
      </c>
      <c r="H1477">
        <v>0</v>
      </c>
      <c r="I1477" s="29">
        <f t="shared" si="23"/>
        <v>261690</v>
      </c>
      <c r="J1477" t="str">
        <f>IFERROR(VLOOKUP(E1477,'LEAID Match'!$A$2:$B$168,2,FALSE),"")</f>
        <v/>
      </c>
    </row>
    <row r="1478" spans="1:10">
      <c r="A1478">
        <v>2015</v>
      </c>
      <c r="B1478" t="s">
        <v>1429</v>
      </c>
      <c r="C1478" t="s">
        <v>1431</v>
      </c>
      <c r="D1478" t="s">
        <v>1433</v>
      </c>
      <c r="E1478" t="s">
        <v>448</v>
      </c>
      <c r="F1478" s="9" t="s">
        <v>1144</v>
      </c>
      <c r="G1478" s="18">
        <v>1890168.33</v>
      </c>
      <c r="H1478">
        <v>0</v>
      </c>
      <c r="I1478" s="29">
        <f t="shared" si="23"/>
        <v>1890168.33</v>
      </c>
      <c r="J1478">
        <f>IFERROR(VLOOKUP(E1478,'LEAID Match'!$A$2:$B$168,2,FALSE),"")</f>
        <v>3304140</v>
      </c>
    </row>
    <row r="1479" spans="1:10">
      <c r="A1479">
        <v>2016</v>
      </c>
      <c r="B1479" t="s">
        <v>1429</v>
      </c>
      <c r="C1479" t="s">
        <v>1431</v>
      </c>
      <c r="D1479" t="s">
        <v>1433</v>
      </c>
      <c r="E1479" t="s">
        <v>448</v>
      </c>
      <c r="F1479" t="s">
        <v>679</v>
      </c>
      <c r="G1479" s="28">
        <v>2078461</v>
      </c>
      <c r="H1479">
        <v>0</v>
      </c>
      <c r="I1479" s="29">
        <f t="shared" si="23"/>
        <v>2078461</v>
      </c>
      <c r="J1479">
        <f>IFERROR(VLOOKUP(E1479,'LEAID Match'!$A$2:$B$168,2,FALSE),"")</f>
        <v>3304140</v>
      </c>
    </row>
    <row r="1480" spans="1:10">
      <c r="A1480">
        <v>2017</v>
      </c>
      <c r="B1480" t="s">
        <v>1429</v>
      </c>
      <c r="C1480" t="s">
        <v>1431</v>
      </c>
      <c r="D1480" t="s">
        <v>1433</v>
      </c>
      <c r="E1480" t="s">
        <v>448</v>
      </c>
      <c r="F1480" t="s">
        <v>679</v>
      </c>
      <c r="G1480" s="28">
        <v>1967473</v>
      </c>
      <c r="H1480">
        <v>0</v>
      </c>
      <c r="I1480" s="29">
        <f t="shared" si="23"/>
        <v>1967473</v>
      </c>
      <c r="J1480">
        <f>IFERROR(VLOOKUP(E1480,'LEAID Match'!$A$2:$B$168,2,FALSE),"")</f>
        <v>3304140</v>
      </c>
    </row>
    <row r="1481" spans="1:10">
      <c r="A1481" s="27">
        <v>2018</v>
      </c>
      <c r="B1481" t="s">
        <v>1429</v>
      </c>
      <c r="C1481" t="s">
        <v>1431</v>
      </c>
      <c r="D1481" t="s">
        <v>1433</v>
      </c>
      <c r="E1481" t="s">
        <v>448</v>
      </c>
      <c r="F1481" s="9" t="s">
        <v>679</v>
      </c>
      <c r="G1481" s="18">
        <v>2273875</v>
      </c>
      <c r="H1481">
        <v>0</v>
      </c>
      <c r="I1481" s="29">
        <f t="shared" si="23"/>
        <v>2273875</v>
      </c>
      <c r="J1481">
        <f>IFERROR(VLOOKUP(E1481,'LEAID Match'!$A$2:$B$168,2,FALSE),"")</f>
        <v>3304140</v>
      </c>
    </row>
    <row r="1482" spans="1:10">
      <c r="A1482">
        <v>2019</v>
      </c>
      <c r="B1482" t="s">
        <v>1429</v>
      </c>
      <c r="C1482" t="s">
        <v>1431</v>
      </c>
      <c r="D1482" t="s">
        <v>1433</v>
      </c>
      <c r="E1482" t="s">
        <v>448</v>
      </c>
      <c r="F1482" s="9" t="s">
        <v>679</v>
      </c>
      <c r="G1482" s="18">
        <v>2403900</v>
      </c>
      <c r="H1482">
        <v>0</v>
      </c>
      <c r="I1482" s="29">
        <f t="shared" si="23"/>
        <v>2403900</v>
      </c>
      <c r="J1482">
        <f>IFERROR(VLOOKUP(E1482,'LEAID Match'!$A$2:$B$168,2,FALSE),"")</f>
        <v>3304140</v>
      </c>
    </row>
    <row r="1483" spans="1:10">
      <c r="A1483" s="27">
        <v>2020</v>
      </c>
      <c r="B1483" t="s">
        <v>1429</v>
      </c>
      <c r="C1483" t="s">
        <v>1431</v>
      </c>
      <c r="D1483" t="s">
        <v>1433</v>
      </c>
      <c r="E1483" t="s">
        <v>448</v>
      </c>
      <c r="F1483" s="9" t="s">
        <v>448</v>
      </c>
      <c r="G1483" s="18">
        <v>2574743</v>
      </c>
      <c r="H1483">
        <v>0</v>
      </c>
      <c r="I1483" s="29">
        <f t="shared" si="23"/>
        <v>2574743</v>
      </c>
      <c r="J1483">
        <f>IFERROR(VLOOKUP(E1483,'LEAID Match'!$A$2:$B$168,2,FALSE),"")</f>
        <v>3304140</v>
      </c>
    </row>
    <row r="1484" spans="1:10">
      <c r="A1484">
        <v>2021</v>
      </c>
      <c r="B1484" t="s">
        <v>1429</v>
      </c>
      <c r="C1484" t="s">
        <v>1431</v>
      </c>
      <c r="D1484" t="s">
        <v>1433</v>
      </c>
      <c r="E1484" t="s">
        <v>448</v>
      </c>
      <c r="F1484" s="9" t="s">
        <v>448</v>
      </c>
      <c r="G1484" s="18">
        <v>2700248</v>
      </c>
      <c r="H1484">
        <v>0</v>
      </c>
      <c r="I1484" s="29">
        <f t="shared" si="23"/>
        <v>2700248</v>
      </c>
      <c r="J1484">
        <f>IFERROR(VLOOKUP(E1484,'LEAID Match'!$A$2:$B$168,2,FALSE),"")</f>
        <v>3304140</v>
      </c>
    </row>
    <row r="1485" spans="1:10">
      <c r="A1485">
        <v>2022</v>
      </c>
      <c r="B1485" t="s">
        <v>1429</v>
      </c>
      <c r="C1485" t="s">
        <v>1431</v>
      </c>
      <c r="D1485" t="s">
        <v>1433</v>
      </c>
      <c r="E1485" t="s">
        <v>448</v>
      </c>
      <c r="F1485" s="9" t="s">
        <v>448</v>
      </c>
      <c r="G1485" s="18">
        <v>3524907</v>
      </c>
      <c r="H1485">
        <v>0</v>
      </c>
      <c r="I1485" s="29">
        <f t="shared" si="23"/>
        <v>3524907</v>
      </c>
      <c r="J1485">
        <f>IFERROR(VLOOKUP(E1485,'LEAID Match'!$A$2:$B$168,2,FALSE),"")</f>
        <v>3304140</v>
      </c>
    </row>
    <row r="1486" spans="1:10">
      <c r="A1486">
        <v>2023</v>
      </c>
      <c r="B1486" t="s">
        <v>1429</v>
      </c>
      <c r="C1486" t="s">
        <v>1431</v>
      </c>
      <c r="D1486" t="s">
        <v>1433</v>
      </c>
      <c r="E1486" t="s">
        <v>448</v>
      </c>
      <c r="F1486" t="s">
        <v>448</v>
      </c>
      <c r="G1486" s="28">
        <v>3598051</v>
      </c>
      <c r="H1486">
        <v>0</v>
      </c>
      <c r="I1486" s="29">
        <f t="shared" si="23"/>
        <v>3598051</v>
      </c>
      <c r="J1486">
        <f>IFERROR(VLOOKUP(E1486,'LEAID Match'!$A$2:$B$168,2,FALSE),"")</f>
        <v>3304140</v>
      </c>
    </row>
    <row r="1487" spans="1:10">
      <c r="A1487">
        <v>2015</v>
      </c>
      <c r="B1487" t="s">
        <v>1429</v>
      </c>
      <c r="C1487" t="s">
        <v>1431</v>
      </c>
      <c r="D1487" t="s">
        <v>1433</v>
      </c>
      <c r="E1487" t="s">
        <v>449</v>
      </c>
      <c r="F1487" s="9" t="s">
        <v>1145</v>
      </c>
      <c r="G1487" s="18">
        <v>78507.490000000005</v>
      </c>
      <c r="H1487">
        <v>0</v>
      </c>
      <c r="I1487" s="29">
        <f t="shared" si="23"/>
        <v>78507.490000000005</v>
      </c>
      <c r="J1487" t="str">
        <f>IFERROR(VLOOKUP(E1487,'LEAID Match'!$A$2:$B$168,2,FALSE),"")</f>
        <v/>
      </c>
    </row>
    <row r="1488" spans="1:10">
      <c r="A1488">
        <v>2016</v>
      </c>
      <c r="B1488" t="s">
        <v>1429</v>
      </c>
      <c r="C1488" t="s">
        <v>1431</v>
      </c>
      <c r="D1488" t="s">
        <v>1433</v>
      </c>
      <c r="E1488" t="s">
        <v>449</v>
      </c>
      <c r="F1488" t="s">
        <v>680</v>
      </c>
      <c r="G1488" s="28">
        <v>92327</v>
      </c>
      <c r="H1488">
        <v>0</v>
      </c>
      <c r="I1488" s="29">
        <f t="shared" si="23"/>
        <v>92327</v>
      </c>
      <c r="J1488" t="str">
        <f>IFERROR(VLOOKUP(E1488,'LEAID Match'!$A$2:$B$168,2,FALSE),"")</f>
        <v/>
      </c>
    </row>
    <row r="1489" spans="1:10">
      <c r="A1489">
        <v>2017</v>
      </c>
      <c r="B1489" t="s">
        <v>1429</v>
      </c>
      <c r="C1489" t="s">
        <v>1431</v>
      </c>
      <c r="D1489" t="s">
        <v>1433</v>
      </c>
      <c r="E1489" t="s">
        <v>449</v>
      </c>
      <c r="F1489" t="s">
        <v>680</v>
      </c>
      <c r="G1489" s="28">
        <v>100755</v>
      </c>
      <c r="H1489">
        <v>0</v>
      </c>
      <c r="I1489" s="29">
        <f t="shared" si="23"/>
        <v>100755</v>
      </c>
      <c r="J1489" t="str">
        <f>IFERROR(VLOOKUP(E1489,'LEAID Match'!$A$2:$B$168,2,FALSE),"")</f>
        <v/>
      </c>
    </row>
    <row r="1490" spans="1:10">
      <c r="A1490" s="27">
        <v>2018</v>
      </c>
      <c r="B1490" t="s">
        <v>1429</v>
      </c>
      <c r="C1490" t="s">
        <v>1431</v>
      </c>
      <c r="D1490" t="s">
        <v>1433</v>
      </c>
      <c r="E1490" t="s">
        <v>449</v>
      </c>
      <c r="F1490" s="9" t="s">
        <v>680</v>
      </c>
      <c r="G1490" s="18">
        <v>104243</v>
      </c>
      <c r="H1490">
        <v>0</v>
      </c>
      <c r="I1490" s="29">
        <f t="shared" si="23"/>
        <v>104243</v>
      </c>
      <c r="J1490" t="str">
        <f>IFERROR(VLOOKUP(E1490,'LEAID Match'!$A$2:$B$168,2,FALSE),"")</f>
        <v/>
      </c>
    </row>
    <row r="1491" spans="1:10">
      <c r="A1491">
        <v>2019</v>
      </c>
      <c r="B1491" t="s">
        <v>1429</v>
      </c>
      <c r="C1491" t="s">
        <v>1431</v>
      </c>
      <c r="D1491" t="s">
        <v>1433</v>
      </c>
      <c r="E1491" t="s">
        <v>449</v>
      </c>
      <c r="F1491" s="9" t="s">
        <v>680</v>
      </c>
      <c r="G1491" s="18">
        <v>111940</v>
      </c>
      <c r="H1491">
        <v>0</v>
      </c>
      <c r="I1491" s="29">
        <f t="shared" si="23"/>
        <v>111940</v>
      </c>
      <c r="J1491" t="str">
        <f>IFERROR(VLOOKUP(E1491,'LEAID Match'!$A$2:$B$168,2,FALSE),"")</f>
        <v/>
      </c>
    </row>
    <row r="1492" spans="1:10">
      <c r="A1492" s="27">
        <v>2020</v>
      </c>
      <c r="B1492" t="s">
        <v>1429</v>
      </c>
      <c r="C1492" t="s">
        <v>1431</v>
      </c>
      <c r="D1492" t="s">
        <v>1433</v>
      </c>
      <c r="E1492" t="s">
        <v>449</v>
      </c>
      <c r="F1492" s="9" t="s">
        <v>449</v>
      </c>
      <c r="G1492" s="18">
        <v>109957</v>
      </c>
      <c r="H1492">
        <v>0</v>
      </c>
      <c r="I1492" s="29">
        <f t="shared" si="23"/>
        <v>109957</v>
      </c>
      <c r="J1492" t="str">
        <f>IFERROR(VLOOKUP(E1492,'LEAID Match'!$A$2:$B$168,2,FALSE),"")</f>
        <v/>
      </c>
    </row>
    <row r="1493" spans="1:10">
      <c r="A1493">
        <v>2021</v>
      </c>
      <c r="B1493" t="s">
        <v>1429</v>
      </c>
      <c r="C1493" t="s">
        <v>1431</v>
      </c>
      <c r="D1493" t="s">
        <v>1433</v>
      </c>
      <c r="E1493" t="s">
        <v>449</v>
      </c>
      <c r="F1493" s="9" t="s">
        <v>449</v>
      </c>
      <c r="G1493" s="18">
        <v>111276</v>
      </c>
      <c r="H1493">
        <v>0</v>
      </c>
      <c r="I1493" s="29">
        <f t="shared" si="23"/>
        <v>111276</v>
      </c>
      <c r="J1493" t="str">
        <f>IFERROR(VLOOKUP(E1493,'LEAID Match'!$A$2:$B$168,2,FALSE),"")</f>
        <v/>
      </c>
    </row>
    <row r="1494" spans="1:10">
      <c r="A1494">
        <v>2022</v>
      </c>
      <c r="B1494" t="s">
        <v>1429</v>
      </c>
      <c r="C1494" t="s">
        <v>1431</v>
      </c>
      <c r="D1494" t="s">
        <v>1433</v>
      </c>
      <c r="E1494" t="s">
        <v>449</v>
      </c>
      <c r="F1494" s="9" t="s">
        <v>449</v>
      </c>
      <c r="G1494" s="18">
        <v>146017</v>
      </c>
      <c r="H1494">
        <v>0</v>
      </c>
      <c r="I1494" s="29">
        <f t="shared" si="23"/>
        <v>146017</v>
      </c>
      <c r="J1494" t="str">
        <f>IFERROR(VLOOKUP(E1494,'LEAID Match'!$A$2:$B$168,2,FALSE),"")</f>
        <v/>
      </c>
    </row>
    <row r="1495" spans="1:10">
      <c r="A1495">
        <v>2023</v>
      </c>
      <c r="B1495" t="s">
        <v>1429</v>
      </c>
      <c r="C1495" t="s">
        <v>1431</v>
      </c>
      <c r="D1495" t="s">
        <v>1433</v>
      </c>
      <c r="E1495" t="s">
        <v>449</v>
      </c>
      <c r="F1495" t="s">
        <v>449</v>
      </c>
      <c r="G1495" s="28">
        <v>155472</v>
      </c>
      <c r="H1495">
        <v>0</v>
      </c>
      <c r="I1495" s="29">
        <f t="shared" si="23"/>
        <v>155472</v>
      </c>
      <c r="J1495" t="str">
        <f>IFERROR(VLOOKUP(E1495,'LEAID Match'!$A$2:$B$168,2,FALSE),"")</f>
        <v/>
      </c>
    </row>
    <row r="1496" spans="1:10">
      <c r="A1496">
        <v>2015</v>
      </c>
      <c r="B1496" t="s">
        <v>1429</v>
      </c>
      <c r="C1496" t="s">
        <v>1431</v>
      </c>
      <c r="D1496" t="s">
        <v>1433</v>
      </c>
      <c r="E1496" t="s">
        <v>450</v>
      </c>
      <c r="F1496" s="9" t="s">
        <v>1146</v>
      </c>
      <c r="G1496" s="18">
        <v>125283.52</v>
      </c>
      <c r="H1496">
        <v>0</v>
      </c>
      <c r="I1496" s="29">
        <f t="shared" si="23"/>
        <v>125283.52</v>
      </c>
      <c r="J1496">
        <f>IFERROR(VLOOKUP(E1496,'LEAID Match'!$A$2:$B$168,2,FALSE),"")</f>
        <v>3304150</v>
      </c>
    </row>
    <row r="1497" spans="1:10">
      <c r="A1497">
        <v>2016</v>
      </c>
      <c r="B1497" t="s">
        <v>1429</v>
      </c>
      <c r="C1497" t="s">
        <v>1431</v>
      </c>
      <c r="D1497" t="s">
        <v>1433</v>
      </c>
      <c r="E1497" t="s">
        <v>450</v>
      </c>
      <c r="F1497" t="s">
        <v>681</v>
      </c>
      <c r="G1497" s="28">
        <v>136018</v>
      </c>
      <c r="H1497">
        <v>0</v>
      </c>
      <c r="I1497" s="29">
        <f t="shared" si="23"/>
        <v>136018</v>
      </c>
      <c r="J1497">
        <f>IFERROR(VLOOKUP(E1497,'LEAID Match'!$A$2:$B$168,2,FALSE),"")</f>
        <v>3304150</v>
      </c>
    </row>
    <row r="1498" spans="1:10">
      <c r="A1498">
        <v>2017</v>
      </c>
      <c r="B1498" t="s">
        <v>1429</v>
      </c>
      <c r="C1498" t="s">
        <v>1431</v>
      </c>
      <c r="D1498" t="s">
        <v>1433</v>
      </c>
      <c r="E1498" t="s">
        <v>450</v>
      </c>
      <c r="F1498" t="s">
        <v>681</v>
      </c>
      <c r="G1498" s="28">
        <v>141803</v>
      </c>
      <c r="H1498">
        <v>0</v>
      </c>
      <c r="I1498" s="29">
        <f t="shared" si="23"/>
        <v>141803</v>
      </c>
      <c r="J1498">
        <f>IFERROR(VLOOKUP(E1498,'LEAID Match'!$A$2:$B$168,2,FALSE),"")</f>
        <v>3304150</v>
      </c>
    </row>
    <row r="1499" spans="1:10">
      <c r="A1499" s="27">
        <v>2018</v>
      </c>
      <c r="B1499" t="s">
        <v>1429</v>
      </c>
      <c r="C1499" t="s">
        <v>1431</v>
      </c>
      <c r="D1499" t="s">
        <v>1433</v>
      </c>
      <c r="E1499" t="s">
        <v>450</v>
      </c>
      <c r="F1499" s="9" t="s">
        <v>681</v>
      </c>
      <c r="G1499" s="18">
        <v>172720</v>
      </c>
      <c r="H1499">
        <v>0</v>
      </c>
      <c r="I1499" s="29">
        <f t="shared" si="23"/>
        <v>172720</v>
      </c>
      <c r="J1499">
        <f>IFERROR(VLOOKUP(E1499,'LEAID Match'!$A$2:$B$168,2,FALSE),"")</f>
        <v>3304150</v>
      </c>
    </row>
    <row r="1500" spans="1:10">
      <c r="A1500">
        <v>2019</v>
      </c>
      <c r="B1500" t="s">
        <v>1429</v>
      </c>
      <c r="C1500" t="s">
        <v>1431</v>
      </c>
      <c r="D1500" t="s">
        <v>1433</v>
      </c>
      <c r="E1500" t="s">
        <v>450</v>
      </c>
      <c r="F1500" s="9" t="s">
        <v>681</v>
      </c>
      <c r="G1500" s="18">
        <v>178098</v>
      </c>
      <c r="H1500">
        <v>0</v>
      </c>
      <c r="I1500" s="29">
        <f t="shared" si="23"/>
        <v>178098</v>
      </c>
      <c r="J1500">
        <f>IFERROR(VLOOKUP(E1500,'LEAID Match'!$A$2:$B$168,2,FALSE),"")</f>
        <v>3304150</v>
      </c>
    </row>
    <row r="1501" spans="1:10">
      <c r="A1501" s="27">
        <v>2020</v>
      </c>
      <c r="B1501" t="s">
        <v>1429</v>
      </c>
      <c r="C1501" t="s">
        <v>1431</v>
      </c>
      <c r="D1501" t="s">
        <v>1433</v>
      </c>
      <c r="E1501" t="s">
        <v>450</v>
      </c>
      <c r="F1501" s="9" t="s">
        <v>450</v>
      </c>
      <c r="G1501" s="18">
        <v>188418</v>
      </c>
      <c r="H1501">
        <v>0</v>
      </c>
      <c r="I1501" s="29">
        <f t="shared" si="23"/>
        <v>188418</v>
      </c>
      <c r="J1501">
        <f>IFERROR(VLOOKUP(E1501,'LEAID Match'!$A$2:$B$168,2,FALSE),"")</f>
        <v>3304150</v>
      </c>
    </row>
    <row r="1502" spans="1:10">
      <c r="A1502">
        <v>2021</v>
      </c>
      <c r="B1502" t="s">
        <v>1429</v>
      </c>
      <c r="C1502" t="s">
        <v>1431</v>
      </c>
      <c r="D1502" t="s">
        <v>1433</v>
      </c>
      <c r="E1502" t="s">
        <v>450</v>
      </c>
      <c r="F1502" s="9" t="s">
        <v>450</v>
      </c>
      <c r="G1502" s="18">
        <v>196767</v>
      </c>
      <c r="H1502">
        <v>0</v>
      </c>
      <c r="I1502" s="29">
        <f t="shared" si="23"/>
        <v>196767</v>
      </c>
      <c r="J1502">
        <f>IFERROR(VLOOKUP(E1502,'LEAID Match'!$A$2:$B$168,2,FALSE),"")</f>
        <v>3304150</v>
      </c>
    </row>
    <row r="1503" spans="1:10">
      <c r="A1503">
        <v>2022</v>
      </c>
      <c r="B1503" t="s">
        <v>1429</v>
      </c>
      <c r="C1503" t="s">
        <v>1431</v>
      </c>
      <c r="D1503" t="s">
        <v>1433</v>
      </c>
      <c r="E1503" t="s">
        <v>450</v>
      </c>
      <c r="F1503" s="9" t="s">
        <v>450</v>
      </c>
      <c r="G1503" s="18">
        <v>245257</v>
      </c>
      <c r="H1503">
        <v>0</v>
      </c>
      <c r="I1503" s="29">
        <f t="shared" si="23"/>
        <v>245257</v>
      </c>
      <c r="J1503">
        <f>IFERROR(VLOOKUP(E1503,'LEAID Match'!$A$2:$B$168,2,FALSE),"")</f>
        <v>3304150</v>
      </c>
    </row>
    <row r="1504" spans="1:10">
      <c r="A1504">
        <v>2023</v>
      </c>
      <c r="B1504" t="s">
        <v>1429</v>
      </c>
      <c r="C1504" t="s">
        <v>1431</v>
      </c>
      <c r="D1504" t="s">
        <v>1433</v>
      </c>
      <c r="E1504" t="s">
        <v>450</v>
      </c>
      <c r="F1504" t="s">
        <v>450</v>
      </c>
      <c r="G1504" s="28">
        <v>263764</v>
      </c>
      <c r="H1504">
        <v>0</v>
      </c>
      <c r="I1504" s="29">
        <f t="shared" si="23"/>
        <v>263764</v>
      </c>
      <c r="J1504">
        <f>IFERROR(VLOOKUP(E1504,'LEAID Match'!$A$2:$B$168,2,FALSE),"")</f>
        <v>3304150</v>
      </c>
    </row>
    <row r="1505" spans="1:10">
      <c r="A1505">
        <v>2015</v>
      </c>
      <c r="B1505" t="s">
        <v>1429</v>
      </c>
      <c r="C1505" t="s">
        <v>1431</v>
      </c>
      <c r="D1505" t="s">
        <v>1433</v>
      </c>
      <c r="E1505" t="s">
        <v>451</v>
      </c>
      <c r="F1505" s="9" t="s">
        <v>1147</v>
      </c>
      <c r="G1505" s="18">
        <v>61728.04</v>
      </c>
      <c r="H1505">
        <v>0</v>
      </c>
      <c r="I1505" s="29">
        <f t="shared" si="23"/>
        <v>61728.04</v>
      </c>
      <c r="J1505" t="str">
        <f>IFERROR(VLOOKUP(E1505,'LEAID Match'!$A$2:$B$168,2,FALSE),"")</f>
        <v/>
      </c>
    </row>
    <row r="1506" spans="1:10">
      <c r="A1506">
        <v>2016</v>
      </c>
      <c r="B1506" t="s">
        <v>1429</v>
      </c>
      <c r="C1506" t="s">
        <v>1431</v>
      </c>
      <c r="D1506" t="s">
        <v>1433</v>
      </c>
      <c r="E1506" t="s">
        <v>451</v>
      </c>
      <c r="F1506" t="s">
        <v>451</v>
      </c>
      <c r="G1506" s="28">
        <v>65972</v>
      </c>
      <c r="H1506">
        <v>0</v>
      </c>
      <c r="I1506" s="29">
        <f t="shared" si="23"/>
        <v>65972</v>
      </c>
      <c r="J1506" t="str">
        <f>IFERROR(VLOOKUP(E1506,'LEAID Match'!$A$2:$B$168,2,FALSE),"")</f>
        <v/>
      </c>
    </row>
    <row r="1507" spans="1:10">
      <c r="A1507">
        <v>2017</v>
      </c>
      <c r="B1507" t="s">
        <v>1429</v>
      </c>
      <c r="C1507" t="s">
        <v>1431</v>
      </c>
      <c r="D1507" t="s">
        <v>1433</v>
      </c>
      <c r="E1507" t="s">
        <v>451</v>
      </c>
      <c r="F1507" t="s">
        <v>451</v>
      </c>
      <c r="G1507" s="28">
        <v>69290</v>
      </c>
      <c r="H1507">
        <v>0</v>
      </c>
      <c r="I1507" s="29">
        <f t="shared" si="23"/>
        <v>69290</v>
      </c>
      <c r="J1507" t="str">
        <f>IFERROR(VLOOKUP(E1507,'LEAID Match'!$A$2:$B$168,2,FALSE),"")</f>
        <v/>
      </c>
    </row>
    <row r="1508" spans="1:10">
      <c r="A1508" s="27">
        <v>2018</v>
      </c>
      <c r="B1508" t="s">
        <v>1429</v>
      </c>
      <c r="C1508" t="s">
        <v>1431</v>
      </c>
      <c r="D1508" t="s">
        <v>1433</v>
      </c>
      <c r="E1508" t="s">
        <v>451</v>
      </c>
      <c r="F1508" s="9" t="s">
        <v>451</v>
      </c>
      <c r="G1508" s="18">
        <v>82702</v>
      </c>
      <c r="H1508">
        <v>0</v>
      </c>
      <c r="I1508" s="29">
        <f t="shared" si="23"/>
        <v>82702</v>
      </c>
      <c r="J1508" t="str">
        <f>IFERROR(VLOOKUP(E1508,'LEAID Match'!$A$2:$B$168,2,FALSE),"")</f>
        <v/>
      </c>
    </row>
    <row r="1509" spans="1:10">
      <c r="A1509">
        <v>2019</v>
      </c>
      <c r="B1509" t="s">
        <v>1429</v>
      </c>
      <c r="C1509" t="s">
        <v>1431</v>
      </c>
      <c r="D1509" t="s">
        <v>1433</v>
      </c>
      <c r="E1509" t="s">
        <v>451</v>
      </c>
      <c r="F1509" s="9" t="s">
        <v>451</v>
      </c>
      <c r="G1509" s="18">
        <v>74977</v>
      </c>
      <c r="H1509">
        <v>0</v>
      </c>
      <c r="I1509" s="29">
        <f t="shared" si="23"/>
        <v>74977</v>
      </c>
      <c r="J1509" t="str">
        <f>IFERROR(VLOOKUP(E1509,'LEAID Match'!$A$2:$B$168,2,FALSE),"")</f>
        <v/>
      </c>
    </row>
    <row r="1510" spans="1:10">
      <c r="A1510" s="27">
        <v>2020</v>
      </c>
      <c r="B1510" t="s">
        <v>1429</v>
      </c>
      <c r="C1510" t="s">
        <v>1431</v>
      </c>
      <c r="D1510" t="s">
        <v>1433</v>
      </c>
      <c r="E1510" t="s">
        <v>451</v>
      </c>
      <c r="F1510" s="9" t="s">
        <v>451</v>
      </c>
      <c r="G1510" s="18">
        <v>76832</v>
      </c>
      <c r="H1510">
        <v>0</v>
      </c>
      <c r="I1510" s="29">
        <f t="shared" si="23"/>
        <v>76832</v>
      </c>
      <c r="J1510" t="str">
        <f>IFERROR(VLOOKUP(E1510,'LEAID Match'!$A$2:$B$168,2,FALSE),"")</f>
        <v/>
      </c>
    </row>
    <row r="1511" spans="1:10">
      <c r="A1511">
        <v>2021</v>
      </c>
      <c r="B1511" t="s">
        <v>1429</v>
      </c>
      <c r="C1511" t="s">
        <v>1431</v>
      </c>
      <c r="D1511" t="s">
        <v>1433</v>
      </c>
      <c r="E1511" t="s">
        <v>451</v>
      </c>
      <c r="F1511" s="9" t="s">
        <v>451</v>
      </c>
      <c r="G1511" s="18">
        <v>82473</v>
      </c>
      <c r="H1511">
        <v>0</v>
      </c>
      <c r="I1511" s="29">
        <f t="shared" si="23"/>
        <v>82473</v>
      </c>
      <c r="J1511" t="str">
        <f>IFERROR(VLOOKUP(E1511,'LEAID Match'!$A$2:$B$168,2,FALSE),"")</f>
        <v/>
      </c>
    </row>
    <row r="1512" spans="1:10">
      <c r="A1512">
        <v>2022</v>
      </c>
      <c r="B1512" t="s">
        <v>1429</v>
      </c>
      <c r="C1512" t="s">
        <v>1431</v>
      </c>
      <c r="D1512" t="s">
        <v>1433</v>
      </c>
      <c r="E1512" t="s">
        <v>451</v>
      </c>
      <c r="F1512" s="9" t="s">
        <v>451</v>
      </c>
      <c r="G1512" s="18">
        <v>108426</v>
      </c>
      <c r="H1512">
        <v>0</v>
      </c>
      <c r="I1512" s="29">
        <f t="shared" si="23"/>
        <v>108426</v>
      </c>
      <c r="J1512" t="str">
        <f>IFERROR(VLOOKUP(E1512,'LEAID Match'!$A$2:$B$168,2,FALSE),"")</f>
        <v/>
      </c>
    </row>
    <row r="1513" spans="1:10">
      <c r="A1513">
        <v>2023</v>
      </c>
      <c r="B1513" t="s">
        <v>1429</v>
      </c>
      <c r="C1513" t="s">
        <v>1431</v>
      </c>
      <c r="D1513" t="s">
        <v>1433</v>
      </c>
      <c r="E1513" t="s">
        <v>451</v>
      </c>
      <c r="F1513" t="s">
        <v>451</v>
      </c>
      <c r="G1513" s="28">
        <v>109128</v>
      </c>
      <c r="H1513">
        <v>0</v>
      </c>
      <c r="I1513" s="29">
        <f t="shared" si="23"/>
        <v>109128</v>
      </c>
      <c r="J1513" t="str">
        <f>IFERROR(VLOOKUP(E1513,'LEAID Match'!$A$2:$B$168,2,FALSE),"")</f>
        <v/>
      </c>
    </row>
    <row r="1514" spans="1:10">
      <c r="A1514">
        <v>2015</v>
      </c>
      <c r="B1514" t="s">
        <v>1429</v>
      </c>
      <c r="C1514" t="s">
        <v>1431</v>
      </c>
      <c r="D1514" t="s">
        <v>1433</v>
      </c>
      <c r="E1514" t="s">
        <v>452</v>
      </c>
      <c r="F1514" s="9" t="s">
        <v>1148</v>
      </c>
      <c r="G1514" s="18">
        <v>24123.86</v>
      </c>
      <c r="H1514">
        <v>0</v>
      </c>
      <c r="I1514" s="29">
        <f t="shared" si="23"/>
        <v>24123.86</v>
      </c>
      <c r="J1514" t="str">
        <f>IFERROR(VLOOKUP(E1514,'LEAID Match'!$A$2:$B$168,2,FALSE),"")</f>
        <v/>
      </c>
    </row>
    <row r="1515" spans="1:10">
      <c r="A1515">
        <v>2016</v>
      </c>
      <c r="B1515" t="s">
        <v>1429</v>
      </c>
      <c r="C1515" t="s">
        <v>1431</v>
      </c>
      <c r="D1515" t="s">
        <v>1433</v>
      </c>
      <c r="E1515" t="s">
        <v>452</v>
      </c>
      <c r="F1515" t="s">
        <v>452</v>
      </c>
      <c r="G1515" s="28">
        <v>25866</v>
      </c>
      <c r="H1515">
        <v>0</v>
      </c>
      <c r="I1515" s="29">
        <f t="shared" si="23"/>
        <v>25866</v>
      </c>
      <c r="J1515" t="str">
        <f>IFERROR(VLOOKUP(E1515,'LEAID Match'!$A$2:$B$168,2,FALSE),"")</f>
        <v/>
      </c>
    </row>
    <row r="1516" spans="1:10">
      <c r="A1516">
        <v>2017</v>
      </c>
      <c r="B1516" t="s">
        <v>1429</v>
      </c>
      <c r="C1516" t="s">
        <v>1431</v>
      </c>
      <c r="D1516" t="s">
        <v>1433</v>
      </c>
      <c r="E1516" t="s">
        <v>452</v>
      </c>
      <c r="F1516" t="s">
        <v>452</v>
      </c>
      <c r="G1516" s="28">
        <v>21066</v>
      </c>
      <c r="H1516">
        <v>0</v>
      </c>
      <c r="I1516" s="29">
        <f t="shared" si="23"/>
        <v>21066</v>
      </c>
      <c r="J1516" t="str">
        <f>IFERROR(VLOOKUP(E1516,'LEAID Match'!$A$2:$B$168,2,FALSE),"")</f>
        <v/>
      </c>
    </row>
    <row r="1517" spans="1:10">
      <c r="A1517" s="27">
        <v>2018</v>
      </c>
      <c r="B1517" t="s">
        <v>1429</v>
      </c>
      <c r="C1517" t="s">
        <v>1431</v>
      </c>
      <c r="D1517" t="s">
        <v>1433</v>
      </c>
      <c r="E1517" t="s">
        <v>452</v>
      </c>
      <c r="F1517" s="9" t="s">
        <v>452</v>
      </c>
      <c r="G1517" s="18">
        <v>22754</v>
      </c>
      <c r="H1517">
        <v>0</v>
      </c>
      <c r="I1517" s="29">
        <f t="shared" si="23"/>
        <v>22754</v>
      </c>
      <c r="J1517" t="str">
        <f>IFERROR(VLOOKUP(E1517,'LEAID Match'!$A$2:$B$168,2,FALSE),"")</f>
        <v/>
      </c>
    </row>
    <row r="1518" spans="1:10">
      <c r="A1518">
        <v>2019</v>
      </c>
      <c r="B1518" t="s">
        <v>1429</v>
      </c>
      <c r="C1518" t="s">
        <v>1431</v>
      </c>
      <c r="D1518" t="s">
        <v>1433</v>
      </c>
      <c r="E1518" t="s">
        <v>452</v>
      </c>
      <c r="F1518" s="9" t="s">
        <v>452</v>
      </c>
      <c r="G1518" s="18">
        <v>22644</v>
      </c>
      <c r="H1518">
        <v>0</v>
      </c>
      <c r="I1518" s="29">
        <f t="shared" si="23"/>
        <v>22644</v>
      </c>
      <c r="J1518" t="str">
        <f>IFERROR(VLOOKUP(E1518,'LEAID Match'!$A$2:$B$168,2,FALSE),"")</f>
        <v/>
      </c>
    </row>
    <row r="1519" spans="1:10">
      <c r="A1519" s="27">
        <v>2020</v>
      </c>
      <c r="B1519" t="s">
        <v>1429</v>
      </c>
      <c r="C1519" t="s">
        <v>1431</v>
      </c>
      <c r="D1519" t="s">
        <v>1433</v>
      </c>
      <c r="E1519" t="s">
        <v>452</v>
      </c>
      <c r="F1519" s="9" t="s">
        <v>452</v>
      </c>
      <c r="G1519" s="18">
        <v>23647</v>
      </c>
      <c r="H1519">
        <v>0</v>
      </c>
      <c r="I1519" s="29">
        <f t="shared" si="23"/>
        <v>23647</v>
      </c>
      <c r="J1519" t="str">
        <f>IFERROR(VLOOKUP(E1519,'LEAID Match'!$A$2:$B$168,2,FALSE),"")</f>
        <v/>
      </c>
    </row>
    <row r="1520" spans="1:10">
      <c r="A1520">
        <v>2021</v>
      </c>
      <c r="B1520" t="s">
        <v>1429</v>
      </c>
      <c r="C1520" t="s">
        <v>1431</v>
      </c>
      <c r="D1520" t="s">
        <v>1433</v>
      </c>
      <c r="E1520" t="s">
        <v>452</v>
      </c>
      <c r="F1520" s="9" t="s">
        <v>452</v>
      </c>
      <c r="G1520" s="18">
        <v>23899</v>
      </c>
      <c r="H1520">
        <v>0</v>
      </c>
      <c r="I1520" s="29">
        <f t="shared" si="23"/>
        <v>23899</v>
      </c>
      <c r="J1520" t="str">
        <f>IFERROR(VLOOKUP(E1520,'LEAID Match'!$A$2:$B$168,2,FALSE),"")</f>
        <v/>
      </c>
    </row>
    <row r="1521" spans="1:10">
      <c r="A1521">
        <v>2022</v>
      </c>
      <c r="B1521" t="s">
        <v>1429</v>
      </c>
      <c r="C1521" t="s">
        <v>1431</v>
      </c>
      <c r="D1521" t="s">
        <v>1433</v>
      </c>
      <c r="E1521" t="s">
        <v>452</v>
      </c>
      <c r="F1521" s="9" t="s">
        <v>452</v>
      </c>
      <c r="G1521" s="18">
        <v>39243</v>
      </c>
      <c r="H1521">
        <v>0</v>
      </c>
      <c r="I1521" s="29">
        <f t="shared" si="23"/>
        <v>39243</v>
      </c>
      <c r="J1521" t="str">
        <f>IFERROR(VLOOKUP(E1521,'LEAID Match'!$A$2:$B$168,2,FALSE),"")</f>
        <v/>
      </c>
    </row>
    <row r="1522" spans="1:10">
      <c r="A1522">
        <v>2023</v>
      </c>
      <c r="B1522" t="s">
        <v>1429</v>
      </c>
      <c r="C1522" t="s">
        <v>1431</v>
      </c>
      <c r="D1522" t="s">
        <v>1433</v>
      </c>
      <c r="E1522" t="s">
        <v>452</v>
      </c>
      <c r="F1522" t="s">
        <v>452</v>
      </c>
      <c r="G1522" s="28">
        <v>30421</v>
      </c>
      <c r="H1522">
        <v>0</v>
      </c>
      <c r="I1522" s="29">
        <f t="shared" si="23"/>
        <v>30421</v>
      </c>
      <c r="J1522" t="str">
        <f>IFERROR(VLOOKUP(E1522,'LEAID Match'!$A$2:$B$168,2,FALSE),"")</f>
        <v/>
      </c>
    </row>
    <row r="1523" spans="1:10">
      <c r="A1523">
        <v>2015</v>
      </c>
      <c r="B1523" t="s">
        <v>1429</v>
      </c>
      <c r="C1523" t="s">
        <v>1431</v>
      </c>
      <c r="D1523" t="s">
        <v>1433</v>
      </c>
      <c r="E1523" t="s">
        <v>682</v>
      </c>
      <c r="F1523" s="9" t="s">
        <v>1149</v>
      </c>
      <c r="G1523" s="18">
        <v>196591.9</v>
      </c>
      <c r="H1523">
        <v>0</v>
      </c>
      <c r="I1523" s="29">
        <f t="shared" si="23"/>
        <v>196591.9</v>
      </c>
      <c r="J1523" t="str">
        <f>IFERROR(VLOOKUP(E1523,'LEAID Match'!$A$2:$B$168,2,FALSE),"")</f>
        <v/>
      </c>
    </row>
    <row r="1524" spans="1:10">
      <c r="A1524">
        <v>2016</v>
      </c>
      <c r="B1524" t="s">
        <v>1429</v>
      </c>
      <c r="C1524" t="s">
        <v>1431</v>
      </c>
      <c r="D1524" t="s">
        <v>1433</v>
      </c>
      <c r="E1524" t="s">
        <v>682</v>
      </c>
      <c r="F1524" t="s">
        <v>682</v>
      </c>
      <c r="G1524" s="28">
        <v>210369</v>
      </c>
      <c r="H1524">
        <v>0</v>
      </c>
      <c r="I1524" s="29">
        <f t="shared" si="23"/>
        <v>210369</v>
      </c>
      <c r="J1524" t="str">
        <f>IFERROR(VLOOKUP(E1524,'LEAID Match'!$A$2:$B$168,2,FALSE),"")</f>
        <v/>
      </c>
    </row>
    <row r="1525" spans="1:10">
      <c r="A1525">
        <v>2017</v>
      </c>
      <c r="B1525" t="s">
        <v>1429</v>
      </c>
      <c r="C1525" t="s">
        <v>1431</v>
      </c>
      <c r="D1525" t="s">
        <v>1433</v>
      </c>
      <c r="E1525" t="s">
        <v>682</v>
      </c>
      <c r="F1525" t="s">
        <v>682</v>
      </c>
      <c r="G1525" s="28">
        <v>217446</v>
      </c>
      <c r="H1525">
        <v>0</v>
      </c>
      <c r="I1525" s="29">
        <f t="shared" si="23"/>
        <v>217446</v>
      </c>
      <c r="J1525" t="str">
        <f>IFERROR(VLOOKUP(E1525,'LEAID Match'!$A$2:$B$168,2,FALSE),"")</f>
        <v/>
      </c>
    </row>
    <row r="1526" spans="1:10">
      <c r="A1526" s="27">
        <v>2018</v>
      </c>
      <c r="B1526" t="s">
        <v>1429</v>
      </c>
      <c r="C1526" t="s">
        <v>1431</v>
      </c>
      <c r="D1526" t="s">
        <v>1433</v>
      </c>
      <c r="E1526" t="s">
        <v>682</v>
      </c>
      <c r="F1526" s="9" t="s">
        <v>682</v>
      </c>
      <c r="G1526" s="18">
        <v>239547</v>
      </c>
      <c r="H1526">
        <v>0</v>
      </c>
      <c r="I1526" s="29">
        <f t="shared" si="23"/>
        <v>239547</v>
      </c>
      <c r="J1526" t="str">
        <f>IFERROR(VLOOKUP(E1526,'LEAID Match'!$A$2:$B$168,2,FALSE),"")</f>
        <v/>
      </c>
    </row>
    <row r="1527" spans="1:10">
      <c r="A1527">
        <v>2019</v>
      </c>
      <c r="B1527" t="s">
        <v>1429</v>
      </c>
      <c r="C1527" t="s">
        <v>1431</v>
      </c>
      <c r="D1527" t="s">
        <v>1433</v>
      </c>
      <c r="E1527" t="s">
        <v>682</v>
      </c>
      <c r="F1527" s="9" t="s">
        <v>682</v>
      </c>
      <c r="G1527" s="18">
        <v>232118</v>
      </c>
      <c r="H1527">
        <v>0</v>
      </c>
      <c r="I1527" s="29">
        <f t="shared" si="23"/>
        <v>232118</v>
      </c>
      <c r="J1527" t="str">
        <f>IFERROR(VLOOKUP(E1527,'LEAID Match'!$A$2:$B$168,2,FALSE),"")</f>
        <v/>
      </c>
    </row>
    <row r="1528" spans="1:10">
      <c r="A1528" s="27">
        <v>2020</v>
      </c>
      <c r="B1528" t="s">
        <v>1429</v>
      </c>
      <c r="C1528" t="s">
        <v>1431</v>
      </c>
      <c r="D1528" t="s">
        <v>1433</v>
      </c>
      <c r="E1528" t="s">
        <v>453</v>
      </c>
      <c r="F1528" s="9" t="s">
        <v>453</v>
      </c>
      <c r="G1528" s="18">
        <v>12512</v>
      </c>
      <c r="H1528">
        <v>0</v>
      </c>
      <c r="I1528" s="29">
        <f t="shared" si="23"/>
        <v>12512</v>
      </c>
      <c r="J1528" t="str">
        <f>IFERROR(VLOOKUP(E1528,'LEAID Match'!$A$2:$B$168,2,FALSE),"")</f>
        <v/>
      </c>
    </row>
    <row r="1529" spans="1:10">
      <c r="A1529">
        <v>2021</v>
      </c>
      <c r="B1529" t="s">
        <v>1429</v>
      </c>
      <c r="C1529" t="s">
        <v>1431</v>
      </c>
      <c r="D1529" t="s">
        <v>1433</v>
      </c>
      <c r="E1529" t="s">
        <v>453</v>
      </c>
      <c r="F1529" s="9" t="s">
        <v>453</v>
      </c>
      <c r="G1529" s="18">
        <v>12873</v>
      </c>
      <c r="H1529">
        <v>0</v>
      </c>
      <c r="I1529" s="29">
        <f t="shared" si="23"/>
        <v>12873</v>
      </c>
      <c r="J1529" t="str">
        <f>IFERROR(VLOOKUP(E1529,'LEAID Match'!$A$2:$B$168,2,FALSE),"")</f>
        <v/>
      </c>
    </row>
    <row r="1530" spans="1:10">
      <c r="A1530">
        <v>2022</v>
      </c>
      <c r="B1530" t="s">
        <v>1429</v>
      </c>
      <c r="C1530" t="s">
        <v>1431</v>
      </c>
      <c r="D1530" t="s">
        <v>1433</v>
      </c>
      <c r="E1530" t="s">
        <v>453</v>
      </c>
      <c r="F1530" s="9" t="s">
        <v>453</v>
      </c>
      <c r="G1530" s="18">
        <v>21923</v>
      </c>
      <c r="H1530">
        <v>0</v>
      </c>
      <c r="I1530" s="29">
        <f t="shared" si="23"/>
        <v>21923</v>
      </c>
      <c r="J1530" t="str">
        <f>IFERROR(VLOOKUP(E1530,'LEAID Match'!$A$2:$B$168,2,FALSE),"")</f>
        <v/>
      </c>
    </row>
    <row r="1531" spans="1:10">
      <c r="A1531">
        <v>2023</v>
      </c>
      <c r="B1531" t="s">
        <v>1429</v>
      </c>
      <c r="C1531" t="s">
        <v>1431</v>
      </c>
      <c r="D1531" t="s">
        <v>1433</v>
      </c>
      <c r="E1531" t="s">
        <v>453</v>
      </c>
      <c r="F1531" t="s">
        <v>453</v>
      </c>
      <c r="G1531" s="28">
        <v>27012</v>
      </c>
      <c r="H1531">
        <v>0</v>
      </c>
      <c r="I1531" s="29">
        <f t="shared" si="23"/>
        <v>27012</v>
      </c>
      <c r="J1531" t="str">
        <f>IFERROR(VLOOKUP(E1531,'LEAID Match'!$A$2:$B$168,2,FALSE),"")</f>
        <v/>
      </c>
    </row>
    <row r="1532" spans="1:10">
      <c r="A1532">
        <v>2015</v>
      </c>
      <c r="B1532" t="s">
        <v>1429</v>
      </c>
      <c r="C1532" t="s">
        <v>1431</v>
      </c>
      <c r="D1532" t="s">
        <v>1433</v>
      </c>
      <c r="E1532" t="s">
        <v>454</v>
      </c>
      <c r="F1532" s="9" t="s">
        <v>1150</v>
      </c>
      <c r="G1532" s="18">
        <v>5226.5200000000004</v>
      </c>
      <c r="H1532">
        <v>0</v>
      </c>
      <c r="I1532" s="29">
        <f t="shared" si="23"/>
        <v>5226.5200000000004</v>
      </c>
      <c r="J1532">
        <f>IFERROR(VLOOKUP(E1532,'LEAID Match'!$A$2:$B$168,2,FALSE),"")</f>
        <v>3304170</v>
      </c>
    </row>
    <row r="1533" spans="1:10">
      <c r="A1533">
        <v>2016</v>
      </c>
      <c r="B1533" t="s">
        <v>1429</v>
      </c>
      <c r="C1533" t="s">
        <v>1431</v>
      </c>
      <c r="D1533" t="s">
        <v>1433</v>
      </c>
      <c r="E1533" t="s">
        <v>454</v>
      </c>
      <c r="F1533" t="s">
        <v>683</v>
      </c>
      <c r="G1533" s="28">
        <v>6651</v>
      </c>
      <c r="H1533">
        <v>0</v>
      </c>
      <c r="I1533" s="29">
        <f t="shared" si="23"/>
        <v>6651</v>
      </c>
      <c r="J1533">
        <f>IFERROR(VLOOKUP(E1533,'LEAID Match'!$A$2:$B$168,2,FALSE),"")</f>
        <v>3304170</v>
      </c>
    </row>
    <row r="1534" spans="1:10">
      <c r="A1534">
        <v>2017</v>
      </c>
      <c r="B1534" t="s">
        <v>1429</v>
      </c>
      <c r="C1534" t="s">
        <v>1431</v>
      </c>
      <c r="D1534" t="s">
        <v>1433</v>
      </c>
      <c r="E1534" t="s">
        <v>454</v>
      </c>
      <c r="F1534" t="s">
        <v>683</v>
      </c>
      <c r="G1534" s="28">
        <v>8006</v>
      </c>
      <c r="H1534">
        <v>0</v>
      </c>
      <c r="I1534" s="29">
        <f t="shared" si="23"/>
        <v>8006</v>
      </c>
      <c r="J1534">
        <f>IFERROR(VLOOKUP(E1534,'LEAID Match'!$A$2:$B$168,2,FALSE),"")</f>
        <v>3304170</v>
      </c>
    </row>
    <row r="1535" spans="1:10">
      <c r="A1535" s="27">
        <v>2018</v>
      </c>
      <c r="B1535" t="s">
        <v>1429</v>
      </c>
      <c r="C1535" t="s">
        <v>1431</v>
      </c>
      <c r="D1535" t="s">
        <v>1433</v>
      </c>
      <c r="E1535" t="s">
        <v>454</v>
      </c>
      <c r="F1535" s="9" t="s">
        <v>683</v>
      </c>
      <c r="G1535" s="18">
        <v>10241</v>
      </c>
      <c r="H1535">
        <v>0</v>
      </c>
      <c r="I1535" s="29">
        <f t="shared" si="23"/>
        <v>10241</v>
      </c>
      <c r="J1535">
        <f>IFERROR(VLOOKUP(E1535,'LEAID Match'!$A$2:$B$168,2,FALSE),"")</f>
        <v>3304170</v>
      </c>
    </row>
    <row r="1536" spans="1:10">
      <c r="A1536">
        <v>2019</v>
      </c>
      <c r="B1536" t="s">
        <v>1429</v>
      </c>
      <c r="C1536" t="s">
        <v>1431</v>
      </c>
      <c r="D1536" t="s">
        <v>1433</v>
      </c>
      <c r="E1536" t="s">
        <v>454</v>
      </c>
      <c r="F1536" s="9" t="s">
        <v>683</v>
      </c>
      <c r="G1536" s="18">
        <v>10266</v>
      </c>
      <c r="H1536">
        <v>0</v>
      </c>
      <c r="I1536" s="29">
        <f t="shared" si="23"/>
        <v>10266</v>
      </c>
      <c r="J1536">
        <f>IFERROR(VLOOKUP(E1536,'LEAID Match'!$A$2:$B$168,2,FALSE),"")</f>
        <v>3304170</v>
      </c>
    </row>
    <row r="1537" spans="1:10">
      <c r="A1537" s="27">
        <v>2020</v>
      </c>
      <c r="B1537" t="s">
        <v>1429</v>
      </c>
      <c r="C1537" t="s">
        <v>1431</v>
      </c>
      <c r="D1537" t="s">
        <v>1433</v>
      </c>
      <c r="E1537" t="s">
        <v>454</v>
      </c>
      <c r="F1537" s="9" t="s">
        <v>454</v>
      </c>
      <c r="G1537" s="18">
        <v>11536</v>
      </c>
      <c r="H1537">
        <v>0</v>
      </c>
      <c r="I1537" s="29">
        <f t="shared" si="23"/>
        <v>11536</v>
      </c>
      <c r="J1537">
        <f>IFERROR(VLOOKUP(E1537,'LEAID Match'!$A$2:$B$168,2,FALSE),"")</f>
        <v>3304170</v>
      </c>
    </row>
    <row r="1538" spans="1:10">
      <c r="A1538">
        <v>2021</v>
      </c>
      <c r="B1538" t="s">
        <v>1429</v>
      </c>
      <c r="C1538" t="s">
        <v>1431</v>
      </c>
      <c r="D1538" t="s">
        <v>1433</v>
      </c>
      <c r="E1538" t="s">
        <v>454</v>
      </c>
      <c r="F1538" s="9" t="s">
        <v>454</v>
      </c>
      <c r="G1538" s="18">
        <v>12478</v>
      </c>
      <c r="H1538">
        <v>0</v>
      </c>
      <c r="I1538" s="29">
        <f t="shared" si="23"/>
        <v>12478</v>
      </c>
      <c r="J1538">
        <f>IFERROR(VLOOKUP(E1538,'LEAID Match'!$A$2:$B$168,2,FALSE),"")</f>
        <v>3304170</v>
      </c>
    </row>
    <row r="1539" spans="1:10">
      <c r="A1539">
        <v>2022</v>
      </c>
      <c r="B1539" t="s">
        <v>1429</v>
      </c>
      <c r="C1539" t="s">
        <v>1431</v>
      </c>
      <c r="D1539" t="s">
        <v>1433</v>
      </c>
      <c r="E1539" t="s">
        <v>454</v>
      </c>
      <c r="F1539" s="9" t="s">
        <v>454</v>
      </c>
      <c r="G1539" s="18">
        <v>22881</v>
      </c>
      <c r="H1539">
        <v>0</v>
      </c>
      <c r="I1539" s="29">
        <f t="shared" ref="I1539:I1602" si="24">SUM(G1539:H1539)</f>
        <v>22881</v>
      </c>
      <c r="J1539">
        <f>IFERROR(VLOOKUP(E1539,'LEAID Match'!$A$2:$B$168,2,FALSE),"")</f>
        <v>3304170</v>
      </c>
    </row>
    <row r="1540" spans="1:10">
      <c r="A1540">
        <v>2023</v>
      </c>
      <c r="B1540" t="s">
        <v>1429</v>
      </c>
      <c r="C1540" t="s">
        <v>1431</v>
      </c>
      <c r="D1540" t="s">
        <v>1433</v>
      </c>
      <c r="E1540" t="s">
        <v>454</v>
      </c>
      <c r="F1540" t="s">
        <v>454</v>
      </c>
      <c r="G1540" s="28">
        <v>15375</v>
      </c>
      <c r="H1540">
        <v>0</v>
      </c>
      <c r="I1540" s="29">
        <f t="shared" si="24"/>
        <v>15375</v>
      </c>
      <c r="J1540">
        <f>IFERROR(VLOOKUP(E1540,'LEAID Match'!$A$2:$B$168,2,FALSE),"")</f>
        <v>3304170</v>
      </c>
    </row>
    <row r="1541" spans="1:10">
      <c r="A1541">
        <v>2015</v>
      </c>
      <c r="B1541" t="s">
        <v>1429</v>
      </c>
      <c r="C1541" t="s">
        <v>1431</v>
      </c>
      <c r="D1541" t="s">
        <v>1433</v>
      </c>
      <c r="E1541" t="s">
        <v>455</v>
      </c>
      <c r="F1541" s="9" t="s">
        <v>1151</v>
      </c>
      <c r="G1541" s="18">
        <v>10918.97</v>
      </c>
      <c r="H1541">
        <v>0</v>
      </c>
      <c r="I1541" s="29">
        <f t="shared" si="24"/>
        <v>10918.97</v>
      </c>
      <c r="J1541" t="str">
        <f>IFERROR(VLOOKUP(E1541,'LEAID Match'!$A$2:$B$168,2,FALSE),"")</f>
        <v/>
      </c>
    </row>
    <row r="1542" spans="1:10">
      <c r="A1542">
        <v>2016</v>
      </c>
      <c r="B1542" t="s">
        <v>1429</v>
      </c>
      <c r="C1542" t="s">
        <v>1431</v>
      </c>
      <c r="D1542" t="s">
        <v>1433</v>
      </c>
      <c r="E1542" t="s">
        <v>455</v>
      </c>
      <c r="F1542" t="s">
        <v>455</v>
      </c>
      <c r="G1542" s="28">
        <v>11215</v>
      </c>
      <c r="H1542">
        <v>0</v>
      </c>
      <c r="I1542" s="29">
        <f t="shared" si="24"/>
        <v>11215</v>
      </c>
      <c r="J1542" t="str">
        <f>IFERROR(VLOOKUP(E1542,'LEAID Match'!$A$2:$B$168,2,FALSE),"")</f>
        <v/>
      </c>
    </row>
    <row r="1543" spans="1:10">
      <c r="A1543">
        <v>2017</v>
      </c>
      <c r="B1543" t="s">
        <v>1429</v>
      </c>
      <c r="C1543" t="s">
        <v>1431</v>
      </c>
      <c r="D1543" t="s">
        <v>1433</v>
      </c>
      <c r="E1543" t="s">
        <v>455</v>
      </c>
      <c r="F1543" t="s">
        <v>455</v>
      </c>
      <c r="G1543" s="28">
        <v>5056</v>
      </c>
      <c r="H1543">
        <v>0</v>
      </c>
      <c r="I1543" s="29">
        <f t="shared" si="24"/>
        <v>5056</v>
      </c>
      <c r="J1543" t="str">
        <f>IFERROR(VLOOKUP(E1543,'LEAID Match'!$A$2:$B$168,2,FALSE),"")</f>
        <v/>
      </c>
    </row>
    <row r="1544" spans="1:10">
      <c r="A1544" s="27">
        <v>2018</v>
      </c>
      <c r="B1544" t="s">
        <v>1429</v>
      </c>
      <c r="C1544" t="s">
        <v>1431</v>
      </c>
      <c r="D1544" t="s">
        <v>1433</v>
      </c>
      <c r="E1544" t="s">
        <v>455</v>
      </c>
      <c r="F1544" s="9" t="s">
        <v>455</v>
      </c>
      <c r="G1544" s="18"/>
      <c r="H1544">
        <v>0</v>
      </c>
      <c r="I1544" s="29">
        <f t="shared" si="24"/>
        <v>0</v>
      </c>
      <c r="J1544" t="str">
        <f>IFERROR(VLOOKUP(E1544,'LEAID Match'!$A$2:$B$168,2,FALSE),"")</f>
        <v/>
      </c>
    </row>
    <row r="1545" spans="1:10">
      <c r="A1545">
        <v>2019</v>
      </c>
      <c r="B1545" t="s">
        <v>1429</v>
      </c>
      <c r="C1545" t="s">
        <v>1431</v>
      </c>
      <c r="D1545" t="s">
        <v>1433</v>
      </c>
      <c r="E1545" t="s">
        <v>455</v>
      </c>
      <c r="F1545" s="9" t="s">
        <v>455</v>
      </c>
      <c r="G1545" s="18"/>
      <c r="H1545">
        <v>0</v>
      </c>
      <c r="I1545" s="29">
        <f t="shared" si="24"/>
        <v>0</v>
      </c>
      <c r="J1545" t="str">
        <f>IFERROR(VLOOKUP(E1545,'LEAID Match'!$A$2:$B$168,2,FALSE),"")</f>
        <v/>
      </c>
    </row>
    <row r="1546" spans="1:10">
      <c r="A1546" s="27">
        <v>2020</v>
      </c>
      <c r="B1546" t="s">
        <v>1429</v>
      </c>
      <c r="C1546" t="s">
        <v>1431</v>
      </c>
      <c r="D1546" t="s">
        <v>1433</v>
      </c>
      <c r="E1546" t="s">
        <v>455</v>
      </c>
      <c r="F1546" s="9" t="s">
        <v>455</v>
      </c>
      <c r="G1546" s="18"/>
      <c r="H1546">
        <v>0</v>
      </c>
      <c r="I1546" s="29">
        <f t="shared" si="24"/>
        <v>0</v>
      </c>
      <c r="J1546" t="str">
        <f>IFERROR(VLOOKUP(E1546,'LEAID Match'!$A$2:$B$168,2,FALSE),"")</f>
        <v/>
      </c>
    </row>
    <row r="1547" spans="1:10">
      <c r="A1547">
        <v>2021</v>
      </c>
      <c r="B1547" t="s">
        <v>1429</v>
      </c>
      <c r="C1547" t="s">
        <v>1431</v>
      </c>
      <c r="D1547" t="s">
        <v>1433</v>
      </c>
      <c r="E1547" t="s">
        <v>455</v>
      </c>
      <c r="F1547" s="9" t="s">
        <v>455</v>
      </c>
      <c r="G1547" s="18"/>
      <c r="H1547">
        <v>0</v>
      </c>
      <c r="I1547" s="29">
        <f t="shared" si="24"/>
        <v>0</v>
      </c>
      <c r="J1547" t="str">
        <f>IFERROR(VLOOKUP(E1547,'LEAID Match'!$A$2:$B$168,2,FALSE),"")</f>
        <v/>
      </c>
    </row>
    <row r="1548" spans="1:10">
      <c r="A1548">
        <v>2015</v>
      </c>
      <c r="B1548" t="s">
        <v>1429</v>
      </c>
      <c r="C1548" t="s">
        <v>1431</v>
      </c>
      <c r="D1548" t="s">
        <v>1433</v>
      </c>
      <c r="E1548" t="s">
        <v>684</v>
      </c>
      <c r="F1548" s="9" t="s">
        <v>1152</v>
      </c>
      <c r="G1548" s="18">
        <v>1745205.29</v>
      </c>
      <c r="H1548">
        <v>0</v>
      </c>
      <c r="I1548" s="29">
        <f t="shared" si="24"/>
        <v>1745205.29</v>
      </c>
      <c r="J1548" t="str">
        <f>IFERROR(VLOOKUP(E1548,'LEAID Match'!$A$2:$B$168,2,FALSE),"")</f>
        <v/>
      </c>
    </row>
    <row r="1549" spans="1:10">
      <c r="A1549">
        <v>2016</v>
      </c>
      <c r="B1549" t="s">
        <v>1429</v>
      </c>
      <c r="C1549" t="s">
        <v>1431</v>
      </c>
      <c r="D1549" t="s">
        <v>1433</v>
      </c>
      <c r="E1549" t="s">
        <v>684</v>
      </c>
      <c r="F1549" t="s">
        <v>684</v>
      </c>
      <c r="G1549" s="28">
        <v>1871074</v>
      </c>
      <c r="H1549">
        <v>0</v>
      </c>
      <c r="I1549" s="29">
        <f t="shared" si="24"/>
        <v>1871074</v>
      </c>
      <c r="J1549" t="str">
        <f>IFERROR(VLOOKUP(E1549,'LEAID Match'!$A$2:$B$168,2,FALSE),"")</f>
        <v/>
      </c>
    </row>
    <row r="1550" spans="1:10">
      <c r="A1550">
        <v>2017</v>
      </c>
      <c r="B1550" t="s">
        <v>1429</v>
      </c>
      <c r="C1550" t="s">
        <v>1431</v>
      </c>
      <c r="D1550" t="s">
        <v>1433</v>
      </c>
      <c r="E1550" t="s">
        <v>684</v>
      </c>
      <c r="F1550" t="s">
        <v>684</v>
      </c>
      <c r="G1550" s="28">
        <v>1927693</v>
      </c>
      <c r="H1550">
        <v>0</v>
      </c>
      <c r="I1550" s="29">
        <f t="shared" si="24"/>
        <v>1927693</v>
      </c>
      <c r="J1550" t="str">
        <f>IFERROR(VLOOKUP(E1550,'LEAID Match'!$A$2:$B$168,2,FALSE),"")</f>
        <v/>
      </c>
    </row>
    <row r="1551" spans="1:10">
      <c r="A1551" s="27">
        <v>2018</v>
      </c>
      <c r="B1551" t="s">
        <v>1429</v>
      </c>
      <c r="C1551" t="s">
        <v>1431</v>
      </c>
      <c r="D1551" t="s">
        <v>1433</v>
      </c>
      <c r="E1551" t="s">
        <v>684</v>
      </c>
      <c r="F1551" s="9" t="s">
        <v>684</v>
      </c>
      <c r="G1551" s="18">
        <v>2106239</v>
      </c>
      <c r="H1551">
        <v>0</v>
      </c>
      <c r="I1551" s="29">
        <f t="shared" si="24"/>
        <v>2106239</v>
      </c>
      <c r="J1551" t="str">
        <f>IFERROR(VLOOKUP(E1551,'LEAID Match'!$A$2:$B$168,2,FALSE),"")</f>
        <v/>
      </c>
    </row>
    <row r="1552" spans="1:10">
      <c r="A1552">
        <v>2019</v>
      </c>
      <c r="B1552" t="s">
        <v>1429</v>
      </c>
      <c r="C1552" t="s">
        <v>1431</v>
      </c>
      <c r="D1552" t="s">
        <v>1433</v>
      </c>
      <c r="E1552" t="s">
        <v>684</v>
      </c>
      <c r="F1552" s="9" t="s">
        <v>684</v>
      </c>
      <c r="G1552" s="18">
        <v>2156652</v>
      </c>
      <c r="H1552">
        <v>0</v>
      </c>
      <c r="I1552" s="29">
        <f t="shared" si="24"/>
        <v>2156652</v>
      </c>
      <c r="J1552" t="str">
        <f>IFERROR(VLOOKUP(E1552,'LEAID Match'!$A$2:$B$168,2,FALSE),"")</f>
        <v/>
      </c>
    </row>
    <row r="1553" spans="1:10">
      <c r="A1553">
        <v>2015</v>
      </c>
      <c r="B1553" t="s">
        <v>1429</v>
      </c>
      <c r="C1553" t="s">
        <v>1431</v>
      </c>
      <c r="D1553" t="s">
        <v>1433</v>
      </c>
      <c r="E1553" t="s">
        <v>456</v>
      </c>
      <c r="F1553" s="9" t="s">
        <v>1153</v>
      </c>
      <c r="G1553" s="18">
        <v>2006811.99</v>
      </c>
      <c r="H1553">
        <v>0</v>
      </c>
      <c r="I1553" s="29">
        <f t="shared" si="24"/>
        <v>2006811.99</v>
      </c>
      <c r="J1553">
        <f>IFERROR(VLOOKUP(E1553,'LEAID Match'!$A$2:$B$168,2,FALSE),"")</f>
        <v>3304230</v>
      </c>
    </row>
    <row r="1554" spans="1:10">
      <c r="A1554">
        <v>2016</v>
      </c>
      <c r="B1554" t="s">
        <v>1429</v>
      </c>
      <c r="C1554" t="s">
        <v>1431</v>
      </c>
      <c r="D1554" t="s">
        <v>1433</v>
      </c>
      <c r="E1554" t="s">
        <v>456</v>
      </c>
      <c r="F1554" t="s">
        <v>685</v>
      </c>
      <c r="G1554" s="28">
        <v>2225475</v>
      </c>
      <c r="H1554">
        <v>0</v>
      </c>
      <c r="I1554" s="29">
        <f t="shared" si="24"/>
        <v>2225475</v>
      </c>
      <c r="J1554">
        <f>IFERROR(VLOOKUP(E1554,'LEAID Match'!$A$2:$B$168,2,FALSE),"")</f>
        <v>3304230</v>
      </c>
    </row>
    <row r="1555" spans="1:10">
      <c r="A1555">
        <v>2017</v>
      </c>
      <c r="B1555" t="s">
        <v>1429</v>
      </c>
      <c r="C1555" t="s">
        <v>1431</v>
      </c>
      <c r="D1555" t="s">
        <v>1433</v>
      </c>
      <c r="E1555" t="s">
        <v>456</v>
      </c>
      <c r="F1555" t="s">
        <v>685</v>
      </c>
      <c r="G1555" s="28">
        <v>2268415</v>
      </c>
      <c r="H1555">
        <v>0</v>
      </c>
      <c r="I1555" s="29">
        <f t="shared" si="24"/>
        <v>2268415</v>
      </c>
      <c r="J1555">
        <f>IFERROR(VLOOKUP(E1555,'LEAID Match'!$A$2:$B$168,2,FALSE),"")</f>
        <v>3304230</v>
      </c>
    </row>
    <row r="1556" spans="1:10">
      <c r="A1556" s="27">
        <v>2018</v>
      </c>
      <c r="B1556" t="s">
        <v>1429</v>
      </c>
      <c r="C1556" t="s">
        <v>1431</v>
      </c>
      <c r="D1556" t="s">
        <v>1433</v>
      </c>
      <c r="E1556" t="s">
        <v>456</v>
      </c>
      <c r="F1556" s="9" t="s">
        <v>685</v>
      </c>
      <c r="G1556" s="18">
        <v>2708887</v>
      </c>
      <c r="H1556">
        <v>0</v>
      </c>
      <c r="I1556" s="29">
        <f t="shared" si="24"/>
        <v>2708887</v>
      </c>
      <c r="J1556">
        <f>IFERROR(VLOOKUP(E1556,'LEAID Match'!$A$2:$B$168,2,FALSE),"")</f>
        <v>3304230</v>
      </c>
    </row>
    <row r="1557" spans="1:10">
      <c r="A1557">
        <v>2019</v>
      </c>
      <c r="B1557" t="s">
        <v>1429</v>
      </c>
      <c r="C1557" t="s">
        <v>1431</v>
      </c>
      <c r="D1557" t="s">
        <v>1433</v>
      </c>
      <c r="E1557" t="s">
        <v>456</v>
      </c>
      <c r="F1557" s="9" t="s">
        <v>685</v>
      </c>
      <c r="G1557" s="18">
        <v>2808194</v>
      </c>
      <c r="H1557">
        <v>0</v>
      </c>
      <c r="I1557" s="29">
        <f t="shared" si="24"/>
        <v>2808194</v>
      </c>
      <c r="J1557">
        <f>IFERROR(VLOOKUP(E1557,'LEAID Match'!$A$2:$B$168,2,FALSE),"")</f>
        <v>3304230</v>
      </c>
    </row>
    <row r="1558" spans="1:10">
      <c r="A1558" s="27">
        <v>2020</v>
      </c>
      <c r="B1558" t="s">
        <v>1429</v>
      </c>
      <c r="C1558" t="s">
        <v>1431</v>
      </c>
      <c r="D1558" t="s">
        <v>1433</v>
      </c>
      <c r="E1558" t="s">
        <v>456</v>
      </c>
      <c r="F1558" s="9" t="s">
        <v>456</v>
      </c>
      <c r="G1558" s="18">
        <v>2963457</v>
      </c>
      <c r="H1558">
        <v>0</v>
      </c>
      <c r="I1558" s="29">
        <f t="shared" si="24"/>
        <v>2963457</v>
      </c>
      <c r="J1558">
        <f>IFERROR(VLOOKUP(E1558,'LEAID Match'!$A$2:$B$168,2,FALSE),"")</f>
        <v>3304230</v>
      </c>
    </row>
    <row r="1559" spans="1:10">
      <c r="A1559">
        <v>2021</v>
      </c>
      <c r="B1559" t="s">
        <v>1429</v>
      </c>
      <c r="C1559" t="s">
        <v>1431</v>
      </c>
      <c r="D1559" t="s">
        <v>1433</v>
      </c>
      <c r="E1559" t="s">
        <v>456</v>
      </c>
      <c r="F1559" s="9" t="s">
        <v>456</v>
      </c>
      <c r="G1559" s="18">
        <v>3056079</v>
      </c>
      <c r="H1559">
        <v>0</v>
      </c>
      <c r="I1559" s="29">
        <f t="shared" si="24"/>
        <v>3056079</v>
      </c>
      <c r="J1559">
        <f>IFERROR(VLOOKUP(E1559,'LEAID Match'!$A$2:$B$168,2,FALSE),"")</f>
        <v>3304230</v>
      </c>
    </row>
    <row r="1560" spans="1:10">
      <c r="A1560">
        <v>2022</v>
      </c>
      <c r="B1560" t="s">
        <v>1429</v>
      </c>
      <c r="C1560" t="s">
        <v>1431</v>
      </c>
      <c r="D1560" t="s">
        <v>1433</v>
      </c>
      <c r="E1560" t="s">
        <v>456</v>
      </c>
      <c r="F1560" s="9" t="s">
        <v>456</v>
      </c>
      <c r="G1560" s="18">
        <v>3851895</v>
      </c>
      <c r="H1560">
        <v>0</v>
      </c>
      <c r="I1560" s="29">
        <f t="shared" si="24"/>
        <v>3851895</v>
      </c>
      <c r="J1560">
        <f>IFERROR(VLOOKUP(E1560,'LEAID Match'!$A$2:$B$168,2,FALSE),"")</f>
        <v>3304230</v>
      </c>
    </row>
    <row r="1561" spans="1:10">
      <c r="A1561">
        <v>2023</v>
      </c>
      <c r="B1561" t="s">
        <v>1429</v>
      </c>
      <c r="C1561" t="s">
        <v>1431</v>
      </c>
      <c r="D1561" t="s">
        <v>1433</v>
      </c>
      <c r="E1561" t="s">
        <v>456</v>
      </c>
      <c r="F1561" t="s">
        <v>456</v>
      </c>
      <c r="G1561" s="28">
        <v>3929530</v>
      </c>
      <c r="H1561">
        <v>0</v>
      </c>
      <c r="I1561" s="29">
        <f t="shared" si="24"/>
        <v>3929530</v>
      </c>
      <c r="J1561">
        <f>IFERROR(VLOOKUP(E1561,'LEAID Match'!$A$2:$B$168,2,FALSE),"")</f>
        <v>3304230</v>
      </c>
    </row>
    <row r="1562" spans="1:10">
      <c r="A1562">
        <v>2015</v>
      </c>
      <c r="B1562" t="s">
        <v>1429</v>
      </c>
      <c r="C1562" t="s">
        <v>1431</v>
      </c>
      <c r="D1562" t="s">
        <v>1433</v>
      </c>
      <c r="E1562" t="s">
        <v>686</v>
      </c>
      <c r="F1562" s="9" t="s">
        <v>1154</v>
      </c>
      <c r="G1562" s="18">
        <v>176310.07</v>
      </c>
      <c r="H1562">
        <v>0</v>
      </c>
      <c r="I1562" s="29">
        <f t="shared" si="24"/>
        <v>176310.07</v>
      </c>
      <c r="J1562" t="str">
        <f>IFERROR(VLOOKUP(E1562,'LEAID Match'!$A$2:$B$168,2,FALSE),"")</f>
        <v/>
      </c>
    </row>
    <row r="1563" spans="1:10">
      <c r="A1563">
        <v>2016</v>
      </c>
      <c r="B1563" t="s">
        <v>1429</v>
      </c>
      <c r="C1563" t="s">
        <v>1431</v>
      </c>
      <c r="D1563" t="s">
        <v>1433</v>
      </c>
      <c r="E1563" t="s">
        <v>686</v>
      </c>
      <c r="F1563" t="s">
        <v>686</v>
      </c>
      <c r="G1563" s="28">
        <v>200849</v>
      </c>
      <c r="H1563">
        <v>0</v>
      </c>
      <c r="I1563" s="29">
        <f t="shared" si="24"/>
        <v>200849</v>
      </c>
      <c r="J1563" t="str">
        <f>IFERROR(VLOOKUP(E1563,'LEAID Match'!$A$2:$B$168,2,FALSE),"")</f>
        <v/>
      </c>
    </row>
    <row r="1564" spans="1:10">
      <c r="A1564">
        <v>2017</v>
      </c>
      <c r="B1564" t="s">
        <v>1429</v>
      </c>
      <c r="C1564" t="s">
        <v>1431</v>
      </c>
      <c r="D1564" t="s">
        <v>1433</v>
      </c>
      <c r="E1564" t="s">
        <v>686</v>
      </c>
      <c r="F1564" t="s">
        <v>686</v>
      </c>
      <c r="G1564" s="28">
        <v>198507</v>
      </c>
      <c r="H1564">
        <v>0</v>
      </c>
      <c r="I1564" s="29">
        <f t="shared" si="24"/>
        <v>198507</v>
      </c>
      <c r="J1564" t="str">
        <f>IFERROR(VLOOKUP(E1564,'LEAID Match'!$A$2:$B$168,2,FALSE),"")</f>
        <v/>
      </c>
    </row>
    <row r="1565" spans="1:10">
      <c r="A1565" s="27">
        <v>2018</v>
      </c>
      <c r="B1565" t="s">
        <v>1429</v>
      </c>
      <c r="C1565" t="s">
        <v>1431</v>
      </c>
      <c r="D1565" t="s">
        <v>1433</v>
      </c>
      <c r="E1565" t="s">
        <v>686</v>
      </c>
      <c r="F1565" s="9" t="s">
        <v>686</v>
      </c>
      <c r="G1565" s="18">
        <v>215918</v>
      </c>
      <c r="H1565">
        <v>0</v>
      </c>
      <c r="I1565" s="29">
        <f t="shared" si="24"/>
        <v>215918</v>
      </c>
      <c r="J1565" t="str">
        <f>IFERROR(VLOOKUP(E1565,'LEAID Match'!$A$2:$B$168,2,FALSE),"")</f>
        <v/>
      </c>
    </row>
    <row r="1566" spans="1:10">
      <c r="A1566">
        <v>2019</v>
      </c>
      <c r="B1566" t="s">
        <v>1429</v>
      </c>
      <c r="C1566" t="s">
        <v>1431</v>
      </c>
      <c r="D1566" t="s">
        <v>1433</v>
      </c>
      <c r="E1566" t="s">
        <v>686</v>
      </c>
      <c r="F1566" s="9" t="s">
        <v>686</v>
      </c>
      <c r="G1566" s="18">
        <v>245488</v>
      </c>
      <c r="H1566">
        <v>0</v>
      </c>
      <c r="I1566" s="29">
        <f t="shared" si="24"/>
        <v>245488</v>
      </c>
      <c r="J1566" t="str">
        <f>IFERROR(VLOOKUP(E1566,'LEAID Match'!$A$2:$B$168,2,FALSE),"")</f>
        <v/>
      </c>
    </row>
    <row r="1567" spans="1:10">
      <c r="A1567">
        <v>2015</v>
      </c>
      <c r="B1567" t="s">
        <v>1429</v>
      </c>
      <c r="C1567" t="s">
        <v>1431</v>
      </c>
      <c r="D1567" t="s">
        <v>1433</v>
      </c>
      <c r="E1567" t="s">
        <v>687</v>
      </c>
      <c r="F1567" s="9" t="s">
        <v>1155</v>
      </c>
      <c r="G1567" s="18">
        <v>26601.65</v>
      </c>
      <c r="H1567">
        <v>0</v>
      </c>
      <c r="I1567" s="29">
        <f t="shared" si="24"/>
        <v>26601.65</v>
      </c>
      <c r="J1567" t="str">
        <f>IFERROR(VLOOKUP(E1567,'LEAID Match'!$A$2:$B$168,2,FALSE),"")</f>
        <v/>
      </c>
    </row>
    <row r="1568" spans="1:10">
      <c r="A1568">
        <v>2016</v>
      </c>
      <c r="B1568" t="s">
        <v>1429</v>
      </c>
      <c r="C1568" t="s">
        <v>1431</v>
      </c>
      <c r="D1568" t="s">
        <v>1433</v>
      </c>
      <c r="E1568" t="s">
        <v>687</v>
      </c>
      <c r="F1568" t="s">
        <v>687</v>
      </c>
      <c r="G1568" s="28">
        <v>28173</v>
      </c>
      <c r="H1568">
        <v>0</v>
      </c>
      <c r="I1568" s="29">
        <f t="shared" si="24"/>
        <v>28173</v>
      </c>
      <c r="J1568" t="str">
        <f>IFERROR(VLOOKUP(E1568,'LEAID Match'!$A$2:$B$168,2,FALSE),"")</f>
        <v/>
      </c>
    </row>
    <row r="1569" spans="1:10">
      <c r="A1569">
        <v>2017</v>
      </c>
      <c r="B1569" t="s">
        <v>1429</v>
      </c>
      <c r="C1569" t="s">
        <v>1431</v>
      </c>
      <c r="D1569" t="s">
        <v>1433</v>
      </c>
      <c r="E1569" t="s">
        <v>687</v>
      </c>
      <c r="F1569" t="s">
        <v>687</v>
      </c>
      <c r="G1569" s="28">
        <v>29712</v>
      </c>
      <c r="H1569">
        <v>0</v>
      </c>
      <c r="I1569" s="29">
        <f t="shared" si="24"/>
        <v>29712</v>
      </c>
      <c r="J1569" t="str">
        <f>IFERROR(VLOOKUP(E1569,'LEAID Match'!$A$2:$B$168,2,FALSE),"")</f>
        <v/>
      </c>
    </row>
    <row r="1570" spans="1:10">
      <c r="A1570" s="27">
        <v>2018</v>
      </c>
      <c r="B1570" t="s">
        <v>1429</v>
      </c>
      <c r="C1570" t="s">
        <v>1431</v>
      </c>
      <c r="D1570" t="s">
        <v>1433</v>
      </c>
      <c r="E1570" t="s">
        <v>687</v>
      </c>
      <c r="F1570" s="9" t="s">
        <v>687</v>
      </c>
      <c r="G1570" s="18">
        <v>26082</v>
      </c>
      <c r="H1570">
        <v>0</v>
      </c>
      <c r="I1570" s="29">
        <f t="shared" si="24"/>
        <v>26082</v>
      </c>
      <c r="J1570" t="str">
        <f>IFERROR(VLOOKUP(E1570,'LEAID Match'!$A$2:$B$168,2,FALSE),"")</f>
        <v/>
      </c>
    </row>
    <row r="1571" spans="1:10">
      <c r="A1571">
        <v>2019</v>
      </c>
      <c r="B1571" t="s">
        <v>1429</v>
      </c>
      <c r="C1571" t="s">
        <v>1431</v>
      </c>
      <c r="D1571" t="s">
        <v>1433</v>
      </c>
      <c r="E1571" t="s">
        <v>687</v>
      </c>
      <c r="F1571" s="9" t="s">
        <v>687</v>
      </c>
      <c r="G1571" s="18">
        <v>22231</v>
      </c>
      <c r="H1571">
        <v>0</v>
      </c>
      <c r="I1571" s="29">
        <f t="shared" si="24"/>
        <v>22231</v>
      </c>
      <c r="J1571" t="str">
        <f>IFERROR(VLOOKUP(E1571,'LEAID Match'!$A$2:$B$168,2,FALSE),"")</f>
        <v/>
      </c>
    </row>
    <row r="1572" spans="1:10">
      <c r="A1572">
        <v>2016</v>
      </c>
      <c r="B1572" t="s">
        <v>1429</v>
      </c>
      <c r="C1572" t="s">
        <v>1431</v>
      </c>
      <c r="D1572" t="s">
        <v>1433</v>
      </c>
      <c r="E1572" t="s">
        <v>457</v>
      </c>
      <c r="F1572" t="s">
        <v>688</v>
      </c>
      <c r="G1572" s="28">
        <v>122285</v>
      </c>
      <c r="H1572">
        <v>0</v>
      </c>
      <c r="I1572" s="29">
        <f t="shared" si="24"/>
        <v>122285</v>
      </c>
      <c r="J1572">
        <f>IFERROR(VLOOKUP(E1572,'LEAID Match'!$A$2:$B$168,2,FALSE),"")</f>
        <v>3303303</v>
      </c>
    </row>
    <row r="1573" spans="1:10">
      <c r="A1573">
        <v>2017</v>
      </c>
      <c r="B1573" t="s">
        <v>1429</v>
      </c>
      <c r="C1573" t="s">
        <v>1431</v>
      </c>
      <c r="D1573" t="s">
        <v>1433</v>
      </c>
      <c r="E1573" t="s">
        <v>457</v>
      </c>
      <c r="F1573" t="s">
        <v>688</v>
      </c>
      <c r="G1573" s="28">
        <v>103852</v>
      </c>
      <c r="H1573">
        <v>0</v>
      </c>
      <c r="I1573" s="29">
        <f t="shared" si="24"/>
        <v>103852</v>
      </c>
      <c r="J1573">
        <f>IFERROR(VLOOKUP(E1573,'LEAID Match'!$A$2:$B$168,2,FALSE),"")</f>
        <v>3303303</v>
      </c>
    </row>
    <row r="1574" spans="1:10">
      <c r="A1574" s="27">
        <v>2018</v>
      </c>
      <c r="B1574" t="s">
        <v>1429</v>
      </c>
      <c r="C1574" t="s">
        <v>1431</v>
      </c>
      <c r="D1574" t="s">
        <v>1433</v>
      </c>
      <c r="E1574" t="s">
        <v>457</v>
      </c>
      <c r="F1574" s="9" t="s">
        <v>688</v>
      </c>
      <c r="G1574" s="18">
        <v>153735</v>
      </c>
      <c r="H1574">
        <v>0</v>
      </c>
      <c r="I1574" s="29">
        <f t="shared" si="24"/>
        <v>153735</v>
      </c>
      <c r="J1574">
        <f>IFERROR(VLOOKUP(E1574,'LEAID Match'!$A$2:$B$168,2,FALSE),"")</f>
        <v>3303303</v>
      </c>
    </row>
    <row r="1575" spans="1:10">
      <c r="A1575">
        <v>2019</v>
      </c>
      <c r="B1575" t="s">
        <v>1429</v>
      </c>
      <c r="C1575" t="s">
        <v>1431</v>
      </c>
      <c r="D1575" t="s">
        <v>1433</v>
      </c>
      <c r="E1575" t="s">
        <v>457</v>
      </c>
      <c r="F1575" s="9" t="s">
        <v>688</v>
      </c>
      <c r="G1575" s="18">
        <v>137551</v>
      </c>
      <c r="H1575">
        <v>0</v>
      </c>
      <c r="I1575" s="29">
        <f t="shared" si="24"/>
        <v>137551</v>
      </c>
      <c r="J1575">
        <f>IFERROR(VLOOKUP(E1575,'LEAID Match'!$A$2:$B$168,2,FALSE),"")</f>
        <v>3303303</v>
      </c>
    </row>
    <row r="1576" spans="1:10">
      <c r="A1576" s="27">
        <v>2020</v>
      </c>
      <c r="B1576" t="s">
        <v>1429</v>
      </c>
      <c r="C1576" t="s">
        <v>1431</v>
      </c>
      <c r="D1576" t="s">
        <v>1433</v>
      </c>
      <c r="E1576" t="s">
        <v>457</v>
      </c>
      <c r="F1576" s="9" t="s">
        <v>457</v>
      </c>
      <c r="G1576" s="18">
        <v>141407</v>
      </c>
      <c r="H1576">
        <v>0</v>
      </c>
      <c r="I1576" s="29">
        <f t="shared" si="24"/>
        <v>141407</v>
      </c>
      <c r="J1576">
        <f>IFERROR(VLOOKUP(E1576,'LEAID Match'!$A$2:$B$168,2,FALSE),"")</f>
        <v>3303303</v>
      </c>
    </row>
    <row r="1577" spans="1:10">
      <c r="A1577">
        <v>2021</v>
      </c>
      <c r="B1577" t="s">
        <v>1429</v>
      </c>
      <c r="C1577" t="s">
        <v>1431</v>
      </c>
      <c r="D1577" t="s">
        <v>1433</v>
      </c>
      <c r="E1577" t="s">
        <v>457</v>
      </c>
      <c r="F1577" s="9" t="s">
        <v>457</v>
      </c>
      <c r="G1577" s="18">
        <v>151117</v>
      </c>
      <c r="H1577">
        <v>0</v>
      </c>
      <c r="I1577" s="29">
        <f t="shared" si="24"/>
        <v>151117</v>
      </c>
      <c r="J1577">
        <f>IFERROR(VLOOKUP(E1577,'LEAID Match'!$A$2:$B$168,2,FALSE),"")</f>
        <v>3303303</v>
      </c>
    </row>
    <row r="1578" spans="1:10">
      <c r="A1578">
        <v>2022</v>
      </c>
      <c r="B1578" t="s">
        <v>1429</v>
      </c>
      <c r="C1578" t="s">
        <v>1431</v>
      </c>
      <c r="D1578" t="s">
        <v>1433</v>
      </c>
      <c r="E1578" t="s">
        <v>457</v>
      </c>
      <c r="F1578" s="9" t="s">
        <v>457</v>
      </c>
      <c r="G1578" s="18">
        <v>185116</v>
      </c>
      <c r="H1578">
        <v>0</v>
      </c>
      <c r="I1578" s="29">
        <f t="shared" si="24"/>
        <v>185116</v>
      </c>
      <c r="J1578">
        <f>IFERROR(VLOOKUP(E1578,'LEAID Match'!$A$2:$B$168,2,FALSE),"")</f>
        <v>3303303</v>
      </c>
    </row>
    <row r="1579" spans="1:10">
      <c r="A1579">
        <v>2023</v>
      </c>
      <c r="B1579" t="s">
        <v>1429</v>
      </c>
      <c r="C1579" t="s">
        <v>1431</v>
      </c>
      <c r="D1579" t="s">
        <v>1433</v>
      </c>
      <c r="E1579" t="s">
        <v>457</v>
      </c>
      <c r="F1579" t="s">
        <v>457</v>
      </c>
      <c r="G1579" s="28">
        <v>196050</v>
      </c>
      <c r="H1579">
        <v>0</v>
      </c>
      <c r="I1579" s="29">
        <f t="shared" si="24"/>
        <v>196050</v>
      </c>
      <c r="J1579">
        <f>IFERROR(VLOOKUP(E1579,'LEAID Match'!$A$2:$B$168,2,FALSE),"")</f>
        <v>3303303</v>
      </c>
    </row>
    <row r="1580" spans="1:10">
      <c r="A1580">
        <v>2015</v>
      </c>
      <c r="B1580" t="s">
        <v>1429</v>
      </c>
      <c r="C1580" t="s">
        <v>1431</v>
      </c>
      <c r="D1580" t="s">
        <v>1433</v>
      </c>
      <c r="E1580" t="s">
        <v>689</v>
      </c>
      <c r="F1580" s="9" t="s">
        <v>1156</v>
      </c>
      <c r="G1580" s="18">
        <v>217443.85</v>
      </c>
      <c r="H1580">
        <v>0</v>
      </c>
      <c r="I1580" s="29">
        <f t="shared" si="24"/>
        <v>217443.85</v>
      </c>
      <c r="J1580" t="str">
        <f>IFERROR(VLOOKUP(E1580,'LEAID Match'!$A$2:$B$168,2,FALSE),"")</f>
        <v/>
      </c>
    </row>
    <row r="1581" spans="1:10">
      <c r="A1581">
        <v>2016</v>
      </c>
      <c r="B1581" t="s">
        <v>1429</v>
      </c>
      <c r="C1581" t="s">
        <v>1431</v>
      </c>
      <c r="D1581" t="s">
        <v>1433</v>
      </c>
      <c r="E1581" t="s">
        <v>689</v>
      </c>
      <c r="F1581" t="s">
        <v>689</v>
      </c>
      <c r="G1581" s="28">
        <v>202570</v>
      </c>
      <c r="H1581">
        <v>0</v>
      </c>
      <c r="I1581" s="29">
        <f t="shared" si="24"/>
        <v>202570</v>
      </c>
      <c r="J1581" t="str">
        <f>IFERROR(VLOOKUP(E1581,'LEAID Match'!$A$2:$B$168,2,FALSE),"")</f>
        <v/>
      </c>
    </row>
    <row r="1582" spans="1:10">
      <c r="A1582">
        <v>2017</v>
      </c>
      <c r="B1582" t="s">
        <v>1429</v>
      </c>
      <c r="C1582" t="s">
        <v>1431</v>
      </c>
      <c r="D1582" t="s">
        <v>1433</v>
      </c>
      <c r="E1582" t="s">
        <v>689</v>
      </c>
      <c r="F1582" t="s">
        <v>689</v>
      </c>
      <c r="G1582" s="28">
        <v>218106</v>
      </c>
      <c r="H1582">
        <v>0</v>
      </c>
      <c r="I1582" s="29">
        <f t="shared" si="24"/>
        <v>218106</v>
      </c>
      <c r="J1582" t="str">
        <f>IFERROR(VLOOKUP(E1582,'LEAID Match'!$A$2:$B$168,2,FALSE),"")</f>
        <v/>
      </c>
    </row>
    <row r="1583" spans="1:10">
      <c r="A1583" s="27">
        <v>2018</v>
      </c>
      <c r="B1583" t="s">
        <v>1429</v>
      </c>
      <c r="C1583" t="s">
        <v>1431</v>
      </c>
      <c r="D1583" t="s">
        <v>1433</v>
      </c>
      <c r="E1583" t="s">
        <v>689</v>
      </c>
      <c r="F1583" s="9" t="s">
        <v>689</v>
      </c>
      <c r="G1583" s="18">
        <v>253905</v>
      </c>
      <c r="H1583">
        <v>0</v>
      </c>
      <c r="I1583" s="29">
        <f t="shared" si="24"/>
        <v>253905</v>
      </c>
      <c r="J1583" t="str">
        <f>IFERROR(VLOOKUP(E1583,'LEAID Match'!$A$2:$B$168,2,FALSE),"")</f>
        <v/>
      </c>
    </row>
    <row r="1584" spans="1:10">
      <c r="A1584">
        <v>2019</v>
      </c>
      <c r="B1584" t="s">
        <v>1429</v>
      </c>
      <c r="C1584" t="s">
        <v>1431</v>
      </c>
      <c r="D1584" t="s">
        <v>1433</v>
      </c>
      <c r="E1584" t="s">
        <v>689</v>
      </c>
      <c r="F1584" s="9" t="s">
        <v>689</v>
      </c>
      <c r="G1584" s="18">
        <v>251831</v>
      </c>
      <c r="H1584">
        <v>0</v>
      </c>
      <c r="I1584" s="29">
        <f t="shared" si="24"/>
        <v>251831</v>
      </c>
      <c r="J1584" t="str">
        <f>IFERROR(VLOOKUP(E1584,'LEAID Match'!$A$2:$B$168,2,FALSE),"")</f>
        <v/>
      </c>
    </row>
    <row r="1585" spans="1:10">
      <c r="A1585">
        <v>2015</v>
      </c>
      <c r="B1585" t="s">
        <v>1429</v>
      </c>
      <c r="C1585" t="s">
        <v>1431</v>
      </c>
      <c r="D1585" t="s">
        <v>1433</v>
      </c>
      <c r="E1585" t="s">
        <v>458</v>
      </c>
      <c r="F1585" s="9" t="s">
        <v>1157</v>
      </c>
      <c r="G1585" s="18">
        <v>376014.92</v>
      </c>
      <c r="H1585">
        <v>0</v>
      </c>
      <c r="I1585" s="29">
        <f t="shared" si="24"/>
        <v>376014.92</v>
      </c>
      <c r="J1585">
        <f>IFERROR(VLOOKUP(E1585,'LEAID Match'!$A$2:$B$168,2,FALSE),"")</f>
        <v>3304260</v>
      </c>
    </row>
    <row r="1586" spans="1:10">
      <c r="A1586">
        <v>2016</v>
      </c>
      <c r="B1586" t="s">
        <v>1429</v>
      </c>
      <c r="C1586" t="s">
        <v>1431</v>
      </c>
      <c r="D1586" t="s">
        <v>1433</v>
      </c>
      <c r="E1586" t="s">
        <v>458</v>
      </c>
      <c r="F1586" t="s">
        <v>690</v>
      </c>
      <c r="G1586" s="28">
        <v>400248</v>
      </c>
      <c r="H1586">
        <v>0</v>
      </c>
      <c r="I1586" s="29">
        <f t="shared" si="24"/>
        <v>400248</v>
      </c>
      <c r="J1586">
        <f>IFERROR(VLOOKUP(E1586,'LEAID Match'!$A$2:$B$168,2,FALSE),"")</f>
        <v>3304260</v>
      </c>
    </row>
    <row r="1587" spans="1:10">
      <c r="A1587">
        <v>2017</v>
      </c>
      <c r="B1587" t="s">
        <v>1429</v>
      </c>
      <c r="C1587" t="s">
        <v>1431</v>
      </c>
      <c r="D1587" t="s">
        <v>1433</v>
      </c>
      <c r="E1587" t="s">
        <v>458</v>
      </c>
      <c r="F1587" t="s">
        <v>690</v>
      </c>
      <c r="G1587" s="28">
        <v>408414</v>
      </c>
      <c r="H1587">
        <v>0</v>
      </c>
      <c r="I1587" s="29">
        <f t="shared" si="24"/>
        <v>408414</v>
      </c>
      <c r="J1587">
        <f>IFERROR(VLOOKUP(E1587,'LEAID Match'!$A$2:$B$168,2,FALSE),"")</f>
        <v>3304260</v>
      </c>
    </row>
    <row r="1588" spans="1:10">
      <c r="A1588" s="27">
        <v>2018</v>
      </c>
      <c r="B1588" t="s">
        <v>1429</v>
      </c>
      <c r="C1588" t="s">
        <v>1431</v>
      </c>
      <c r="D1588" t="s">
        <v>1433</v>
      </c>
      <c r="E1588" t="s">
        <v>458</v>
      </c>
      <c r="F1588" s="9" t="s">
        <v>690</v>
      </c>
      <c r="G1588" s="18">
        <v>512474</v>
      </c>
      <c r="H1588">
        <v>0</v>
      </c>
      <c r="I1588" s="29">
        <f t="shared" si="24"/>
        <v>512474</v>
      </c>
      <c r="J1588">
        <f>IFERROR(VLOOKUP(E1588,'LEAID Match'!$A$2:$B$168,2,FALSE),"")</f>
        <v>3304260</v>
      </c>
    </row>
    <row r="1589" spans="1:10">
      <c r="A1589">
        <v>2019</v>
      </c>
      <c r="B1589" t="s">
        <v>1429</v>
      </c>
      <c r="C1589" t="s">
        <v>1431</v>
      </c>
      <c r="D1589" t="s">
        <v>1433</v>
      </c>
      <c r="E1589" t="s">
        <v>458</v>
      </c>
      <c r="F1589" s="9" t="s">
        <v>690</v>
      </c>
      <c r="G1589" s="18">
        <v>528349</v>
      </c>
      <c r="H1589">
        <v>0</v>
      </c>
      <c r="I1589" s="29">
        <f t="shared" si="24"/>
        <v>528349</v>
      </c>
      <c r="J1589">
        <f>IFERROR(VLOOKUP(E1589,'LEAID Match'!$A$2:$B$168,2,FALSE),"")</f>
        <v>3304260</v>
      </c>
    </row>
    <row r="1590" spans="1:10">
      <c r="A1590" s="27">
        <v>2020</v>
      </c>
      <c r="B1590" t="s">
        <v>1429</v>
      </c>
      <c r="C1590" t="s">
        <v>1431</v>
      </c>
      <c r="D1590" t="s">
        <v>1433</v>
      </c>
      <c r="E1590" t="s">
        <v>458</v>
      </c>
      <c r="F1590" s="9" t="s">
        <v>458</v>
      </c>
      <c r="G1590" s="18">
        <v>509527</v>
      </c>
      <c r="H1590">
        <v>0</v>
      </c>
      <c r="I1590" s="29">
        <f t="shared" si="24"/>
        <v>509527</v>
      </c>
      <c r="J1590">
        <f>IFERROR(VLOOKUP(E1590,'LEAID Match'!$A$2:$B$168,2,FALSE),"")</f>
        <v>3304260</v>
      </c>
    </row>
    <row r="1591" spans="1:10">
      <c r="A1591">
        <v>2021</v>
      </c>
      <c r="B1591" t="s">
        <v>1429</v>
      </c>
      <c r="C1591" t="s">
        <v>1431</v>
      </c>
      <c r="D1591" t="s">
        <v>1433</v>
      </c>
      <c r="E1591" t="s">
        <v>458</v>
      </c>
      <c r="F1591" s="9" t="s">
        <v>458</v>
      </c>
      <c r="G1591" s="18">
        <v>523697</v>
      </c>
      <c r="H1591">
        <v>0</v>
      </c>
      <c r="I1591" s="29">
        <f t="shared" si="24"/>
        <v>523697</v>
      </c>
      <c r="J1591">
        <f>IFERROR(VLOOKUP(E1591,'LEAID Match'!$A$2:$B$168,2,FALSE),"")</f>
        <v>3304260</v>
      </c>
    </row>
    <row r="1592" spans="1:10">
      <c r="A1592">
        <v>2022</v>
      </c>
      <c r="B1592" t="s">
        <v>1429</v>
      </c>
      <c r="C1592" t="s">
        <v>1431</v>
      </c>
      <c r="D1592" t="s">
        <v>1433</v>
      </c>
      <c r="E1592" t="s">
        <v>458</v>
      </c>
      <c r="F1592" s="9" t="s">
        <v>458</v>
      </c>
      <c r="G1592" s="18">
        <v>656115</v>
      </c>
      <c r="H1592">
        <v>0</v>
      </c>
      <c r="I1592" s="29">
        <f t="shared" si="24"/>
        <v>656115</v>
      </c>
      <c r="J1592">
        <f>IFERROR(VLOOKUP(E1592,'LEAID Match'!$A$2:$B$168,2,FALSE),"")</f>
        <v>3304260</v>
      </c>
    </row>
    <row r="1593" spans="1:10">
      <c r="A1593">
        <v>2023</v>
      </c>
      <c r="B1593" t="s">
        <v>1429</v>
      </c>
      <c r="C1593" t="s">
        <v>1431</v>
      </c>
      <c r="D1593" t="s">
        <v>1433</v>
      </c>
      <c r="E1593" t="s">
        <v>458</v>
      </c>
      <c r="F1593" t="s">
        <v>458</v>
      </c>
      <c r="G1593" s="28">
        <v>624995</v>
      </c>
      <c r="H1593">
        <v>0</v>
      </c>
      <c r="I1593" s="29">
        <f t="shared" si="24"/>
        <v>624995</v>
      </c>
      <c r="J1593">
        <f>IFERROR(VLOOKUP(E1593,'LEAID Match'!$A$2:$B$168,2,FALSE),"")</f>
        <v>3304260</v>
      </c>
    </row>
    <row r="1594" spans="1:10">
      <c r="A1594">
        <v>2015</v>
      </c>
      <c r="B1594" t="s">
        <v>1429</v>
      </c>
      <c r="C1594" t="s">
        <v>1431</v>
      </c>
      <c r="D1594" t="s">
        <v>1433</v>
      </c>
      <c r="E1594" t="s">
        <v>691</v>
      </c>
      <c r="F1594" s="9" t="s">
        <v>1158</v>
      </c>
      <c r="G1594" s="18">
        <v>38037.19</v>
      </c>
      <c r="H1594">
        <v>0</v>
      </c>
      <c r="I1594" s="29">
        <f t="shared" si="24"/>
        <v>38037.19</v>
      </c>
      <c r="J1594" t="str">
        <f>IFERROR(VLOOKUP(E1594,'LEAID Match'!$A$2:$B$168,2,FALSE),"")</f>
        <v/>
      </c>
    </row>
    <row r="1595" spans="1:10">
      <c r="A1595">
        <v>2016</v>
      </c>
      <c r="B1595" t="s">
        <v>1429</v>
      </c>
      <c r="C1595" t="s">
        <v>1431</v>
      </c>
      <c r="D1595" t="s">
        <v>1433</v>
      </c>
      <c r="E1595" t="s">
        <v>691</v>
      </c>
      <c r="F1595" t="s">
        <v>691</v>
      </c>
      <c r="G1595" s="28">
        <v>40269</v>
      </c>
      <c r="H1595">
        <v>0</v>
      </c>
      <c r="I1595" s="29">
        <f t="shared" si="24"/>
        <v>40269</v>
      </c>
      <c r="J1595" t="str">
        <f>IFERROR(VLOOKUP(E1595,'LEAID Match'!$A$2:$B$168,2,FALSE),"")</f>
        <v/>
      </c>
    </row>
    <row r="1596" spans="1:10">
      <c r="A1596">
        <v>2017</v>
      </c>
      <c r="B1596" t="s">
        <v>1429</v>
      </c>
      <c r="C1596" t="s">
        <v>1431</v>
      </c>
      <c r="D1596" t="s">
        <v>1433</v>
      </c>
      <c r="E1596" t="s">
        <v>691</v>
      </c>
      <c r="F1596" t="s">
        <v>691</v>
      </c>
      <c r="G1596" s="28">
        <v>40264</v>
      </c>
      <c r="H1596">
        <v>0</v>
      </c>
      <c r="I1596" s="29">
        <f t="shared" si="24"/>
        <v>40264</v>
      </c>
      <c r="J1596" t="str">
        <f>IFERROR(VLOOKUP(E1596,'LEAID Match'!$A$2:$B$168,2,FALSE),"")</f>
        <v/>
      </c>
    </row>
    <row r="1597" spans="1:10">
      <c r="A1597" s="27">
        <v>2018</v>
      </c>
      <c r="B1597" t="s">
        <v>1429</v>
      </c>
      <c r="C1597" t="s">
        <v>1431</v>
      </c>
      <c r="D1597" t="s">
        <v>1433</v>
      </c>
      <c r="E1597" t="s">
        <v>691</v>
      </c>
      <c r="F1597" s="9" t="s">
        <v>691</v>
      </c>
      <c r="G1597" s="18">
        <v>49780</v>
      </c>
      <c r="H1597">
        <v>0</v>
      </c>
      <c r="I1597" s="29">
        <f t="shared" si="24"/>
        <v>49780</v>
      </c>
      <c r="J1597" t="str">
        <f>IFERROR(VLOOKUP(E1597,'LEAID Match'!$A$2:$B$168,2,FALSE),"")</f>
        <v/>
      </c>
    </row>
    <row r="1598" spans="1:10">
      <c r="A1598">
        <v>2019</v>
      </c>
      <c r="B1598" t="s">
        <v>1429</v>
      </c>
      <c r="C1598" t="s">
        <v>1431</v>
      </c>
      <c r="D1598" t="s">
        <v>1433</v>
      </c>
      <c r="E1598" t="s">
        <v>691</v>
      </c>
      <c r="F1598" s="9" t="s">
        <v>691</v>
      </c>
      <c r="G1598" s="18">
        <v>50789</v>
      </c>
      <c r="H1598">
        <v>0</v>
      </c>
      <c r="I1598" s="29">
        <f t="shared" si="24"/>
        <v>50789</v>
      </c>
      <c r="J1598" t="str">
        <f>IFERROR(VLOOKUP(E1598,'LEAID Match'!$A$2:$B$168,2,FALSE),"")</f>
        <v/>
      </c>
    </row>
    <row r="1599" spans="1:10">
      <c r="A1599">
        <v>2015</v>
      </c>
      <c r="B1599" t="s">
        <v>1429</v>
      </c>
      <c r="C1599" t="s">
        <v>1431</v>
      </c>
      <c r="D1599" t="s">
        <v>1433</v>
      </c>
      <c r="E1599" t="s">
        <v>459</v>
      </c>
      <c r="F1599" s="9" t="s">
        <v>1159</v>
      </c>
      <c r="G1599" s="18">
        <v>335985.68</v>
      </c>
      <c r="H1599">
        <v>0</v>
      </c>
      <c r="I1599" s="29">
        <f t="shared" si="24"/>
        <v>335985.68</v>
      </c>
      <c r="J1599">
        <f>IFERROR(VLOOKUP(E1599,'LEAID Match'!$A$2:$B$168,2,FALSE),"")</f>
        <v>3304290</v>
      </c>
    </row>
    <row r="1600" spans="1:10">
      <c r="A1600">
        <v>2016</v>
      </c>
      <c r="B1600" t="s">
        <v>1429</v>
      </c>
      <c r="C1600" t="s">
        <v>1431</v>
      </c>
      <c r="D1600" t="s">
        <v>1433</v>
      </c>
      <c r="E1600" t="s">
        <v>459</v>
      </c>
      <c r="F1600" t="s">
        <v>692</v>
      </c>
      <c r="G1600" s="28">
        <v>339204</v>
      </c>
      <c r="H1600">
        <v>0</v>
      </c>
      <c r="I1600" s="29">
        <f t="shared" si="24"/>
        <v>339204</v>
      </c>
      <c r="J1600">
        <f>IFERROR(VLOOKUP(E1600,'LEAID Match'!$A$2:$B$168,2,FALSE),"")</f>
        <v>3304290</v>
      </c>
    </row>
    <row r="1601" spans="1:10">
      <c r="A1601">
        <v>2017</v>
      </c>
      <c r="B1601" t="s">
        <v>1429</v>
      </c>
      <c r="C1601" t="s">
        <v>1431</v>
      </c>
      <c r="D1601" t="s">
        <v>1433</v>
      </c>
      <c r="E1601" t="s">
        <v>459</v>
      </c>
      <c r="F1601" t="s">
        <v>692</v>
      </c>
      <c r="G1601" s="28">
        <v>357054</v>
      </c>
      <c r="H1601">
        <v>0</v>
      </c>
      <c r="I1601" s="29">
        <f t="shared" si="24"/>
        <v>357054</v>
      </c>
      <c r="J1601">
        <f>IFERROR(VLOOKUP(E1601,'LEAID Match'!$A$2:$B$168,2,FALSE),"")</f>
        <v>3304290</v>
      </c>
    </row>
    <row r="1602" spans="1:10">
      <c r="A1602" s="27">
        <v>2018</v>
      </c>
      <c r="B1602" t="s">
        <v>1429</v>
      </c>
      <c r="C1602" t="s">
        <v>1431</v>
      </c>
      <c r="D1602" t="s">
        <v>1433</v>
      </c>
      <c r="E1602" t="s">
        <v>459</v>
      </c>
      <c r="F1602" s="9" t="s">
        <v>692</v>
      </c>
      <c r="G1602" s="18">
        <v>432515</v>
      </c>
      <c r="H1602">
        <v>0</v>
      </c>
      <c r="I1602" s="29">
        <f t="shared" si="24"/>
        <v>432515</v>
      </c>
      <c r="J1602">
        <f>IFERROR(VLOOKUP(E1602,'LEAID Match'!$A$2:$B$168,2,FALSE),"")</f>
        <v>3304290</v>
      </c>
    </row>
    <row r="1603" spans="1:10">
      <c r="A1603">
        <v>2019</v>
      </c>
      <c r="B1603" t="s">
        <v>1429</v>
      </c>
      <c r="C1603" t="s">
        <v>1431</v>
      </c>
      <c r="D1603" t="s">
        <v>1433</v>
      </c>
      <c r="E1603" t="s">
        <v>459</v>
      </c>
      <c r="F1603" s="9" t="s">
        <v>692</v>
      </c>
      <c r="G1603" s="18">
        <v>436014</v>
      </c>
      <c r="H1603">
        <v>0</v>
      </c>
      <c r="I1603" s="29">
        <f t="shared" ref="I1603:I1666" si="25">SUM(G1603:H1603)</f>
        <v>436014</v>
      </c>
      <c r="J1603">
        <f>IFERROR(VLOOKUP(E1603,'LEAID Match'!$A$2:$B$168,2,FALSE),"")</f>
        <v>3304290</v>
      </c>
    </row>
    <row r="1604" spans="1:10">
      <c r="A1604" s="27">
        <v>2020</v>
      </c>
      <c r="B1604" t="s">
        <v>1429</v>
      </c>
      <c r="C1604" t="s">
        <v>1431</v>
      </c>
      <c r="D1604" t="s">
        <v>1433</v>
      </c>
      <c r="E1604" t="s">
        <v>459</v>
      </c>
      <c r="F1604" s="9" t="s">
        <v>459</v>
      </c>
      <c r="G1604" s="18">
        <v>454073</v>
      </c>
      <c r="H1604">
        <v>0</v>
      </c>
      <c r="I1604" s="29">
        <f t="shared" si="25"/>
        <v>454073</v>
      </c>
      <c r="J1604">
        <f>IFERROR(VLOOKUP(E1604,'LEAID Match'!$A$2:$B$168,2,FALSE),"")</f>
        <v>3304290</v>
      </c>
    </row>
    <row r="1605" spans="1:10">
      <c r="A1605">
        <v>2021</v>
      </c>
      <c r="B1605" t="s">
        <v>1429</v>
      </c>
      <c r="C1605" t="s">
        <v>1431</v>
      </c>
      <c r="D1605" t="s">
        <v>1433</v>
      </c>
      <c r="E1605" t="s">
        <v>459</v>
      </c>
      <c r="F1605" s="9" t="s">
        <v>459</v>
      </c>
      <c r="G1605" s="18">
        <v>466493</v>
      </c>
      <c r="H1605">
        <v>0</v>
      </c>
      <c r="I1605" s="29">
        <f t="shared" si="25"/>
        <v>466493</v>
      </c>
      <c r="J1605">
        <f>IFERROR(VLOOKUP(E1605,'LEAID Match'!$A$2:$B$168,2,FALSE),"")</f>
        <v>3304290</v>
      </c>
    </row>
    <row r="1606" spans="1:10">
      <c r="A1606">
        <v>2022</v>
      </c>
      <c r="B1606" t="s">
        <v>1429</v>
      </c>
      <c r="C1606" t="s">
        <v>1431</v>
      </c>
      <c r="D1606" t="s">
        <v>1433</v>
      </c>
      <c r="E1606" t="s">
        <v>459</v>
      </c>
      <c r="F1606" s="9" t="s">
        <v>459</v>
      </c>
      <c r="G1606" s="18">
        <v>594919</v>
      </c>
      <c r="H1606">
        <v>0</v>
      </c>
      <c r="I1606" s="29">
        <f t="shared" si="25"/>
        <v>594919</v>
      </c>
      <c r="J1606">
        <f>IFERROR(VLOOKUP(E1606,'LEAID Match'!$A$2:$B$168,2,FALSE),"")</f>
        <v>3304290</v>
      </c>
    </row>
    <row r="1607" spans="1:10">
      <c r="A1607">
        <v>2023</v>
      </c>
      <c r="B1607" t="s">
        <v>1429</v>
      </c>
      <c r="C1607" t="s">
        <v>1431</v>
      </c>
      <c r="D1607" t="s">
        <v>1433</v>
      </c>
      <c r="E1607" t="s">
        <v>459</v>
      </c>
      <c r="F1607" t="s">
        <v>459</v>
      </c>
      <c r="G1607" s="28">
        <v>565778</v>
      </c>
      <c r="H1607">
        <v>0</v>
      </c>
      <c r="I1607" s="29">
        <f t="shared" si="25"/>
        <v>565778</v>
      </c>
      <c r="J1607">
        <f>IFERROR(VLOOKUP(E1607,'LEAID Match'!$A$2:$B$168,2,FALSE),"")</f>
        <v>3304290</v>
      </c>
    </row>
    <row r="1608" spans="1:10">
      <c r="A1608">
        <v>2015</v>
      </c>
      <c r="B1608" t="s">
        <v>1429</v>
      </c>
      <c r="C1608" t="s">
        <v>1431</v>
      </c>
      <c r="D1608" t="s">
        <v>1433</v>
      </c>
      <c r="E1608" t="s">
        <v>693</v>
      </c>
      <c r="F1608" s="9" t="s">
        <v>1160</v>
      </c>
      <c r="G1608" s="18">
        <v>281661.59000000003</v>
      </c>
      <c r="H1608">
        <v>0</v>
      </c>
      <c r="I1608" s="29">
        <f t="shared" si="25"/>
        <v>281661.59000000003</v>
      </c>
      <c r="J1608" t="str">
        <f>IFERROR(VLOOKUP(E1608,'LEAID Match'!$A$2:$B$168,2,FALSE),"")</f>
        <v/>
      </c>
    </row>
    <row r="1609" spans="1:10">
      <c r="A1609">
        <v>2016</v>
      </c>
      <c r="B1609" t="s">
        <v>1429</v>
      </c>
      <c r="C1609" t="s">
        <v>1431</v>
      </c>
      <c r="D1609" t="s">
        <v>1433</v>
      </c>
      <c r="E1609" t="s">
        <v>693</v>
      </c>
      <c r="F1609" t="s">
        <v>693</v>
      </c>
      <c r="G1609" s="28">
        <v>331564</v>
      </c>
      <c r="H1609">
        <v>0</v>
      </c>
      <c r="I1609" s="29">
        <f t="shared" si="25"/>
        <v>331564</v>
      </c>
      <c r="J1609" t="str">
        <f>IFERROR(VLOOKUP(E1609,'LEAID Match'!$A$2:$B$168,2,FALSE),"")</f>
        <v/>
      </c>
    </row>
    <row r="1610" spans="1:10">
      <c r="A1610">
        <v>2017</v>
      </c>
      <c r="B1610" t="s">
        <v>1429</v>
      </c>
      <c r="C1610" t="s">
        <v>1431</v>
      </c>
      <c r="D1610" t="s">
        <v>1433</v>
      </c>
      <c r="E1610" t="s">
        <v>693</v>
      </c>
      <c r="F1610" t="s">
        <v>693</v>
      </c>
      <c r="G1610" s="28">
        <v>343750</v>
      </c>
      <c r="H1610">
        <v>0</v>
      </c>
      <c r="I1610" s="29">
        <f t="shared" si="25"/>
        <v>343750</v>
      </c>
      <c r="J1610" t="str">
        <f>IFERROR(VLOOKUP(E1610,'LEAID Match'!$A$2:$B$168,2,FALSE),"")</f>
        <v/>
      </c>
    </row>
    <row r="1611" spans="1:10">
      <c r="A1611" s="27">
        <v>2018</v>
      </c>
      <c r="B1611" t="s">
        <v>1429</v>
      </c>
      <c r="C1611" t="s">
        <v>1431</v>
      </c>
      <c r="D1611" t="s">
        <v>1433</v>
      </c>
      <c r="E1611" t="s">
        <v>693</v>
      </c>
      <c r="F1611" s="9" t="s">
        <v>693</v>
      </c>
      <c r="G1611" s="18">
        <v>387289</v>
      </c>
      <c r="H1611">
        <v>0</v>
      </c>
      <c r="I1611" s="29">
        <f t="shared" si="25"/>
        <v>387289</v>
      </c>
      <c r="J1611" t="str">
        <f>IFERROR(VLOOKUP(E1611,'LEAID Match'!$A$2:$B$168,2,FALSE),"")</f>
        <v/>
      </c>
    </row>
    <row r="1612" spans="1:10">
      <c r="A1612">
        <v>2019</v>
      </c>
      <c r="B1612" t="s">
        <v>1429</v>
      </c>
      <c r="C1612" t="s">
        <v>1431</v>
      </c>
      <c r="D1612" t="s">
        <v>1433</v>
      </c>
      <c r="E1612" t="s">
        <v>693</v>
      </c>
      <c r="F1612" s="9" t="s">
        <v>693</v>
      </c>
      <c r="G1612" s="18">
        <v>393753</v>
      </c>
      <c r="H1612">
        <v>0</v>
      </c>
      <c r="I1612" s="29">
        <f t="shared" si="25"/>
        <v>393753</v>
      </c>
      <c r="J1612" t="str">
        <f>IFERROR(VLOOKUP(E1612,'LEAID Match'!$A$2:$B$168,2,FALSE),"")</f>
        <v/>
      </c>
    </row>
    <row r="1613" spans="1:10">
      <c r="A1613">
        <v>2015</v>
      </c>
      <c r="B1613" t="s">
        <v>1429</v>
      </c>
      <c r="C1613" t="s">
        <v>1431</v>
      </c>
      <c r="D1613" t="s">
        <v>1433</v>
      </c>
      <c r="E1613" t="s">
        <v>460</v>
      </c>
      <c r="F1613" s="9" t="s">
        <v>1161</v>
      </c>
      <c r="G1613" s="18">
        <v>1026725.51</v>
      </c>
      <c r="H1613">
        <v>0</v>
      </c>
      <c r="I1613" s="29">
        <f t="shared" si="25"/>
        <v>1026725.51</v>
      </c>
      <c r="J1613">
        <f>IFERROR(VLOOKUP(E1613,'LEAID Match'!$A$2:$B$168,2,FALSE),"")</f>
        <v>3304350</v>
      </c>
    </row>
    <row r="1614" spans="1:10">
      <c r="A1614">
        <v>2016</v>
      </c>
      <c r="B1614" t="s">
        <v>1429</v>
      </c>
      <c r="C1614" t="s">
        <v>1431</v>
      </c>
      <c r="D1614" t="s">
        <v>1433</v>
      </c>
      <c r="E1614" t="s">
        <v>460</v>
      </c>
      <c r="F1614" t="s">
        <v>694</v>
      </c>
      <c r="G1614" s="28">
        <v>1106639</v>
      </c>
      <c r="H1614">
        <v>0</v>
      </c>
      <c r="I1614" s="29">
        <f t="shared" si="25"/>
        <v>1106639</v>
      </c>
      <c r="J1614">
        <f>IFERROR(VLOOKUP(E1614,'LEAID Match'!$A$2:$B$168,2,FALSE),"")</f>
        <v>3304350</v>
      </c>
    </row>
    <row r="1615" spans="1:10">
      <c r="A1615">
        <v>2017</v>
      </c>
      <c r="B1615" t="s">
        <v>1429</v>
      </c>
      <c r="C1615" t="s">
        <v>1431</v>
      </c>
      <c r="D1615" t="s">
        <v>1433</v>
      </c>
      <c r="E1615" t="s">
        <v>460</v>
      </c>
      <c r="F1615" t="s">
        <v>694</v>
      </c>
      <c r="G1615" s="28">
        <v>1116234</v>
      </c>
      <c r="H1615">
        <v>0</v>
      </c>
      <c r="I1615" s="29">
        <f t="shared" si="25"/>
        <v>1116234</v>
      </c>
      <c r="J1615">
        <f>IFERROR(VLOOKUP(E1615,'LEAID Match'!$A$2:$B$168,2,FALSE),"")</f>
        <v>3304350</v>
      </c>
    </row>
    <row r="1616" spans="1:10">
      <c r="A1616" s="27">
        <v>2018</v>
      </c>
      <c r="B1616" t="s">
        <v>1429</v>
      </c>
      <c r="C1616" t="s">
        <v>1431</v>
      </c>
      <c r="D1616" t="s">
        <v>1433</v>
      </c>
      <c r="E1616" t="s">
        <v>460</v>
      </c>
      <c r="F1616" s="9" t="s">
        <v>694</v>
      </c>
      <c r="G1616" s="18">
        <v>1415091</v>
      </c>
      <c r="H1616">
        <v>0</v>
      </c>
      <c r="I1616" s="29">
        <f t="shared" si="25"/>
        <v>1415091</v>
      </c>
      <c r="J1616">
        <f>IFERROR(VLOOKUP(E1616,'LEAID Match'!$A$2:$B$168,2,FALSE),"")</f>
        <v>3304350</v>
      </c>
    </row>
    <row r="1617" spans="1:10">
      <c r="A1617">
        <v>2019</v>
      </c>
      <c r="B1617" t="s">
        <v>1429</v>
      </c>
      <c r="C1617" t="s">
        <v>1431</v>
      </c>
      <c r="D1617" t="s">
        <v>1433</v>
      </c>
      <c r="E1617" t="s">
        <v>460</v>
      </c>
      <c r="F1617" s="9" t="s">
        <v>694</v>
      </c>
      <c r="G1617" s="18">
        <v>1486422</v>
      </c>
      <c r="H1617">
        <v>0</v>
      </c>
      <c r="I1617" s="29">
        <f t="shared" si="25"/>
        <v>1486422</v>
      </c>
      <c r="J1617">
        <f>IFERROR(VLOOKUP(E1617,'LEAID Match'!$A$2:$B$168,2,FALSE),"")</f>
        <v>3304350</v>
      </c>
    </row>
    <row r="1618" spans="1:10">
      <c r="A1618" s="27">
        <v>2020</v>
      </c>
      <c r="B1618" t="s">
        <v>1429</v>
      </c>
      <c r="C1618" t="s">
        <v>1431</v>
      </c>
      <c r="D1618" t="s">
        <v>1433</v>
      </c>
      <c r="E1618" t="s">
        <v>460</v>
      </c>
      <c r="F1618" s="9" t="s">
        <v>460</v>
      </c>
      <c r="G1618" s="18">
        <v>1552862</v>
      </c>
      <c r="H1618">
        <v>0</v>
      </c>
      <c r="I1618" s="29">
        <f t="shared" si="25"/>
        <v>1552862</v>
      </c>
      <c r="J1618">
        <f>IFERROR(VLOOKUP(E1618,'LEAID Match'!$A$2:$B$168,2,FALSE),"")</f>
        <v>3304350</v>
      </c>
    </row>
    <row r="1619" spans="1:10">
      <c r="A1619">
        <v>2021</v>
      </c>
      <c r="B1619" t="s">
        <v>1429</v>
      </c>
      <c r="C1619" t="s">
        <v>1431</v>
      </c>
      <c r="D1619" t="s">
        <v>1433</v>
      </c>
      <c r="E1619" t="s">
        <v>460</v>
      </c>
      <c r="F1619" s="9" t="s">
        <v>460</v>
      </c>
      <c r="G1619" s="18">
        <v>1560300</v>
      </c>
      <c r="H1619">
        <v>0</v>
      </c>
      <c r="I1619" s="29">
        <f t="shared" si="25"/>
        <v>1560300</v>
      </c>
      <c r="J1619">
        <f>IFERROR(VLOOKUP(E1619,'LEAID Match'!$A$2:$B$168,2,FALSE),"")</f>
        <v>3304350</v>
      </c>
    </row>
    <row r="1620" spans="1:10">
      <c r="A1620">
        <v>2022</v>
      </c>
      <c r="B1620" t="s">
        <v>1429</v>
      </c>
      <c r="C1620" t="s">
        <v>1431</v>
      </c>
      <c r="D1620" t="s">
        <v>1433</v>
      </c>
      <c r="E1620" t="s">
        <v>460</v>
      </c>
      <c r="F1620" s="9" t="s">
        <v>460</v>
      </c>
      <c r="G1620" s="18">
        <v>1998611</v>
      </c>
      <c r="H1620">
        <v>0</v>
      </c>
      <c r="I1620" s="29">
        <f t="shared" si="25"/>
        <v>1998611</v>
      </c>
      <c r="J1620">
        <f>IFERROR(VLOOKUP(E1620,'LEAID Match'!$A$2:$B$168,2,FALSE),"")</f>
        <v>3304350</v>
      </c>
    </row>
    <row r="1621" spans="1:10">
      <c r="A1621">
        <v>2023</v>
      </c>
      <c r="B1621" t="s">
        <v>1429</v>
      </c>
      <c r="C1621" t="s">
        <v>1431</v>
      </c>
      <c r="D1621" t="s">
        <v>1433</v>
      </c>
      <c r="E1621" t="s">
        <v>460</v>
      </c>
      <c r="F1621" t="s">
        <v>460</v>
      </c>
      <c r="G1621" s="28">
        <v>2019301</v>
      </c>
      <c r="H1621">
        <v>0</v>
      </c>
      <c r="I1621" s="29">
        <f t="shared" si="25"/>
        <v>2019301</v>
      </c>
      <c r="J1621">
        <f>IFERROR(VLOOKUP(E1621,'LEAID Match'!$A$2:$B$168,2,FALSE),"")</f>
        <v>3304350</v>
      </c>
    </row>
    <row r="1622" spans="1:10">
      <c r="A1622">
        <v>2015</v>
      </c>
      <c r="B1622" t="s">
        <v>1429</v>
      </c>
      <c r="C1622" t="s">
        <v>1431</v>
      </c>
      <c r="D1622" t="s">
        <v>1433</v>
      </c>
      <c r="E1622" t="s">
        <v>695</v>
      </c>
      <c r="F1622" s="9" t="s">
        <v>1162</v>
      </c>
      <c r="G1622" s="18">
        <v>364584.41</v>
      </c>
      <c r="H1622">
        <v>0</v>
      </c>
      <c r="I1622" s="29">
        <f t="shared" si="25"/>
        <v>364584.41</v>
      </c>
      <c r="J1622" t="str">
        <f>IFERROR(VLOOKUP(E1622,'LEAID Match'!$A$2:$B$168,2,FALSE),"")</f>
        <v/>
      </c>
    </row>
    <row r="1623" spans="1:10">
      <c r="A1623">
        <v>2016</v>
      </c>
      <c r="B1623" t="s">
        <v>1429</v>
      </c>
      <c r="C1623" t="s">
        <v>1431</v>
      </c>
      <c r="D1623" t="s">
        <v>1433</v>
      </c>
      <c r="E1623" t="s">
        <v>695</v>
      </c>
      <c r="F1623" t="s">
        <v>695</v>
      </c>
      <c r="G1623" s="28">
        <v>397983</v>
      </c>
      <c r="H1623">
        <v>0</v>
      </c>
      <c r="I1623" s="29">
        <f t="shared" si="25"/>
        <v>397983</v>
      </c>
      <c r="J1623" t="str">
        <f>IFERROR(VLOOKUP(E1623,'LEAID Match'!$A$2:$B$168,2,FALSE),"")</f>
        <v/>
      </c>
    </row>
    <row r="1624" spans="1:10">
      <c r="A1624">
        <v>2017</v>
      </c>
      <c r="B1624" t="s">
        <v>1429</v>
      </c>
      <c r="C1624" t="s">
        <v>1431</v>
      </c>
      <c r="D1624" t="s">
        <v>1433</v>
      </c>
      <c r="E1624" t="s">
        <v>695</v>
      </c>
      <c r="F1624" t="s">
        <v>695</v>
      </c>
      <c r="G1624" s="28">
        <v>409897</v>
      </c>
      <c r="H1624">
        <v>0</v>
      </c>
      <c r="I1624" s="29">
        <f t="shared" si="25"/>
        <v>409897</v>
      </c>
      <c r="J1624" t="str">
        <f>IFERROR(VLOOKUP(E1624,'LEAID Match'!$A$2:$B$168,2,FALSE),"")</f>
        <v/>
      </c>
    </row>
    <row r="1625" spans="1:10">
      <c r="A1625" s="27">
        <v>2018</v>
      </c>
      <c r="B1625" t="s">
        <v>1429</v>
      </c>
      <c r="C1625" t="s">
        <v>1431</v>
      </c>
      <c r="D1625" t="s">
        <v>1433</v>
      </c>
      <c r="E1625" t="s">
        <v>695</v>
      </c>
      <c r="F1625" s="9" t="s">
        <v>695</v>
      </c>
      <c r="G1625" s="18">
        <v>466188</v>
      </c>
      <c r="H1625">
        <v>0</v>
      </c>
      <c r="I1625" s="29">
        <f t="shared" si="25"/>
        <v>466188</v>
      </c>
      <c r="J1625" t="str">
        <f>IFERROR(VLOOKUP(E1625,'LEAID Match'!$A$2:$B$168,2,FALSE),"")</f>
        <v/>
      </c>
    </row>
    <row r="1626" spans="1:10">
      <c r="A1626">
        <v>2019</v>
      </c>
      <c r="B1626" t="s">
        <v>1429</v>
      </c>
      <c r="C1626" t="s">
        <v>1431</v>
      </c>
      <c r="D1626" t="s">
        <v>1433</v>
      </c>
      <c r="E1626" t="s">
        <v>695</v>
      </c>
      <c r="F1626" s="9" t="s">
        <v>695</v>
      </c>
      <c r="G1626" s="18">
        <v>502062</v>
      </c>
      <c r="H1626">
        <v>0</v>
      </c>
      <c r="I1626" s="29">
        <f t="shared" si="25"/>
        <v>502062</v>
      </c>
      <c r="J1626" t="str">
        <f>IFERROR(VLOOKUP(E1626,'LEAID Match'!$A$2:$B$168,2,FALSE),"")</f>
        <v/>
      </c>
    </row>
    <row r="1627" spans="1:10">
      <c r="A1627">
        <v>2015</v>
      </c>
      <c r="B1627" t="s">
        <v>1429</v>
      </c>
      <c r="C1627" t="s">
        <v>1431</v>
      </c>
      <c r="D1627" t="s">
        <v>1433</v>
      </c>
      <c r="E1627" t="s">
        <v>461</v>
      </c>
      <c r="F1627" s="9" t="s">
        <v>1163</v>
      </c>
      <c r="G1627" s="18">
        <v>11931.3</v>
      </c>
      <c r="H1627">
        <v>0</v>
      </c>
      <c r="I1627" s="29">
        <f t="shared" si="25"/>
        <v>11931.3</v>
      </c>
      <c r="J1627" t="str">
        <f>IFERROR(VLOOKUP(E1627,'LEAID Match'!$A$2:$B$168,2,FALSE),"")</f>
        <v/>
      </c>
    </row>
    <row r="1628" spans="1:10">
      <c r="A1628" s="27">
        <v>2020</v>
      </c>
      <c r="B1628" t="s">
        <v>1429</v>
      </c>
      <c r="C1628" t="s">
        <v>1431</v>
      </c>
      <c r="D1628" t="s">
        <v>1433</v>
      </c>
      <c r="E1628" t="s">
        <v>461</v>
      </c>
      <c r="F1628" s="9" t="s">
        <v>461</v>
      </c>
      <c r="G1628" s="18">
        <v>15641</v>
      </c>
      <c r="H1628">
        <v>0</v>
      </c>
      <c r="I1628" s="29">
        <f t="shared" si="25"/>
        <v>15641</v>
      </c>
      <c r="J1628" t="str">
        <f>IFERROR(VLOOKUP(E1628,'LEAID Match'!$A$2:$B$168,2,FALSE),"")</f>
        <v/>
      </c>
    </row>
    <row r="1629" spans="1:10">
      <c r="A1629">
        <v>2021</v>
      </c>
      <c r="B1629" t="s">
        <v>1429</v>
      </c>
      <c r="C1629" t="s">
        <v>1431</v>
      </c>
      <c r="D1629" t="s">
        <v>1433</v>
      </c>
      <c r="E1629" t="s">
        <v>461</v>
      </c>
      <c r="F1629" s="9" t="s">
        <v>461</v>
      </c>
      <c r="G1629" s="18">
        <v>15846</v>
      </c>
      <c r="H1629">
        <v>0</v>
      </c>
      <c r="I1629" s="29">
        <f t="shared" si="25"/>
        <v>15846</v>
      </c>
      <c r="J1629" t="str">
        <f>IFERROR(VLOOKUP(E1629,'LEAID Match'!$A$2:$B$168,2,FALSE),"")</f>
        <v/>
      </c>
    </row>
    <row r="1630" spans="1:10">
      <c r="A1630">
        <v>2022</v>
      </c>
      <c r="B1630" t="s">
        <v>1429</v>
      </c>
      <c r="C1630" t="s">
        <v>1431</v>
      </c>
      <c r="D1630" t="s">
        <v>1433</v>
      </c>
      <c r="E1630" t="s">
        <v>461</v>
      </c>
      <c r="F1630" s="9" t="s">
        <v>461</v>
      </c>
      <c r="G1630" s="18">
        <v>20438</v>
      </c>
      <c r="H1630">
        <v>0</v>
      </c>
      <c r="I1630" s="29">
        <f t="shared" si="25"/>
        <v>20438</v>
      </c>
      <c r="J1630" t="str">
        <f>IFERROR(VLOOKUP(E1630,'LEAID Match'!$A$2:$B$168,2,FALSE),"")</f>
        <v/>
      </c>
    </row>
    <row r="1631" spans="1:10">
      <c r="A1631">
        <v>2023</v>
      </c>
      <c r="B1631" t="s">
        <v>1429</v>
      </c>
      <c r="C1631" t="s">
        <v>1431</v>
      </c>
      <c r="D1631" t="s">
        <v>1433</v>
      </c>
      <c r="E1631" t="s">
        <v>461</v>
      </c>
      <c r="F1631" t="s">
        <v>461</v>
      </c>
      <c r="G1631" s="28">
        <v>23016</v>
      </c>
      <c r="H1631">
        <v>0</v>
      </c>
      <c r="I1631" s="29">
        <f t="shared" si="25"/>
        <v>23016</v>
      </c>
      <c r="J1631" t="str">
        <f>IFERROR(VLOOKUP(E1631,'LEAID Match'!$A$2:$B$168,2,FALSE),"")</f>
        <v/>
      </c>
    </row>
    <row r="1632" spans="1:10">
      <c r="A1632">
        <v>2016</v>
      </c>
      <c r="B1632" t="s">
        <v>1429</v>
      </c>
      <c r="C1632" t="s">
        <v>1431</v>
      </c>
      <c r="D1632" t="s">
        <v>1433</v>
      </c>
      <c r="E1632" t="s">
        <v>696</v>
      </c>
      <c r="F1632" t="s">
        <v>696</v>
      </c>
      <c r="G1632" s="28">
        <v>13407</v>
      </c>
      <c r="H1632">
        <v>0</v>
      </c>
      <c r="I1632" s="29">
        <f t="shared" si="25"/>
        <v>13407</v>
      </c>
      <c r="J1632" t="str">
        <f>IFERROR(VLOOKUP(E1632,'LEAID Match'!$A$2:$B$168,2,FALSE),"")</f>
        <v/>
      </c>
    </row>
    <row r="1633" spans="1:10">
      <c r="A1633">
        <v>2017</v>
      </c>
      <c r="B1633" t="s">
        <v>1429</v>
      </c>
      <c r="C1633" t="s">
        <v>1431</v>
      </c>
      <c r="D1633" t="s">
        <v>1433</v>
      </c>
      <c r="E1633" t="s">
        <v>696</v>
      </c>
      <c r="F1633" t="s">
        <v>696</v>
      </c>
      <c r="G1633" s="28">
        <v>14275</v>
      </c>
      <c r="H1633">
        <v>0</v>
      </c>
      <c r="I1633" s="29">
        <f t="shared" si="25"/>
        <v>14275</v>
      </c>
      <c r="J1633" t="str">
        <f>IFERROR(VLOOKUP(E1633,'LEAID Match'!$A$2:$B$168,2,FALSE),"")</f>
        <v/>
      </c>
    </row>
    <row r="1634" spans="1:10">
      <c r="A1634" s="27">
        <v>2018</v>
      </c>
      <c r="B1634" t="s">
        <v>1429</v>
      </c>
      <c r="C1634" t="s">
        <v>1431</v>
      </c>
      <c r="D1634" t="s">
        <v>1433</v>
      </c>
      <c r="E1634" t="s">
        <v>696</v>
      </c>
      <c r="F1634" s="9" t="s">
        <v>696</v>
      </c>
      <c r="G1634" s="18">
        <v>16131</v>
      </c>
      <c r="H1634">
        <v>0</v>
      </c>
      <c r="I1634" s="29">
        <f t="shared" si="25"/>
        <v>16131</v>
      </c>
      <c r="J1634" t="str">
        <f>IFERROR(VLOOKUP(E1634,'LEAID Match'!$A$2:$B$168,2,FALSE),"")</f>
        <v/>
      </c>
    </row>
    <row r="1635" spans="1:10">
      <c r="A1635">
        <v>2019</v>
      </c>
      <c r="B1635" t="s">
        <v>1429</v>
      </c>
      <c r="C1635" t="s">
        <v>1431</v>
      </c>
      <c r="D1635" t="s">
        <v>1433</v>
      </c>
      <c r="E1635" t="s">
        <v>696</v>
      </c>
      <c r="F1635" s="9" t="s">
        <v>696</v>
      </c>
      <c r="G1635" s="18">
        <v>15000</v>
      </c>
      <c r="H1635">
        <v>0</v>
      </c>
      <c r="I1635" s="29">
        <f t="shared" si="25"/>
        <v>15000</v>
      </c>
      <c r="J1635" t="str">
        <f>IFERROR(VLOOKUP(E1635,'LEAID Match'!$A$2:$B$168,2,FALSE),"")</f>
        <v/>
      </c>
    </row>
    <row r="1636" spans="1:10">
      <c r="A1636">
        <v>2015</v>
      </c>
      <c r="B1636" t="s">
        <v>1429</v>
      </c>
      <c r="C1636" t="s">
        <v>1431</v>
      </c>
      <c r="D1636" t="s">
        <v>1433</v>
      </c>
      <c r="E1636" t="s">
        <v>462</v>
      </c>
      <c r="F1636" s="9" t="s">
        <v>1164</v>
      </c>
      <c r="G1636" s="18">
        <v>868988.44</v>
      </c>
      <c r="H1636">
        <v>0</v>
      </c>
      <c r="I1636" s="29">
        <f t="shared" si="25"/>
        <v>868988.44</v>
      </c>
      <c r="J1636">
        <f>IFERROR(VLOOKUP(E1636,'LEAID Match'!$A$2:$B$168,2,FALSE),"")</f>
        <v>3304380</v>
      </c>
    </row>
    <row r="1637" spans="1:10">
      <c r="A1637">
        <v>2016</v>
      </c>
      <c r="B1637" t="s">
        <v>1429</v>
      </c>
      <c r="C1637" t="s">
        <v>1431</v>
      </c>
      <c r="D1637" t="s">
        <v>1433</v>
      </c>
      <c r="E1637" t="s">
        <v>462</v>
      </c>
      <c r="F1637" t="s">
        <v>697</v>
      </c>
      <c r="G1637" s="28">
        <v>938253</v>
      </c>
      <c r="H1637">
        <v>0</v>
      </c>
      <c r="I1637" s="29">
        <f t="shared" si="25"/>
        <v>938253</v>
      </c>
      <c r="J1637">
        <f>IFERROR(VLOOKUP(E1637,'LEAID Match'!$A$2:$B$168,2,FALSE),"")</f>
        <v>3304380</v>
      </c>
    </row>
    <row r="1638" spans="1:10">
      <c r="A1638">
        <v>2017</v>
      </c>
      <c r="B1638" t="s">
        <v>1429</v>
      </c>
      <c r="C1638" t="s">
        <v>1431</v>
      </c>
      <c r="D1638" t="s">
        <v>1433</v>
      </c>
      <c r="E1638" t="s">
        <v>462</v>
      </c>
      <c r="F1638" t="s">
        <v>697</v>
      </c>
      <c r="G1638" s="28">
        <v>979052</v>
      </c>
      <c r="H1638">
        <v>0</v>
      </c>
      <c r="I1638" s="29">
        <f t="shared" si="25"/>
        <v>979052</v>
      </c>
      <c r="J1638">
        <f>IFERROR(VLOOKUP(E1638,'LEAID Match'!$A$2:$B$168,2,FALSE),"")</f>
        <v>3304380</v>
      </c>
    </row>
    <row r="1639" spans="1:10">
      <c r="A1639" s="27">
        <v>2018</v>
      </c>
      <c r="B1639" t="s">
        <v>1429</v>
      </c>
      <c r="C1639" t="s">
        <v>1431</v>
      </c>
      <c r="D1639" t="s">
        <v>1433</v>
      </c>
      <c r="E1639" t="s">
        <v>462</v>
      </c>
      <c r="F1639" s="9" t="s">
        <v>697</v>
      </c>
      <c r="G1639" s="18">
        <v>1050208</v>
      </c>
      <c r="H1639">
        <v>0</v>
      </c>
      <c r="I1639" s="29">
        <f t="shared" si="25"/>
        <v>1050208</v>
      </c>
      <c r="J1639">
        <f>IFERROR(VLOOKUP(E1639,'LEAID Match'!$A$2:$B$168,2,FALSE),"")</f>
        <v>3304380</v>
      </c>
    </row>
    <row r="1640" spans="1:10">
      <c r="A1640">
        <v>2019</v>
      </c>
      <c r="B1640" t="s">
        <v>1429</v>
      </c>
      <c r="C1640" t="s">
        <v>1431</v>
      </c>
      <c r="D1640" t="s">
        <v>1433</v>
      </c>
      <c r="E1640" t="s">
        <v>462</v>
      </c>
      <c r="F1640" s="9" t="s">
        <v>697</v>
      </c>
      <c r="G1640" s="18">
        <v>1098053</v>
      </c>
      <c r="H1640">
        <v>0</v>
      </c>
      <c r="I1640" s="29">
        <f t="shared" si="25"/>
        <v>1098053</v>
      </c>
      <c r="J1640">
        <f>IFERROR(VLOOKUP(E1640,'LEAID Match'!$A$2:$B$168,2,FALSE),"")</f>
        <v>3304380</v>
      </c>
    </row>
    <row r="1641" spans="1:10">
      <c r="A1641" s="27">
        <v>2020</v>
      </c>
      <c r="B1641" t="s">
        <v>1429</v>
      </c>
      <c r="C1641" t="s">
        <v>1431</v>
      </c>
      <c r="D1641" t="s">
        <v>1433</v>
      </c>
      <c r="E1641" t="s">
        <v>462</v>
      </c>
      <c r="F1641" s="9" t="s">
        <v>462</v>
      </c>
      <c r="G1641" s="18">
        <v>1129408</v>
      </c>
      <c r="H1641">
        <v>0</v>
      </c>
      <c r="I1641" s="29">
        <f t="shared" si="25"/>
        <v>1129408</v>
      </c>
      <c r="J1641">
        <f>IFERROR(VLOOKUP(E1641,'LEAID Match'!$A$2:$B$168,2,FALSE),"")</f>
        <v>3304380</v>
      </c>
    </row>
    <row r="1642" spans="1:10">
      <c r="A1642">
        <v>2021</v>
      </c>
      <c r="B1642" t="s">
        <v>1429</v>
      </c>
      <c r="C1642" t="s">
        <v>1431</v>
      </c>
      <c r="D1642" t="s">
        <v>1433</v>
      </c>
      <c r="E1642" t="s">
        <v>462</v>
      </c>
      <c r="F1642" s="9" t="s">
        <v>462</v>
      </c>
      <c r="G1642" s="18">
        <v>1101944</v>
      </c>
      <c r="H1642">
        <v>0</v>
      </c>
      <c r="I1642" s="29">
        <f t="shared" si="25"/>
        <v>1101944</v>
      </c>
      <c r="J1642">
        <f>IFERROR(VLOOKUP(E1642,'LEAID Match'!$A$2:$B$168,2,FALSE),"")</f>
        <v>3304380</v>
      </c>
    </row>
    <row r="1643" spans="1:10">
      <c r="A1643">
        <v>2022</v>
      </c>
      <c r="B1643" t="s">
        <v>1429</v>
      </c>
      <c r="C1643" t="s">
        <v>1431</v>
      </c>
      <c r="D1643" t="s">
        <v>1433</v>
      </c>
      <c r="E1643" t="s">
        <v>462</v>
      </c>
      <c r="F1643" s="9" t="s">
        <v>462</v>
      </c>
      <c r="G1643" s="18">
        <v>1378351</v>
      </c>
      <c r="H1643">
        <v>0</v>
      </c>
      <c r="I1643" s="29">
        <f t="shared" si="25"/>
        <v>1378351</v>
      </c>
      <c r="J1643">
        <f>IFERROR(VLOOKUP(E1643,'LEAID Match'!$A$2:$B$168,2,FALSE),"")</f>
        <v>3304380</v>
      </c>
    </row>
    <row r="1644" spans="1:10">
      <c r="A1644">
        <v>2023</v>
      </c>
      <c r="B1644" t="s">
        <v>1429</v>
      </c>
      <c r="C1644" t="s">
        <v>1431</v>
      </c>
      <c r="D1644" t="s">
        <v>1433</v>
      </c>
      <c r="E1644" t="s">
        <v>462</v>
      </c>
      <c r="F1644" t="s">
        <v>462</v>
      </c>
      <c r="G1644" s="28">
        <v>1488113</v>
      </c>
      <c r="H1644">
        <v>0</v>
      </c>
      <c r="I1644" s="29">
        <f t="shared" si="25"/>
        <v>1488113</v>
      </c>
      <c r="J1644">
        <f>IFERROR(VLOOKUP(E1644,'LEAID Match'!$A$2:$B$168,2,FALSE),"")</f>
        <v>3304380</v>
      </c>
    </row>
    <row r="1645" spans="1:10">
      <c r="A1645">
        <v>2015</v>
      </c>
      <c r="B1645" t="s">
        <v>1429</v>
      </c>
      <c r="C1645" t="s">
        <v>1431</v>
      </c>
      <c r="D1645" t="s">
        <v>1433</v>
      </c>
      <c r="E1645" t="s">
        <v>1420</v>
      </c>
      <c r="F1645" s="9" t="s">
        <v>1165</v>
      </c>
      <c r="G1645" s="18">
        <v>117107.33</v>
      </c>
      <c r="H1645">
        <v>0</v>
      </c>
      <c r="I1645" s="29">
        <f t="shared" si="25"/>
        <v>117107.33</v>
      </c>
      <c r="J1645" t="str">
        <f>IFERROR(VLOOKUP(E1645,'LEAID Match'!$A$2:$B$168,2,FALSE),"")</f>
        <v/>
      </c>
    </row>
    <row r="1646" spans="1:10">
      <c r="A1646">
        <v>2016</v>
      </c>
      <c r="B1646" t="s">
        <v>1429</v>
      </c>
      <c r="C1646" t="s">
        <v>1431</v>
      </c>
      <c r="D1646" t="s">
        <v>1433</v>
      </c>
      <c r="E1646" t="s">
        <v>1420</v>
      </c>
      <c r="F1646" t="s">
        <v>463</v>
      </c>
      <c r="G1646" s="28">
        <v>124646</v>
      </c>
      <c r="H1646">
        <v>0</v>
      </c>
      <c r="I1646" s="29">
        <f t="shared" si="25"/>
        <v>124646</v>
      </c>
      <c r="J1646" t="str">
        <f>IFERROR(VLOOKUP(E1646,'LEAID Match'!$A$2:$B$168,2,FALSE),"")</f>
        <v/>
      </c>
    </row>
    <row r="1647" spans="1:10">
      <c r="A1647">
        <v>2017</v>
      </c>
      <c r="B1647" t="s">
        <v>1429</v>
      </c>
      <c r="C1647" t="s">
        <v>1431</v>
      </c>
      <c r="D1647" t="s">
        <v>1433</v>
      </c>
      <c r="E1647" t="s">
        <v>1420</v>
      </c>
      <c r="F1647" t="s">
        <v>463</v>
      </c>
      <c r="G1647" s="28">
        <v>121418</v>
      </c>
      <c r="H1647">
        <v>0</v>
      </c>
      <c r="I1647" s="29">
        <f t="shared" si="25"/>
        <v>121418</v>
      </c>
      <c r="J1647" t="str">
        <f>IFERROR(VLOOKUP(E1647,'LEAID Match'!$A$2:$B$168,2,FALSE),"")</f>
        <v/>
      </c>
    </row>
    <row r="1648" spans="1:10">
      <c r="A1648" s="27">
        <v>2018</v>
      </c>
      <c r="B1648" t="s">
        <v>1429</v>
      </c>
      <c r="C1648" t="s">
        <v>1431</v>
      </c>
      <c r="D1648" t="s">
        <v>1433</v>
      </c>
      <c r="E1648" t="s">
        <v>1420</v>
      </c>
      <c r="F1648" s="9" t="s">
        <v>463</v>
      </c>
      <c r="G1648" s="18">
        <v>120906</v>
      </c>
      <c r="H1648">
        <v>0</v>
      </c>
      <c r="I1648" s="29">
        <f t="shared" si="25"/>
        <v>120906</v>
      </c>
      <c r="J1648" t="str">
        <f>IFERROR(VLOOKUP(E1648,'LEAID Match'!$A$2:$B$168,2,FALSE),"")</f>
        <v/>
      </c>
    </row>
    <row r="1649" spans="1:10">
      <c r="A1649">
        <v>2019</v>
      </c>
      <c r="B1649" t="s">
        <v>1429</v>
      </c>
      <c r="C1649" t="s">
        <v>1431</v>
      </c>
      <c r="D1649" t="s">
        <v>1433</v>
      </c>
      <c r="E1649" t="s">
        <v>1420</v>
      </c>
      <c r="F1649" s="9" t="s">
        <v>463</v>
      </c>
      <c r="G1649" s="18">
        <v>125942</v>
      </c>
      <c r="H1649">
        <v>0</v>
      </c>
      <c r="I1649" s="29">
        <f t="shared" si="25"/>
        <v>125942</v>
      </c>
      <c r="J1649" t="str">
        <f>IFERROR(VLOOKUP(E1649,'LEAID Match'!$A$2:$B$168,2,FALSE),"")</f>
        <v/>
      </c>
    </row>
    <row r="1650" spans="1:10">
      <c r="A1650" s="27">
        <v>2020</v>
      </c>
      <c r="B1650" t="s">
        <v>1429</v>
      </c>
      <c r="C1650" t="s">
        <v>1431</v>
      </c>
      <c r="D1650" t="s">
        <v>1433</v>
      </c>
      <c r="E1650" t="s">
        <v>1420</v>
      </c>
      <c r="F1650" s="9" t="s">
        <v>463</v>
      </c>
      <c r="G1650" s="18">
        <v>130981</v>
      </c>
      <c r="H1650">
        <v>0</v>
      </c>
      <c r="I1650" s="29">
        <f t="shared" si="25"/>
        <v>130981</v>
      </c>
      <c r="J1650" t="str">
        <f>IFERROR(VLOOKUP(E1650,'LEAID Match'!$A$2:$B$168,2,FALSE),"")</f>
        <v/>
      </c>
    </row>
    <row r="1651" spans="1:10">
      <c r="A1651">
        <v>2021</v>
      </c>
      <c r="B1651" t="s">
        <v>1429</v>
      </c>
      <c r="C1651" t="s">
        <v>1431</v>
      </c>
      <c r="D1651" t="s">
        <v>1433</v>
      </c>
      <c r="E1651" t="s">
        <v>1420</v>
      </c>
      <c r="F1651" s="9" t="s">
        <v>463</v>
      </c>
      <c r="G1651" s="18">
        <v>143980</v>
      </c>
      <c r="H1651">
        <v>0</v>
      </c>
      <c r="I1651" s="29">
        <f t="shared" si="25"/>
        <v>143980</v>
      </c>
      <c r="J1651" t="str">
        <f>IFERROR(VLOOKUP(E1651,'LEAID Match'!$A$2:$B$168,2,FALSE),"")</f>
        <v/>
      </c>
    </row>
    <row r="1652" spans="1:10">
      <c r="A1652">
        <v>2022</v>
      </c>
      <c r="B1652" t="s">
        <v>1429</v>
      </c>
      <c r="C1652" t="s">
        <v>1431</v>
      </c>
      <c r="D1652" t="s">
        <v>1433</v>
      </c>
      <c r="E1652" t="s">
        <v>1420</v>
      </c>
      <c r="F1652" s="9" t="s">
        <v>1420</v>
      </c>
      <c r="G1652" s="18">
        <v>177303</v>
      </c>
      <c r="H1652">
        <v>0</v>
      </c>
      <c r="I1652" s="29">
        <f t="shared" si="25"/>
        <v>177303</v>
      </c>
      <c r="J1652" t="str">
        <f>IFERROR(VLOOKUP(E1652,'LEAID Match'!$A$2:$B$168,2,FALSE),"")</f>
        <v/>
      </c>
    </row>
    <row r="1653" spans="1:10">
      <c r="A1653">
        <v>2023</v>
      </c>
      <c r="B1653" t="s">
        <v>1429</v>
      </c>
      <c r="C1653" t="s">
        <v>1431</v>
      </c>
      <c r="D1653" t="s">
        <v>1433</v>
      </c>
      <c r="E1653" t="s">
        <v>1420</v>
      </c>
      <c r="F1653" t="s">
        <v>1420</v>
      </c>
      <c r="G1653" s="28">
        <v>184203</v>
      </c>
      <c r="H1653">
        <v>0</v>
      </c>
      <c r="I1653" s="29">
        <f t="shared" si="25"/>
        <v>184203</v>
      </c>
      <c r="J1653" t="str">
        <f>IFERROR(VLOOKUP(E1653,'LEAID Match'!$A$2:$B$168,2,FALSE),"")</f>
        <v/>
      </c>
    </row>
    <row r="1654" spans="1:10">
      <c r="A1654">
        <v>2015</v>
      </c>
      <c r="B1654" t="s">
        <v>1429</v>
      </c>
      <c r="C1654" t="s">
        <v>1431</v>
      </c>
      <c r="D1654" t="s">
        <v>1433</v>
      </c>
      <c r="E1654" t="s">
        <v>698</v>
      </c>
      <c r="F1654" s="9" t="s">
        <v>1166</v>
      </c>
      <c r="G1654" s="18">
        <v>2449100.16</v>
      </c>
      <c r="H1654">
        <v>0</v>
      </c>
      <c r="I1654" s="29">
        <f t="shared" si="25"/>
        <v>2449100.16</v>
      </c>
      <c r="J1654" t="str">
        <f>IFERROR(VLOOKUP(E1654,'LEAID Match'!$A$2:$B$168,2,FALSE),"")</f>
        <v/>
      </c>
    </row>
    <row r="1655" spans="1:10">
      <c r="A1655">
        <v>2016</v>
      </c>
      <c r="B1655" t="s">
        <v>1429</v>
      </c>
      <c r="C1655" t="s">
        <v>1431</v>
      </c>
      <c r="D1655" t="s">
        <v>1433</v>
      </c>
      <c r="E1655" t="s">
        <v>698</v>
      </c>
      <c r="F1655" t="s">
        <v>698</v>
      </c>
      <c r="G1655" s="28">
        <v>2592978</v>
      </c>
      <c r="H1655">
        <v>0</v>
      </c>
      <c r="I1655" s="29">
        <f t="shared" si="25"/>
        <v>2592978</v>
      </c>
      <c r="J1655" t="str">
        <f>IFERROR(VLOOKUP(E1655,'LEAID Match'!$A$2:$B$168,2,FALSE),"")</f>
        <v/>
      </c>
    </row>
    <row r="1656" spans="1:10">
      <c r="A1656">
        <v>2017</v>
      </c>
      <c r="B1656" t="s">
        <v>1429</v>
      </c>
      <c r="C1656" t="s">
        <v>1431</v>
      </c>
      <c r="D1656" t="s">
        <v>1433</v>
      </c>
      <c r="E1656" t="s">
        <v>698</v>
      </c>
      <c r="F1656" t="s">
        <v>698</v>
      </c>
      <c r="G1656" s="28">
        <v>2644855</v>
      </c>
      <c r="H1656">
        <v>0</v>
      </c>
      <c r="I1656" s="29">
        <f t="shared" si="25"/>
        <v>2644855</v>
      </c>
      <c r="J1656" t="str">
        <f>IFERROR(VLOOKUP(E1656,'LEAID Match'!$A$2:$B$168,2,FALSE),"")</f>
        <v/>
      </c>
    </row>
    <row r="1657" spans="1:10">
      <c r="A1657" s="27">
        <v>2018</v>
      </c>
      <c r="B1657" t="s">
        <v>1429</v>
      </c>
      <c r="C1657" t="s">
        <v>1431</v>
      </c>
      <c r="D1657" t="s">
        <v>1433</v>
      </c>
      <c r="E1657" t="s">
        <v>698</v>
      </c>
      <c r="F1657" s="9" t="s">
        <v>698</v>
      </c>
      <c r="G1657" s="18">
        <v>3043600</v>
      </c>
      <c r="H1657">
        <v>0</v>
      </c>
      <c r="I1657" s="29">
        <f t="shared" si="25"/>
        <v>3043600</v>
      </c>
      <c r="J1657" t="str">
        <f>IFERROR(VLOOKUP(E1657,'LEAID Match'!$A$2:$B$168,2,FALSE),"")</f>
        <v/>
      </c>
    </row>
    <row r="1658" spans="1:10">
      <c r="A1658">
        <v>2019</v>
      </c>
      <c r="B1658" t="s">
        <v>1429</v>
      </c>
      <c r="C1658" t="s">
        <v>1431</v>
      </c>
      <c r="D1658" t="s">
        <v>1433</v>
      </c>
      <c r="E1658" t="s">
        <v>698</v>
      </c>
      <c r="F1658" s="9" t="s">
        <v>698</v>
      </c>
      <c r="G1658" s="18">
        <v>3093546</v>
      </c>
      <c r="H1658">
        <v>0</v>
      </c>
      <c r="I1658" s="29">
        <f t="shared" si="25"/>
        <v>3093546</v>
      </c>
      <c r="J1658" t="str">
        <f>IFERROR(VLOOKUP(E1658,'LEAID Match'!$A$2:$B$168,2,FALSE),"")</f>
        <v/>
      </c>
    </row>
    <row r="1659" spans="1:10">
      <c r="A1659">
        <v>2015</v>
      </c>
      <c r="B1659" t="s">
        <v>1429</v>
      </c>
      <c r="C1659" t="s">
        <v>1431</v>
      </c>
      <c r="D1659" t="s">
        <v>1433</v>
      </c>
      <c r="E1659" t="s">
        <v>464</v>
      </c>
      <c r="F1659" s="9" t="s">
        <v>1167</v>
      </c>
      <c r="G1659" s="18">
        <v>3876272.75</v>
      </c>
      <c r="H1659">
        <v>0</v>
      </c>
      <c r="I1659" s="29">
        <f t="shared" si="25"/>
        <v>3876272.75</v>
      </c>
      <c r="J1659">
        <f>IFERROR(VLOOKUP(E1659,'LEAID Match'!$A$2:$B$168,2,FALSE),"")</f>
        <v>3304410</v>
      </c>
    </row>
    <row r="1660" spans="1:10">
      <c r="A1660">
        <v>2016</v>
      </c>
      <c r="B1660" t="s">
        <v>1429</v>
      </c>
      <c r="C1660" t="s">
        <v>1431</v>
      </c>
      <c r="D1660" t="s">
        <v>1433</v>
      </c>
      <c r="E1660" t="s">
        <v>464</v>
      </c>
      <c r="F1660" t="s">
        <v>699</v>
      </c>
      <c r="G1660" s="28">
        <v>4233721</v>
      </c>
      <c r="H1660">
        <v>0</v>
      </c>
      <c r="I1660" s="29">
        <f t="shared" si="25"/>
        <v>4233721</v>
      </c>
      <c r="J1660">
        <f>IFERROR(VLOOKUP(E1660,'LEAID Match'!$A$2:$B$168,2,FALSE),"")</f>
        <v>3304410</v>
      </c>
    </row>
    <row r="1661" spans="1:10">
      <c r="A1661">
        <v>2017</v>
      </c>
      <c r="B1661" t="s">
        <v>1429</v>
      </c>
      <c r="C1661" t="s">
        <v>1431</v>
      </c>
      <c r="D1661" t="s">
        <v>1433</v>
      </c>
      <c r="E1661" t="s">
        <v>464</v>
      </c>
      <c r="F1661" t="s">
        <v>699</v>
      </c>
      <c r="G1661" s="28">
        <v>4308790</v>
      </c>
      <c r="H1661">
        <v>0</v>
      </c>
      <c r="I1661" s="29">
        <f t="shared" si="25"/>
        <v>4308790</v>
      </c>
      <c r="J1661">
        <f>IFERROR(VLOOKUP(E1661,'LEAID Match'!$A$2:$B$168,2,FALSE),"")</f>
        <v>3304410</v>
      </c>
    </row>
    <row r="1662" spans="1:10">
      <c r="A1662" s="27">
        <v>2018</v>
      </c>
      <c r="B1662" t="s">
        <v>1429</v>
      </c>
      <c r="C1662" t="s">
        <v>1431</v>
      </c>
      <c r="D1662" t="s">
        <v>1433</v>
      </c>
      <c r="E1662" t="s">
        <v>464</v>
      </c>
      <c r="F1662" s="9" t="s">
        <v>699</v>
      </c>
      <c r="G1662" s="18">
        <v>5238952</v>
      </c>
      <c r="H1662">
        <v>0</v>
      </c>
      <c r="I1662" s="29">
        <f t="shared" si="25"/>
        <v>5238952</v>
      </c>
      <c r="J1662">
        <f>IFERROR(VLOOKUP(E1662,'LEAID Match'!$A$2:$B$168,2,FALSE),"")</f>
        <v>3304410</v>
      </c>
    </row>
    <row r="1663" spans="1:10">
      <c r="A1663">
        <v>2019</v>
      </c>
      <c r="B1663" t="s">
        <v>1429</v>
      </c>
      <c r="C1663" t="s">
        <v>1431</v>
      </c>
      <c r="D1663" t="s">
        <v>1433</v>
      </c>
      <c r="E1663" t="s">
        <v>464</v>
      </c>
      <c r="F1663" s="9" t="s">
        <v>699</v>
      </c>
      <c r="G1663" s="18">
        <v>5302514</v>
      </c>
      <c r="H1663">
        <v>0</v>
      </c>
      <c r="I1663" s="29">
        <f t="shared" si="25"/>
        <v>5302514</v>
      </c>
      <c r="J1663">
        <f>IFERROR(VLOOKUP(E1663,'LEAID Match'!$A$2:$B$168,2,FALSE),"")</f>
        <v>3304410</v>
      </c>
    </row>
    <row r="1664" spans="1:10">
      <c r="A1664" s="27">
        <v>2020</v>
      </c>
      <c r="B1664" t="s">
        <v>1429</v>
      </c>
      <c r="C1664" t="s">
        <v>1431</v>
      </c>
      <c r="D1664" t="s">
        <v>1433</v>
      </c>
      <c r="E1664" t="s">
        <v>464</v>
      </c>
      <c r="F1664" s="9" t="s">
        <v>464</v>
      </c>
      <c r="G1664" s="18">
        <v>5549768</v>
      </c>
      <c r="H1664">
        <v>0</v>
      </c>
      <c r="I1664" s="29">
        <f t="shared" si="25"/>
        <v>5549768</v>
      </c>
      <c r="J1664">
        <f>IFERROR(VLOOKUP(E1664,'LEAID Match'!$A$2:$B$168,2,FALSE),"")</f>
        <v>3304410</v>
      </c>
    </row>
    <row r="1665" spans="1:10">
      <c r="A1665">
        <v>2021</v>
      </c>
      <c r="B1665" t="s">
        <v>1429</v>
      </c>
      <c r="C1665" t="s">
        <v>1431</v>
      </c>
      <c r="D1665" t="s">
        <v>1433</v>
      </c>
      <c r="E1665" t="s">
        <v>464</v>
      </c>
      <c r="F1665" s="9" t="s">
        <v>464</v>
      </c>
      <c r="G1665" s="18">
        <v>5765559</v>
      </c>
      <c r="H1665">
        <v>0</v>
      </c>
      <c r="I1665" s="29">
        <f t="shared" si="25"/>
        <v>5765559</v>
      </c>
      <c r="J1665">
        <f>IFERROR(VLOOKUP(E1665,'LEAID Match'!$A$2:$B$168,2,FALSE),"")</f>
        <v>3304410</v>
      </c>
    </row>
    <row r="1666" spans="1:10">
      <c r="A1666">
        <v>2022</v>
      </c>
      <c r="B1666" t="s">
        <v>1429</v>
      </c>
      <c r="C1666" t="s">
        <v>1431</v>
      </c>
      <c r="D1666" t="s">
        <v>1433</v>
      </c>
      <c r="E1666" t="s">
        <v>464</v>
      </c>
      <c r="F1666" s="9" t="s">
        <v>464</v>
      </c>
      <c r="G1666" s="18">
        <v>7094111</v>
      </c>
      <c r="H1666">
        <v>0</v>
      </c>
      <c r="I1666" s="29">
        <f t="shared" si="25"/>
        <v>7094111</v>
      </c>
      <c r="J1666">
        <f>IFERROR(VLOOKUP(E1666,'LEAID Match'!$A$2:$B$168,2,FALSE),"")</f>
        <v>3304410</v>
      </c>
    </row>
    <row r="1667" spans="1:10">
      <c r="A1667">
        <v>2023</v>
      </c>
      <c r="B1667" t="s">
        <v>1429</v>
      </c>
      <c r="C1667" t="s">
        <v>1431</v>
      </c>
      <c r="D1667" t="s">
        <v>1433</v>
      </c>
      <c r="E1667" t="s">
        <v>464</v>
      </c>
      <c r="F1667" t="s">
        <v>464</v>
      </c>
      <c r="G1667" s="28">
        <v>7246611</v>
      </c>
      <c r="H1667">
        <v>0</v>
      </c>
      <c r="I1667" s="29">
        <f t="shared" ref="I1667:I1730" si="26">SUM(G1667:H1667)</f>
        <v>7246611</v>
      </c>
      <c r="J1667">
        <f>IFERROR(VLOOKUP(E1667,'LEAID Match'!$A$2:$B$168,2,FALSE),"")</f>
        <v>3304410</v>
      </c>
    </row>
    <row r="1668" spans="1:10">
      <c r="A1668">
        <v>2015</v>
      </c>
      <c r="B1668" t="s">
        <v>1429</v>
      </c>
      <c r="C1668" t="s">
        <v>1431</v>
      </c>
      <c r="D1668" t="s">
        <v>1433</v>
      </c>
      <c r="E1668" t="s">
        <v>700</v>
      </c>
      <c r="F1668" s="9" t="s">
        <v>1168</v>
      </c>
      <c r="G1668" s="18">
        <v>168797.31</v>
      </c>
      <c r="H1668">
        <v>0</v>
      </c>
      <c r="I1668" s="29">
        <f t="shared" si="26"/>
        <v>168797.31</v>
      </c>
      <c r="J1668" t="str">
        <f>IFERROR(VLOOKUP(E1668,'LEAID Match'!$A$2:$B$168,2,FALSE),"")</f>
        <v/>
      </c>
    </row>
    <row r="1669" spans="1:10">
      <c r="A1669">
        <v>2016</v>
      </c>
      <c r="B1669" t="s">
        <v>1429</v>
      </c>
      <c r="C1669" t="s">
        <v>1431</v>
      </c>
      <c r="D1669" t="s">
        <v>1433</v>
      </c>
      <c r="E1669" t="s">
        <v>700</v>
      </c>
      <c r="F1669" t="s">
        <v>700</v>
      </c>
      <c r="G1669" s="28">
        <v>179285</v>
      </c>
      <c r="H1669">
        <v>0</v>
      </c>
      <c r="I1669" s="29">
        <f t="shared" si="26"/>
        <v>179285</v>
      </c>
      <c r="J1669" t="str">
        <f>IFERROR(VLOOKUP(E1669,'LEAID Match'!$A$2:$B$168,2,FALSE),"")</f>
        <v/>
      </c>
    </row>
    <row r="1670" spans="1:10">
      <c r="A1670">
        <v>2017</v>
      </c>
      <c r="B1670" t="s">
        <v>1429</v>
      </c>
      <c r="C1670" t="s">
        <v>1431</v>
      </c>
      <c r="D1670" t="s">
        <v>1433</v>
      </c>
      <c r="E1670" t="s">
        <v>700</v>
      </c>
      <c r="F1670" t="s">
        <v>700</v>
      </c>
      <c r="G1670" s="28">
        <v>197533</v>
      </c>
      <c r="H1670">
        <v>0</v>
      </c>
      <c r="I1670" s="29">
        <f t="shared" si="26"/>
        <v>197533</v>
      </c>
      <c r="J1670" t="str">
        <f>IFERROR(VLOOKUP(E1670,'LEAID Match'!$A$2:$B$168,2,FALSE),"")</f>
        <v/>
      </c>
    </row>
    <row r="1671" spans="1:10">
      <c r="A1671" s="27">
        <v>2018</v>
      </c>
      <c r="B1671" t="s">
        <v>1429</v>
      </c>
      <c r="C1671" t="s">
        <v>1431</v>
      </c>
      <c r="D1671" t="s">
        <v>1433</v>
      </c>
      <c r="E1671" t="s">
        <v>700</v>
      </c>
      <c r="F1671" s="9" t="s">
        <v>700</v>
      </c>
      <c r="G1671" s="18">
        <v>243647</v>
      </c>
      <c r="H1671">
        <v>0</v>
      </c>
      <c r="I1671" s="29">
        <f t="shared" si="26"/>
        <v>243647</v>
      </c>
      <c r="J1671" t="str">
        <f>IFERROR(VLOOKUP(E1671,'LEAID Match'!$A$2:$B$168,2,FALSE),"")</f>
        <v/>
      </c>
    </row>
    <row r="1672" spans="1:10">
      <c r="A1672">
        <v>2019</v>
      </c>
      <c r="B1672" t="s">
        <v>1429</v>
      </c>
      <c r="C1672" t="s">
        <v>1431</v>
      </c>
      <c r="D1672" t="s">
        <v>1433</v>
      </c>
      <c r="E1672" t="s">
        <v>700</v>
      </c>
      <c r="F1672" s="9" t="s">
        <v>700</v>
      </c>
      <c r="G1672" s="18">
        <v>251695</v>
      </c>
      <c r="H1672">
        <v>0</v>
      </c>
      <c r="I1672" s="29">
        <f t="shared" si="26"/>
        <v>251695</v>
      </c>
      <c r="J1672" t="str">
        <f>IFERROR(VLOOKUP(E1672,'LEAID Match'!$A$2:$B$168,2,FALSE),"")</f>
        <v/>
      </c>
    </row>
    <row r="1673" spans="1:10">
      <c r="A1673" s="27">
        <v>2020</v>
      </c>
      <c r="B1673" t="s">
        <v>1429</v>
      </c>
      <c r="C1673" t="s">
        <v>1431</v>
      </c>
      <c r="D1673" t="s">
        <v>1433</v>
      </c>
      <c r="E1673" t="s">
        <v>465</v>
      </c>
      <c r="F1673" s="9" t="s">
        <v>465</v>
      </c>
      <c r="G1673" s="18"/>
      <c r="H1673">
        <v>0</v>
      </c>
      <c r="I1673" s="29">
        <f t="shared" si="26"/>
        <v>0</v>
      </c>
      <c r="J1673" t="str">
        <f>IFERROR(VLOOKUP(E1673,'LEAID Match'!$A$2:$B$168,2,FALSE),"")</f>
        <v/>
      </c>
    </row>
    <row r="1674" spans="1:10">
      <c r="A1674">
        <v>2021</v>
      </c>
      <c r="B1674" t="s">
        <v>1429</v>
      </c>
      <c r="C1674" t="s">
        <v>1431</v>
      </c>
      <c r="D1674" t="s">
        <v>1433</v>
      </c>
      <c r="E1674" t="s">
        <v>465</v>
      </c>
      <c r="F1674" s="9" t="s">
        <v>465</v>
      </c>
      <c r="G1674" s="18">
        <v>2026</v>
      </c>
      <c r="H1674">
        <v>0</v>
      </c>
      <c r="I1674" s="29">
        <f t="shared" si="26"/>
        <v>2026</v>
      </c>
      <c r="J1674" t="str">
        <f>IFERROR(VLOOKUP(E1674,'LEAID Match'!$A$2:$B$168,2,FALSE),"")</f>
        <v/>
      </c>
    </row>
    <row r="1675" spans="1:10">
      <c r="A1675">
        <v>2022</v>
      </c>
      <c r="B1675" t="s">
        <v>1429</v>
      </c>
      <c r="C1675" t="s">
        <v>1431</v>
      </c>
      <c r="D1675" t="s">
        <v>1433</v>
      </c>
      <c r="E1675" t="s">
        <v>465</v>
      </c>
      <c r="F1675" s="9" t="s">
        <v>465</v>
      </c>
      <c r="G1675" s="18">
        <v>21318</v>
      </c>
      <c r="H1675">
        <v>0</v>
      </c>
      <c r="I1675" s="29">
        <f t="shared" si="26"/>
        <v>21318</v>
      </c>
      <c r="J1675" t="str">
        <f>IFERROR(VLOOKUP(E1675,'LEAID Match'!$A$2:$B$168,2,FALSE),"")</f>
        <v/>
      </c>
    </row>
    <row r="1676" spans="1:10">
      <c r="A1676">
        <v>2023</v>
      </c>
      <c r="B1676" t="s">
        <v>1429</v>
      </c>
      <c r="C1676" t="s">
        <v>1431</v>
      </c>
      <c r="D1676" t="s">
        <v>1433</v>
      </c>
      <c r="E1676" t="s">
        <v>465</v>
      </c>
      <c r="F1676" t="s">
        <v>465</v>
      </c>
      <c r="G1676" s="28">
        <v>23714</v>
      </c>
      <c r="H1676">
        <v>0</v>
      </c>
      <c r="I1676" s="29">
        <f t="shared" si="26"/>
        <v>23714</v>
      </c>
      <c r="J1676" t="str">
        <f>IFERROR(VLOOKUP(E1676,'LEAID Match'!$A$2:$B$168,2,FALSE),"")</f>
        <v/>
      </c>
    </row>
    <row r="1677" spans="1:10">
      <c r="A1677">
        <v>2015</v>
      </c>
      <c r="B1677" t="s">
        <v>1429</v>
      </c>
      <c r="C1677" t="s">
        <v>1431</v>
      </c>
      <c r="D1677" t="s">
        <v>1433</v>
      </c>
      <c r="E1677" t="s">
        <v>701</v>
      </c>
      <c r="F1677" s="9" t="s">
        <v>1169</v>
      </c>
      <c r="G1677" s="18">
        <v>63584.04</v>
      </c>
      <c r="H1677">
        <v>0</v>
      </c>
      <c r="I1677" s="29">
        <f t="shared" si="26"/>
        <v>63584.04</v>
      </c>
      <c r="J1677" t="str">
        <f>IFERROR(VLOOKUP(E1677,'LEAID Match'!$A$2:$B$168,2,FALSE),"")</f>
        <v/>
      </c>
    </row>
    <row r="1678" spans="1:10">
      <c r="A1678">
        <v>2016</v>
      </c>
      <c r="B1678" t="s">
        <v>1429</v>
      </c>
      <c r="C1678" t="s">
        <v>1431</v>
      </c>
      <c r="D1678" t="s">
        <v>1433</v>
      </c>
      <c r="E1678" t="s">
        <v>701</v>
      </c>
      <c r="F1678" t="s">
        <v>701</v>
      </c>
      <c r="G1678" s="28">
        <v>65854</v>
      </c>
      <c r="H1678">
        <v>0</v>
      </c>
      <c r="I1678" s="29">
        <f t="shared" si="26"/>
        <v>65854</v>
      </c>
      <c r="J1678" t="str">
        <f>IFERROR(VLOOKUP(E1678,'LEAID Match'!$A$2:$B$168,2,FALSE),"")</f>
        <v/>
      </c>
    </row>
    <row r="1679" spans="1:10">
      <c r="A1679">
        <v>2017</v>
      </c>
      <c r="B1679" t="s">
        <v>1429</v>
      </c>
      <c r="C1679" t="s">
        <v>1431</v>
      </c>
      <c r="D1679" t="s">
        <v>1433</v>
      </c>
      <c r="E1679" t="s">
        <v>701</v>
      </c>
      <c r="F1679" t="s">
        <v>701</v>
      </c>
      <c r="G1679" s="28">
        <v>59307</v>
      </c>
      <c r="H1679">
        <v>0</v>
      </c>
      <c r="I1679" s="29">
        <f t="shared" si="26"/>
        <v>59307</v>
      </c>
      <c r="J1679" t="str">
        <f>IFERROR(VLOOKUP(E1679,'LEAID Match'!$A$2:$B$168,2,FALSE),"")</f>
        <v/>
      </c>
    </row>
    <row r="1680" spans="1:10">
      <c r="A1680" s="27">
        <v>2018</v>
      </c>
      <c r="B1680" t="s">
        <v>1429</v>
      </c>
      <c r="C1680" t="s">
        <v>1431</v>
      </c>
      <c r="D1680" t="s">
        <v>1433</v>
      </c>
      <c r="E1680" t="s">
        <v>701</v>
      </c>
      <c r="F1680" s="9" t="s">
        <v>701</v>
      </c>
      <c r="G1680" s="18">
        <v>73511</v>
      </c>
      <c r="H1680">
        <v>0</v>
      </c>
      <c r="I1680" s="29">
        <f t="shared" si="26"/>
        <v>73511</v>
      </c>
      <c r="J1680" t="str">
        <f>IFERROR(VLOOKUP(E1680,'LEAID Match'!$A$2:$B$168,2,FALSE),"")</f>
        <v/>
      </c>
    </row>
    <row r="1681" spans="1:10">
      <c r="A1681">
        <v>2019</v>
      </c>
      <c r="B1681" t="s">
        <v>1429</v>
      </c>
      <c r="C1681" t="s">
        <v>1431</v>
      </c>
      <c r="D1681" t="s">
        <v>1433</v>
      </c>
      <c r="E1681" t="s">
        <v>701</v>
      </c>
      <c r="F1681" s="9" t="s">
        <v>701</v>
      </c>
      <c r="G1681" s="18">
        <v>82451</v>
      </c>
      <c r="H1681">
        <v>0</v>
      </c>
      <c r="I1681" s="29">
        <f t="shared" si="26"/>
        <v>82451</v>
      </c>
      <c r="J1681" t="str">
        <f>IFERROR(VLOOKUP(E1681,'LEAID Match'!$A$2:$B$168,2,FALSE),"")</f>
        <v/>
      </c>
    </row>
    <row r="1682" spans="1:10">
      <c r="A1682">
        <v>2015</v>
      </c>
      <c r="B1682" t="s">
        <v>1429</v>
      </c>
      <c r="C1682" t="s">
        <v>1431</v>
      </c>
      <c r="D1682" t="s">
        <v>1433</v>
      </c>
      <c r="E1682" t="s">
        <v>466</v>
      </c>
      <c r="F1682" s="9" t="s">
        <v>1170</v>
      </c>
      <c r="G1682" s="18">
        <v>209972.86</v>
      </c>
      <c r="H1682">
        <v>0</v>
      </c>
      <c r="I1682" s="29">
        <f t="shared" si="26"/>
        <v>209972.86</v>
      </c>
      <c r="J1682">
        <f>IFERROR(VLOOKUP(E1682,'LEAID Match'!$A$2:$B$168,2,FALSE),"")</f>
        <v>3304500</v>
      </c>
    </row>
    <row r="1683" spans="1:10">
      <c r="A1683">
        <v>2016</v>
      </c>
      <c r="B1683" t="s">
        <v>1429</v>
      </c>
      <c r="C1683" t="s">
        <v>1431</v>
      </c>
      <c r="D1683" t="s">
        <v>1433</v>
      </c>
      <c r="E1683" t="s">
        <v>466</v>
      </c>
      <c r="F1683" t="s">
        <v>702</v>
      </c>
      <c r="G1683" s="28">
        <v>229104</v>
      </c>
      <c r="H1683">
        <v>0</v>
      </c>
      <c r="I1683" s="29">
        <f t="shared" si="26"/>
        <v>229104</v>
      </c>
      <c r="J1683">
        <f>IFERROR(VLOOKUP(E1683,'LEAID Match'!$A$2:$B$168,2,FALSE),"")</f>
        <v>3304500</v>
      </c>
    </row>
    <row r="1684" spans="1:10">
      <c r="A1684">
        <v>2017</v>
      </c>
      <c r="B1684" t="s">
        <v>1429</v>
      </c>
      <c r="C1684" t="s">
        <v>1431</v>
      </c>
      <c r="D1684" t="s">
        <v>1433</v>
      </c>
      <c r="E1684" t="s">
        <v>466</v>
      </c>
      <c r="F1684" t="s">
        <v>702</v>
      </c>
      <c r="G1684" s="28">
        <v>249543</v>
      </c>
      <c r="H1684">
        <v>0</v>
      </c>
      <c r="I1684" s="29">
        <f t="shared" si="26"/>
        <v>249543</v>
      </c>
      <c r="J1684">
        <f>IFERROR(VLOOKUP(E1684,'LEAID Match'!$A$2:$B$168,2,FALSE),"")</f>
        <v>3304500</v>
      </c>
    </row>
    <row r="1685" spans="1:10">
      <c r="A1685" s="27">
        <v>2018</v>
      </c>
      <c r="B1685" t="s">
        <v>1429</v>
      </c>
      <c r="C1685" t="s">
        <v>1431</v>
      </c>
      <c r="D1685" t="s">
        <v>1433</v>
      </c>
      <c r="E1685" t="s">
        <v>466</v>
      </c>
      <c r="F1685" s="9" t="s">
        <v>702</v>
      </c>
      <c r="G1685" s="18">
        <v>297022</v>
      </c>
      <c r="H1685">
        <v>0</v>
      </c>
      <c r="I1685" s="29">
        <f t="shared" si="26"/>
        <v>297022</v>
      </c>
      <c r="J1685">
        <f>IFERROR(VLOOKUP(E1685,'LEAID Match'!$A$2:$B$168,2,FALSE),"")</f>
        <v>3304500</v>
      </c>
    </row>
    <row r="1686" spans="1:10">
      <c r="A1686">
        <v>2019</v>
      </c>
      <c r="B1686" t="s">
        <v>1429</v>
      </c>
      <c r="C1686" t="s">
        <v>1431</v>
      </c>
      <c r="D1686" t="s">
        <v>1433</v>
      </c>
      <c r="E1686" t="s">
        <v>466</v>
      </c>
      <c r="F1686" s="9" t="s">
        <v>702</v>
      </c>
      <c r="G1686" s="18">
        <v>324149</v>
      </c>
      <c r="H1686">
        <v>0</v>
      </c>
      <c r="I1686" s="29">
        <f t="shared" si="26"/>
        <v>324149</v>
      </c>
      <c r="J1686">
        <f>IFERROR(VLOOKUP(E1686,'LEAID Match'!$A$2:$B$168,2,FALSE),"")</f>
        <v>3304500</v>
      </c>
    </row>
    <row r="1687" spans="1:10">
      <c r="A1687" s="27">
        <v>2020</v>
      </c>
      <c r="B1687" t="s">
        <v>1429</v>
      </c>
      <c r="C1687" t="s">
        <v>1431</v>
      </c>
      <c r="D1687" t="s">
        <v>1433</v>
      </c>
      <c r="E1687" t="s">
        <v>466</v>
      </c>
      <c r="F1687" s="9" t="s">
        <v>466</v>
      </c>
      <c r="G1687" s="18">
        <v>354811</v>
      </c>
      <c r="H1687">
        <v>0</v>
      </c>
      <c r="I1687" s="29">
        <f t="shared" si="26"/>
        <v>354811</v>
      </c>
      <c r="J1687">
        <f>IFERROR(VLOOKUP(E1687,'LEAID Match'!$A$2:$B$168,2,FALSE),"")</f>
        <v>3304500</v>
      </c>
    </row>
    <row r="1688" spans="1:10">
      <c r="A1688">
        <v>2021</v>
      </c>
      <c r="B1688" t="s">
        <v>1429</v>
      </c>
      <c r="C1688" t="s">
        <v>1431</v>
      </c>
      <c r="D1688" t="s">
        <v>1433</v>
      </c>
      <c r="E1688" t="s">
        <v>466</v>
      </c>
      <c r="F1688" s="9" t="s">
        <v>466</v>
      </c>
      <c r="G1688" s="18">
        <v>371185</v>
      </c>
      <c r="H1688">
        <v>0</v>
      </c>
      <c r="I1688" s="29">
        <f t="shared" si="26"/>
        <v>371185</v>
      </c>
      <c r="J1688">
        <f>IFERROR(VLOOKUP(E1688,'LEAID Match'!$A$2:$B$168,2,FALSE),"")</f>
        <v>3304500</v>
      </c>
    </row>
    <row r="1689" spans="1:10">
      <c r="A1689">
        <v>2022</v>
      </c>
      <c r="B1689" t="s">
        <v>1429</v>
      </c>
      <c r="C1689" t="s">
        <v>1431</v>
      </c>
      <c r="D1689" t="s">
        <v>1433</v>
      </c>
      <c r="E1689" t="s">
        <v>466</v>
      </c>
      <c r="F1689" s="9" t="s">
        <v>466</v>
      </c>
      <c r="G1689" s="18">
        <v>438848</v>
      </c>
      <c r="H1689">
        <v>0</v>
      </c>
      <c r="I1689" s="29">
        <f t="shared" si="26"/>
        <v>438848</v>
      </c>
      <c r="J1689">
        <f>IFERROR(VLOOKUP(E1689,'LEAID Match'!$A$2:$B$168,2,FALSE),"")</f>
        <v>3304500</v>
      </c>
    </row>
    <row r="1690" spans="1:10">
      <c r="A1690">
        <v>2023</v>
      </c>
      <c r="B1690" t="s">
        <v>1429</v>
      </c>
      <c r="C1690" t="s">
        <v>1431</v>
      </c>
      <c r="D1690" t="s">
        <v>1433</v>
      </c>
      <c r="E1690" t="s">
        <v>466</v>
      </c>
      <c r="F1690" t="s">
        <v>466</v>
      </c>
      <c r="G1690" s="28">
        <v>460007</v>
      </c>
      <c r="H1690">
        <v>0</v>
      </c>
      <c r="I1690" s="29">
        <f t="shared" si="26"/>
        <v>460007</v>
      </c>
      <c r="J1690">
        <f>IFERROR(VLOOKUP(E1690,'LEAID Match'!$A$2:$B$168,2,FALSE),"")</f>
        <v>3304500</v>
      </c>
    </row>
    <row r="1691" spans="1:10">
      <c r="A1691">
        <v>2015</v>
      </c>
      <c r="B1691" t="s">
        <v>1429</v>
      </c>
      <c r="C1691" t="s">
        <v>1431</v>
      </c>
      <c r="D1691" t="s">
        <v>1433</v>
      </c>
      <c r="E1691" t="s">
        <v>467</v>
      </c>
      <c r="F1691" s="9" t="s">
        <v>1171</v>
      </c>
      <c r="G1691" s="18">
        <v>9421.2099999999991</v>
      </c>
      <c r="H1691">
        <v>0</v>
      </c>
      <c r="I1691" s="29">
        <f t="shared" si="26"/>
        <v>9421.2099999999991</v>
      </c>
      <c r="J1691" t="str">
        <f>IFERROR(VLOOKUP(E1691,'LEAID Match'!$A$2:$B$168,2,FALSE),"")</f>
        <v/>
      </c>
    </row>
    <row r="1692" spans="1:10">
      <c r="A1692">
        <v>2016</v>
      </c>
      <c r="B1692" t="s">
        <v>1429</v>
      </c>
      <c r="C1692" t="s">
        <v>1431</v>
      </c>
      <c r="D1692" t="s">
        <v>1433</v>
      </c>
      <c r="E1692" t="s">
        <v>467</v>
      </c>
      <c r="F1692" t="s">
        <v>467</v>
      </c>
      <c r="G1692" s="28">
        <v>7528</v>
      </c>
      <c r="H1692">
        <v>0</v>
      </c>
      <c r="I1692" s="29">
        <f t="shared" si="26"/>
        <v>7528</v>
      </c>
      <c r="J1692" t="str">
        <f>IFERROR(VLOOKUP(E1692,'LEAID Match'!$A$2:$B$168,2,FALSE),"")</f>
        <v/>
      </c>
    </row>
    <row r="1693" spans="1:10">
      <c r="A1693">
        <v>2017</v>
      </c>
      <c r="B1693" t="s">
        <v>1429</v>
      </c>
      <c r="C1693" t="s">
        <v>1431</v>
      </c>
      <c r="D1693" t="s">
        <v>1433</v>
      </c>
      <c r="E1693" t="s">
        <v>467</v>
      </c>
      <c r="F1693" t="s">
        <v>467</v>
      </c>
      <c r="G1693" s="28">
        <v>9927</v>
      </c>
      <c r="H1693">
        <v>0</v>
      </c>
      <c r="I1693" s="29">
        <f t="shared" si="26"/>
        <v>9927</v>
      </c>
      <c r="J1693" t="str">
        <f>IFERROR(VLOOKUP(E1693,'LEAID Match'!$A$2:$B$168,2,FALSE),"")</f>
        <v/>
      </c>
    </row>
    <row r="1694" spans="1:10">
      <c r="A1694" s="27">
        <v>2018</v>
      </c>
      <c r="B1694" t="s">
        <v>1429</v>
      </c>
      <c r="C1694" t="s">
        <v>1431</v>
      </c>
      <c r="D1694" t="s">
        <v>1433</v>
      </c>
      <c r="E1694" t="s">
        <v>467</v>
      </c>
      <c r="F1694" s="9" t="s">
        <v>467</v>
      </c>
      <c r="G1694" s="18">
        <v>12819</v>
      </c>
      <c r="H1694">
        <v>0</v>
      </c>
      <c r="I1694" s="29">
        <f t="shared" si="26"/>
        <v>12819</v>
      </c>
      <c r="J1694" t="str">
        <f>IFERROR(VLOOKUP(E1694,'LEAID Match'!$A$2:$B$168,2,FALSE),"")</f>
        <v/>
      </c>
    </row>
    <row r="1695" spans="1:10">
      <c r="A1695">
        <v>2019</v>
      </c>
      <c r="B1695" t="s">
        <v>1429</v>
      </c>
      <c r="C1695" t="s">
        <v>1431</v>
      </c>
      <c r="D1695" t="s">
        <v>1433</v>
      </c>
      <c r="E1695" t="s">
        <v>467</v>
      </c>
      <c r="F1695" s="9" t="s">
        <v>467</v>
      </c>
      <c r="G1695" s="18">
        <v>2063</v>
      </c>
      <c r="H1695">
        <v>0</v>
      </c>
      <c r="I1695" s="29">
        <f t="shared" si="26"/>
        <v>2063</v>
      </c>
      <c r="J1695" t="str">
        <f>IFERROR(VLOOKUP(E1695,'LEAID Match'!$A$2:$B$168,2,FALSE),"")</f>
        <v/>
      </c>
    </row>
    <row r="1696" spans="1:10">
      <c r="A1696" s="27">
        <v>2020</v>
      </c>
      <c r="B1696" t="s">
        <v>1429</v>
      </c>
      <c r="C1696" t="s">
        <v>1431</v>
      </c>
      <c r="D1696" t="s">
        <v>1433</v>
      </c>
      <c r="E1696" t="s">
        <v>467</v>
      </c>
      <c r="F1696" s="9" t="s">
        <v>467</v>
      </c>
      <c r="G1696" s="18"/>
      <c r="H1696">
        <v>0</v>
      </c>
      <c r="I1696" s="29">
        <f t="shared" si="26"/>
        <v>0</v>
      </c>
      <c r="J1696" t="str">
        <f>IFERROR(VLOOKUP(E1696,'LEAID Match'!$A$2:$B$168,2,FALSE),"")</f>
        <v/>
      </c>
    </row>
    <row r="1697" spans="1:10">
      <c r="A1697">
        <v>2021</v>
      </c>
      <c r="B1697" t="s">
        <v>1429</v>
      </c>
      <c r="C1697" t="s">
        <v>1431</v>
      </c>
      <c r="D1697" t="s">
        <v>1433</v>
      </c>
      <c r="E1697" t="s">
        <v>467</v>
      </c>
      <c r="F1697" s="9" t="s">
        <v>467</v>
      </c>
      <c r="G1697" s="18"/>
      <c r="H1697">
        <v>0</v>
      </c>
      <c r="I1697" s="29">
        <f t="shared" si="26"/>
        <v>0</v>
      </c>
      <c r="J1697" t="str">
        <f>IFERROR(VLOOKUP(E1697,'LEAID Match'!$A$2:$B$168,2,FALSE),"")</f>
        <v/>
      </c>
    </row>
    <row r="1698" spans="1:10">
      <c r="A1698">
        <v>2015</v>
      </c>
      <c r="B1698" t="s">
        <v>1429</v>
      </c>
      <c r="C1698" t="s">
        <v>1431</v>
      </c>
      <c r="D1698" t="s">
        <v>1433</v>
      </c>
      <c r="E1698" t="s">
        <v>703</v>
      </c>
      <c r="F1698" s="9" t="s">
        <v>1172</v>
      </c>
      <c r="G1698" s="18">
        <v>93184.93</v>
      </c>
      <c r="H1698">
        <v>0</v>
      </c>
      <c r="I1698" s="29">
        <f t="shared" si="26"/>
        <v>93184.93</v>
      </c>
      <c r="J1698" t="str">
        <f>IFERROR(VLOOKUP(E1698,'LEAID Match'!$A$2:$B$168,2,FALSE),"")</f>
        <v/>
      </c>
    </row>
    <row r="1699" spans="1:10">
      <c r="A1699">
        <v>2016</v>
      </c>
      <c r="B1699" t="s">
        <v>1429</v>
      </c>
      <c r="C1699" t="s">
        <v>1431</v>
      </c>
      <c r="D1699" t="s">
        <v>1433</v>
      </c>
      <c r="E1699" t="s">
        <v>703</v>
      </c>
      <c r="F1699" t="s">
        <v>703</v>
      </c>
      <c r="G1699" s="28">
        <v>106952</v>
      </c>
      <c r="H1699">
        <v>0</v>
      </c>
      <c r="I1699" s="29">
        <f t="shared" si="26"/>
        <v>106952</v>
      </c>
      <c r="J1699" t="str">
        <f>IFERROR(VLOOKUP(E1699,'LEAID Match'!$A$2:$B$168,2,FALSE),"")</f>
        <v/>
      </c>
    </row>
    <row r="1700" spans="1:10">
      <c r="A1700">
        <v>2017</v>
      </c>
      <c r="B1700" t="s">
        <v>1429</v>
      </c>
      <c r="C1700" t="s">
        <v>1431</v>
      </c>
      <c r="D1700" t="s">
        <v>1433</v>
      </c>
      <c r="E1700" t="s">
        <v>703</v>
      </c>
      <c r="F1700" t="s">
        <v>703</v>
      </c>
      <c r="G1700" s="28">
        <v>98005</v>
      </c>
      <c r="H1700">
        <v>0</v>
      </c>
      <c r="I1700" s="29">
        <f t="shared" si="26"/>
        <v>98005</v>
      </c>
      <c r="J1700" t="str">
        <f>IFERROR(VLOOKUP(E1700,'LEAID Match'!$A$2:$B$168,2,FALSE),"")</f>
        <v/>
      </c>
    </row>
    <row r="1701" spans="1:10">
      <c r="A1701" s="27">
        <v>2018</v>
      </c>
      <c r="B1701" t="s">
        <v>1429</v>
      </c>
      <c r="C1701" t="s">
        <v>1431</v>
      </c>
      <c r="D1701" t="s">
        <v>1433</v>
      </c>
      <c r="E1701" t="s">
        <v>703</v>
      </c>
      <c r="F1701" s="9" t="s">
        <v>703</v>
      </c>
      <c r="G1701" s="18">
        <v>115266</v>
      </c>
      <c r="H1701">
        <v>0</v>
      </c>
      <c r="I1701" s="29">
        <f t="shared" si="26"/>
        <v>115266</v>
      </c>
      <c r="J1701" t="str">
        <f>IFERROR(VLOOKUP(E1701,'LEAID Match'!$A$2:$B$168,2,FALSE),"")</f>
        <v/>
      </c>
    </row>
    <row r="1702" spans="1:10">
      <c r="A1702">
        <v>2019</v>
      </c>
      <c r="B1702" t="s">
        <v>1429</v>
      </c>
      <c r="C1702" t="s">
        <v>1431</v>
      </c>
      <c r="D1702" t="s">
        <v>1433</v>
      </c>
      <c r="E1702" t="s">
        <v>703</v>
      </c>
      <c r="F1702" s="9" t="s">
        <v>703</v>
      </c>
      <c r="G1702" s="18">
        <v>117607</v>
      </c>
      <c r="H1702">
        <v>0</v>
      </c>
      <c r="I1702" s="29">
        <f t="shared" si="26"/>
        <v>117607</v>
      </c>
      <c r="J1702" t="str">
        <f>IFERROR(VLOOKUP(E1702,'LEAID Match'!$A$2:$B$168,2,FALSE),"")</f>
        <v/>
      </c>
    </row>
    <row r="1703" spans="1:10">
      <c r="A1703">
        <v>2015</v>
      </c>
      <c r="B1703" t="s">
        <v>1429</v>
      </c>
      <c r="C1703" t="s">
        <v>1431</v>
      </c>
      <c r="D1703" t="s">
        <v>1433</v>
      </c>
      <c r="E1703" t="s">
        <v>468</v>
      </c>
      <c r="F1703" s="9" t="s">
        <v>1173</v>
      </c>
      <c r="G1703" s="18">
        <v>135894.76999999999</v>
      </c>
      <c r="H1703">
        <v>0</v>
      </c>
      <c r="I1703" s="29">
        <f t="shared" si="26"/>
        <v>135894.76999999999</v>
      </c>
      <c r="J1703">
        <f>IFERROR(VLOOKUP(E1703,'LEAID Match'!$A$2:$B$168,2,FALSE),"")</f>
        <v>3304560</v>
      </c>
    </row>
    <row r="1704" spans="1:10">
      <c r="A1704">
        <v>2016</v>
      </c>
      <c r="B1704" t="s">
        <v>1429</v>
      </c>
      <c r="C1704" t="s">
        <v>1431</v>
      </c>
      <c r="D1704" t="s">
        <v>1433</v>
      </c>
      <c r="E1704" t="s">
        <v>468</v>
      </c>
      <c r="F1704" t="s">
        <v>704</v>
      </c>
      <c r="G1704" s="28">
        <v>150762</v>
      </c>
      <c r="H1704">
        <v>0</v>
      </c>
      <c r="I1704" s="29">
        <f t="shared" si="26"/>
        <v>150762</v>
      </c>
      <c r="J1704">
        <f>IFERROR(VLOOKUP(E1704,'LEAID Match'!$A$2:$B$168,2,FALSE),"")</f>
        <v>3304560</v>
      </c>
    </row>
    <row r="1705" spans="1:10">
      <c r="A1705">
        <v>2017</v>
      </c>
      <c r="B1705" t="s">
        <v>1429</v>
      </c>
      <c r="C1705" t="s">
        <v>1431</v>
      </c>
      <c r="D1705" t="s">
        <v>1433</v>
      </c>
      <c r="E1705" t="s">
        <v>468</v>
      </c>
      <c r="F1705" t="s">
        <v>704</v>
      </c>
      <c r="G1705" s="28">
        <v>162581</v>
      </c>
      <c r="H1705">
        <v>0</v>
      </c>
      <c r="I1705" s="29">
        <f t="shared" si="26"/>
        <v>162581</v>
      </c>
      <c r="J1705">
        <f>IFERROR(VLOOKUP(E1705,'LEAID Match'!$A$2:$B$168,2,FALSE),"")</f>
        <v>3304560</v>
      </c>
    </row>
    <row r="1706" spans="1:10">
      <c r="A1706" s="27">
        <v>2018</v>
      </c>
      <c r="B1706" t="s">
        <v>1429</v>
      </c>
      <c r="C1706" t="s">
        <v>1431</v>
      </c>
      <c r="D1706" t="s">
        <v>1433</v>
      </c>
      <c r="E1706" t="s">
        <v>468</v>
      </c>
      <c r="F1706" s="9" t="s">
        <v>704</v>
      </c>
      <c r="G1706" s="18">
        <v>205970</v>
      </c>
      <c r="H1706">
        <v>0</v>
      </c>
      <c r="I1706" s="29">
        <f t="shared" si="26"/>
        <v>205970</v>
      </c>
      <c r="J1706">
        <f>IFERROR(VLOOKUP(E1706,'LEAID Match'!$A$2:$B$168,2,FALSE),"")</f>
        <v>3304560</v>
      </c>
    </row>
    <row r="1707" spans="1:10">
      <c r="A1707">
        <v>2019</v>
      </c>
      <c r="B1707" t="s">
        <v>1429</v>
      </c>
      <c r="C1707" t="s">
        <v>1431</v>
      </c>
      <c r="D1707" t="s">
        <v>1433</v>
      </c>
      <c r="E1707" t="s">
        <v>468</v>
      </c>
      <c r="F1707" s="9" t="s">
        <v>704</v>
      </c>
      <c r="G1707" s="18">
        <v>206072</v>
      </c>
      <c r="H1707">
        <v>0</v>
      </c>
      <c r="I1707" s="29">
        <f t="shared" si="26"/>
        <v>206072</v>
      </c>
      <c r="J1707">
        <f>IFERROR(VLOOKUP(E1707,'LEAID Match'!$A$2:$B$168,2,FALSE),"")</f>
        <v>3304560</v>
      </c>
    </row>
    <row r="1708" spans="1:10">
      <c r="A1708" s="27">
        <v>2020</v>
      </c>
      <c r="B1708" t="s">
        <v>1429</v>
      </c>
      <c r="C1708" t="s">
        <v>1431</v>
      </c>
      <c r="D1708" t="s">
        <v>1433</v>
      </c>
      <c r="E1708" t="s">
        <v>468</v>
      </c>
      <c r="F1708" s="9" t="s">
        <v>468</v>
      </c>
      <c r="G1708" s="18">
        <v>198503</v>
      </c>
      <c r="H1708">
        <v>0</v>
      </c>
      <c r="I1708" s="29">
        <f t="shared" si="26"/>
        <v>198503</v>
      </c>
      <c r="J1708">
        <f>IFERROR(VLOOKUP(E1708,'LEAID Match'!$A$2:$B$168,2,FALSE),"")</f>
        <v>3304560</v>
      </c>
    </row>
    <row r="1709" spans="1:10">
      <c r="A1709">
        <v>2021</v>
      </c>
      <c r="B1709" t="s">
        <v>1429</v>
      </c>
      <c r="C1709" t="s">
        <v>1431</v>
      </c>
      <c r="D1709" t="s">
        <v>1433</v>
      </c>
      <c r="E1709" t="s">
        <v>468</v>
      </c>
      <c r="F1709" s="9" t="s">
        <v>468</v>
      </c>
      <c r="G1709" s="18">
        <v>200591</v>
      </c>
      <c r="H1709">
        <v>0</v>
      </c>
      <c r="I1709" s="29">
        <f t="shared" si="26"/>
        <v>200591</v>
      </c>
      <c r="J1709">
        <f>IFERROR(VLOOKUP(E1709,'LEAID Match'!$A$2:$B$168,2,FALSE),"")</f>
        <v>3304560</v>
      </c>
    </row>
    <row r="1710" spans="1:10">
      <c r="A1710">
        <v>2022</v>
      </c>
      <c r="B1710" t="s">
        <v>1429</v>
      </c>
      <c r="C1710" t="s">
        <v>1431</v>
      </c>
      <c r="D1710" t="s">
        <v>1433</v>
      </c>
      <c r="E1710" t="s">
        <v>468</v>
      </c>
      <c r="F1710" s="9" t="s">
        <v>468</v>
      </c>
      <c r="G1710" s="18">
        <v>273636</v>
      </c>
      <c r="H1710">
        <v>0</v>
      </c>
      <c r="I1710" s="29">
        <f t="shared" si="26"/>
        <v>273636</v>
      </c>
      <c r="J1710">
        <f>IFERROR(VLOOKUP(E1710,'LEAID Match'!$A$2:$B$168,2,FALSE),"")</f>
        <v>3304560</v>
      </c>
    </row>
    <row r="1711" spans="1:10">
      <c r="A1711">
        <v>2023</v>
      </c>
      <c r="B1711" t="s">
        <v>1429</v>
      </c>
      <c r="C1711" t="s">
        <v>1431</v>
      </c>
      <c r="D1711" t="s">
        <v>1433</v>
      </c>
      <c r="E1711" t="s">
        <v>468</v>
      </c>
      <c r="F1711" t="s">
        <v>468</v>
      </c>
      <c r="G1711" s="28">
        <v>277330</v>
      </c>
      <c r="H1711">
        <v>0</v>
      </c>
      <c r="I1711" s="29">
        <f t="shared" si="26"/>
        <v>277330</v>
      </c>
      <c r="J1711">
        <f>IFERROR(VLOOKUP(E1711,'LEAID Match'!$A$2:$B$168,2,FALSE),"")</f>
        <v>3304560</v>
      </c>
    </row>
    <row r="1712" spans="1:10">
      <c r="A1712">
        <v>2015</v>
      </c>
      <c r="B1712" t="s">
        <v>1429</v>
      </c>
      <c r="C1712" t="s">
        <v>1431</v>
      </c>
      <c r="D1712" t="s">
        <v>1433</v>
      </c>
      <c r="E1712" t="s">
        <v>705</v>
      </c>
      <c r="F1712" s="9" t="s">
        <v>1174</v>
      </c>
      <c r="G1712" s="18">
        <v>8701705.0500000007</v>
      </c>
      <c r="H1712">
        <v>0</v>
      </c>
      <c r="I1712" s="29">
        <f t="shared" si="26"/>
        <v>8701705.0500000007</v>
      </c>
      <c r="J1712" t="str">
        <f>IFERROR(VLOOKUP(E1712,'LEAID Match'!$A$2:$B$168,2,FALSE),"")</f>
        <v/>
      </c>
    </row>
    <row r="1713" spans="1:10">
      <c r="A1713">
        <v>2016</v>
      </c>
      <c r="B1713" t="s">
        <v>1429</v>
      </c>
      <c r="C1713" t="s">
        <v>1431</v>
      </c>
      <c r="D1713" t="s">
        <v>1433</v>
      </c>
      <c r="E1713" t="s">
        <v>705</v>
      </c>
      <c r="F1713" t="s">
        <v>705</v>
      </c>
      <c r="G1713" s="28">
        <v>9144774</v>
      </c>
      <c r="H1713">
        <v>0</v>
      </c>
      <c r="I1713" s="29">
        <f t="shared" si="26"/>
        <v>9144774</v>
      </c>
      <c r="J1713" t="str">
        <f>IFERROR(VLOOKUP(E1713,'LEAID Match'!$A$2:$B$168,2,FALSE),"")</f>
        <v/>
      </c>
    </row>
    <row r="1714" spans="1:10">
      <c r="A1714">
        <v>2017</v>
      </c>
      <c r="B1714" t="s">
        <v>1429</v>
      </c>
      <c r="C1714" t="s">
        <v>1431</v>
      </c>
      <c r="D1714" t="s">
        <v>1433</v>
      </c>
      <c r="E1714" t="s">
        <v>705</v>
      </c>
      <c r="F1714" t="s">
        <v>705</v>
      </c>
      <c r="G1714" s="28">
        <v>9270371</v>
      </c>
      <c r="H1714">
        <v>0</v>
      </c>
      <c r="I1714" s="29">
        <f t="shared" si="26"/>
        <v>9270371</v>
      </c>
      <c r="J1714" t="str">
        <f>IFERROR(VLOOKUP(E1714,'LEAID Match'!$A$2:$B$168,2,FALSE),"")</f>
        <v/>
      </c>
    </row>
    <row r="1715" spans="1:10">
      <c r="A1715" s="27">
        <v>2018</v>
      </c>
      <c r="B1715" t="s">
        <v>1429</v>
      </c>
      <c r="C1715" t="s">
        <v>1431</v>
      </c>
      <c r="D1715" t="s">
        <v>1433</v>
      </c>
      <c r="E1715" t="s">
        <v>705</v>
      </c>
      <c r="F1715" s="9" t="s">
        <v>705</v>
      </c>
      <c r="G1715" s="18">
        <v>10538647</v>
      </c>
      <c r="H1715">
        <v>0</v>
      </c>
      <c r="I1715" s="29">
        <f t="shared" si="26"/>
        <v>10538647</v>
      </c>
      <c r="J1715" t="str">
        <f>IFERROR(VLOOKUP(E1715,'LEAID Match'!$A$2:$B$168,2,FALSE),"")</f>
        <v/>
      </c>
    </row>
    <row r="1716" spans="1:10">
      <c r="A1716">
        <v>2019</v>
      </c>
      <c r="B1716" t="s">
        <v>1429</v>
      </c>
      <c r="C1716" t="s">
        <v>1431</v>
      </c>
      <c r="D1716" t="s">
        <v>1433</v>
      </c>
      <c r="E1716" t="s">
        <v>705</v>
      </c>
      <c r="F1716" s="9" t="s">
        <v>705</v>
      </c>
      <c r="G1716" s="18">
        <v>10963622</v>
      </c>
      <c r="H1716">
        <v>0</v>
      </c>
      <c r="I1716" s="29">
        <f t="shared" si="26"/>
        <v>10963622</v>
      </c>
      <c r="J1716" t="str">
        <f>IFERROR(VLOOKUP(E1716,'LEAID Match'!$A$2:$B$168,2,FALSE),"")</f>
        <v/>
      </c>
    </row>
    <row r="1717" spans="1:10">
      <c r="A1717">
        <v>2015</v>
      </c>
      <c r="B1717" t="s">
        <v>1429</v>
      </c>
      <c r="C1717" t="s">
        <v>1431</v>
      </c>
      <c r="D1717" t="s">
        <v>1433</v>
      </c>
      <c r="E1717" t="s">
        <v>469</v>
      </c>
      <c r="F1717" s="9" t="s">
        <v>1175</v>
      </c>
      <c r="G1717" s="18">
        <v>9087305.4299999997</v>
      </c>
      <c r="H1717">
        <v>0</v>
      </c>
      <c r="I1717" s="29">
        <f t="shared" si="26"/>
        <v>9087305.4299999997</v>
      </c>
      <c r="J1717">
        <f>IFERROR(VLOOKUP(E1717,'LEAID Match'!$A$2:$B$168,2,FALSE),"")</f>
        <v>3304590</v>
      </c>
    </row>
    <row r="1718" spans="1:10">
      <c r="A1718">
        <v>2016</v>
      </c>
      <c r="B1718" t="s">
        <v>1429</v>
      </c>
      <c r="C1718" t="s">
        <v>1431</v>
      </c>
      <c r="D1718" t="s">
        <v>1433</v>
      </c>
      <c r="E1718" t="s">
        <v>469</v>
      </c>
      <c r="F1718" t="s">
        <v>706</v>
      </c>
      <c r="G1718" s="28">
        <v>10117632</v>
      </c>
      <c r="H1718">
        <v>0</v>
      </c>
      <c r="I1718" s="29">
        <f t="shared" si="26"/>
        <v>10117632</v>
      </c>
      <c r="J1718">
        <f>IFERROR(VLOOKUP(E1718,'LEAID Match'!$A$2:$B$168,2,FALSE),"")</f>
        <v>3304590</v>
      </c>
    </row>
    <row r="1719" spans="1:10">
      <c r="A1719">
        <v>2017</v>
      </c>
      <c r="B1719" t="s">
        <v>1429</v>
      </c>
      <c r="C1719" t="s">
        <v>1431</v>
      </c>
      <c r="D1719" t="s">
        <v>1433</v>
      </c>
      <c r="E1719" t="s">
        <v>469</v>
      </c>
      <c r="F1719" t="s">
        <v>706</v>
      </c>
      <c r="G1719" s="28">
        <v>10207127</v>
      </c>
      <c r="H1719">
        <v>0</v>
      </c>
      <c r="I1719" s="29">
        <f t="shared" si="26"/>
        <v>10207127</v>
      </c>
      <c r="J1719">
        <f>IFERROR(VLOOKUP(E1719,'LEAID Match'!$A$2:$B$168,2,FALSE),"")</f>
        <v>3304590</v>
      </c>
    </row>
    <row r="1720" spans="1:10">
      <c r="A1720" s="27">
        <v>2018</v>
      </c>
      <c r="B1720" t="s">
        <v>1429</v>
      </c>
      <c r="C1720" t="s">
        <v>1431</v>
      </c>
      <c r="D1720" t="s">
        <v>1433</v>
      </c>
      <c r="E1720" t="s">
        <v>469</v>
      </c>
      <c r="F1720" s="9" t="s">
        <v>706</v>
      </c>
      <c r="G1720" s="18">
        <v>12825313</v>
      </c>
      <c r="H1720">
        <v>0</v>
      </c>
      <c r="I1720" s="29">
        <f t="shared" si="26"/>
        <v>12825313</v>
      </c>
      <c r="J1720">
        <f>IFERROR(VLOOKUP(E1720,'LEAID Match'!$A$2:$B$168,2,FALSE),"")</f>
        <v>3304590</v>
      </c>
    </row>
    <row r="1721" spans="1:10">
      <c r="A1721">
        <v>2019</v>
      </c>
      <c r="B1721" t="s">
        <v>1429</v>
      </c>
      <c r="C1721" t="s">
        <v>1431</v>
      </c>
      <c r="D1721" t="s">
        <v>1433</v>
      </c>
      <c r="E1721" t="s">
        <v>469</v>
      </c>
      <c r="F1721" s="9" t="s">
        <v>706</v>
      </c>
      <c r="G1721" s="18">
        <v>12723379</v>
      </c>
      <c r="H1721">
        <v>0</v>
      </c>
      <c r="I1721" s="29">
        <f t="shared" si="26"/>
        <v>12723379</v>
      </c>
      <c r="J1721">
        <f>IFERROR(VLOOKUP(E1721,'LEAID Match'!$A$2:$B$168,2,FALSE),"")</f>
        <v>3304590</v>
      </c>
    </row>
    <row r="1722" spans="1:10">
      <c r="A1722" s="27">
        <v>2020</v>
      </c>
      <c r="B1722" t="s">
        <v>1429</v>
      </c>
      <c r="C1722" t="s">
        <v>1431</v>
      </c>
      <c r="D1722" t="s">
        <v>1433</v>
      </c>
      <c r="E1722" t="s">
        <v>469</v>
      </c>
      <c r="F1722" s="9" t="s">
        <v>469</v>
      </c>
      <c r="G1722" s="18">
        <v>13012152</v>
      </c>
      <c r="H1722">
        <v>0</v>
      </c>
      <c r="I1722" s="29">
        <f t="shared" si="26"/>
        <v>13012152</v>
      </c>
      <c r="J1722">
        <f>IFERROR(VLOOKUP(E1722,'LEAID Match'!$A$2:$B$168,2,FALSE),"")</f>
        <v>3304590</v>
      </c>
    </row>
    <row r="1723" spans="1:10">
      <c r="A1723">
        <v>2021</v>
      </c>
      <c r="B1723" t="s">
        <v>1429</v>
      </c>
      <c r="C1723" t="s">
        <v>1431</v>
      </c>
      <c r="D1723" t="s">
        <v>1433</v>
      </c>
      <c r="E1723" t="s">
        <v>469</v>
      </c>
      <c r="F1723" s="9" t="s">
        <v>469</v>
      </c>
      <c r="G1723" s="18">
        <v>13291029</v>
      </c>
      <c r="H1723">
        <v>0</v>
      </c>
      <c r="I1723" s="29">
        <f t="shared" si="26"/>
        <v>13291029</v>
      </c>
      <c r="J1723">
        <f>IFERROR(VLOOKUP(E1723,'LEAID Match'!$A$2:$B$168,2,FALSE),"")</f>
        <v>3304590</v>
      </c>
    </row>
    <row r="1724" spans="1:10">
      <c r="A1724">
        <v>2022</v>
      </c>
      <c r="B1724" t="s">
        <v>1429</v>
      </c>
      <c r="C1724" t="s">
        <v>1431</v>
      </c>
      <c r="D1724" t="s">
        <v>1433</v>
      </c>
      <c r="E1724" t="s">
        <v>469</v>
      </c>
      <c r="F1724" s="9" t="s">
        <v>469</v>
      </c>
      <c r="G1724" s="18">
        <v>16728247</v>
      </c>
      <c r="H1724">
        <v>0</v>
      </c>
      <c r="I1724" s="29">
        <f t="shared" si="26"/>
        <v>16728247</v>
      </c>
      <c r="J1724">
        <f>IFERROR(VLOOKUP(E1724,'LEAID Match'!$A$2:$B$168,2,FALSE),"")</f>
        <v>3304590</v>
      </c>
    </row>
    <row r="1725" spans="1:10">
      <c r="A1725">
        <v>2023</v>
      </c>
      <c r="B1725" t="s">
        <v>1429</v>
      </c>
      <c r="C1725" t="s">
        <v>1431</v>
      </c>
      <c r="D1725" t="s">
        <v>1433</v>
      </c>
      <c r="E1725" t="s">
        <v>469</v>
      </c>
      <c r="F1725" t="s">
        <v>469</v>
      </c>
      <c r="G1725" s="28">
        <v>17889152</v>
      </c>
      <c r="H1725">
        <v>0</v>
      </c>
      <c r="I1725" s="29">
        <f t="shared" si="26"/>
        <v>17889152</v>
      </c>
      <c r="J1725">
        <f>IFERROR(VLOOKUP(E1725,'LEAID Match'!$A$2:$B$168,2,FALSE),"")</f>
        <v>3304590</v>
      </c>
    </row>
    <row r="1726" spans="1:10">
      <c r="A1726">
        <v>2015</v>
      </c>
      <c r="B1726" t="s">
        <v>1429</v>
      </c>
      <c r="C1726" t="s">
        <v>1431</v>
      </c>
      <c r="D1726" t="s">
        <v>1433</v>
      </c>
      <c r="E1726" t="s">
        <v>707</v>
      </c>
      <c r="F1726" s="9" t="s">
        <v>1176</v>
      </c>
      <c r="G1726" s="18">
        <v>59547.5</v>
      </c>
      <c r="H1726">
        <v>0</v>
      </c>
      <c r="I1726" s="29">
        <f t="shared" si="26"/>
        <v>59547.5</v>
      </c>
      <c r="J1726" t="str">
        <f>IFERROR(VLOOKUP(E1726,'LEAID Match'!$A$2:$B$168,2,FALSE),"")</f>
        <v/>
      </c>
    </row>
    <row r="1727" spans="1:10">
      <c r="A1727">
        <v>2016</v>
      </c>
      <c r="B1727" t="s">
        <v>1429</v>
      </c>
      <c r="C1727" t="s">
        <v>1431</v>
      </c>
      <c r="D1727" t="s">
        <v>1433</v>
      </c>
      <c r="E1727" t="s">
        <v>707</v>
      </c>
      <c r="F1727" t="s">
        <v>707</v>
      </c>
      <c r="G1727" s="28">
        <v>68205</v>
      </c>
      <c r="H1727">
        <v>0</v>
      </c>
      <c r="I1727" s="29">
        <f t="shared" si="26"/>
        <v>68205</v>
      </c>
      <c r="J1727" t="str">
        <f>IFERROR(VLOOKUP(E1727,'LEAID Match'!$A$2:$B$168,2,FALSE),"")</f>
        <v/>
      </c>
    </row>
    <row r="1728" spans="1:10">
      <c r="A1728">
        <v>2017</v>
      </c>
      <c r="B1728" t="s">
        <v>1429</v>
      </c>
      <c r="C1728" t="s">
        <v>1431</v>
      </c>
      <c r="D1728" t="s">
        <v>1433</v>
      </c>
      <c r="E1728" t="s">
        <v>707</v>
      </c>
      <c r="F1728" t="s">
        <v>707</v>
      </c>
      <c r="G1728" s="28">
        <v>64752</v>
      </c>
      <c r="H1728">
        <v>0</v>
      </c>
      <c r="I1728" s="29">
        <f t="shared" si="26"/>
        <v>64752</v>
      </c>
      <c r="J1728" t="str">
        <f>IFERROR(VLOOKUP(E1728,'LEAID Match'!$A$2:$B$168,2,FALSE),"")</f>
        <v/>
      </c>
    </row>
    <row r="1729" spans="1:10">
      <c r="A1729" s="27">
        <v>2018</v>
      </c>
      <c r="B1729" t="s">
        <v>1429</v>
      </c>
      <c r="C1729" t="s">
        <v>1431</v>
      </c>
      <c r="D1729" t="s">
        <v>1433</v>
      </c>
      <c r="E1729" t="s">
        <v>707</v>
      </c>
      <c r="F1729" s="9" t="s">
        <v>707</v>
      </c>
      <c r="G1729" s="18">
        <v>82627</v>
      </c>
      <c r="H1729">
        <v>0</v>
      </c>
      <c r="I1729" s="29">
        <f t="shared" si="26"/>
        <v>82627</v>
      </c>
      <c r="J1729" t="str">
        <f>IFERROR(VLOOKUP(E1729,'LEAID Match'!$A$2:$B$168,2,FALSE),"")</f>
        <v/>
      </c>
    </row>
    <row r="1730" spans="1:10">
      <c r="A1730">
        <v>2019</v>
      </c>
      <c r="B1730" t="s">
        <v>1429</v>
      </c>
      <c r="C1730" t="s">
        <v>1431</v>
      </c>
      <c r="D1730" t="s">
        <v>1433</v>
      </c>
      <c r="E1730" t="s">
        <v>707</v>
      </c>
      <c r="F1730" s="9" t="s">
        <v>707</v>
      </c>
      <c r="G1730" s="18">
        <v>80513</v>
      </c>
      <c r="H1730">
        <v>0</v>
      </c>
      <c r="I1730" s="29">
        <f t="shared" si="26"/>
        <v>80513</v>
      </c>
      <c r="J1730" t="str">
        <f>IFERROR(VLOOKUP(E1730,'LEAID Match'!$A$2:$B$168,2,FALSE),"")</f>
        <v/>
      </c>
    </row>
    <row r="1731" spans="1:10">
      <c r="A1731">
        <v>2015</v>
      </c>
      <c r="B1731" t="s">
        <v>1429</v>
      </c>
      <c r="C1731" t="s">
        <v>1431</v>
      </c>
      <c r="D1731" t="s">
        <v>1433</v>
      </c>
      <c r="E1731" t="s">
        <v>470</v>
      </c>
      <c r="F1731" s="9" t="s">
        <v>1177</v>
      </c>
      <c r="G1731" s="18">
        <v>155540.18</v>
      </c>
      <c r="H1731">
        <v>0</v>
      </c>
      <c r="I1731" s="29">
        <f t="shared" ref="I1731:I1794" si="27">SUM(G1731:H1731)</f>
        <v>155540.18</v>
      </c>
      <c r="J1731">
        <f>IFERROR(VLOOKUP(E1731,'LEAID Match'!$A$2:$B$168,2,FALSE),"")</f>
        <v>3304620</v>
      </c>
    </row>
    <row r="1732" spans="1:10">
      <c r="A1732">
        <v>2016</v>
      </c>
      <c r="B1732" t="s">
        <v>1429</v>
      </c>
      <c r="C1732" t="s">
        <v>1431</v>
      </c>
      <c r="D1732" t="s">
        <v>1433</v>
      </c>
      <c r="E1732" t="s">
        <v>470</v>
      </c>
      <c r="F1732" t="s">
        <v>708</v>
      </c>
      <c r="G1732" s="28">
        <v>151072</v>
      </c>
      <c r="H1732">
        <v>0</v>
      </c>
      <c r="I1732" s="29">
        <f t="shared" si="27"/>
        <v>151072</v>
      </c>
      <c r="J1732">
        <f>IFERROR(VLOOKUP(E1732,'LEAID Match'!$A$2:$B$168,2,FALSE),"")</f>
        <v>3304620</v>
      </c>
    </row>
    <row r="1733" spans="1:10">
      <c r="A1733">
        <v>2017</v>
      </c>
      <c r="B1733" t="s">
        <v>1429</v>
      </c>
      <c r="C1733" t="s">
        <v>1431</v>
      </c>
      <c r="D1733" t="s">
        <v>1433</v>
      </c>
      <c r="E1733" t="s">
        <v>470</v>
      </c>
      <c r="F1733" t="s">
        <v>708</v>
      </c>
      <c r="G1733" s="28">
        <v>147984</v>
      </c>
      <c r="H1733">
        <v>0</v>
      </c>
      <c r="I1733" s="29">
        <f t="shared" si="27"/>
        <v>147984</v>
      </c>
      <c r="J1733">
        <f>IFERROR(VLOOKUP(E1733,'LEAID Match'!$A$2:$B$168,2,FALSE),"")</f>
        <v>3304620</v>
      </c>
    </row>
    <row r="1734" spans="1:10">
      <c r="A1734" s="27">
        <v>2018</v>
      </c>
      <c r="B1734" t="s">
        <v>1429</v>
      </c>
      <c r="C1734" t="s">
        <v>1431</v>
      </c>
      <c r="D1734" t="s">
        <v>1433</v>
      </c>
      <c r="E1734" t="s">
        <v>470</v>
      </c>
      <c r="F1734" s="9" t="s">
        <v>708</v>
      </c>
      <c r="G1734" s="18">
        <v>202699</v>
      </c>
      <c r="H1734">
        <v>0</v>
      </c>
      <c r="I1734" s="29">
        <f t="shared" si="27"/>
        <v>202699</v>
      </c>
      <c r="J1734">
        <f>IFERROR(VLOOKUP(E1734,'LEAID Match'!$A$2:$B$168,2,FALSE),"")</f>
        <v>3304620</v>
      </c>
    </row>
    <row r="1735" spans="1:10">
      <c r="A1735">
        <v>2019</v>
      </c>
      <c r="B1735" t="s">
        <v>1429</v>
      </c>
      <c r="C1735" t="s">
        <v>1431</v>
      </c>
      <c r="D1735" t="s">
        <v>1433</v>
      </c>
      <c r="E1735" t="s">
        <v>470</v>
      </c>
      <c r="F1735" s="9" t="s">
        <v>708</v>
      </c>
      <c r="G1735" s="18">
        <v>212038</v>
      </c>
      <c r="H1735">
        <v>0</v>
      </c>
      <c r="I1735" s="29">
        <f t="shared" si="27"/>
        <v>212038</v>
      </c>
      <c r="J1735">
        <f>IFERROR(VLOOKUP(E1735,'LEAID Match'!$A$2:$B$168,2,FALSE),"")</f>
        <v>3304620</v>
      </c>
    </row>
    <row r="1736" spans="1:10">
      <c r="A1736" s="27">
        <v>2020</v>
      </c>
      <c r="B1736" t="s">
        <v>1429</v>
      </c>
      <c r="C1736" t="s">
        <v>1431</v>
      </c>
      <c r="D1736" t="s">
        <v>1433</v>
      </c>
      <c r="E1736" t="s">
        <v>470</v>
      </c>
      <c r="F1736" s="9" t="s">
        <v>470</v>
      </c>
      <c r="G1736" s="18">
        <v>212979</v>
      </c>
      <c r="H1736">
        <v>0</v>
      </c>
      <c r="I1736" s="29">
        <f t="shared" si="27"/>
        <v>212979</v>
      </c>
      <c r="J1736">
        <f>IFERROR(VLOOKUP(E1736,'LEAID Match'!$A$2:$B$168,2,FALSE),"")</f>
        <v>3304620</v>
      </c>
    </row>
    <row r="1737" spans="1:10">
      <c r="A1737">
        <v>2021</v>
      </c>
      <c r="B1737" t="s">
        <v>1429</v>
      </c>
      <c r="C1737" t="s">
        <v>1431</v>
      </c>
      <c r="D1737" t="s">
        <v>1433</v>
      </c>
      <c r="E1737" t="s">
        <v>470</v>
      </c>
      <c r="F1737" s="9" t="s">
        <v>470</v>
      </c>
      <c r="G1737" s="18">
        <v>239449</v>
      </c>
      <c r="H1737">
        <v>0</v>
      </c>
      <c r="I1737" s="29">
        <f t="shared" si="27"/>
        <v>239449</v>
      </c>
      <c r="J1737">
        <f>IFERROR(VLOOKUP(E1737,'LEAID Match'!$A$2:$B$168,2,FALSE),"")</f>
        <v>3304620</v>
      </c>
    </row>
    <row r="1738" spans="1:10">
      <c r="A1738">
        <v>2022</v>
      </c>
      <c r="B1738" t="s">
        <v>1429</v>
      </c>
      <c r="C1738" t="s">
        <v>1431</v>
      </c>
      <c r="D1738" t="s">
        <v>1433</v>
      </c>
      <c r="E1738" t="s">
        <v>470</v>
      </c>
      <c r="F1738" s="9" t="s">
        <v>470</v>
      </c>
      <c r="G1738" s="18">
        <v>287783</v>
      </c>
      <c r="H1738">
        <v>0</v>
      </c>
      <c r="I1738" s="29">
        <f t="shared" si="27"/>
        <v>287783</v>
      </c>
      <c r="J1738">
        <f>IFERROR(VLOOKUP(E1738,'LEAID Match'!$A$2:$B$168,2,FALSE),"")</f>
        <v>3304620</v>
      </c>
    </row>
    <row r="1739" spans="1:10">
      <c r="A1739">
        <v>2023</v>
      </c>
      <c r="B1739" t="s">
        <v>1429</v>
      </c>
      <c r="C1739" t="s">
        <v>1431</v>
      </c>
      <c r="D1739" t="s">
        <v>1433</v>
      </c>
      <c r="E1739" t="s">
        <v>470</v>
      </c>
      <c r="F1739" t="s">
        <v>470</v>
      </c>
      <c r="G1739" s="28">
        <v>281776</v>
      </c>
      <c r="H1739">
        <v>0</v>
      </c>
      <c r="I1739" s="29">
        <f t="shared" si="27"/>
        <v>281776</v>
      </c>
      <c r="J1739">
        <f>IFERROR(VLOOKUP(E1739,'LEAID Match'!$A$2:$B$168,2,FALSE),"")</f>
        <v>3304620</v>
      </c>
    </row>
    <row r="1740" spans="1:10">
      <c r="A1740">
        <v>2015</v>
      </c>
      <c r="B1740" t="s">
        <v>1429</v>
      </c>
      <c r="C1740" t="s">
        <v>1431</v>
      </c>
      <c r="D1740" t="s">
        <v>1433</v>
      </c>
      <c r="E1740" t="s">
        <v>709</v>
      </c>
      <c r="F1740" s="9" t="s">
        <v>1178</v>
      </c>
      <c r="G1740" s="18">
        <v>16562.810000000001</v>
      </c>
      <c r="H1740">
        <v>0</v>
      </c>
      <c r="I1740" s="29">
        <f t="shared" si="27"/>
        <v>16562.810000000001</v>
      </c>
      <c r="J1740" t="str">
        <f>IFERROR(VLOOKUP(E1740,'LEAID Match'!$A$2:$B$168,2,FALSE),"")</f>
        <v/>
      </c>
    </row>
    <row r="1741" spans="1:10">
      <c r="A1741">
        <v>2016</v>
      </c>
      <c r="B1741" t="s">
        <v>1429</v>
      </c>
      <c r="C1741" t="s">
        <v>1431</v>
      </c>
      <c r="D1741" t="s">
        <v>1433</v>
      </c>
      <c r="E1741" t="s">
        <v>709</v>
      </c>
      <c r="F1741" t="s">
        <v>709</v>
      </c>
      <c r="G1741" s="28">
        <v>17241</v>
      </c>
      <c r="H1741">
        <v>0</v>
      </c>
      <c r="I1741" s="29">
        <f t="shared" si="27"/>
        <v>17241</v>
      </c>
      <c r="J1741" t="str">
        <f>IFERROR(VLOOKUP(E1741,'LEAID Match'!$A$2:$B$168,2,FALSE),"")</f>
        <v/>
      </c>
    </row>
    <row r="1742" spans="1:10">
      <c r="A1742">
        <v>2017</v>
      </c>
      <c r="B1742" t="s">
        <v>1429</v>
      </c>
      <c r="C1742" t="s">
        <v>1431</v>
      </c>
      <c r="D1742" t="s">
        <v>1433</v>
      </c>
      <c r="E1742" t="s">
        <v>709</v>
      </c>
      <c r="F1742" t="s">
        <v>709</v>
      </c>
      <c r="G1742" s="28">
        <v>18153</v>
      </c>
      <c r="H1742">
        <v>0</v>
      </c>
      <c r="I1742" s="29">
        <f t="shared" si="27"/>
        <v>18153</v>
      </c>
      <c r="J1742" t="str">
        <f>IFERROR(VLOOKUP(E1742,'LEAID Match'!$A$2:$B$168,2,FALSE),"")</f>
        <v/>
      </c>
    </row>
    <row r="1743" spans="1:10">
      <c r="A1743" s="27">
        <v>2018</v>
      </c>
      <c r="B1743" t="s">
        <v>1429</v>
      </c>
      <c r="C1743" t="s">
        <v>1431</v>
      </c>
      <c r="D1743" t="s">
        <v>1433</v>
      </c>
      <c r="E1743" t="s">
        <v>709</v>
      </c>
      <c r="F1743" s="9" t="s">
        <v>709</v>
      </c>
      <c r="G1743" s="18">
        <v>18952</v>
      </c>
      <c r="H1743">
        <v>0</v>
      </c>
      <c r="I1743" s="29">
        <f t="shared" si="27"/>
        <v>18952</v>
      </c>
      <c r="J1743" t="str">
        <f>IFERROR(VLOOKUP(E1743,'LEAID Match'!$A$2:$B$168,2,FALSE),"")</f>
        <v/>
      </c>
    </row>
    <row r="1744" spans="1:10">
      <c r="A1744">
        <v>2019</v>
      </c>
      <c r="B1744" t="s">
        <v>1429</v>
      </c>
      <c r="C1744" t="s">
        <v>1431</v>
      </c>
      <c r="D1744" t="s">
        <v>1433</v>
      </c>
      <c r="E1744" t="s">
        <v>709</v>
      </c>
      <c r="F1744" s="9" t="s">
        <v>709</v>
      </c>
      <c r="G1744" s="18">
        <v>19209</v>
      </c>
      <c r="H1744">
        <v>0</v>
      </c>
      <c r="I1744" s="29">
        <f t="shared" si="27"/>
        <v>19209</v>
      </c>
      <c r="J1744" t="str">
        <f>IFERROR(VLOOKUP(E1744,'LEAID Match'!$A$2:$B$168,2,FALSE),"")</f>
        <v/>
      </c>
    </row>
    <row r="1745" spans="1:10">
      <c r="A1745">
        <v>2015</v>
      </c>
      <c r="B1745" t="s">
        <v>1429</v>
      </c>
      <c r="C1745" t="s">
        <v>1431</v>
      </c>
      <c r="D1745" t="s">
        <v>1433</v>
      </c>
      <c r="E1745" t="s">
        <v>471</v>
      </c>
      <c r="F1745" s="9" t="s">
        <v>1179</v>
      </c>
      <c r="G1745" s="18">
        <v>28673.93</v>
      </c>
      <c r="H1745">
        <v>0</v>
      </c>
      <c r="I1745" s="29">
        <f t="shared" si="27"/>
        <v>28673.93</v>
      </c>
      <c r="J1745">
        <f>IFERROR(VLOOKUP(E1745,'LEAID Match'!$A$2:$B$168,2,FALSE),"")</f>
        <v>3304650</v>
      </c>
    </row>
    <row r="1746" spans="1:10">
      <c r="A1746">
        <v>2016</v>
      </c>
      <c r="B1746" t="s">
        <v>1429</v>
      </c>
      <c r="C1746" t="s">
        <v>1431</v>
      </c>
      <c r="D1746" t="s">
        <v>1433</v>
      </c>
      <c r="E1746" t="s">
        <v>471</v>
      </c>
      <c r="F1746" t="s">
        <v>710</v>
      </c>
      <c r="G1746" s="28">
        <v>32500</v>
      </c>
      <c r="H1746">
        <v>0</v>
      </c>
      <c r="I1746" s="29">
        <f t="shared" si="27"/>
        <v>32500</v>
      </c>
      <c r="J1746">
        <f>IFERROR(VLOOKUP(E1746,'LEAID Match'!$A$2:$B$168,2,FALSE),"")</f>
        <v>3304650</v>
      </c>
    </row>
    <row r="1747" spans="1:10">
      <c r="A1747">
        <v>2017</v>
      </c>
      <c r="B1747" t="s">
        <v>1429</v>
      </c>
      <c r="C1747" t="s">
        <v>1431</v>
      </c>
      <c r="D1747" t="s">
        <v>1433</v>
      </c>
      <c r="E1747" t="s">
        <v>471</v>
      </c>
      <c r="F1747" t="s">
        <v>710</v>
      </c>
      <c r="G1747" s="28">
        <v>37215</v>
      </c>
      <c r="H1747">
        <v>0</v>
      </c>
      <c r="I1747" s="29">
        <f t="shared" si="27"/>
        <v>37215</v>
      </c>
      <c r="J1747">
        <f>IFERROR(VLOOKUP(E1747,'LEAID Match'!$A$2:$B$168,2,FALSE),"")</f>
        <v>3304650</v>
      </c>
    </row>
    <row r="1748" spans="1:10">
      <c r="A1748" s="27">
        <v>2018</v>
      </c>
      <c r="B1748" t="s">
        <v>1429</v>
      </c>
      <c r="C1748" t="s">
        <v>1431</v>
      </c>
      <c r="D1748" t="s">
        <v>1433</v>
      </c>
      <c r="E1748" t="s">
        <v>471</v>
      </c>
      <c r="F1748" s="9" t="s">
        <v>710</v>
      </c>
      <c r="G1748" s="18">
        <v>47121</v>
      </c>
      <c r="H1748">
        <v>0</v>
      </c>
      <c r="I1748" s="29">
        <f t="shared" si="27"/>
        <v>47121</v>
      </c>
      <c r="J1748">
        <f>IFERROR(VLOOKUP(E1748,'LEAID Match'!$A$2:$B$168,2,FALSE),"")</f>
        <v>3304650</v>
      </c>
    </row>
    <row r="1749" spans="1:10">
      <c r="A1749">
        <v>2019</v>
      </c>
      <c r="B1749" t="s">
        <v>1429</v>
      </c>
      <c r="C1749" t="s">
        <v>1431</v>
      </c>
      <c r="D1749" t="s">
        <v>1433</v>
      </c>
      <c r="E1749" t="s">
        <v>471</v>
      </c>
      <c r="F1749" s="9" t="s">
        <v>710</v>
      </c>
      <c r="G1749" s="18">
        <v>46542</v>
      </c>
      <c r="H1749">
        <v>0</v>
      </c>
      <c r="I1749" s="29">
        <f t="shared" si="27"/>
        <v>46542</v>
      </c>
      <c r="J1749">
        <f>IFERROR(VLOOKUP(E1749,'LEAID Match'!$A$2:$B$168,2,FALSE),"")</f>
        <v>3304650</v>
      </c>
    </row>
    <row r="1750" spans="1:10">
      <c r="A1750" s="27">
        <v>2020</v>
      </c>
      <c r="B1750" t="s">
        <v>1429</v>
      </c>
      <c r="C1750" t="s">
        <v>1431</v>
      </c>
      <c r="D1750" t="s">
        <v>1433</v>
      </c>
      <c r="E1750" t="s">
        <v>471</v>
      </c>
      <c r="F1750" s="9" t="s">
        <v>471</v>
      </c>
      <c r="G1750" s="18">
        <v>55987</v>
      </c>
      <c r="H1750">
        <v>0</v>
      </c>
      <c r="I1750" s="29">
        <f t="shared" si="27"/>
        <v>55987</v>
      </c>
      <c r="J1750">
        <f>IFERROR(VLOOKUP(E1750,'LEAID Match'!$A$2:$B$168,2,FALSE),"")</f>
        <v>3304650</v>
      </c>
    </row>
    <row r="1751" spans="1:10">
      <c r="A1751">
        <v>2021</v>
      </c>
      <c r="B1751" t="s">
        <v>1429</v>
      </c>
      <c r="C1751" t="s">
        <v>1431</v>
      </c>
      <c r="D1751" t="s">
        <v>1433</v>
      </c>
      <c r="E1751" t="s">
        <v>471</v>
      </c>
      <c r="F1751" s="9" t="s">
        <v>471</v>
      </c>
      <c r="G1751" s="18">
        <v>59416</v>
      </c>
      <c r="H1751">
        <v>0</v>
      </c>
      <c r="I1751" s="29">
        <f t="shared" si="27"/>
        <v>59416</v>
      </c>
      <c r="J1751">
        <f>IFERROR(VLOOKUP(E1751,'LEAID Match'!$A$2:$B$168,2,FALSE),"")</f>
        <v>3304650</v>
      </c>
    </row>
    <row r="1752" spans="1:10">
      <c r="A1752">
        <v>2022</v>
      </c>
      <c r="B1752" t="s">
        <v>1429</v>
      </c>
      <c r="C1752" t="s">
        <v>1431</v>
      </c>
      <c r="D1752" t="s">
        <v>1433</v>
      </c>
      <c r="E1752" t="s">
        <v>471</v>
      </c>
      <c r="F1752" s="9" t="s">
        <v>471</v>
      </c>
      <c r="G1752" s="18">
        <v>69700</v>
      </c>
      <c r="H1752">
        <v>0</v>
      </c>
      <c r="I1752" s="29">
        <f t="shared" si="27"/>
        <v>69700</v>
      </c>
      <c r="J1752">
        <f>IFERROR(VLOOKUP(E1752,'LEAID Match'!$A$2:$B$168,2,FALSE),"")</f>
        <v>3304650</v>
      </c>
    </row>
    <row r="1753" spans="1:10">
      <c r="A1753">
        <v>2023</v>
      </c>
      <c r="B1753" t="s">
        <v>1429</v>
      </c>
      <c r="C1753" t="s">
        <v>1431</v>
      </c>
      <c r="D1753" t="s">
        <v>1433</v>
      </c>
      <c r="E1753" t="s">
        <v>471</v>
      </c>
      <c r="F1753" t="s">
        <v>471</v>
      </c>
      <c r="G1753" s="28">
        <v>71856</v>
      </c>
      <c r="H1753">
        <v>0</v>
      </c>
      <c r="I1753" s="29">
        <f t="shared" si="27"/>
        <v>71856</v>
      </c>
      <c r="J1753">
        <f>IFERROR(VLOOKUP(E1753,'LEAID Match'!$A$2:$B$168,2,FALSE),"")</f>
        <v>3304650</v>
      </c>
    </row>
    <row r="1754" spans="1:10">
      <c r="A1754">
        <v>2015</v>
      </c>
      <c r="B1754" t="s">
        <v>1429</v>
      </c>
      <c r="C1754" t="s">
        <v>1431</v>
      </c>
      <c r="D1754" t="s">
        <v>1433</v>
      </c>
      <c r="E1754" t="s">
        <v>472</v>
      </c>
      <c r="F1754" s="9" t="s">
        <v>1180</v>
      </c>
      <c r="G1754" s="18">
        <v>759626.06</v>
      </c>
      <c r="H1754">
        <v>0</v>
      </c>
      <c r="I1754" s="29">
        <f t="shared" si="27"/>
        <v>759626.06</v>
      </c>
      <c r="J1754">
        <f>IFERROR(VLOOKUP(E1754,'LEAID Match'!$A$2:$B$168,2,FALSE),"")</f>
        <v>3304670</v>
      </c>
    </row>
    <row r="1755" spans="1:10">
      <c r="A1755">
        <v>2016</v>
      </c>
      <c r="B1755" t="s">
        <v>1429</v>
      </c>
      <c r="C1755" t="s">
        <v>1431</v>
      </c>
      <c r="D1755" t="s">
        <v>1433</v>
      </c>
      <c r="E1755" t="s">
        <v>472</v>
      </c>
      <c r="F1755" t="s">
        <v>711</v>
      </c>
      <c r="G1755" s="28">
        <v>822506</v>
      </c>
      <c r="H1755">
        <v>0</v>
      </c>
      <c r="I1755" s="29">
        <f t="shared" si="27"/>
        <v>822506</v>
      </c>
      <c r="J1755">
        <f>IFERROR(VLOOKUP(E1755,'LEAID Match'!$A$2:$B$168,2,FALSE),"")</f>
        <v>3304670</v>
      </c>
    </row>
    <row r="1756" spans="1:10">
      <c r="A1756">
        <v>2017</v>
      </c>
      <c r="B1756" t="s">
        <v>1429</v>
      </c>
      <c r="C1756" t="s">
        <v>1431</v>
      </c>
      <c r="D1756" t="s">
        <v>1433</v>
      </c>
      <c r="E1756" t="s">
        <v>472</v>
      </c>
      <c r="F1756" t="s">
        <v>711</v>
      </c>
      <c r="G1756" s="28">
        <v>810641</v>
      </c>
      <c r="H1756">
        <v>0</v>
      </c>
      <c r="I1756" s="29">
        <f t="shared" si="27"/>
        <v>810641</v>
      </c>
      <c r="J1756">
        <f>IFERROR(VLOOKUP(E1756,'LEAID Match'!$A$2:$B$168,2,FALSE),"")</f>
        <v>3304670</v>
      </c>
    </row>
    <row r="1757" spans="1:10">
      <c r="A1757" s="27">
        <v>2018</v>
      </c>
      <c r="B1757" t="s">
        <v>1429</v>
      </c>
      <c r="C1757" t="s">
        <v>1431</v>
      </c>
      <c r="D1757" t="s">
        <v>1433</v>
      </c>
      <c r="E1757" t="s">
        <v>472</v>
      </c>
      <c r="F1757" s="9" t="s">
        <v>711</v>
      </c>
      <c r="G1757" s="18">
        <v>975038</v>
      </c>
      <c r="H1757">
        <v>0</v>
      </c>
      <c r="I1757" s="29">
        <f t="shared" si="27"/>
        <v>975038</v>
      </c>
      <c r="J1757">
        <f>IFERROR(VLOOKUP(E1757,'LEAID Match'!$A$2:$B$168,2,FALSE),"")</f>
        <v>3304670</v>
      </c>
    </row>
    <row r="1758" spans="1:10">
      <c r="A1758">
        <v>2019</v>
      </c>
      <c r="B1758" t="s">
        <v>1429</v>
      </c>
      <c r="C1758" t="s">
        <v>1431</v>
      </c>
      <c r="D1758" t="s">
        <v>1433</v>
      </c>
      <c r="E1758" t="s">
        <v>472</v>
      </c>
      <c r="F1758" s="9" t="s">
        <v>711</v>
      </c>
      <c r="G1758" s="18">
        <v>1012610</v>
      </c>
      <c r="H1758">
        <v>0</v>
      </c>
      <c r="I1758" s="29">
        <f t="shared" si="27"/>
        <v>1012610</v>
      </c>
      <c r="J1758">
        <f>IFERROR(VLOOKUP(E1758,'LEAID Match'!$A$2:$B$168,2,FALSE),"")</f>
        <v>3304670</v>
      </c>
    </row>
    <row r="1759" spans="1:10">
      <c r="A1759" s="27">
        <v>2020</v>
      </c>
      <c r="B1759" t="s">
        <v>1429</v>
      </c>
      <c r="C1759" t="s">
        <v>1431</v>
      </c>
      <c r="D1759" t="s">
        <v>1433</v>
      </c>
      <c r="E1759" t="s">
        <v>472</v>
      </c>
      <c r="F1759" s="9" t="s">
        <v>472</v>
      </c>
      <c r="G1759" s="18">
        <v>1059129</v>
      </c>
      <c r="H1759">
        <v>0</v>
      </c>
      <c r="I1759" s="29">
        <f t="shared" si="27"/>
        <v>1059129</v>
      </c>
      <c r="J1759">
        <f>IFERROR(VLOOKUP(E1759,'LEAID Match'!$A$2:$B$168,2,FALSE),"")</f>
        <v>3304670</v>
      </c>
    </row>
    <row r="1760" spans="1:10">
      <c r="A1760">
        <v>2021</v>
      </c>
      <c r="B1760" t="s">
        <v>1429</v>
      </c>
      <c r="C1760" t="s">
        <v>1431</v>
      </c>
      <c r="D1760" t="s">
        <v>1433</v>
      </c>
      <c r="E1760" t="s">
        <v>472</v>
      </c>
      <c r="F1760" s="9" t="s">
        <v>472</v>
      </c>
      <c r="G1760" s="18">
        <v>1127138</v>
      </c>
      <c r="H1760">
        <v>0</v>
      </c>
      <c r="I1760" s="29">
        <f t="shared" si="27"/>
        <v>1127138</v>
      </c>
      <c r="J1760">
        <f>IFERROR(VLOOKUP(E1760,'LEAID Match'!$A$2:$B$168,2,FALSE),"")</f>
        <v>3304670</v>
      </c>
    </row>
    <row r="1761" spans="1:10">
      <c r="A1761">
        <v>2022</v>
      </c>
      <c r="B1761" t="s">
        <v>1429</v>
      </c>
      <c r="C1761" t="s">
        <v>1431</v>
      </c>
      <c r="D1761" t="s">
        <v>1433</v>
      </c>
      <c r="E1761" t="s">
        <v>472</v>
      </c>
      <c r="F1761" s="9" t="s">
        <v>472</v>
      </c>
      <c r="G1761" s="18">
        <v>1490320</v>
      </c>
      <c r="H1761">
        <v>0</v>
      </c>
      <c r="I1761" s="29">
        <f t="shared" si="27"/>
        <v>1490320</v>
      </c>
      <c r="J1761">
        <f>IFERROR(VLOOKUP(E1761,'LEAID Match'!$A$2:$B$168,2,FALSE),"")</f>
        <v>3304670</v>
      </c>
    </row>
    <row r="1762" spans="1:10">
      <c r="A1762">
        <v>2023</v>
      </c>
      <c r="B1762" t="s">
        <v>1429</v>
      </c>
      <c r="C1762" t="s">
        <v>1431</v>
      </c>
      <c r="D1762" t="s">
        <v>1433</v>
      </c>
      <c r="E1762" t="s">
        <v>472</v>
      </c>
      <c r="F1762" t="s">
        <v>472</v>
      </c>
      <c r="G1762" s="28">
        <v>1456872</v>
      </c>
      <c r="H1762">
        <v>0</v>
      </c>
      <c r="I1762" s="29">
        <f t="shared" si="27"/>
        <v>1456872</v>
      </c>
      <c r="J1762">
        <f>IFERROR(VLOOKUP(E1762,'LEAID Match'!$A$2:$B$168,2,FALSE),"")</f>
        <v>3304670</v>
      </c>
    </row>
    <row r="1763" spans="1:10">
      <c r="A1763">
        <v>2015</v>
      </c>
      <c r="B1763" t="s">
        <v>1429</v>
      </c>
      <c r="C1763" t="s">
        <v>1431</v>
      </c>
      <c r="D1763" t="s">
        <v>1433</v>
      </c>
      <c r="E1763" t="s">
        <v>473</v>
      </c>
      <c r="F1763" s="9" t="s">
        <v>1181</v>
      </c>
      <c r="G1763" s="18">
        <v>1105133.8999999999</v>
      </c>
      <c r="H1763">
        <v>0</v>
      </c>
      <c r="I1763" s="29">
        <f t="shared" si="27"/>
        <v>1105133.8999999999</v>
      </c>
      <c r="J1763">
        <f>IFERROR(VLOOKUP(E1763,'LEAID Match'!$A$2:$B$168,2,FALSE),"")</f>
        <v>3304680</v>
      </c>
    </row>
    <row r="1764" spans="1:10">
      <c r="A1764">
        <v>2016</v>
      </c>
      <c r="B1764" t="s">
        <v>1429</v>
      </c>
      <c r="C1764" t="s">
        <v>1431</v>
      </c>
      <c r="D1764" t="s">
        <v>1433</v>
      </c>
      <c r="E1764" t="s">
        <v>473</v>
      </c>
      <c r="F1764" t="s">
        <v>712</v>
      </c>
      <c r="G1764" s="28">
        <v>1193098</v>
      </c>
      <c r="H1764">
        <v>0</v>
      </c>
      <c r="I1764" s="29">
        <f t="shared" si="27"/>
        <v>1193098</v>
      </c>
      <c r="J1764">
        <f>IFERROR(VLOOKUP(E1764,'LEAID Match'!$A$2:$B$168,2,FALSE),"")</f>
        <v>3304680</v>
      </c>
    </row>
    <row r="1765" spans="1:10">
      <c r="A1765">
        <v>2017</v>
      </c>
      <c r="B1765" t="s">
        <v>1429</v>
      </c>
      <c r="C1765" t="s">
        <v>1431</v>
      </c>
      <c r="D1765" t="s">
        <v>1433</v>
      </c>
      <c r="E1765" t="s">
        <v>473</v>
      </c>
      <c r="F1765" t="s">
        <v>712</v>
      </c>
      <c r="G1765" s="28">
        <v>1238916</v>
      </c>
      <c r="H1765">
        <v>0</v>
      </c>
      <c r="I1765" s="29">
        <f t="shared" si="27"/>
        <v>1238916</v>
      </c>
      <c r="J1765">
        <f>IFERROR(VLOOKUP(E1765,'LEAID Match'!$A$2:$B$168,2,FALSE),"")</f>
        <v>3304680</v>
      </c>
    </row>
    <row r="1766" spans="1:10">
      <c r="A1766" s="27">
        <v>2018</v>
      </c>
      <c r="B1766" t="s">
        <v>1429</v>
      </c>
      <c r="C1766" t="s">
        <v>1431</v>
      </c>
      <c r="D1766" t="s">
        <v>1433</v>
      </c>
      <c r="E1766" t="s">
        <v>473</v>
      </c>
      <c r="F1766" s="9" t="s">
        <v>712</v>
      </c>
      <c r="G1766" s="18">
        <v>1527870</v>
      </c>
      <c r="H1766">
        <v>0</v>
      </c>
      <c r="I1766" s="29">
        <f t="shared" si="27"/>
        <v>1527870</v>
      </c>
      <c r="J1766">
        <f>IFERROR(VLOOKUP(E1766,'LEAID Match'!$A$2:$B$168,2,FALSE),"")</f>
        <v>3304680</v>
      </c>
    </row>
    <row r="1767" spans="1:10">
      <c r="A1767">
        <v>2019</v>
      </c>
      <c r="B1767" t="s">
        <v>1429</v>
      </c>
      <c r="C1767" t="s">
        <v>1431</v>
      </c>
      <c r="D1767" t="s">
        <v>1433</v>
      </c>
      <c r="E1767" t="s">
        <v>473</v>
      </c>
      <c r="F1767" s="9" t="s">
        <v>712</v>
      </c>
      <c r="G1767" s="18">
        <v>1548573</v>
      </c>
      <c r="H1767">
        <v>0</v>
      </c>
      <c r="I1767" s="29">
        <f t="shared" si="27"/>
        <v>1548573</v>
      </c>
      <c r="J1767">
        <f>IFERROR(VLOOKUP(E1767,'LEAID Match'!$A$2:$B$168,2,FALSE),"")</f>
        <v>3304680</v>
      </c>
    </row>
    <row r="1768" spans="1:10">
      <c r="A1768" s="27">
        <v>2020</v>
      </c>
      <c r="B1768" t="s">
        <v>1429</v>
      </c>
      <c r="C1768" t="s">
        <v>1431</v>
      </c>
      <c r="D1768" t="s">
        <v>1433</v>
      </c>
      <c r="E1768" t="s">
        <v>473</v>
      </c>
      <c r="F1768" s="9" t="s">
        <v>473</v>
      </c>
      <c r="G1768" s="18">
        <v>1589741</v>
      </c>
      <c r="H1768">
        <v>0</v>
      </c>
      <c r="I1768" s="29">
        <f t="shared" si="27"/>
        <v>1589741</v>
      </c>
      <c r="J1768">
        <f>IFERROR(VLOOKUP(E1768,'LEAID Match'!$A$2:$B$168,2,FALSE),"")</f>
        <v>3304680</v>
      </c>
    </row>
    <row r="1769" spans="1:10">
      <c r="A1769">
        <v>2021</v>
      </c>
      <c r="B1769" t="s">
        <v>1429</v>
      </c>
      <c r="C1769" t="s">
        <v>1431</v>
      </c>
      <c r="D1769" t="s">
        <v>1433</v>
      </c>
      <c r="E1769" t="s">
        <v>473</v>
      </c>
      <c r="F1769" s="9" t="s">
        <v>473</v>
      </c>
      <c r="G1769" s="18">
        <v>1621441</v>
      </c>
      <c r="H1769">
        <v>0</v>
      </c>
      <c r="I1769" s="29">
        <f t="shared" si="27"/>
        <v>1621441</v>
      </c>
      <c r="J1769">
        <f>IFERROR(VLOOKUP(E1769,'LEAID Match'!$A$2:$B$168,2,FALSE),"")</f>
        <v>3304680</v>
      </c>
    </row>
    <row r="1770" spans="1:10">
      <c r="A1770">
        <v>2022</v>
      </c>
      <c r="B1770" t="s">
        <v>1429</v>
      </c>
      <c r="C1770" t="s">
        <v>1431</v>
      </c>
      <c r="D1770" t="s">
        <v>1433</v>
      </c>
      <c r="E1770" t="s">
        <v>473</v>
      </c>
      <c r="F1770" s="9" t="s">
        <v>473</v>
      </c>
      <c r="G1770" s="18">
        <v>2092031</v>
      </c>
      <c r="H1770">
        <v>0</v>
      </c>
      <c r="I1770" s="29">
        <f t="shared" si="27"/>
        <v>2092031</v>
      </c>
      <c r="J1770">
        <f>IFERROR(VLOOKUP(E1770,'LEAID Match'!$A$2:$B$168,2,FALSE),"")</f>
        <v>3304680</v>
      </c>
    </row>
    <row r="1771" spans="1:10">
      <c r="A1771">
        <v>2023</v>
      </c>
      <c r="B1771" t="s">
        <v>1429</v>
      </c>
      <c r="C1771" t="s">
        <v>1431</v>
      </c>
      <c r="D1771" t="s">
        <v>1433</v>
      </c>
      <c r="E1771" t="s">
        <v>473</v>
      </c>
      <c r="F1771" t="s">
        <v>473</v>
      </c>
      <c r="G1771" s="28">
        <v>2108223</v>
      </c>
      <c r="H1771">
        <v>0</v>
      </c>
      <c r="I1771" s="29">
        <f t="shared" si="27"/>
        <v>2108223</v>
      </c>
      <c r="J1771">
        <f>IFERROR(VLOOKUP(E1771,'LEAID Match'!$A$2:$B$168,2,FALSE),"")</f>
        <v>3304680</v>
      </c>
    </row>
    <row r="1772" spans="1:10">
      <c r="A1772">
        <v>2015</v>
      </c>
      <c r="B1772" t="s">
        <v>1429</v>
      </c>
      <c r="C1772" t="s">
        <v>1431</v>
      </c>
      <c r="D1772" t="s">
        <v>1433</v>
      </c>
      <c r="E1772" t="s">
        <v>713</v>
      </c>
      <c r="F1772" s="9" t="s">
        <v>1182</v>
      </c>
      <c r="G1772" s="18">
        <v>49645.96</v>
      </c>
      <c r="H1772">
        <v>0</v>
      </c>
      <c r="I1772" s="29">
        <f t="shared" si="27"/>
        <v>49645.96</v>
      </c>
      <c r="J1772" t="str">
        <f>IFERROR(VLOOKUP(E1772,'LEAID Match'!$A$2:$B$168,2,FALSE),"")</f>
        <v/>
      </c>
    </row>
    <row r="1773" spans="1:10">
      <c r="A1773">
        <v>2016</v>
      </c>
      <c r="B1773" t="s">
        <v>1429</v>
      </c>
      <c r="C1773" t="s">
        <v>1431</v>
      </c>
      <c r="D1773" t="s">
        <v>1433</v>
      </c>
      <c r="E1773" t="s">
        <v>713</v>
      </c>
      <c r="F1773" t="s">
        <v>713</v>
      </c>
      <c r="G1773" s="28">
        <v>35934</v>
      </c>
      <c r="H1773">
        <v>0</v>
      </c>
      <c r="I1773" s="29">
        <f t="shared" si="27"/>
        <v>35934</v>
      </c>
      <c r="J1773" t="str">
        <f>IFERROR(VLOOKUP(E1773,'LEAID Match'!$A$2:$B$168,2,FALSE),"")</f>
        <v/>
      </c>
    </row>
    <row r="1774" spans="1:10">
      <c r="A1774">
        <v>2017</v>
      </c>
      <c r="B1774" t="s">
        <v>1429</v>
      </c>
      <c r="C1774" t="s">
        <v>1431</v>
      </c>
      <c r="D1774" t="s">
        <v>1433</v>
      </c>
      <c r="E1774" t="s">
        <v>713</v>
      </c>
      <c r="F1774" t="s">
        <v>713</v>
      </c>
      <c r="G1774" s="28">
        <v>33753</v>
      </c>
      <c r="H1774">
        <v>0</v>
      </c>
      <c r="I1774" s="29">
        <f t="shared" si="27"/>
        <v>33753</v>
      </c>
      <c r="J1774" t="str">
        <f>IFERROR(VLOOKUP(E1774,'LEAID Match'!$A$2:$B$168,2,FALSE),"")</f>
        <v/>
      </c>
    </row>
    <row r="1775" spans="1:10">
      <c r="A1775" s="27">
        <v>2018</v>
      </c>
      <c r="B1775" t="s">
        <v>1429</v>
      </c>
      <c r="C1775" t="s">
        <v>1431</v>
      </c>
      <c r="D1775" t="s">
        <v>1433</v>
      </c>
      <c r="E1775" t="s">
        <v>713</v>
      </c>
      <c r="F1775" s="9" t="s">
        <v>713</v>
      </c>
      <c r="G1775" s="18">
        <v>37877</v>
      </c>
      <c r="H1775">
        <v>0</v>
      </c>
      <c r="I1775" s="29">
        <f t="shared" si="27"/>
        <v>37877</v>
      </c>
      <c r="J1775" t="str">
        <f>IFERROR(VLOOKUP(E1775,'LEAID Match'!$A$2:$B$168,2,FALSE),"")</f>
        <v/>
      </c>
    </row>
    <row r="1776" spans="1:10">
      <c r="A1776">
        <v>2019</v>
      </c>
      <c r="B1776" t="s">
        <v>1429</v>
      </c>
      <c r="C1776" t="s">
        <v>1431</v>
      </c>
      <c r="D1776" t="s">
        <v>1433</v>
      </c>
      <c r="E1776" t="s">
        <v>713</v>
      </c>
      <c r="F1776" s="9" t="s">
        <v>713</v>
      </c>
      <c r="G1776" s="18">
        <v>49616</v>
      </c>
      <c r="H1776">
        <v>0</v>
      </c>
      <c r="I1776" s="29">
        <f t="shared" si="27"/>
        <v>49616</v>
      </c>
      <c r="J1776" t="str">
        <f>IFERROR(VLOOKUP(E1776,'LEAID Match'!$A$2:$B$168,2,FALSE),"")</f>
        <v/>
      </c>
    </row>
    <row r="1777" spans="1:10">
      <c r="A1777">
        <v>2015</v>
      </c>
      <c r="B1777" t="s">
        <v>1429</v>
      </c>
      <c r="C1777" t="s">
        <v>1431</v>
      </c>
      <c r="D1777" t="s">
        <v>1433</v>
      </c>
      <c r="E1777" t="s">
        <v>474</v>
      </c>
      <c r="F1777" s="9" t="s">
        <v>1183</v>
      </c>
      <c r="G1777" s="18">
        <v>49223.21</v>
      </c>
      <c r="H1777">
        <v>0</v>
      </c>
      <c r="I1777" s="29">
        <f t="shared" si="27"/>
        <v>49223.21</v>
      </c>
      <c r="J1777">
        <f>IFERROR(VLOOKUP(E1777,'LEAID Match'!$A$2:$B$168,2,FALSE),"")</f>
        <v>3303276</v>
      </c>
    </row>
    <row r="1778" spans="1:10">
      <c r="A1778">
        <v>2016</v>
      </c>
      <c r="B1778" t="s">
        <v>1429</v>
      </c>
      <c r="C1778" t="s">
        <v>1431</v>
      </c>
      <c r="D1778" t="s">
        <v>1433</v>
      </c>
      <c r="E1778" t="s">
        <v>474</v>
      </c>
      <c r="F1778" t="s">
        <v>714</v>
      </c>
      <c r="G1778" s="28">
        <v>54753</v>
      </c>
      <c r="H1778">
        <v>0</v>
      </c>
      <c r="I1778" s="29">
        <f t="shared" si="27"/>
        <v>54753</v>
      </c>
      <c r="J1778">
        <f>IFERROR(VLOOKUP(E1778,'LEAID Match'!$A$2:$B$168,2,FALSE),"")</f>
        <v>3303276</v>
      </c>
    </row>
    <row r="1779" spans="1:10">
      <c r="A1779">
        <v>2017</v>
      </c>
      <c r="B1779" t="s">
        <v>1429</v>
      </c>
      <c r="C1779" t="s">
        <v>1431</v>
      </c>
      <c r="D1779" t="s">
        <v>1433</v>
      </c>
      <c r="E1779" t="s">
        <v>474</v>
      </c>
      <c r="F1779" t="s">
        <v>714</v>
      </c>
      <c r="G1779" s="28">
        <v>57271</v>
      </c>
      <c r="H1779">
        <v>0</v>
      </c>
      <c r="I1779" s="29">
        <f t="shared" si="27"/>
        <v>57271</v>
      </c>
      <c r="J1779">
        <f>IFERROR(VLOOKUP(E1779,'LEAID Match'!$A$2:$B$168,2,FALSE),"")</f>
        <v>3303276</v>
      </c>
    </row>
    <row r="1780" spans="1:10">
      <c r="A1780" s="27">
        <v>2018</v>
      </c>
      <c r="B1780" t="s">
        <v>1429</v>
      </c>
      <c r="C1780" t="s">
        <v>1431</v>
      </c>
      <c r="D1780" t="s">
        <v>1433</v>
      </c>
      <c r="E1780" t="s">
        <v>474</v>
      </c>
      <c r="F1780" s="9" t="s">
        <v>714</v>
      </c>
      <c r="G1780" s="18">
        <v>69473</v>
      </c>
      <c r="H1780">
        <v>0</v>
      </c>
      <c r="I1780" s="29">
        <f t="shared" si="27"/>
        <v>69473</v>
      </c>
      <c r="J1780">
        <f>IFERROR(VLOOKUP(E1780,'LEAID Match'!$A$2:$B$168,2,FALSE),"")</f>
        <v>3303276</v>
      </c>
    </row>
    <row r="1781" spans="1:10">
      <c r="A1781">
        <v>2019</v>
      </c>
      <c r="B1781" t="s">
        <v>1429</v>
      </c>
      <c r="C1781" t="s">
        <v>1431</v>
      </c>
      <c r="D1781" t="s">
        <v>1433</v>
      </c>
      <c r="E1781" t="s">
        <v>474</v>
      </c>
      <c r="F1781" s="9" t="s">
        <v>714</v>
      </c>
      <c r="G1781" s="18">
        <v>87097</v>
      </c>
      <c r="H1781">
        <v>0</v>
      </c>
      <c r="I1781" s="29">
        <f t="shared" si="27"/>
        <v>87097</v>
      </c>
      <c r="J1781">
        <f>IFERROR(VLOOKUP(E1781,'LEAID Match'!$A$2:$B$168,2,FALSE),"")</f>
        <v>3303276</v>
      </c>
    </row>
    <row r="1782" spans="1:10">
      <c r="A1782" s="27">
        <v>2020</v>
      </c>
      <c r="B1782" t="s">
        <v>1429</v>
      </c>
      <c r="C1782" t="s">
        <v>1431</v>
      </c>
      <c r="D1782" t="s">
        <v>1433</v>
      </c>
      <c r="E1782" t="s">
        <v>474</v>
      </c>
      <c r="F1782" s="9" t="s">
        <v>474</v>
      </c>
      <c r="G1782" s="18">
        <v>91893</v>
      </c>
      <c r="H1782">
        <v>0</v>
      </c>
      <c r="I1782" s="29">
        <f t="shared" si="27"/>
        <v>91893</v>
      </c>
      <c r="J1782">
        <f>IFERROR(VLOOKUP(E1782,'LEAID Match'!$A$2:$B$168,2,FALSE),"")</f>
        <v>3303276</v>
      </c>
    </row>
    <row r="1783" spans="1:10">
      <c r="A1783">
        <v>2021</v>
      </c>
      <c r="B1783" t="s">
        <v>1429</v>
      </c>
      <c r="C1783" t="s">
        <v>1431</v>
      </c>
      <c r="D1783" t="s">
        <v>1433</v>
      </c>
      <c r="E1783" t="s">
        <v>474</v>
      </c>
      <c r="F1783" s="9" t="s">
        <v>474</v>
      </c>
      <c r="G1783" s="18">
        <v>97188</v>
      </c>
      <c r="H1783">
        <v>0</v>
      </c>
      <c r="I1783" s="29">
        <f t="shared" si="27"/>
        <v>97188</v>
      </c>
      <c r="J1783">
        <f>IFERROR(VLOOKUP(E1783,'LEAID Match'!$A$2:$B$168,2,FALSE),"")</f>
        <v>3303276</v>
      </c>
    </row>
    <row r="1784" spans="1:10">
      <c r="A1784">
        <v>2022</v>
      </c>
      <c r="B1784" t="s">
        <v>1429</v>
      </c>
      <c r="C1784" t="s">
        <v>1431</v>
      </c>
      <c r="D1784" t="s">
        <v>1433</v>
      </c>
      <c r="E1784" t="s">
        <v>474</v>
      </c>
      <c r="F1784" s="9" t="s">
        <v>474</v>
      </c>
      <c r="G1784" s="18">
        <v>116873</v>
      </c>
      <c r="H1784">
        <v>0</v>
      </c>
      <c r="I1784" s="29">
        <f t="shared" si="27"/>
        <v>116873</v>
      </c>
      <c r="J1784">
        <f>IFERROR(VLOOKUP(E1784,'LEAID Match'!$A$2:$B$168,2,FALSE),"")</f>
        <v>3303276</v>
      </c>
    </row>
    <row r="1785" spans="1:10">
      <c r="A1785">
        <v>2023</v>
      </c>
      <c r="B1785" t="s">
        <v>1429</v>
      </c>
      <c r="C1785" t="s">
        <v>1431</v>
      </c>
      <c r="D1785" t="s">
        <v>1433</v>
      </c>
      <c r="E1785" t="s">
        <v>474</v>
      </c>
      <c r="F1785" t="s">
        <v>474</v>
      </c>
      <c r="G1785" s="28">
        <v>126303</v>
      </c>
      <c r="H1785">
        <v>0</v>
      </c>
      <c r="I1785" s="29">
        <f t="shared" si="27"/>
        <v>126303</v>
      </c>
      <c r="J1785">
        <f>IFERROR(VLOOKUP(E1785,'LEAID Match'!$A$2:$B$168,2,FALSE),"")</f>
        <v>3303276</v>
      </c>
    </row>
    <row r="1786" spans="1:10">
      <c r="A1786">
        <v>2015</v>
      </c>
      <c r="B1786" t="s">
        <v>1429</v>
      </c>
      <c r="C1786" t="s">
        <v>1431</v>
      </c>
      <c r="D1786" t="s">
        <v>1433</v>
      </c>
      <c r="E1786" t="s">
        <v>475</v>
      </c>
      <c r="F1786" s="9" t="s">
        <v>1184</v>
      </c>
      <c r="G1786" s="18">
        <v>8279.34</v>
      </c>
      <c r="H1786">
        <v>0</v>
      </c>
      <c r="I1786" s="29">
        <f t="shared" si="27"/>
        <v>8279.34</v>
      </c>
      <c r="J1786" t="str">
        <f>IFERROR(VLOOKUP(E1786,'LEAID Match'!$A$2:$B$168,2,FALSE),"")</f>
        <v/>
      </c>
    </row>
    <row r="1787" spans="1:10">
      <c r="A1787">
        <v>2016</v>
      </c>
      <c r="B1787" t="s">
        <v>1429</v>
      </c>
      <c r="C1787" t="s">
        <v>1431</v>
      </c>
      <c r="D1787" t="s">
        <v>1433</v>
      </c>
      <c r="E1787" t="s">
        <v>475</v>
      </c>
      <c r="F1787" t="s">
        <v>475</v>
      </c>
      <c r="G1787" s="28">
        <v>7731</v>
      </c>
      <c r="H1787">
        <v>0</v>
      </c>
      <c r="I1787" s="29">
        <f t="shared" si="27"/>
        <v>7731</v>
      </c>
      <c r="J1787" t="str">
        <f>IFERROR(VLOOKUP(E1787,'LEAID Match'!$A$2:$B$168,2,FALSE),"")</f>
        <v/>
      </c>
    </row>
    <row r="1788" spans="1:10">
      <c r="A1788">
        <v>2017</v>
      </c>
      <c r="B1788" t="s">
        <v>1429</v>
      </c>
      <c r="C1788" t="s">
        <v>1431</v>
      </c>
      <c r="D1788" t="s">
        <v>1433</v>
      </c>
      <c r="E1788" t="s">
        <v>475</v>
      </c>
      <c r="F1788" t="s">
        <v>475</v>
      </c>
      <c r="G1788" s="28">
        <v>8287</v>
      </c>
      <c r="H1788">
        <v>0</v>
      </c>
      <c r="I1788" s="29">
        <f t="shared" si="27"/>
        <v>8287</v>
      </c>
      <c r="J1788" t="str">
        <f>IFERROR(VLOOKUP(E1788,'LEAID Match'!$A$2:$B$168,2,FALSE),"")</f>
        <v/>
      </c>
    </row>
    <row r="1789" spans="1:10">
      <c r="A1789" s="27">
        <v>2018</v>
      </c>
      <c r="B1789" t="s">
        <v>1429</v>
      </c>
      <c r="C1789" t="s">
        <v>1431</v>
      </c>
      <c r="D1789" t="s">
        <v>1433</v>
      </c>
      <c r="E1789" t="s">
        <v>475</v>
      </c>
      <c r="F1789" s="9" t="s">
        <v>475</v>
      </c>
      <c r="G1789" s="18">
        <v>8208</v>
      </c>
      <c r="H1789">
        <v>0</v>
      </c>
      <c r="I1789" s="29">
        <f t="shared" si="27"/>
        <v>8208</v>
      </c>
      <c r="J1789" t="str">
        <f>IFERROR(VLOOKUP(E1789,'LEAID Match'!$A$2:$B$168,2,FALSE),"")</f>
        <v/>
      </c>
    </row>
    <row r="1790" spans="1:10">
      <c r="A1790">
        <v>2019</v>
      </c>
      <c r="B1790" t="s">
        <v>1429</v>
      </c>
      <c r="C1790" t="s">
        <v>1431</v>
      </c>
      <c r="D1790" t="s">
        <v>1433</v>
      </c>
      <c r="E1790" t="s">
        <v>475</v>
      </c>
      <c r="F1790" s="9" t="s">
        <v>475</v>
      </c>
      <c r="G1790" s="18"/>
      <c r="H1790">
        <v>0</v>
      </c>
      <c r="I1790" s="29">
        <f t="shared" si="27"/>
        <v>0</v>
      </c>
      <c r="J1790" t="str">
        <f>IFERROR(VLOOKUP(E1790,'LEAID Match'!$A$2:$B$168,2,FALSE),"")</f>
        <v/>
      </c>
    </row>
    <row r="1791" spans="1:10">
      <c r="A1791" s="27">
        <v>2020</v>
      </c>
      <c r="B1791" t="s">
        <v>1429</v>
      </c>
      <c r="C1791" t="s">
        <v>1431</v>
      </c>
      <c r="D1791" t="s">
        <v>1433</v>
      </c>
      <c r="E1791" t="s">
        <v>475</v>
      </c>
      <c r="F1791" s="9" t="s">
        <v>475</v>
      </c>
      <c r="G1791" s="18"/>
      <c r="H1791">
        <v>0</v>
      </c>
      <c r="I1791" s="29">
        <f t="shared" si="27"/>
        <v>0</v>
      </c>
      <c r="J1791" t="str">
        <f>IFERROR(VLOOKUP(E1791,'LEAID Match'!$A$2:$B$168,2,FALSE),"")</f>
        <v/>
      </c>
    </row>
    <row r="1792" spans="1:10">
      <c r="A1792">
        <v>2021</v>
      </c>
      <c r="B1792" t="s">
        <v>1429</v>
      </c>
      <c r="C1792" t="s">
        <v>1431</v>
      </c>
      <c r="D1792" t="s">
        <v>1433</v>
      </c>
      <c r="E1792" t="s">
        <v>475</v>
      </c>
      <c r="F1792" s="9" t="s">
        <v>475</v>
      </c>
      <c r="G1792" s="18"/>
      <c r="H1792">
        <v>0</v>
      </c>
      <c r="I1792" s="29">
        <f t="shared" si="27"/>
        <v>0</v>
      </c>
      <c r="J1792" t="str">
        <f>IFERROR(VLOOKUP(E1792,'LEAID Match'!$A$2:$B$168,2,FALSE),"")</f>
        <v/>
      </c>
    </row>
    <row r="1793" spans="1:10">
      <c r="A1793">
        <v>2015</v>
      </c>
      <c r="B1793" t="s">
        <v>1429</v>
      </c>
      <c r="C1793" t="s">
        <v>1431</v>
      </c>
      <c r="D1793" t="s">
        <v>1433</v>
      </c>
      <c r="E1793" t="s">
        <v>715</v>
      </c>
      <c r="F1793" s="9" t="s">
        <v>1185</v>
      </c>
      <c r="G1793" s="18">
        <v>534783.61</v>
      </c>
      <c r="H1793">
        <v>0</v>
      </c>
      <c r="I1793" s="29">
        <f t="shared" si="27"/>
        <v>534783.61</v>
      </c>
      <c r="J1793" t="str">
        <f>IFERROR(VLOOKUP(E1793,'LEAID Match'!$A$2:$B$168,2,FALSE),"")</f>
        <v/>
      </c>
    </row>
    <row r="1794" spans="1:10">
      <c r="A1794">
        <v>2016</v>
      </c>
      <c r="B1794" t="s">
        <v>1429</v>
      </c>
      <c r="C1794" t="s">
        <v>1431</v>
      </c>
      <c r="D1794" t="s">
        <v>1433</v>
      </c>
      <c r="E1794" t="s">
        <v>715</v>
      </c>
      <c r="F1794" t="s">
        <v>715</v>
      </c>
      <c r="G1794" s="28">
        <v>560457</v>
      </c>
      <c r="H1794">
        <v>0</v>
      </c>
      <c r="I1794" s="29">
        <f t="shared" si="27"/>
        <v>560457</v>
      </c>
      <c r="J1794" t="str">
        <f>IFERROR(VLOOKUP(E1794,'LEAID Match'!$A$2:$B$168,2,FALSE),"")</f>
        <v/>
      </c>
    </row>
    <row r="1795" spans="1:10">
      <c r="A1795">
        <v>2017</v>
      </c>
      <c r="B1795" t="s">
        <v>1429</v>
      </c>
      <c r="C1795" t="s">
        <v>1431</v>
      </c>
      <c r="D1795" t="s">
        <v>1433</v>
      </c>
      <c r="E1795" t="s">
        <v>715</v>
      </c>
      <c r="F1795" t="s">
        <v>715</v>
      </c>
      <c r="G1795" s="28">
        <v>610343</v>
      </c>
      <c r="H1795">
        <v>0</v>
      </c>
      <c r="I1795" s="29">
        <f t="shared" ref="I1795:I1858" si="28">SUM(G1795:H1795)</f>
        <v>610343</v>
      </c>
      <c r="J1795" t="str">
        <f>IFERROR(VLOOKUP(E1795,'LEAID Match'!$A$2:$B$168,2,FALSE),"")</f>
        <v/>
      </c>
    </row>
    <row r="1796" spans="1:10">
      <c r="A1796" s="27">
        <v>2018</v>
      </c>
      <c r="B1796" t="s">
        <v>1429</v>
      </c>
      <c r="C1796" t="s">
        <v>1431</v>
      </c>
      <c r="D1796" t="s">
        <v>1433</v>
      </c>
      <c r="E1796" t="s">
        <v>715</v>
      </c>
      <c r="F1796" s="9" t="s">
        <v>715</v>
      </c>
      <c r="G1796" s="18">
        <v>631489</v>
      </c>
      <c r="H1796">
        <v>0</v>
      </c>
      <c r="I1796" s="29">
        <f t="shared" si="28"/>
        <v>631489</v>
      </c>
      <c r="J1796" t="str">
        <f>IFERROR(VLOOKUP(E1796,'LEAID Match'!$A$2:$B$168,2,FALSE),"")</f>
        <v/>
      </c>
    </row>
    <row r="1797" spans="1:10">
      <c r="A1797">
        <v>2019</v>
      </c>
      <c r="B1797" t="s">
        <v>1429</v>
      </c>
      <c r="C1797" t="s">
        <v>1431</v>
      </c>
      <c r="D1797" t="s">
        <v>1433</v>
      </c>
      <c r="E1797" t="s">
        <v>715</v>
      </c>
      <c r="F1797" s="9" t="s">
        <v>715</v>
      </c>
      <c r="G1797" s="18">
        <v>653587</v>
      </c>
      <c r="H1797">
        <v>0</v>
      </c>
      <c r="I1797" s="29">
        <f t="shared" si="28"/>
        <v>653587</v>
      </c>
      <c r="J1797" t="str">
        <f>IFERROR(VLOOKUP(E1797,'LEAID Match'!$A$2:$B$168,2,FALSE),"")</f>
        <v/>
      </c>
    </row>
    <row r="1798" spans="1:10">
      <c r="A1798">
        <v>2015</v>
      </c>
      <c r="B1798" t="s">
        <v>1429</v>
      </c>
      <c r="C1798" t="s">
        <v>1431</v>
      </c>
      <c r="D1798" t="s">
        <v>1433</v>
      </c>
      <c r="E1798" t="s">
        <v>476</v>
      </c>
      <c r="F1798" s="9" t="s">
        <v>1186</v>
      </c>
      <c r="G1798" s="18">
        <v>4882.26</v>
      </c>
      <c r="H1798">
        <v>0</v>
      </c>
      <c r="I1798" s="29">
        <f t="shared" si="28"/>
        <v>4882.26</v>
      </c>
      <c r="J1798" t="str">
        <f>IFERROR(VLOOKUP(E1798,'LEAID Match'!$A$2:$B$168,2,FALSE),"")</f>
        <v/>
      </c>
    </row>
    <row r="1799" spans="1:10">
      <c r="A1799">
        <v>2016</v>
      </c>
      <c r="B1799" t="s">
        <v>1429</v>
      </c>
      <c r="C1799" t="s">
        <v>1431</v>
      </c>
      <c r="D1799" t="s">
        <v>1433</v>
      </c>
      <c r="E1799" t="s">
        <v>476</v>
      </c>
      <c r="F1799" t="s">
        <v>476</v>
      </c>
      <c r="G1799" s="28">
        <v>5230</v>
      </c>
      <c r="H1799">
        <v>0</v>
      </c>
      <c r="I1799" s="29">
        <f t="shared" si="28"/>
        <v>5230</v>
      </c>
      <c r="J1799" t="str">
        <f>IFERROR(VLOOKUP(E1799,'LEAID Match'!$A$2:$B$168,2,FALSE),"")</f>
        <v/>
      </c>
    </row>
    <row r="1800" spans="1:10">
      <c r="A1800">
        <v>2017</v>
      </c>
      <c r="B1800" t="s">
        <v>1429</v>
      </c>
      <c r="C1800" t="s">
        <v>1431</v>
      </c>
      <c r="D1800" t="s">
        <v>1433</v>
      </c>
      <c r="E1800" t="s">
        <v>476</v>
      </c>
      <c r="F1800" t="s">
        <v>476</v>
      </c>
      <c r="G1800" s="28">
        <v>5339</v>
      </c>
      <c r="H1800">
        <v>0</v>
      </c>
      <c r="I1800" s="29">
        <f t="shared" si="28"/>
        <v>5339</v>
      </c>
      <c r="J1800" t="str">
        <f>IFERROR(VLOOKUP(E1800,'LEAID Match'!$A$2:$B$168,2,FALSE),"")</f>
        <v/>
      </c>
    </row>
    <row r="1801" spans="1:10">
      <c r="A1801" s="27">
        <v>2018</v>
      </c>
      <c r="B1801" t="s">
        <v>1429</v>
      </c>
      <c r="C1801" t="s">
        <v>1431</v>
      </c>
      <c r="D1801" t="s">
        <v>1433</v>
      </c>
      <c r="E1801" t="s">
        <v>476</v>
      </c>
      <c r="F1801" s="9" t="s">
        <v>476</v>
      </c>
      <c r="G1801" s="18">
        <v>5534</v>
      </c>
      <c r="H1801">
        <v>0</v>
      </c>
      <c r="I1801" s="29">
        <f t="shared" si="28"/>
        <v>5534</v>
      </c>
      <c r="J1801" t="str">
        <f>IFERROR(VLOOKUP(E1801,'LEAID Match'!$A$2:$B$168,2,FALSE),"")</f>
        <v/>
      </c>
    </row>
    <row r="1802" spans="1:10">
      <c r="A1802">
        <v>2019</v>
      </c>
      <c r="B1802" t="s">
        <v>1429</v>
      </c>
      <c r="C1802" t="s">
        <v>1431</v>
      </c>
      <c r="D1802" t="s">
        <v>1433</v>
      </c>
      <c r="E1802" t="s">
        <v>476</v>
      </c>
      <c r="F1802" s="9" t="s">
        <v>476</v>
      </c>
      <c r="G1802" s="18">
        <v>5718</v>
      </c>
      <c r="H1802">
        <v>0</v>
      </c>
      <c r="I1802" s="29">
        <f t="shared" si="28"/>
        <v>5718</v>
      </c>
      <c r="J1802" t="str">
        <f>IFERROR(VLOOKUP(E1802,'LEAID Match'!$A$2:$B$168,2,FALSE),"")</f>
        <v/>
      </c>
    </row>
    <row r="1803" spans="1:10">
      <c r="A1803" s="27">
        <v>2020</v>
      </c>
      <c r="B1803" t="s">
        <v>1429</v>
      </c>
      <c r="C1803" t="s">
        <v>1431</v>
      </c>
      <c r="D1803" t="s">
        <v>1433</v>
      </c>
      <c r="E1803" t="s">
        <v>476</v>
      </c>
      <c r="F1803" s="9" t="s">
        <v>476</v>
      </c>
      <c r="G1803" s="18">
        <v>5716</v>
      </c>
      <c r="H1803">
        <v>0</v>
      </c>
      <c r="I1803" s="29">
        <f t="shared" si="28"/>
        <v>5716</v>
      </c>
      <c r="J1803" t="str">
        <f>IFERROR(VLOOKUP(E1803,'LEAID Match'!$A$2:$B$168,2,FALSE),"")</f>
        <v/>
      </c>
    </row>
    <row r="1804" spans="1:10">
      <c r="A1804">
        <v>2021</v>
      </c>
      <c r="B1804" t="s">
        <v>1429</v>
      </c>
      <c r="C1804" t="s">
        <v>1431</v>
      </c>
      <c r="D1804" t="s">
        <v>1433</v>
      </c>
      <c r="E1804" t="s">
        <v>476</v>
      </c>
      <c r="F1804" s="9" t="s">
        <v>476</v>
      </c>
      <c r="G1804" s="18">
        <v>5787</v>
      </c>
      <c r="H1804">
        <v>0</v>
      </c>
      <c r="I1804" s="29">
        <f t="shared" si="28"/>
        <v>5787</v>
      </c>
      <c r="J1804" t="str">
        <f>IFERROR(VLOOKUP(E1804,'LEAID Match'!$A$2:$B$168,2,FALSE),"")</f>
        <v/>
      </c>
    </row>
    <row r="1805" spans="1:10">
      <c r="A1805">
        <v>2022</v>
      </c>
      <c r="B1805" t="s">
        <v>1429</v>
      </c>
      <c r="C1805" t="s">
        <v>1431</v>
      </c>
      <c r="D1805" t="s">
        <v>1433</v>
      </c>
      <c r="E1805" t="s">
        <v>476</v>
      </c>
      <c r="F1805" s="9" t="s">
        <v>476</v>
      </c>
      <c r="G1805" s="18">
        <v>7521</v>
      </c>
      <c r="H1805">
        <v>0</v>
      </c>
      <c r="I1805" s="29">
        <f t="shared" si="28"/>
        <v>7521</v>
      </c>
      <c r="J1805" t="str">
        <f>IFERROR(VLOOKUP(E1805,'LEAID Match'!$A$2:$B$168,2,FALSE),"")</f>
        <v/>
      </c>
    </row>
    <row r="1806" spans="1:10">
      <c r="A1806">
        <v>2023</v>
      </c>
      <c r="B1806" t="s">
        <v>1429</v>
      </c>
      <c r="C1806" t="s">
        <v>1431</v>
      </c>
      <c r="D1806" t="s">
        <v>1433</v>
      </c>
      <c r="E1806" t="s">
        <v>476</v>
      </c>
      <c r="F1806" t="s">
        <v>476</v>
      </c>
      <c r="G1806" s="28">
        <v>7909</v>
      </c>
      <c r="H1806">
        <v>0</v>
      </c>
      <c r="I1806" s="29">
        <f t="shared" si="28"/>
        <v>7909</v>
      </c>
      <c r="J1806" t="str">
        <f>IFERROR(VLOOKUP(E1806,'LEAID Match'!$A$2:$B$168,2,FALSE),"")</f>
        <v/>
      </c>
    </row>
    <row r="1807" spans="1:10">
      <c r="A1807">
        <v>2015</v>
      </c>
      <c r="B1807" t="s">
        <v>1429</v>
      </c>
      <c r="C1807" t="s">
        <v>1431</v>
      </c>
      <c r="D1807" t="s">
        <v>1433</v>
      </c>
      <c r="E1807" t="s">
        <v>716</v>
      </c>
      <c r="F1807" s="9" t="s">
        <v>1187</v>
      </c>
      <c r="G1807" s="18">
        <v>1847729.95</v>
      </c>
      <c r="H1807">
        <v>0</v>
      </c>
      <c r="I1807" s="29">
        <f t="shared" si="28"/>
        <v>1847729.95</v>
      </c>
      <c r="J1807" t="str">
        <f>IFERROR(VLOOKUP(E1807,'LEAID Match'!$A$2:$B$168,2,FALSE),"")</f>
        <v/>
      </c>
    </row>
    <row r="1808" spans="1:10">
      <c r="A1808">
        <v>2016</v>
      </c>
      <c r="B1808" t="s">
        <v>1429</v>
      </c>
      <c r="C1808" t="s">
        <v>1431</v>
      </c>
      <c r="D1808" t="s">
        <v>1433</v>
      </c>
      <c r="E1808" t="s">
        <v>716</v>
      </c>
      <c r="F1808" t="s">
        <v>716</v>
      </c>
      <c r="G1808" s="28">
        <v>1941175</v>
      </c>
      <c r="H1808">
        <v>0</v>
      </c>
      <c r="I1808" s="29">
        <f t="shared" si="28"/>
        <v>1941175</v>
      </c>
      <c r="J1808" t="str">
        <f>IFERROR(VLOOKUP(E1808,'LEAID Match'!$A$2:$B$168,2,FALSE),"")</f>
        <v/>
      </c>
    </row>
    <row r="1809" spans="1:10">
      <c r="A1809">
        <v>2017</v>
      </c>
      <c r="B1809" t="s">
        <v>1429</v>
      </c>
      <c r="C1809" t="s">
        <v>1431</v>
      </c>
      <c r="D1809" t="s">
        <v>1433</v>
      </c>
      <c r="E1809" t="s">
        <v>716</v>
      </c>
      <c r="F1809" t="s">
        <v>716</v>
      </c>
      <c r="G1809" s="28">
        <v>2112466</v>
      </c>
      <c r="H1809">
        <v>0</v>
      </c>
      <c r="I1809" s="29">
        <f t="shared" si="28"/>
        <v>2112466</v>
      </c>
      <c r="J1809" t="str">
        <f>IFERROR(VLOOKUP(E1809,'LEAID Match'!$A$2:$B$168,2,FALSE),"")</f>
        <v/>
      </c>
    </row>
    <row r="1810" spans="1:10">
      <c r="A1810" s="27">
        <v>2018</v>
      </c>
      <c r="B1810" t="s">
        <v>1429</v>
      </c>
      <c r="C1810" t="s">
        <v>1431</v>
      </c>
      <c r="D1810" t="s">
        <v>1433</v>
      </c>
      <c r="E1810" t="s">
        <v>716</v>
      </c>
      <c r="F1810" s="9" t="s">
        <v>716</v>
      </c>
      <c r="G1810" s="18">
        <v>2329809</v>
      </c>
      <c r="H1810">
        <v>0</v>
      </c>
      <c r="I1810" s="29">
        <f t="shared" si="28"/>
        <v>2329809</v>
      </c>
      <c r="J1810" t="str">
        <f>IFERROR(VLOOKUP(E1810,'LEAID Match'!$A$2:$B$168,2,FALSE),"")</f>
        <v/>
      </c>
    </row>
    <row r="1811" spans="1:10">
      <c r="A1811">
        <v>2019</v>
      </c>
      <c r="B1811" t="s">
        <v>1429</v>
      </c>
      <c r="C1811" t="s">
        <v>1431</v>
      </c>
      <c r="D1811" t="s">
        <v>1433</v>
      </c>
      <c r="E1811" t="s">
        <v>716</v>
      </c>
      <c r="F1811" s="9" t="s">
        <v>716</v>
      </c>
      <c r="G1811" s="18">
        <v>2397635</v>
      </c>
      <c r="H1811">
        <v>0</v>
      </c>
      <c r="I1811" s="29">
        <f t="shared" si="28"/>
        <v>2397635</v>
      </c>
      <c r="J1811" t="str">
        <f>IFERROR(VLOOKUP(E1811,'LEAID Match'!$A$2:$B$168,2,FALSE),"")</f>
        <v/>
      </c>
    </row>
    <row r="1812" spans="1:10">
      <c r="A1812">
        <v>2015</v>
      </c>
      <c r="B1812" t="s">
        <v>1429</v>
      </c>
      <c r="C1812" t="s">
        <v>1431</v>
      </c>
      <c r="D1812" t="s">
        <v>1433</v>
      </c>
      <c r="E1812" t="s">
        <v>717</v>
      </c>
      <c r="F1812" s="9" t="s">
        <v>1188</v>
      </c>
      <c r="G1812" s="18">
        <v>3430823.59</v>
      </c>
      <c r="H1812">
        <v>0</v>
      </c>
      <c r="I1812" s="29">
        <f t="shared" si="28"/>
        <v>3430823.59</v>
      </c>
      <c r="J1812" t="str">
        <f>IFERROR(VLOOKUP(E1812,'LEAID Match'!$A$2:$B$168,2,FALSE),"")</f>
        <v/>
      </c>
    </row>
    <row r="1813" spans="1:10">
      <c r="A1813">
        <v>2016</v>
      </c>
      <c r="B1813" t="s">
        <v>1429</v>
      </c>
      <c r="C1813" t="s">
        <v>1431</v>
      </c>
      <c r="D1813" t="s">
        <v>1433</v>
      </c>
      <c r="E1813" t="s">
        <v>717</v>
      </c>
      <c r="F1813" t="s">
        <v>717</v>
      </c>
      <c r="G1813" s="28">
        <v>3774581</v>
      </c>
      <c r="H1813">
        <v>0</v>
      </c>
      <c r="I1813" s="29">
        <f t="shared" si="28"/>
        <v>3774581</v>
      </c>
      <c r="J1813" t="str">
        <f>IFERROR(VLOOKUP(E1813,'LEAID Match'!$A$2:$B$168,2,FALSE),"")</f>
        <v/>
      </c>
    </row>
    <row r="1814" spans="1:10">
      <c r="A1814">
        <v>2017</v>
      </c>
      <c r="B1814" t="s">
        <v>1429</v>
      </c>
      <c r="C1814" t="s">
        <v>1431</v>
      </c>
      <c r="D1814" t="s">
        <v>1433</v>
      </c>
      <c r="E1814" t="s">
        <v>717</v>
      </c>
      <c r="F1814" t="s">
        <v>717</v>
      </c>
      <c r="G1814" s="28">
        <v>3827031</v>
      </c>
      <c r="H1814">
        <v>0</v>
      </c>
      <c r="I1814" s="29">
        <f t="shared" si="28"/>
        <v>3827031</v>
      </c>
      <c r="J1814" t="str">
        <f>IFERROR(VLOOKUP(E1814,'LEAID Match'!$A$2:$B$168,2,FALSE),"")</f>
        <v/>
      </c>
    </row>
    <row r="1815" spans="1:10">
      <c r="A1815" s="27">
        <v>2018</v>
      </c>
      <c r="B1815" t="s">
        <v>1429</v>
      </c>
      <c r="C1815" t="s">
        <v>1431</v>
      </c>
      <c r="D1815" t="s">
        <v>1433</v>
      </c>
      <c r="E1815" t="s">
        <v>717</v>
      </c>
      <c r="F1815" s="9" t="s">
        <v>717</v>
      </c>
      <c r="G1815" s="18">
        <v>4169330</v>
      </c>
      <c r="H1815">
        <v>0</v>
      </c>
      <c r="I1815" s="29">
        <f t="shared" si="28"/>
        <v>4169330</v>
      </c>
      <c r="J1815" t="str">
        <f>IFERROR(VLOOKUP(E1815,'LEAID Match'!$A$2:$B$168,2,FALSE),"")</f>
        <v/>
      </c>
    </row>
    <row r="1816" spans="1:10">
      <c r="A1816">
        <v>2019</v>
      </c>
      <c r="B1816" t="s">
        <v>1429</v>
      </c>
      <c r="C1816" t="s">
        <v>1431</v>
      </c>
      <c r="D1816" t="s">
        <v>1433</v>
      </c>
      <c r="E1816" t="s">
        <v>717</v>
      </c>
      <c r="F1816" s="9" t="s">
        <v>717</v>
      </c>
      <c r="G1816" s="18">
        <v>4360640</v>
      </c>
      <c r="H1816">
        <v>0</v>
      </c>
      <c r="I1816" s="29">
        <f t="shared" si="28"/>
        <v>4360640</v>
      </c>
      <c r="J1816" t="str">
        <f>IFERROR(VLOOKUP(E1816,'LEAID Match'!$A$2:$B$168,2,FALSE),"")</f>
        <v/>
      </c>
    </row>
    <row r="1817" spans="1:10">
      <c r="A1817">
        <v>2015</v>
      </c>
      <c r="B1817" t="s">
        <v>1429</v>
      </c>
      <c r="C1817" t="s">
        <v>1431</v>
      </c>
      <c r="D1817" t="s">
        <v>1433</v>
      </c>
      <c r="E1817" t="s">
        <v>477</v>
      </c>
      <c r="F1817" s="9" t="s">
        <v>1189</v>
      </c>
      <c r="G1817" s="18">
        <v>3364013.49</v>
      </c>
      <c r="H1817">
        <v>0</v>
      </c>
      <c r="I1817" s="29">
        <f t="shared" si="28"/>
        <v>3364013.49</v>
      </c>
      <c r="J1817">
        <f>IFERROR(VLOOKUP(E1817,'LEAID Match'!$A$2:$B$168,2,FALSE),"")</f>
        <v>3304740</v>
      </c>
    </row>
    <row r="1818" spans="1:10">
      <c r="A1818">
        <v>2016</v>
      </c>
      <c r="B1818" t="s">
        <v>1429</v>
      </c>
      <c r="C1818" t="s">
        <v>1431</v>
      </c>
      <c r="D1818" t="s">
        <v>1433</v>
      </c>
      <c r="E1818" t="s">
        <v>477</v>
      </c>
      <c r="F1818" t="s">
        <v>718</v>
      </c>
      <c r="G1818" s="28">
        <v>3579618</v>
      </c>
      <c r="H1818">
        <v>0</v>
      </c>
      <c r="I1818" s="29">
        <f t="shared" si="28"/>
        <v>3579618</v>
      </c>
      <c r="J1818">
        <f>IFERROR(VLOOKUP(E1818,'LEAID Match'!$A$2:$B$168,2,FALSE),"")</f>
        <v>3304740</v>
      </c>
    </row>
    <row r="1819" spans="1:10">
      <c r="A1819">
        <v>2017</v>
      </c>
      <c r="B1819" t="s">
        <v>1429</v>
      </c>
      <c r="C1819" t="s">
        <v>1431</v>
      </c>
      <c r="D1819" t="s">
        <v>1433</v>
      </c>
      <c r="E1819" t="s">
        <v>477</v>
      </c>
      <c r="F1819" t="s">
        <v>718</v>
      </c>
      <c r="G1819" s="28">
        <v>3629566</v>
      </c>
      <c r="H1819">
        <v>0</v>
      </c>
      <c r="I1819" s="29">
        <f t="shared" si="28"/>
        <v>3629566</v>
      </c>
      <c r="J1819">
        <f>IFERROR(VLOOKUP(E1819,'LEAID Match'!$A$2:$B$168,2,FALSE),"")</f>
        <v>3304740</v>
      </c>
    </row>
    <row r="1820" spans="1:10">
      <c r="A1820" s="27">
        <v>2018</v>
      </c>
      <c r="B1820" t="s">
        <v>1429</v>
      </c>
      <c r="C1820" t="s">
        <v>1431</v>
      </c>
      <c r="D1820" t="s">
        <v>1433</v>
      </c>
      <c r="E1820" t="s">
        <v>477</v>
      </c>
      <c r="F1820" s="9" t="s">
        <v>718</v>
      </c>
      <c r="G1820" s="18">
        <v>4384816</v>
      </c>
      <c r="H1820">
        <v>0</v>
      </c>
      <c r="I1820" s="29">
        <f t="shared" si="28"/>
        <v>4384816</v>
      </c>
      <c r="J1820">
        <f>IFERROR(VLOOKUP(E1820,'LEAID Match'!$A$2:$B$168,2,FALSE),"")</f>
        <v>3304740</v>
      </c>
    </row>
    <row r="1821" spans="1:10">
      <c r="A1821">
        <v>2019</v>
      </c>
      <c r="B1821" t="s">
        <v>1429</v>
      </c>
      <c r="C1821" t="s">
        <v>1431</v>
      </c>
      <c r="D1821" t="s">
        <v>1433</v>
      </c>
      <c r="E1821" t="s">
        <v>477</v>
      </c>
      <c r="F1821" s="9" t="s">
        <v>718</v>
      </c>
      <c r="G1821" s="18">
        <v>4543755</v>
      </c>
      <c r="H1821">
        <v>0</v>
      </c>
      <c r="I1821" s="29">
        <f t="shared" si="28"/>
        <v>4543755</v>
      </c>
      <c r="J1821">
        <f>IFERROR(VLOOKUP(E1821,'LEAID Match'!$A$2:$B$168,2,FALSE),"")</f>
        <v>3304740</v>
      </c>
    </row>
    <row r="1822" spans="1:10">
      <c r="A1822" s="27">
        <v>2020</v>
      </c>
      <c r="B1822" t="s">
        <v>1429</v>
      </c>
      <c r="C1822" t="s">
        <v>1431</v>
      </c>
      <c r="D1822" t="s">
        <v>1433</v>
      </c>
      <c r="E1822" t="s">
        <v>477</v>
      </c>
      <c r="F1822" s="9" t="s">
        <v>477</v>
      </c>
      <c r="G1822" s="18">
        <v>4633764</v>
      </c>
      <c r="H1822">
        <v>0</v>
      </c>
      <c r="I1822" s="29">
        <f t="shared" si="28"/>
        <v>4633764</v>
      </c>
      <c r="J1822">
        <f>IFERROR(VLOOKUP(E1822,'LEAID Match'!$A$2:$B$168,2,FALSE),"")</f>
        <v>3304740</v>
      </c>
    </row>
    <row r="1823" spans="1:10">
      <c r="A1823">
        <v>2021</v>
      </c>
      <c r="B1823" t="s">
        <v>1429</v>
      </c>
      <c r="C1823" t="s">
        <v>1431</v>
      </c>
      <c r="D1823" t="s">
        <v>1433</v>
      </c>
      <c r="E1823" t="s">
        <v>477</v>
      </c>
      <c r="F1823" s="9" t="s">
        <v>477</v>
      </c>
      <c r="G1823" s="18">
        <v>4818034</v>
      </c>
      <c r="H1823">
        <v>0</v>
      </c>
      <c r="I1823" s="29">
        <f t="shared" si="28"/>
        <v>4818034</v>
      </c>
      <c r="J1823">
        <f>IFERROR(VLOOKUP(E1823,'LEAID Match'!$A$2:$B$168,2,FALSE),"")</f>
        <v>3304740</v>
      </c>
    </row>
    <row r="1824" spans="1:10">
      <c r="A1824">
        <v>2022</v>
      </c>
      <c r="B1824" t="s">
        <v>1429</v>
      </c>
      <c r="C1824" t="s">
        <v>1431</v>
      </c>
      <c r="D1824" t="s">
        <v>1433</v>
      </c>
      <c r="E1824" t="s">
        <v>477</v>
      </c>
      <c r="F1824" s="9" t="s">
        <v>477</v>
      </c>
      <c r="G1824" s="18">
        <v>5927015</v>
      </c>
      <c r="H1824">
        <v>0</v>
      </c>
      <c r="I1824" s="29">
        <f t="shared" si="28"/>
        <v>5927015</v>
      </c>
      <c r="J1824">
        <f>IFERROR(VLOOKUP(E1824,'LEAID Match'!$A$2:$B$168,2,FALSE),"")</f>
        <v>3304740</v>
      </c>
    </row>
    <row r="1825" spans="1:10">
      <c r="A1825">
        <v>2023</v>
      </c>
      <c r="B1825" t="s">
        <v>1429</v>
      </c>
      <c r="C1825" t="s">
        <v>1431</v>
      </c>
      <c r="D1825" t="s">
        <v>1433</v>
      </c>
      <c r="E1825" t="s">
        <v>477</v>
      </c>
      <c r="F1825" t="s">
        <v>477</v>
      </c>
      <c r="G1825" s="28">
        <v>6203956</v>
      </c>
      <c r="H1825">
        <v>0</v>
      </c>
      <c r="I1825" s="29">
        <f t="shared" si="28"/>
        <v>6203956</v>
      </c>
      <c r="J1825">
        <f>IFERROR(VLOOKUP(E1825,'LEAID Match'!$A$2:$B$168,2,FALSE),"")</f>
        <v>3304740</v>
      </c>
    </row>
    <row r="1826" spans="1:10">
      <c r="A1826">
        <v>2015</v>
      </c>
      <c r="B1826" t="s">
        <v>1429</v>
      </c>
      <c r="C1826" t="s">
        <v>1431</v>
      </c>
      <c r="D1826" t="s">
        <v>1433</v>
      </c>
      <c r="E1826" t="s">
        <v>478</v>
      </c>
      <c r="F1826" s="9" t="s">
        <v>1190</v>
      </c>
      <c r="G1826" s="18">
        <v>2020002.12</v>
      </c>
      <c r="H1826">
        <v>0</v>
      </c>
      <c r="I1826" s="29">
        <f t="shared" si="28"/>
        <v>2020002.12</v>
      </c>
      <c r="J1826">
        <f>IFERROR(VLOOKUP(E1826,'LEAID Match'!$A$2:$B$168,2,FALSE),"")</f>
        <v>3304760</v>
      </c>
    </row>
    <row r="1827" spans="1:10">
      <c r="A1827">
        <v>2016</v>
      </c>
      <c r="B1827" t="s">
        <v>1429</v>
      </c>
      <c r="C1827" t="s">
        <v>1431</v>
      </c>
      <c r="D1827" t="s">
        <v>1433</v>
      </c>
      <c r="E1827" t="s">
        <v>478</v>
      </c>
      <c r="F1827" t="s">
        <v>719</v>
      </c>
      <c r="G1827" s="28">
        <v>2189924</v>
      </c>
      <c r="H1827">
        <v>0</v>
      </c>
      <c r="I1827" s="29">
        <f t="shared" si="28"/>
        <v>2189924</v>
      </c>
      <c r="J1827">
        <f>IFERROR(VLOOKUP(E1827,'LEAID Match'!$A$2:$B$168,2,FALSE),"")</f>
        <v>3304760</v>
      </c>
    </row>
    <row r="1828" spans="1:10">
      <c r="A1828">
        <v>2017</v>
      </c>
      <c r="B1828" t="s">
        <v>1429</v>
      </c>
      <c r="C1828" t="s">
        <v>1431</v>
      </c>
      <c r="D1828" t="s">
        <v>1433</v>
      </c>
      <c r="E1828" t="s">
        <v>478</v>
      </c>
      <c r="F1828" t="s">
        <v>719</v>
      </c>
      <c r="G1828" s="28">
        <v>2132740</v>
      </c>
      <c r="H1828">
        <v>0</v>
      </c>
      <c r="I1828" s="29">
        <f t="shared" si="28"/>
        <v>2132740</v>
      </c>
      <c r="J1828">
        <f>IFERROR(VLOOKUP(E1828,'LEAID Match'!$A$2:$B$168,2,FALSE),"")</f>
        <v>3304760</v>
      </c>
    </row>
    <row r="1829" spans="1:10">
      <c r="A1829" s="27">
        <v>2018</v>
      </c>
      <c r="B1829" t="s">
        <v>1429</v>
      </c>
      <c r="C1829" t="s">
        <v>1431</v>
      </c>
      <c r="D1829" t="s">
        <v>1433</v>
      </c>
      <c r="E1829" t="s">
        <v>478</v>
      </c>
      <c r="F1829" s="9" t="s">
        <v>719</v>
      </c>
      <c r="G1829" s="18">
        <v>2703639</v>
      </c>
      <c r="H1829">
        <v>0</v>
      </c>
      <c r="I1829" s="29">
        <f t="shared" si="28"/>
        <v>2703639</v>
      </c>
      <c r="J1829">
        <f>IFERROR(VLOOKUP(E1829,'LEAID Match'!$A$2:$B$168,2,FALSE),"")</f>
        <v>3304760</v>
      </c>
    </row>
    <row r="1830" spans="1:10">
      <c r="A1830">
        <v>2019</v>
      </c>
      <c r="B1830" t="s">
        <v>1429</v>
      </c>
      <c r="C1830" t="s">
        <v>1431</v>
      </c>
      <c r="D1830" t="s">
        <v>1433</v>
      </c>
      <c r="E1830" t="s">
        <v>478</v>
      </c>
      <c r="F1830" s="9" t="s">
        <v>719</v>
      </c>
      <c r="G1830" s="18">
        <v>2692966</v>
      </c>
      <c r="H1830">
        <v>0</v>
      </c>
      <c r="I1830" s="29">
        <f t="shared" si="28"/>
        <v>2692966</v>
      </c>
      <c r="J1830">
        <f>IFERROR(VLOOKUP(E1830,'LEAID Match'!$A$2:$B$168,2,FALSE),"")</f>
        <v>3304760</v>
      </c>
    </row>
    <row r="1831" spans="1:10">
      <c r="A1831" s="27">
        <v>2020</v>
      </c>
      <c r="B1831" t="s">
        <v>1429</v>
      </c>
      <c r="C1831" t="s">
        <v>1431</v>
      </c>
      <c r="D1831" t="s">
        <v>1433</v>
      </c>
      <c r="E1831" t="s">
        <v>478</v>
      </c>
      <c r="F1831" s="9" t="s">
        <v>478</v>
      </c>
      <c r="G1831" s="18">
        <v>2772712</v>
      </c>
      <c r="H1831">
        <v>0</v>
      </c>
      <c r="I1831" s="29">
        <f t="shared" si="28"/>
        <v>2772712</v>
      </c>
      <c r="J1831">
        <f>IFERROR(VLOOKUP(E1831,'LEAID Match'!$A$2:$B$168,2,FALSE),"")</f>
        <v>3304760</v>
      </c>
    </row>
    <row r="1832" spans="1:10">
      <c r="A1832">
        <v>2021</v>
      </c>
      <c r="B1832" t="s">
        <v>1429</v>
      </c>
      <c r="C1832" t="s">
        <v>1431</v>
      </c>
      <c r="D1832" t="s">
        <v>1433</v>
      </c>
      <c r="E1832" t="s">
        <v>478</v>
      </c>
      <c r="F1832" s="9" t="s">
        <v>478</v>
      </c>
      <c r="G1832" s="18">
        <v>2874127</v>
      </c>
      <c r="H1832">
        <v>0</v>
      </c>
      <c r="I1832" s="29">
        <f t="shared" si="28"/>
        <v>2874127</v>
      </c>
      <c r="J1832">
        <f>IFERROR(VLOOKUP(E1832,'LEAID Match'!$A$2:$B$168,2,FALSE),"")</f>
        <v>3304760</v>
      </c>
    </row>
    <row r="1833" spans="1:10">
      <c r="A1833">
        <v>2022</v>
      </c>
      <c r="B1833" t="s">
        <v>1429</v>
      </c>
      <c r="C1833" t="s">
        <v>1431</v>
      </c>
      <c r="D1833" t="s">
        <v>1433</v>
      </c>
      <c r="E1833" t="s">
        <v>478</v>
      </c>
      <c r="F1833" s="9" t="s">
        <v>478</v>
      </c>
      <c r="G1833" s="18">
        <v>3587829</v>
      </c>
      <c r="H1833">
        <v>0</v>
      </c>
      <c r="I1833" s="29">
        <f t="shared" si="28"/>
        <v>3587829</v>
      </c>
      <c r="J1833">
        <f>IFERROR(VLOOKUP(E1833,'LEAID Match'!$A$2:$B$168,2,FALSE),"")</f>
        <v>3304760</v>
      </c>
    </row>
    <row r="1834" spans="1:10">
      <c r="A1834">
        <v>2023</v>
      </c>
      <c r="B1834" t="s">
        <v>1429</v>
      </c>
      <c r="C1834" t="s">
        <v>1431</v>
      </c>
      <c r="D1834" t="s">
        <v>1433</v>
      </c>
      <c r="E1834" t="s">
        <v>478</v>
      </c>
      <c r="F1834" t="s">
        <v>478</v>
      </c>
      <c r="G1834" s="28">
        <v>3710599</v>
      </c>
      <c r="H1834">
        <v>0</v>
      </c>
      <c r="I1834" s="29">
        <f t="shared" si="28"/>
        <v>3710599</v>
      </c>
      <c r="J1834">
        <f>IFERROR(VLOOKUP(E1834,'LEAID Match'!$A$2:$B$168,2,FALSE),"")</f>
        <v>3304760</v>
      </c>
    </row>
    <row r="1835" spans="1:10">
      <c r="A1835">
        <v>2015</v>
      </c>
      <c r="B1835" t="s">
        <v>1429</v>
      </c>
      <c r="C1835" t="s">
        <v>1431</v>
      </c>
      <c r="D1835" t="s">
        <v>1433</v>
      </c>
      <c r="E1835" t="s">
        <v>93</v>
      </c>
      <c r="F1835" s="9" t="s">
        <v>1191</v>
      </c>
      <c r="G1835" s="18">
        <v>79183.7</v>
      </c>
      <c r="H1835">
        <v>0</v>
      </c>
      <c r="I1835" s="29">
        <f t="shared" si="28"/>
        <v>79183.7</v>
      </c>
      <c r="J1835" t="str">
        <f>IFERROR(VLOOKUP(E1835,'LEAID Match'!$A$2:$B$168,2,FALSE),"")</f>
        <v/>
      </c>
    </row>
    <row r="1836" spans="1:10">
      <c r="A1836">
        <v>2016</v>
      </c>
      <c r="B1836" t="s">
        <v>1429</v>
      </c>
      <c r="C1836" t="s">
        <v>1431</v>
      </c>
      <c r="D1836" t="s">
        <v>1433</v>
      </c>
      <c r="E1836" t="s">
        <v>93</v>
      </c>
      <c r="F1836" t="s">
        <v>93</v>
      </c>
      <c r="G1836" s="28">
        <v>84789</v>
      </c>
      <c r="H1836">
        <v>0</v>
      </c>
      <c r="I1836" s="29">
        <f t="shared" si="28"/>
        <v>84789</v>
      </c>
      <c r="J1836" t="str">
        <f>IFERROR(VLOOKUP(E1836,'LEAID Match'!$A$2:$B$168,2,FALSE),"")</f>
        <v/>
      </c>
    </row>
    <row r="1837" spans="1:10">
      <c r="A1837">
        <v>2017</v>
      </c>
      <c r="B1837" t="s">
        <v>1429</v>
      </c>
      <c r="C1837" t="s">
        <v>1431</v>
      </c>
      <c r="D1837" t="s">
        <v>1433</v>
      </c>
      <c r="E1837" t="s">
        <v>93</v>
      </c>
      <c r="F1837" t="s">
        <v>93</v>
      </c>
      <c r="G1837" s="28">
        <v>83489</v>
      </c>
      <c r="H1837">
        <v>0</v>
      </c>
      <c r="I1837" s="29">
        <f t="shared" si="28"/>
        <v>83489</v>
      </c>
      <c r="J1837" t="str">
        <f>IFERROR(VLOOKUP(E1837,'LEAID Match'!$A$2:$B$168,2,FALSE),"")</f>
        <v/>
      </c>
    </row>
    <row r="1838" spans="1:10">
      <c r="A1838" s="27">
        <v>2018</v>
      </c>
      <c r="B1838" t="s">
        <v>1429</v>
      </c>
      <c r="C1838" t="s">
        <v>1431</v>
      </c>
      <c r="D1838" t="s">
        <v>1433</v>
      </c>
      <c r="E1838" t="s">
        <v>93</v>
      </c>
      <c r="F1838" s="9" t="s">
        <v>93</v>
      </c>
      <c r="G1838" s="18">
        <v>96375</v>
      </c>
      <c r="H1838">
        <v>0</v>
      </c>
      <c r="I1838" s="29">
        <f t="shared" si="28"/>
        <v>96375</v>
      </c>
      <c r="J1838" t="str">
        <f>IFERROR(VLOOKUP(E1838,'LEAID Match'!$A$2:$B$168,2,FALSE),"")</f>
        <v/>
      </c>
    </row>
    <row r="1839" spans="1:10">
      <c r="A1839">
        <v>2019</v>
      </c>
      <c r="B1839" t="s">
        <v>1429</v>
      </c>
      <c r="C1839" t="s">
        <v>1431</v>
      </c>
      <c r="D1839" t="s">
        <v>1433</v>
      </c>
      <c r="E1839" t="s">
        <v>93</v>
      </c>
      <c r="F1839" s="9" t="s">
        <v>93</v>
      </c>
      <c r="G1839" s="18">
        <v>103969</v>
      </c>
      <c r="H1839">
        <v>0</v>
      </c>
      <c r="I1839" s="29">
        <f t="shared" si="28"/>
        <v>103969</v>
      </c>
      <c r="J1839" t="str">
        <f>IFERROR(VLOOKUP(E1839,'LEAID Match'!$A$2:$B$168,2,FALSE),"")</f>
        <v/>
      </c>
    </row>
    <row r="1840" spans="1:10">
      <c r="A1840" s="27">
        <v>2020</v>
      </c>
      <c r="B1840" t="s">
        <v>1429</v>
      </c>
      <c r="C1840" t="s">
        <v>1431</v>
      </c>
      <c r="D1840" t="s">
        <v>1433</v>
      </c>
      <c r="E1840" t="s">
        <v>93</v>
      </c>
      <c r="F1840" s="9" t="s">
        <v>93</v>
      </c>
      <c r="G1840" s="18">
        <v>109780</v>
      </c>
      <c r="H1840">
        <v>0</v>
      </c>
      <c r="I1840" s="29">
        <f t="shared" si="28"/>
        <v>109780</v>
      </c>
      <c r="J1840" t="str">
        <f>IFERROR(VLOOKUP(E1840,'LEAID Match'!$A$2:$B$168,2,FALSE),"")</f>
        <v/>
      </c>
    </row>
    <row r="1841" spans="1:10">
      <c r="A1841">
        <v>2021</v>
      </c>
      <c r="B1841" t="s">
        <v>1429</v>
      </c>
      <c r="C1841" t="s">
        <v>1431</v>
      </c>
      <c r="D1841" t="s">
        <v>1433</v>
      </c>
      <c r="E1841" t="s">
        <v>93</v>
      </c>
      <c r="F1841" s="9" t="s">
        <v>93</v>
      </c>
      <c r="G1841" s="18">
        <v>125840</v>
      </c>
      <c r="H1841">
        <v>0</v>
      </c>
      <c r="I1841" s="29">
        <f t="shared" si="28"/>
        <v>125840</v>
      </c>
      <c r="J1841" t="str">
        <f>IFERROR(VLOOKUP(E1841,'LEAID Match'!$A$2:$B$168,2,FALSE),"")</f>
        <v/>
      </c>
    </row>
    <row r="1842" spans="1:10">
      <c r="A1842">
        <v>2022</v>
      </c>
      <c r="B1842" t="s">
        <v>1429</v>
      </c>
      <c r="C1842" t="s">
        <v>1431</v>
      </c>
      <c r="D1842" t="s">
        <v>1433</v>
      </c>
      <c r="E1842" t="s">
        <v>93</v>
      </c>
      <c r="F1842" s="9" t="s">
        <v>93</v>
      </c>
      <c r="G1842" s="18">
        <v>151156</v>
      </c>
      <c r="H1842">
        <v>0</v>
      </c>
      <c r="I1842" s="29">
        <f t="shared" si="28"/>
        <v>151156</v>
      </c>
      <c r="J1842" t="str">
        <f>IFERROR(VLOOKUP(E1842,'LEAID Match'!$A$2:$B$168,2,FALSE),"")</f>
        <v/>
      </c>
    </row>
    <row r="1843" spans="1:10">
      <c r="A1843">
        <v>2023</v>
      </c>
      <c r="B1843" t="s">
        <v>1429</v>
      </c>
      <c r="C1843" t="s">
        <v>1431</v>
      </c>
      <c r="D1843" t="s">
        <v>1433</v>
      </c>
      <c r="E1843" t="s">
        <v>93</v>
      </c>
      <c r="F1843" t="s">
        <v>93</v>
      </c>
      <c r="G1843" s="28">
        <v>164563</v>
      </c>
      <c r="H1843">
        <v>0</v>
      </c>
      <c r="I1843" s="29">
        <f t="shared" si="28"/>
        <v>164563</v>
      </c>
      <c r="J1843" t="str">
        <f>IFERROR(VLOOKUP(E1843,'LEAID Match'!$A$2:$B$168,2,FALSE),"")</f>
        <v/>
      </c>
    </row>
    <row r="1844" spans="1:10">
      <c r="A1844">
        <v>2015</v>
      </c>
      <c r="B1844" t="s">
        <v>1429</v>
      </c>
      <c r="C1844" t="s">
        <v>1431</v>
      </c>
      <c r="D1844" t="s">
        <v>1433</v>
      </c>
      <c r="E1844" t="s">
        <v>720</v>
      </c>
      <c r="F1844" s="9" t="s">
        <v>1192</v>
      </c>
      <c r="G1844" s="18">
        <v>55620.05</v>
      </c>
      <c r="H1844">
        <v>0</v>
      </c>
      <c r="I1844" s="29">
        <f t="shared" si="28"/>
        <v>55620.05</v>
      </c>
      <c r="J1844" t="str">
        <f>IFERROR(VLOOKUP(E1844,'LEAID Match'!$A$2:$B$168,2,FALSE),"")</f>
        <v/>
      </c>
    </row>
    <row r="1845" spans="1:10">
      <c r="A1845">
        <v>2016</v>
      </c>
      <c r="B1845" t="s">
        <v>1429</v>
      </c>
      <c r="C1845" t="s">
        <v>1431</v>
      </c>
      <c r="D1845" t="s">
        <v>1433</v>
      </c>
      <c r="E1845" t="s">
        <v>720</v>
      </c>
      <c r="F1845" t="s">
        <v>720</v>
      </c>
      <c r="G1845" s="28">
        <v>52227</v>
      </c>
      <c r="H1845">
        <v>0</v>
      </c>
      <c r="I1845" s="29">
        <f t="shared" si="28"/>
        <v>52227</v>
      </c>
      <c r="J1845" t="str">
        <f>IFERROR(VLOOKUP(E1845,'LEAID Match'!$A$2:$B$168,2,FALSE),"")</f>
        <v/>
      </c>
    </row>
    <row r="1846" spans="1:10">
      <c r="A1846">
        <v>2017</v>
      </c>
      <c r="B1846" t="s">
        <v>1429</v>
      </c>
      <c r="C1846" t="s">
        <v>1431</v>
      </c>
      <c r="D1846" t="s">
        <v>1433</v>
      </c>
      <c r="E1846" t="s">
        <v>720</v>
      </c>
      <c r="F1846" t="s">
        <v>720</v>
      </c>
      <c r="G1846" s="28">
        <v>52001</v>
      </c>
      <c r="H1846">
        <v>0</v>
      </c>
      <c r="I1846" s="29">
        <f t="shared" si="28"/>
        <v>52001</v>
      </c>
      <c r="J1846" t="str">
        <f>IFERROR(VLOOKUP(E1846,'LEAID Match'!$A$2:$B$168,2,FALSE),"")</f>
        <v/>
      </c>
    </row>
    <row r="1847" spans="1:10">
      <c r="A1847" s="27">
        <v>2018</v>
      </c>
      <c r="B1847" t="s">
        <v>1429</v>
      </c>
      <c r="C1847" t="s">
        <v>1431</v>
      </c>
      <c r="D1847" t="s">
        <v>1433</v>
      </c>
      <c r="E1847" t="s">
        <v>720</v>
      </c>
      <c r="F1847" s="9" t="s">
        <v>720</v>
      </c>
      <c r="G1847" s="18">
        <v>59123</v>
      </c>
      <c r="H1847">
        <v>0</v>
      </c>
      <c r="I1847" s="29">
        <f t="shared" si="28"/>
        <v>59123</v>
      </c>
      <c r="J1847" t="str">
        <f>IFERROR(VLOOKUP(E1847,'LEAID Match'!$A$2:$B$168,2,FALSE),"")</f>
        <v/>
      </c>
    </row>
    <row r="1848" spans="1:10">
      <c r="A1848">
        <v>2019</v>
      </c>
      <c r="B1848" t="s">
        <v>1429</v>
      </c>
      <c r="C1848" t="s">
        <v>1431</v>
      </c>
      <c r="D1848" t="s">
        <v>1433</v>
      </c>
      <c r="E1848" t="s">
        <v>720</v>
      </c>
      <c r="F1848" s="9" t="s">
        <v>720</v>
      </c>
      <c r="G1848" s="18">
        <v>58215</v>
      </c>
      <c r="H1848">
        <v>0</v>
      </c>
      <c r="I1848" s="29">
        <f t="shared" si="28"/>
        <v>58215</v>
      </c>
      <c r="J1848" t="str">
        <f>IFERROR(VLOOKUP(E1848,'LEAID Match'!$A$2:$B$168,2,FALSE),"")</f>
        <v/>
      </c>
    </row>
    <row r="1849" spans="1:10">
      <c r="A1849">
        <v>2016</v>
      </c>
      <c r="B1849" t="s">
        <v>1429</v>
      </c>
      <c r="C1849" t="s">
        <v>1431</v>
      </c>
      <c r="D1849" t="s">
        <v>1433</v>
      </c>
      <c r="E1849" t="s">
        <v>94</v>
      </c>
      <c r="F1849" t="s">
        <v>721</v>
      </c>
      <c r="H1849">
        <v>0</v>
      </c>
      <c r="I1849" s="29">
        <f t="shared" si="28"/>
        <v>0</v>
      </c>
      <c r="J1849">
        <f>IFERROR(VLOOKUP(E1849,'LEAID Match'!$A$2:$B$168,2,FALSE),"")</f>
        <v>3304770</v>
      </c>
    </row>
    <row r="1850" spans="1:10">
      <c r="A1850">
        <v>2017</v>
      </c>
      <c r="B1850" t="s">
        <v>1429</v>
      </c>
      <c r="C1850" t="s">
        <v>1431</v>
      </c>
      <c r="D1850" t="s">
        <v>1433</v>
      </c>
      <c r="E1850" t="s">
        <v>94</v>
      </c>
      <c r="F1850" t="s">
        <v>721</v>
      </c>
      <c r="G1850" s="28">
        <v>83124</v>
      </c>
      <c r="H1850">
        <v>0</v>
      </c>
      <c r="I1850" s="29">
        <f t="shared" si="28"/>
        <v>83124</v>
      </c>
      <c r="J1850">
        <f>IFERROR(VLOOKUP(E1850,'LEAID Match'!$A$2:$B$168,2,FALSE),"")</f>
        <v>3304770</v>
      </c>
    </row>
    <row r="1851" spans="1:10">
      <c r="A1851" s="27">
        <v>2018</v>
      </c>
      <c r="B1851" t="s">
        <v>1429</v>
      </c>
      <c r="C1851" t="s">
        <v>1431</v>
      </c>
      <c r="D1851" t="s">
        <v>1433</v>
      </c>
      <c r="E1851" t="s">
        <v>94</v>
      </c>
      <c r="F1851" s="9" t="s">
        <v>721</v>
      </c>
      <c r="G1851" s="18">
        <v>113805</v>
      </c>
      <c r="H1851">
        <v>0</v>
      </c>
      <c r="I1851" s="29">
        <f t="shared" si="28"/>
        <v>113805</v>
      </c>
      <c r="J1851">
        <f>IFERROR(VLOOKUP(E1851,'LEAID Match'!$A$2:$B$168,2,FALSE),"")</f>
        <v>3304770</v>
      </c>
    </row>
    <row r="1852" spans="1:10">
      <c r="A1852">
        <v>2019</v>
      </c>
      <c r="B1852" t="s">
        <v>1429</v>
      </c>
      <c r="C1852" t="s">
        <v>1431</v>
      </c>
      <c r="D1852" t="s">
        <v>1433</v>
      </c>
      <c r="E1852" t="s">
        <v>94</v>
      </c>
      <c r="F1852" s="9" t="s">
        <v>721</v>
      </c>
      <c r="G1852" s="18">
        <v>119182</v>
      </c>
      <c r="H1852">
        <v>0</v>
      </c>
      <c r="I1852" s="29">
        <f t="shared" si="28"/>
        <v>119182</v>
      </c>
      <c r="J1852">
        <f>IFERROR(VLOOKUP(E1852,'LEAID Match'!$A$2:$B$168,2,FALSE),"")</f>
        <v>3304770</v>
      </c>
    </row>
    <row r="1853" spans="1:10">
      <c r="A1853" s="27">
        <v>2020</v>
      </c>
      <c r="B1853" t="s">
        <v>1429</v>
      </c>
      <c r="C1853" t="s">
        <v>1431</v>
      </c>
      <c r="D1853" t="s">
        <v>1433</v>
      </c>
      <c r="E1853" t="s">
        <v>94</v>
      </c>
      <c r="F1853" s="9" t="s">
        <v>94</v>
      </c>
      <c r="G1853" s="18">
        <v>125397</v>
      </c>
      <c r="H1853">
        <v>0</v>
      </c>
      <c r="I1853" s="29">
        <f t="shared" si="28"/>
        <v>125397</v>
      </c>
      <c r="J1853">
        <f>IFERROR(VLOOKUP(E1853,'LEAID Match'!$A$2:$B$168,2,FALSE),"")</f>
        <v>3304770</v>
      </c>
    </row>
    <row r="1854" spans="1:10">
      <c r="A1854">
        <v>2021</v>
      </c>
      <c r="B1854" t="s">
        <v>1429</v>
      </c>
      <c r="C1854" t="s">
        <v>1431</v>
      </c>
      <c r="D1854" t="s">
        <v>1433</v>
      </c>
      <c r="E1854" t="s">
        <v>94</v>
      </c>
      <c r="F1854" s="9" t="s">
        <v>94</v>
      </c>
      <c r="G1854" s="18">
        <v>137475</v>
      </c>
      <c r="H1854">
        <v>0</v>
      </c>
      <c r="I1854" s="29">
        <f t="shared" si="28"/>
        <v>137475</v>
      </c>
      <c r="J1854">
        <f>IFERROR(VLOOKUP(E1854,'LEAID Match'!$A$2:$B$168,2,FALSE),"")</f>
        <v>3304770</v>
      </c>
    </row>
    <row r="1855" spans="1:10">
      <c r="A1855">
        <v>2022</v>
      </c>
      <c r="B1855" t="s">
        <v>1429</v>
      </c>
      <c r="C1855" t="s">
        <v>1431</v>
      </c>
      <c r="D1855" t="s">
        <v>1433</v>
      </c>
      <c r="E1855" t="s">
        <v>94</v>
      </c>
      <c r="F1855" s="9" t="s">
        <v>94</v>
      </c>
      <c r="G1855" s="18">
        <v>163168</v>
      </c>
      <c r="H1855">
        <v>0</v>
      </c>
      <c r="I1855" s="29">
        <f t="shared" si="28"/>
        <v>163168</v>
      </c>
      <c r="J1855">
        <f>IFERROR(VLOOKUP(E1855,'LEAID Match'!$A$2:$B$168,2,FALSE),"")</f>
        <v>3304770</v>
      </c>
    </row>
    <row r="1856" spans="1:10">
      <c r="A1856">
        <v>2023</v>
      </c>
      <c r="B1856" t="s">
        <v>1429</v>
      </c>
      <c r="C1856" t="s">
        <v>1431</v>
      </c>
      <c r="D1856" t="s">
        <v>1433</v>
      </c>
      <c r="E1856" t="s">
        <v>94</v>
      </c>
      <c r="F1856" t="s">
        <v>94</v>
      </c>
      <c r="G1856" s="28">
        <v>175467</v>
      </c>
      <c r="H1856">
        <v>0</v>
      </c>
      <c r="I1856" s="29">
        <f t="shared" si="28"/>
        <v>175467</v>
      </c>
      <c r="J1856">
        <f>IFERROR(VLOOKUP(E1856,'LEAID Match'!$A$2:$B$168,2,FALSE),"")</f>
        <v>3304770</v>
      </c>
    </row>
    <row r="1857" spans="1:10">
      <c r="A1857">
        <v>2015</v>
      </c>
      <c r="B1857" t="s">
        <v>1429</v>
      </c>
      <c r="C1857" t="s">
        <v>1431</v>
      </c>
      <c r="D1857" t="s">
        <v>1433</v>
      </c>
      <c r="E1857" t="s">
        <v>95</v>
      </c>
      <c r="F1857" s="9" t="s">
        <v>1193</v>
      </c>
      <c r="G1857" s="18">
        <v>52425.42</v>
      </c>
      <c r="H1857">
        <v>0</v>
      </c>
      <c r="I1857" s="29">
        <f t="shared" si="28"/>
        <v>52425.42</v>
      </c>
      <c r="J1857">
        <f>IFERROR(VLOOKUP(E1857,'LEAID Match'!$A$2:$B$168,2,FALSE),"")</f>
        <v>3304800</v>
      </c>
    </row>
    <row r="1858" spans="1:10">
      <c r="A1858">
        <v>2016</v>
      </c>
      <c r="B1858" t="s">
        <v>1429</v>
      </c>
      <c r="C1858" t="s">
        <v>1431</v>
      </c>
      <c r="D1858" t="s">
        <v>1433</v>
      </c>
      <c r="E1858" t="s">
        <v>95</v>
      </c>
      <c r="F1858" t="s">
        <v>722</v>
      </c>
      <c r="G1858" s="28">
        <v>57712</v>
      </c>
      <c r="H1858">
        <v>0</v>
      </c>
      <c r="I1858" s="29">
        <f t="shared" si="28"/>
        <v>57712</v>
      </c>
      <c r="J1858">
        <f>IFERROR(VLOOKUP(E1858,'LEAID Match'!$A$2:$B$168,2,FALSE),"")</f>
        <v>3304800</v>
      </c>
    </row>
    <row r="1859" spans="1:10">
      <c r="A1859">
        <v>2017</v>
      </c>
      <c r="B1859" t="s">
        <v>1429</v>
      </c>
      <c r="C1859" t="s">
        <v>1431</v>
      </c>
      <c r="D1859" t="s">
        <v>1433</v>
      </c>
      <c r="E1859" t="s">
        <v>95</v>
      </c>
      <c r="F1859" t="s">
        <v>722</v>
      </c>
      <c r="G1859" s="28">
        <v>68904</v>
      </c>
      <c r="H1859">
        <v>0</v>
      </c>
      <c r="I1859" s="29">
        <f t="shared" ref="I1859:I1922" si="29">SUM(G1859:H1859)</f>
        <v>68904</v>
      </c>
      <c r="J1859">
        <f>IFERROR(VLOOKUP(E1859,'LEAID Match'!$A$2:$B$168,2,FALSE),"")</f>
        <v>3304800</v>
      </c>
    </row>
    <row r="1860" spans="1:10">
      <c r="A1860" s="27">
        <v>2018</v>
      </c>
      <c r="B1860" t="s">
        <v>1429</v>
      </c>
      <c r="C1860" t="s">
        <v>1431</v>
      </c>
      <c r="D1860" t="s">
        <v>1433</v>
      </c>
      <c r="E1860" t="s">
        <v>95</v>
      </c>
      <c r="F1860" s="9" t="s">
        <v>722</v>
      </c>
      <c r="G1860" s="18">
        <v>79022</v>
      </c>
      <c r="H1860">
        <v>0</v>
      </c>
      <c r="I1860" s="29">
        <f t="shared" si="29"/>
        <v>79022</v>
      </c>
      <c r="J1860">
        <f>IFERROR(VLOOKUP(E1860,'LEAID Match'!$A$2:$B$168,2,FALSE),"")</f>
        <v>3304800</v>
      </c>
    </row>
    <row r="1861" spans="1:10">
      <c r="A1861">
        <v>2019</v>
      </c>
      <c r="B1861" t="s">
        <v>1429</v>
      </c>
      <c r="C1861" t="s">
        <v>1431</v>
      </c>
      <c r="D1861" t="s">
        <v>1433</v>
      </c>
      <c r="E1861" t="s">
        <v>95</v>
      </c>
      <c r="F1861" s="9" t="s">
        <v>722</v>
      </c>
      <c r="G1861" s="18">
        <v>84968</v>
      </c>
      <c r="H1861">
        <v>0</v>
      </c>
      <c r="I1861" s="29">
        <f t="shared" si="29"/>
        <v>84968</v>
      </c>
      <c r="J1861">
        <f>IFERROR(VLOOKUP(E1861,'LEAID Match'!$A$2:$B$168,2,FALSE),"")</f>
        <v>3304800</v>
      </c>
    </row>
    <row r="1862" spans="1:10">
      <c r="A1862" s="27">
        <v>2020</v>
      </c>
      <c r="B1862" t="s">
        <v>1429</v>
      </c>
      <c r="C1862" t="s">
        <v>1431</v>
      </c>
      <c r="D1862" t="s">
        <v>1433</v>
      </c>
      <c r="E1862" t="s">
        <v>95</v>
      </c>
      <c r="F1862" s="9" t="s">
        <v>95</v>
      </c>
      <c r="G1862" s="18">
        <v>95571</v>
      </c>
      <c r="H1862">
        <v>0</v>
      </c>
      <c r="I1862" s="29">
        <f t="shared" si="29"/>
        <v>95571</v>
      </c>
      <c r="J1862">
        <f>IFERROR(VLOOKUP(E1862,'LEAID Match'!$A$2:$B$168,2,FALSE),"")</f>
        <v>3304800</v>
      </c>
    </row>
    <row r="1863" spans="1:10">
      <c r="A1863">
        <v>2021</v>
      </c>
      <c r="B1863" t="s">
        <v>1429</v>
      </c>
      <c r="C1863" t="s">
        <v>1431</v>
      </c>
      <c r="D1863" t="s">
        <v>1433</v>
      </c>
      <c r="E1863" t="s">
        <v>95</v>
      </c>
      <c r="F1863" s="9" t="s">
        <v>95</v>
      </c>
      <c r="G1863" s="18">
        <v>100231</v>
      </c>
      <c r="H1863">
        <v>0</v>
      </c>
      <c r="I1863" s="29">
        <f t="shared" si="29"/>
        <v>100231</v>
      </c>
      <c r="J1863">
        <f>IFERROR(VLOOKUP(E1863,'LEAID Match'!$A$2:$B$168,2,FALSE),"")</f>
        <v>3304800</v>
      </c>
    </row>
    <row r="1864" spans="1:10">
      <c r="A1864">
        <v>2022</v>
      </c>
      <c r="B1864" t="s">
        <v>1429</v>
      </c>
      <c r="C1864" t="s">
        <v>1431</v>
      </c>
      <c r="D1864" t="s">
        <v>1433</v>
      </c>
      <c r="E1864" t="s">
        <v>95</v>
      </c>
      <c r="F1864" s="9" t="s">
        <v>95</v>
      </c>
      <c r="G1864" s="18">
        <v>118152</v>
      </c>
      <c r="H1864">
        <v>0</v>
      </c>
      <c r="I1864" s="29">
        <f t="shared" si="29"/>
        <v>118152</v>
      </c>
      <c r="J1864">
        <f>IFERROR(VLOOKUP(E1864,'LEAID Match'!$A$2:$B$168,2,FALSE),"")</f>
        <v>3304800</v>
      </c>
    </row>
    <row r="1865" spans="1:10">
      <c r="A1865">
        <v>2023</v>
      </c>
      <c r="B1865" t="s">
        <v>1429</v>
      </c>
      <c r="C1865" t="s">
        <v>1431</v>
      </c>
      <c r="D1865" t="s">
        <v>1433</v>
      </c>
      <c r="E1865" t="s">
        <v>95</v>
      </c>
      <c r="F1865" t="s">
        <v>95</v>
      </c>
      <c r="G1865" s="28">
        <v>125822</v>
      </c>
      <c r="H1865">
        <v>0</v>
      </c>
      <c r="I1865" s="29">
        <f t="shared" si="29"/>
        <v>125822</v>
      </c>
      <c r="J1865">
        <f>IFERROR(VLOOKUP(E1865,'LEAID Match'!$A$2:$B$168,2,FALSE),"")</f>
        <v>3304800</v>
      </c>
    </row>
    <row r="1866" spans="1:10">
      <c r="A1866">
        <v>2015</v>
      </c>
      <c r="B1866" t="s">
        <v>1429</v>
      </c>
      <c r="C1866" t="s">
        <v>1431</v>
      </c>
      <c r="D1866" t="s">
        <v>1433</v>
      </c>
      <c r="E1866" t="s">
        <v>723</v>
      </c>
      <c r="F1866" s="9" t="s">
        <v>1194</v>
      </c>
      <c r="G1866" s="18">
        <v>814075.64</v>
      </c>
      <c r="H1866">
        <v>0</v>
      </c>
      <c r="I1866" s="29">
        <f t="shared" si="29"/>
        <v>814075.64</v>
      </c>
      <c r="J1866" t="str">
        <f>IFERROR(VLOOKUP(E1866,'LEAID Match'!$A$2:$B$168,2,FALSE),"")</f>
        <v/>
      </c>
    </row>
    <row r="1867" spans="1:10">
      <c r="A1867">
        <v>2016</v>
      </c>
      <c r="B1867" t="s">
        <v>1429</v>
      </c>
      <c r="C1867" t="s">
        <v>1431</v>
      </c>
      <c r="D1867" t="s">
        <v>1433</v>
      </c>
      <c r="E1867" t="s">
        <v>723</v>
      </c>
      <c r="F1867" t="s">
        <v>723</v>
      </c>
      <c r="G1867" s="28">
        <v>883337</v>
      </c>
      <c r="H1867">
        <v>0</v>
      </c>
      <c r="I1867" s="29">
        <f t="shared" si="29"/>
        <v>883337</v>
      </c>
      <c r="J1867" t="str">
        <f>IFERROR(VLOOKUP(E1867,'LEAID Match'!$A$2:$B$168,2,FALSE),"")</f>
        <v/>
      </c>
    </row>
    <row r="1868" spans="1:10">
      <c r="A1868">
        <v>2017</v>
      </c>
      <c r="B1868" t="s">
        <v>1429</v>
      </c>
      <c r="C1868" t="s">
        <v>1431</v>
      </c>
      <c r="D1868" t="s">
        <v>1433</v>
      </c>
      <c r="E1868" t="s">
        <v>723</v>
      </c>
      <c r="F1868" t="s">
        <v>723</v>
      </c>
      <c r="G1868" s="28">
        <v>920916</v>
      </c>
      <c r="H1868">
        <v>0</v>
      </c>
      <c r="I1868" s="29">
        <f t="shared" si="29"/>
        <v>920916</v>
      </c>
      <c r="J1868" t="str">
        <f>IFERROR(VLOOKUP(E1868,'LEAID Match'!$A$2:$B$168,2,FALSE),"")</f>
        <v/>
      </c>
    </row>
    <row r="1869" spans="1:10">
      <c r="A1869" s="27">
        <v>2018</v>
      </c>
      <c r="B1869" t="s">
        <v>1429</v>
      </c>
      <c r="C1869" t="s">
        <v>1431</v>
      </c>
      <c r="D1869" t="s">
        <v>1433</v>
      </c>
      <c r="E1869" t="s">
        <v>723</v>
      </c>
      <c r="F1869" s="9" t="s">
        <v>723</v>
      </c>
      <c r="G1869" s="18">
        <v>988451</v>
      </c>
      <c r="H1869">
        <v>0</v>
      </c>
      <c r="I1869" s="29">
        <f t="shared" si="29"/>
        <v>988451</v>
      </c>
      <c r="J1869" t="str">
        <f>IFERROR(VLOOKUP(E1869,'LEAID Match'!$A$2:$B$168,2,FALSE),"")</f>
        <v/>
      </c>
    </row>
    <row r="1870" spans="1:10">
      <c r="A1870">
        <v>2019</v>
      </c>
      <c r="B1870" t="s">
        <v>1429</v>
      </c>
      <c r="C1870" t="s">
        <v>1431</v>
      </c>
      <c r="D1870" t="s">
        <v>1433</v>
      </c>
      <c r="E1870" t="s">
        <v>723</v>
      </c>
      <c r="F1870" s="9" t="s">
        <v>723</v>
      </c>
      <c r="G1870" s="18">
        <v>1050506</v>
      </c>
      <c r="H1870">
        <v>0</v>
      </c>
      <c r="I1870" s="29">
        <f t="shared" si="29"/>
        <v>1050506</v>
      </c>
      <c r="J1870" t="str">
        <f>IFERROR(VLOOKUP(E1870,'LEAID Match'!$A$2:$B$168,2,FALSE),"")</f>
        <v/>
      </c>
    </row>
    <row r="1871" spans="1:10">
      <c r="A1871">
        <v>2015</v>
      </c>
      <c r="B1871" t="s">
        <v>1429</v>
      </c>
      <c r="C1871" t="s">
        <v>1431</v>
      </c>
      <c r="D1871" t="s">
        <v>1433</v>
      </c>
      <c r="E1871" t="s">
        <v>96</v>
      </c>
      <c r="F1871" s="9" t="s">
        <v>1195</v>
      </c>
      <c r="G1871" s="18">
        <v>31012.97</v>
      </c>
      <c r="H1871">
        <v>0</v>
      </c>
      <c r="I1871" s="29">
        <f t="shared" si="29"/>
        <v>31012.97</v>
      </c>
      <c r="J1871" t="str">
        <f>IFERROR(VLOOKUP(E1871,'LEAID Match'!$A$2:$B$168,2,FALSE),"")</f>
        <v/>
      </c>
    </row>
    <row r="1872" spans="1:10">
      <c r="A1872">
        <v>2016</v>
      </c>
      <c r="B1872" t="s">
        <v>1429</v>
      </c>
      <c r="C1872" t="s">
        <v>1431</v>
      </c>
      <c r="D1872" t="s">
        <v>1433</v>
      </c>
      <c r="E1872" t="s">
        <v>96</v>
      </c>
      <c r="F1872" t="s">
        <v>96</v>
      </c>
      <c r="G1872" s="28">
        <v>33110</v>
      </c>
      <c r="H1872">
        <v>0</v>
      </c>
      <c r="I1872" s="29">
        <f t="shared" si="29"/>
        <v>33110</v>
      </c>
      <c r="J1872" t="str">
        <f>IFERROR(VLOOKUP(E1872,'LEAID Match'!$A$2:$B$168,2,FALSE),"")</f>
        <v/>
      </c>
    </row>
    <row r="1873" spans="1:10">
      <c r="A1873">
        <v>2017</v>
      </c>
      <c r="B1873" t="s">
        <v>1429</v>
      </c>
      <c r="C1873" t="s">
        <v>1431</v>
      </c>
      <c r="D1873" t="s">
        <v>1433</v>
      </c>
      <c r="E1873" t="s">
        <v>96</v>
      </c>
      <c r="F1873" t="s">
        <v>96</v>
      </c>
      <c r="G1873" s="28">
        <v>31954</v>
      </c>
      <c r="H1873">
        <v>0</v>
      </c>
      <c r="I1873" s="29">
        <f t="shared" si="29"/>
        <v>31954</v>
      </c>
      <c r="J1873" t="str">
        <f>IFERROR(VLOOKUP(E1873,'LEAID Match'!$A$2:$B$168,2,FALSE),"")</f>
        <v/>
      </c>
    </row>
    <row r="1874" spans="1:10">
      <c r="A1874" s="27">
        <v>2018</v>
      </c>
      <c r="B1874" t="s">
        <v>1429</v>
      </c>
      <c r="C1874" t="s">
        <v>1431</v>
      </c>
      <c r="D1874" t="s">
        <v>1433</v>
      </c>
      <c r="E1874" t="s">
        <v>96</v>
      </c>
      <c r="F1874" s="9" t="s">
        <v>96</v>
      </c>
      <c r="G1874" s="18">
        <v>35068</v>
      </c>
      <c r="H1874">
        <v>0</v>
      </c>
      <c r="I1874" s="29">
        <f t="shared" si="29"/>
        <v>35068</v>
      </c>
      <c r="J1874" t="str">
        <f>IFERROR(VLOOKUP(E1874,'LEAID Match'!$A$2:$B$168,2,FALSE),"")</f>
        <v/>
      </c>
    </row>
    <row r="1875" spans="1:10">
      <c r="A1875">
        <v>2019</v>
      </c>
      <c r="B1875" t="s">
        <v>1429</v>
      </c>
      <c r="C1875" t="s">
        <v>1431</v>
      </c>
      <c r="D1875" t="s">
        <v>1433</v>
      </c>
      <c r="E1875" t="s">
        <v>96</v>
      </c>
      <c r="F1875" s="9" t="s">
        <v>96</v>
      </c>
      <c r="G1875" s="18">
        <v>36268</v>
      </c>
      <c r="H1875">
        <v>0</v>
      </c>
      <c r="I1875" s="29">
        <f t="shared" si="29"/>
        <v>36268</v>
      </c>
      <c r="J1875" t="str">
        <f>IFERROR(VLOOKUP(E1875,'LEAID Match'!$A$2:$B$168,2,FALSE),"")</f>
        <v/>
      </c>
    </row>
    <row r="1876" spans="1:10">
      <c r="A1876" s="27">
        <v>2020</v>
      </c>
      <c r="B1876" t="s">
        <v>1429</v>
      </c>
      <c r="C1876" t="s">
        <v>1431</v>
      </c>
      <c r="D1876" t="s">
        <v>1433</v>
      </c>
      <c r="E1876" t="s">
        <v>96</v>
      </c>
      <c r="F1876" s="9" t="s">
        <v>96</v>
      </c>
      <c r="G1876" s="18">
        <v>36647</v>
      </c>
      <c r="H1876">
        <v>0</v>
      </c>
      <c r="I1876" s="29">
        <f t="shared" si="29"/>
        <v>36647</v>
      </c>
      <c r="J1876" t="str">
        <f>IFERROR(VLOOKUP(E1876,'LEAID Match'!$A$2:$B$168,2,FALSE),"")</f>
        <v/>
      </c>
    </row>
    <row r="1877" spans="1:10">
      <c r="A1877">
        <v>2021</v>
      </c>
      <c r="B1877" t="s">
        <v>1429</v>
      </c>
      <c r="C1877" t="s">
        <v>1431</v>
      </c>
      <c r="D1877" t="s">
        <v>1433</v>
      </c>
      <c r="E1877" t="s">
        <v>96</v>
      </c>
      <c r="F1877" s="9" t="s">
        <v>96</v>
      </c>
      <c r="G1877" s="18">
        <v>36718</v>
      </c>
      <c r="H1877">
        <v>0</v>
      </c>
      <c r="I1877" s="29">
        <f t="shared" si="29"/>
        <v>36718</v>
      </c>
      <c r="J1877" t="str">
        <f>IFERROR(VLOOKUP(E1877,'LEAID Match'!$A$2:$B$168,2,FALSE),"")</f>
        <v/>
      </c>
    </row>
    <row r="1878" spans="1:10">
      <c r="A1878">
        <v>2022</v>
      </c>
      <c r="B1878" t="s">
        <v>1429</v>
      </c>
      <c r="C1878" t="s">
        <v>1431</v>
      </c>
      <c r="D1878" t="s">
        <v>1433</v>
      </c>
      <c r="E1878" t="s">
        <v>96</v>
      </c>
      <c r="F1878" s="9" t="s">
        <v>96</v>
      </c>
      <c r="G1878" s="18">
        <v>46234</v>
      </c>
      <c r="H1878">
        <v>0</v>
      </c>
      <c r="I1878" s="29">
        <f t="shared" si="29"/>
        <v>46234</v>
      </c>
      <c r="J1878" t="str">
        <f>IFERROR(VLOOKUP(E1878,'LEAID Match'!$A$2:$B$168,2,FALSE),"")</f>
        <v/>
      </c>
    </row>
    <row r="1879" spans="1:10">
      <c r="A1879">
        <v>2023</v>
      </c>
      <c r="B1879" t="s">
        <v>1429</v>
      </c>
      <c r="C1879" t="s">
        <v>1431</v>
      </c>
      <c r="D1879" t="s">
        <v>1433</v>
      </c>
      <c r="E1879" t="s">
        <v>96</v>
      </c>
      <c r="F1879" t="s">
        <v>96</v>
      </c>
      <c r="G1879" s="28">
        <v>50540</v>
      </c>
      <c r="H1879">
        <v>0</v>
      </c>
      <c r="I1879" s="29">
        <f t="shared" si="29"/>
        <v>50540</v>
      </c>
      <c r="J1879" t="str">
        <f>IFERROR(VLOOKUP(E1879,'LEAID Match'!$A$2:$B$168,2,FALSE),"")</f>
        <v/>
      </c>
    </row>
    <row r="1880" spans="1:10">
      <c r="A1880">
        <v>2015</v>
      </c>
      <c r="B1880" t="s">
        <v>1429</v>
      </c>
      <c r="C1880" t="s">
        <v>1431</v>
      </c>
      <c r="D1880" t="s">
        <v>1433</v>
      </c>
      <c r="E1880" t="s">
        <v>97</v>
      </c>
      <c r="F1880" s="9" t="s">
        <v>1196</v>
      </c>
      <c r="G1880" s="18">
        <v>2035592.85</v>
      </c>
      <c r="H1880">
        <v>0</v>
      </c>
      <c r="I1880" s="29">
        <f t="shared" si="29"/>
        <v>2035592.85</v>
      </c>
      <c r="J1880">
        <f>IFERROR(VLOOKUP(E1880,'LEAID Match'!$A$2:$B$168,2,FALSE),"")</f>
        <v>3304830</v>
      </c>
    </row>
    <row r="1881" spans="1:10">
      <c r="A1881">
        <v>2016</v>
      </c>
      <c r="B1881" t="s">
        <v>1429</v>
      </c>
      <c r="C1881" t="s">
        <v>1431</v>
      </c>
      <c r="D1881" t="s">
        <v>1433</v>
      </c>
      <c r="E1881" t="s">
        <v>97</v>
      </c>
      <c r="F1881" t="s">
        <v>724</v>
      </c>
      <c r="G1881" s="28">
        <v>2151141</v>
      </c>
      <c r="H1881">
        <v>0</v>
      </c>
      <c r="I1881" s="29">
        <f t="shared" si="29"/>
        <v>2151141</v>
      </c>
      <c r="J1881">
        <f>IFERROR(VLOOKUP(E1881,'LEAID Match'!$A$2:$B$168,2,FALSE),"")</f>
        <v>3304830</v>
      </c>
    </row>
    <row r="1882" spans="1:10">
      <c r="A1882">
        <v>2017</v>
      </c>
      <c r="B1882" t="s">
        <v>1429</v>
      </c>
      <c r="C1882" t="s">
        <v>1431</v>
      </c>
      <c r="D1882" t="s">
        <v>1433</v>
      </c>
      <c r="E1882" t="s">
        <v>97</v>
      </c>
      <c r="F1882" t="s">
        <v>724</v>
      </c>
      <c r="G1882" s="28">
        <v>2176494</v>
      </c>
      <c r="H1882">
        <v>0</v>
      </c>
      <c r="I1882" s="29">
        <f t="shared" si="29"/>
        <v>2176494</v>
      </c>
      <c r="J1882">
        <f>IFERROR(VLOOKUP(E1882,'LEAID Match'!$A$2:$B$168,2,FALSE),"")</f>
        <v>3304830</v>
      </c>
    </row>
    <row r="1883" spans="1:10">
      <c r="A1883" s="27">
        <v>2018</v>
      </c>
      <c r="B1883" t="s">
        <v>1429</v>
      </c>
      <c r="C1883" t="s">
        <v>1431</v>
      </c>
      <c r="D1883" t="s">
        <v>1433</v>
      </c>
      <c r="E1883" t="s">
        <v>97</v>
      </c>
      <c r="F1883" s="9" t="s">
        <v>724</v>
      </c>
      <c r="G1883" s="18">
        <v>2670653</v>
      </c>
      <c r="H1883">
        <v>0</v>
      </c>
      <c r="I1883" s="29">
        <f t="shared" si="29"/>
        <v>2670653</v>
      </c>
      <c r="J1883">
        <f>IFERROR(VLOOKUP(E1883,'LEAID Match'!$A$2:$B$168,2,FALSE),"")</f>
        <v>3304830</v>
      </c>
    </row>
    <row r="1884" spans="1:10">
      <c r="A1884">
        <v>2019</v>
      </c>
      <c r="B1884" t="s">
        <v>1429</v>
      </c>
      <c r="C1884" t="s">
        <v>1431</v>
      </c>
      <c r="D1884" t="s">
        <v>1433</v>
      </c>
      <c r="E1884" t="s">
        <v>97</v>
      </c>
      <c r="F1884" s="9" t="s">
        <v>724</v>
      </c>
      <c r="G1884" s="18">
        <v>2739557</v>
      </c>
      <c r="H1884">
        <v>0</v>
      </c>
      <c r="I1884" s="29">
        <f t="shared" si="29"/>
        <v>2739557</v>
      </c>
      <c r="J1884">
        <f>IFERROR(VLOOKUP(E1884,'LEAID Match'!$A$2:$B$168,2,FALSE),"")</f>
        <v>3304830</v>
      </c>
    </row>
    <row r="1885" spans="1:10">
      <c r="A1885" s="27">
        <v>2020</v>
      </c>
      <c r="B1885" t="s">
        <v>1429</v>
      </c>
      <c r="C1885" t="s">
        <v>1431</v>
      </c>
      <c r="D1885" t="s">
        <v>1433</v>
      </c>
      <c r="E1885" t="s">
        <v>97</v>
      </c>
      <c r="F1885" s="9" t="s">
        <v>97</v>
      </c>
      <c r="G1885" s="18">
        <v>2908711</v>
      </c>
      <c r="H1885">
        <v>0</v>
      </c>
      <c r="I1885" s="29">
        <f t="shared" si="29"/>
        <v>2908711</v>
      </c>
      <c r="J1885">
        <f>IFERROR(VLOOKUP(E1885,'LEAID Match'!$A$2:$B$168,2,FALSE),"")</f>
        <v>3304830</v>
      </c>
    </row>
    <row r="1886" spans="1:10">
      <c r="A1886">
        <v>2021</v>
      </c>
      <c r="B1886" t="s">
        <v>1429</v>
      </c>
      <c r="C1886" t="s">
        <v>1431</v>
      </c>
      <c r="D1886" t="s">
        <v>1433</v>
      </c>
      <c r="E1886" t="s">
        <v>97</v>
      </c>
      <c r="F1886" s="9" t="s">
        <v>97</v>
      </c>
      <c r="G1886" s="18">
        <v>2865422</v>
      </c>
      <c r="H1886">
        <v>0</v>
      </c>
      <c r="I1886" s="29">
        <f t="shared" si="29"/>
        <v>2865422</v>
      </c>
      <c r="J1886">
        <f>IFERROR(VLOOKUP(E1886,'LEAID Match'!$A$2:$B$168,2,FALSE),"")</f>
        <v>3304830</v>
      </c>
    </row>
    <row r="1887" spans="1:10">
      <c r="A1887">
        <v>2022</v>
      </c>
      <c r="B1887" t="s">
        <v>1429</v>
      </c>
      <c r="C1887" t="s">
        <v>1431</v>
      </c>
      <c r="D1887" t="s">
        <v>1433</v>
      </c>
      <c r="E1887" t="s">
        <v>97</v>
      </c>
      <c r="F1887" s="9" t="s">
        <v>97</v>
      </c>
      <c r="G1887" s="18">
        <v>3530268</v>
      </c>
      <c r="H1887">
        <v>0</v>
      </c>
      <c r="I1887" s="29">
        <f t="shared" si="29"/>
        <v>3530268</v>
      </c>
      <c r="J1887">
        <f>IFERROR(VLOOKUP(E1887,'LEAID Match'!$A$2:$B$168,2,FALSE),"")</f>
        <v>3304830</v>
      </c>
    </row>
    <row r="1888" spans="1:10">
      <c r="A1888">
        <v>2023</v>
      </c>
      <c r="B1888" t="s">
        <v>1429</v>
      </c>
      <c r="C1888" t="s">
        <v>1431</v>
      </c>
      <c r="D1888" t="s">
        <v>1433</v>
      </c>
      <c r="E1888" t="s">
        <v>97</v>
      </c>
      <c r="F1888" t="s">
        <v>97</v>
      </c>
      <c r="G1888" s="28">
        <v>3618962</v>
      </c>
      <c r="H1888">
        <v>0</v>
      </c>
      <c r="I1888" s="29">
        <f t="shared" si="29"/>
        <v>3618962</v>
      </c>
      <c r="J1888">
        <f>IFERROR(VLOOKUP(E1888,'LEAID Match'!$A$2:$B$168,2,FALSE),"")</f>
        <v>3304830</v>
      </c>
    </row>
    <row r="1889" spans="1:10">
      <c r="A1889">
        <v>2015</v>
      </c>
      <c r="B1889" t="s">
        <v>1429</v>
      </c>
      <c r="C1889" t="s">
        <v>1431</v>
      </c>
      <c r="D1889" t="s">
        <v>1433</v>
      </c>
      <c r="E1889" t="s">
        <v>725</v>
      </c>
      <c r="F1889" s="9" t="s">
        <v>1197</v>
      </c>
      <c r="G1889" s="18">
        <v>193593.22</v>
      </c>
      <c r="H1889">
        <v>0</v>
      </c>
      <c r="I1889" s="29">
        <f t="shared" si="29"/>
        <v>193593.22</v>
      </c>
      <c r="J1889" t="str">
        <f>IFERROR(VLOOKUP(E1889,'LEAID Match'!$A$2:$B$168,2,FALSE),"")</f>
        <v/>
      </c>
    </row>
    <row r="1890" spans="1:10">
      <c r="A1890">
        <v>2016</v>
      </c>
      <c r="B1890" t="s">
        <v>1429</v>
      </c>
      <c r="C1890" t="s">
        <v>1431</v>
      </c>
      <c r="D1890" t="s">
        <v>1433</v>
      </c>
      <c r="E1890" t="s">
        <v>725</v>
      </c>
      <c r="F1890" t="s">
        <v>725</v>
      </c>
      <c r="G1890" s="28">
        <v>202333</v>
      </c>
      <c r="H1890">
        <v>0</v>
      </c>
      <c r="I1890" s="29">
        <f t="shared" si="29"/>
        <v>202333</v>
      </c>
      <c r="J1890" t="str">
        <f>IFERROR(VLOOKUP(E1890,'LEAID Match'!$A$2:$B$168,2,FALSE),"")</f>
        <v/>
      </c>
    </row>
    <row r="1891" spans="1:10">
      <c r="A1891">
        <v>2017</v>
      </c>
      <c r="B1891" t="s">
        <v>1429</v>
      </c>
      <c r="C1891" t="s">
        <v>1431</v>
      </c>
      <c r="D1891" t="s">
        <v>1433</v>
      </c>
      <c r="E1891" t="s">
        <v>725</v>
      </c>
      <c r="F1891" t="s">
        <v>725</v>
      </c>
      <c r="G1891" s="28">
        <v>204103</v>
      </c>
      <c r="H1891">
        <v>0</v>
      </c>
      <c r="I1891" s="29">
        <f t="shared" si="29"/>
        <v>204103</v>
      </c>
      <c r="J1891" t="str">
        <f>IFERROR(VLOOKUP(E1891,'LEAID Match'!$A$2:$B$168,2,FALSE),"")</f>
        <v/>
      </c>
    </row>
    <row r="1892" spans="1:10">
      <c r="A1892" s="27">
        <v>2018</v>
      </c>
      <c r="B1892" t="s">
        <v>1429</v>
      </c>
      <c r="C1892" t="s">
        <v>1431</v>
      </c>
      <c r="D1892" t="s">
        <v>1433</v>
      </c>
      <c r="E1892" t="s">
        <v>725</v>
      </c>
      <c r="F1892" s="9" t="s">
        <v>725</v>
      </c>
      <c r="G1892" s="18">
        <v>231649</v>
      </c>
      <c r="H1892">
        <v>0</v>
      </c>
      <c r="I1892" s="29">
        <f t="shared" si="29"/>
        <v>231649</v>
      </c>
      <c r="J1892" t="str">
        <f>IFERROR(VLOOKUP(E1892,'LEAID Match'!$A$2:$B$168,2,FALSE),"")</f>
        <v/>
      </c>
    </row>
    <row r="1893" spans="1:10">
      <c r="A1893">
        <v>2019</v>
      </c>
      <c r="B1893" t="s">
        <v>1429</v>
      </c>
      <c r="C1893" t="s">
        <v>1431</v>
      </c>
      <c r="D1893" t="s">
        <v>1433</v>
      </c>
      <c r="E1893" t="s">
        <v>725</v>
      </c>
      <c r="F1893" s="9" t="s">
        <v>725</v>
      </c>
      <c r="G1893" s="18">
        <v>235326</v>
      </c>
      <c r="H1893">
        <v>0</v>
      </c>
      <c r="I1893" s="29">
        <f t="shared" si="29"/>
        <v>235326</v>
      </c>
      <c r="J1893" t="str">
        <f>IFERROR(VLOOKUP(E1893,'LEAID Match'!$A$2:$B$168,2,FALSE),"")</f>
        <v/>
      </c>
    </row>
    <row r="1894" spans="1:10">
      <c r="A1894">
        <v>2015</v>
      </c>
      <c r="B1894" t="s">
        <v>1429</v>
      </c>
      <c r="C1894" t="s">
        <v>1431</v>
      </c>
      <c r="D1894" t="s">
        <v>1433</v>
      </c>
      <c r="E1894" t="s">
        <v>98</v>
      </c>
      <c r="F1894" s="9" t="s">
        <v>1198</v>
      </c>
      <c r="G1894" s="18">
        <v>462990.68</v>
      </c>
      <c r="H1894">
        <v>0</v>
      </c>
      <c r="I1894" s="29">
        <f t="shared" si="29"/>
        <v>462990.68</v>
      </c>
      <c r="J1894">
        <f>IFERROR(VLOOKUP(E1894,'LEAID Match'!$A$2:$B$168,2,FALSE),"")</f>
        <v>3300616</v>
      </c>
    </row>
    <row r="1895" spans="1:10">
      <c r="A1895">
        <v>2016</v>
      </c>
      <c r="B1895" t="s">
        <v>1429</v>
      </c>
      <c r="C1895" t="s">
        <v>1431</v>
      </c>
      <c r="D1895" t="s">
        <v>1433</v>
      </c>
      <c r="E1895" t="s">
        <v>98</v>
      </c>
      <c r="F1895" t="s">
        <v>726</v>
      </c>
      <c r="G1895" s="28">
        <v>483875</v>
      </c>
      <c r="H1895">
        <v>0</v>
      </c>
      <c r="I1895" s="29">
        <f t="shared" si="29"/>
        <v>483875</v>
      </c>
      <c r="J1895">
        <f>IFERROR(VLOOKUP(E1895,'LEAID Match'!$A$2:$B$168,2,FALSE),"")</f>
        <v>3300616</v>
      </c>
    </row>
    <row r="1896" spans="1:10">
      <c r="A1896">
        <v>2017</v>
      </c>
      <c r="B1896" t="s">
        <v>1429</v>
      </c>
      <c r="C1896" t="s">
        <v>1431</v>
      </c>
      <c r="D1896" t="s">
        <v>1433</v>
      </c>
      <c r="E1896" t="s">
        <v>98</v>
      </c>
      <c r="F1896" t="s">
        <v>726</v>
      </c>
      <c r="G1896" s="28">
        <v>501715</v>
      </c>
      <c r="H1896">
        <v>0</v>
      </c>
      <c r="I1896" s="29">
        <f t="shared" si="29"/>
        <v>501715</v>
      </c>
      <c r="J1896">
        <f>IFERROR(VLOOKUP(E1896,'LEAID Match'!$A$2:$B$168,2,FALSE),"")</f>
        <v>3300616</v>
      </c>
    </row>
    <row r="1897" spans="1:10">
      <c r="A1897" s="27">
        <v>2018</v>
      </c>
      <c r="B1897" t="s">
        <v>1429</v>
      </c>
      <c r="C1897" t="s">
        <v>1431</v>
      </c>
      <c r="D1897" t="s">
        <v>1433</v>
      </c>
      <c r="E1897" t="s">
        <v>98</v>
      </c>
      <c r="F1897" s="9" t="s">
        <v>726</v>
      </c>
      <c r="G1897" s="18">
        <v>630452</v>
      </c>
      <c r="H1897">
        <v>0</v>
      </c>
      <c r="I1897" s="29">
        <f t="shared" si="29"/>
        <v>630452</v>
      </c>
      <c r="J1897">
        <f>IFERROR(VLOOKUP(E1897,'LEAID Match'!$A$2:$B$168,2,FALSE),"")</f>
        <v>3300616</v>
      </c>
    </row>
    <row r="1898" spans="1:10">
      <c r="A1898">
        <v>2019</v>
      </c>
      <c r="B1898" t="s">
        <v>1429</v>
      </c>
      <c r="C1898" t="s">
        <v>1431</v>
      </c>
      <c r="D1898" t="s">
        <v>1433</v>
      </c>
      <c r="E1898" t="s">
        <v>98</v>
      </c>
      <c r="F1898" s="9" t="s">
        <v>726</v>
      </c>
      <c r="G1898" s="18">
        <v>666766</v>
      </c>
      <c r="H1898">
        <v>0</v>
      </c>
      <c r="I1898" s="29">
        <f t="shared" si="29"/>
        <v>666766</v>
      </c>
      <c r="J1898">
        <f>IFERROR(VLOOKUP(E1898,'LEAID Match'!$A$2:$B$168,2,FALSE),"")</f>
        <v>3300616</v>
      </c>
    </row>
    <row r="1899" spans="1:10">
      <c r="A1899" s="27">
        <v>2020</v>
      </c>
      <c r="B1899" t="s">
        <v>1429</v>
      </c>
      <c r="C1899" t="s">
        <v>1431</v>
      </c>
      <c r="D1899" t="s">
        <v>1433</v>
      </c>
      <c r="E1899" t="s">
        <v>98</v>
      </c>
      <c r="F1899" s="9" t="s">
        <v>98</v>
      </c>
      <c r="G1899" s="18">
        <v>657201</v>
      </c>
      <c r="H1899">
        <v>0</v>
      </c>
      <c r="I1899" s="29">
        <f t="shared" si="29"/>
        <v>657201</v>
      </c>
      <c r="J1899">
        <f>IFERROR(VLOOKUP(E1899,'LEAID Match'!$A$2:$B$168,2,FALSE),"")</f>
        <v>3300616</v>
      </c>
    </row>
    <row r="1900" spans="1:10">
      <c r="A1900">
        <v>2021</v>
      </c>
      <c r="B1900" t="s">
        <v>1429</v>
      </c>
      <c r="C1900" t="s">
        <v>1431</v>
      </c>
      <c r="D1900" t="s">
        <v>1433</v>
      </c>
      <c r="E1900" t="s">
        <v>98</v>
      </c>
      <c r="F1900" s="9" t="s">
        <v>98</v>
      </c>
      <c r="G1900" s="18">
        <v>652280</v>
      </c>
      <c r="H1900">
        <v>0</v>
      </c>
      <c r="I1900" s="29">
        <f t="shared" si="29"/>
        <v>652280</v>
      </c>
      <c r="J1900">
        <f>IFERROR(VLOOKUP(E1900,'LEAID Match'!$A$2:$B$168,2,FALSE),"")</f>
        <v>3300616</v>
      </c>
    </row>
    <row r="1901" spans="1:10">
      <c r="A1901">
        <v>2022</v>
      </c>
      <c r="B1901" t="s">
        <v>1429</v>
      </c>
      <c r="C1901" t="s">
        <v>1431</v>
      </c>
      <c r="D1901" t="s">
        <v>1433</v>
      </c>
      <c r="E1901" t="s">
        <v>98</v>
      </c>
      <c r="F1901" s="9" t="s">
        <v>98</v>
      </c>
      <c r="G1901" s="18">
        <v>794615</v>
      </c>
      <c r="H1901">
        <v>0</v>
      </c>
      <c r="I1901" s="29">
        <f t="shared" si="29"/>
        <v>794615</v>
      </c>
      <c r="J1901">
        <f>IFERROR(VLOOKUP(E1901,'LEAID Match'!$A$2:$B$168,2,FALSE),"")</f>
        <v>3300616</v>
      </c>
    </row>
    <row r="1902" spans="1:10">
      <c r="A1902">
        <v>2023</v>
      </c>
      <c r="B1902" t="s">
        <v>1429</v>
      </c>
      <c r="C1902" t="s">
        <v>1431</v>
      </c>
      <c r="D1902" t="s">
        <v>1433</v>
      </c>
      <c r="E1902" t="s">
        <v>98</v>
      </c>
      <c r="F1902" t="s">
        <v>98</v>
      </c>
      <c r="G1902" s="28">
        <v>693590</v>
      </c>
      <c r="H1902">
        <v>0</v>
      </c>
      <c r="I1902" s="29">
        <f t="shared" si="29"/>
        <v>693590</v>
      </c>
      <c r="J1902">
        <f>IFERROR(VLOOKUP(E1902,'LEAID Match'!$A$2:$B$168,2,FALSE),"")</f>
        <v>3300616</v>
      </c>
    </row>
    <row r="1903" spans="1:10">
      <c r="A1903">
        <v>2015</v>
      </c>
      <c r="B1903" t="s">
        <v>1429</v>
      </c>
      <c r="C1903" t="s">
        <v>1431</v>
      </c>
      <c r="D1903" t="s">
        <v>1433</v>
      </c>
      <c r="E1903" t="s">
        <v>99</v>
      </c>
      <c r="F1903" s="9" t="s">
        <v>1199</v>
      </c>
      <c r="G1903" s="18">
        <v>1587820.26</v>
      </c>
      <c r="H1903">
        <v>0</v>
      </c>
      <c r="I1903" s="29">
        <f t="shared" si="29"/>
        <v>1587820.26</v>
      </c>
      <c r="J1903">
        <f>IFERROR(VLOOKUP(E1903,'LEAID Match'!$A$2:$B$168,2,FALSE),"")</f>
        <v>3304890</v>
      </c>
    </row>
    <row r="1904" spans="1:10">
      <c r="A1904">
        <v>2016</v>
      </c>
      <c r="B1904" t="s">
        <v>1429</v>
      </c>
      <c r="C1904" t="s">
        <v>1431</v>
      </c>
      <c r="D1904" t="s">
        <v>1433</v>
      </c>
      <c r="E1904" t="s">
        <v>99</v>
      </c>
      <c r="F1904" t="s">
        <v>727</v>
      </c>
      <c r="G1904" s="28">
        <v>1770390</v>
      </c>
      <c r="H1904">
        <v>0</v>
      </c>
      <c r="I1904" s="29">
        <f t="shared" si="29"/>
        <v>1770390</v>
      </c>
      <c r="J1904">
        <f>IFERROR(VLOOKUP(E1904,'LEAID Match'!$A$2:$B$168,2,FALSE),"")</f>
        <v>3304890</v>
      </c>
    </row>
    <row r="1905" spans="1:10">
      <c r="A1905">
        <v>2017</v>
      </c>
      <c r="B1905" t="s">
        <v>1429</v>
      </c>
      <c r="C1905" t="s">
        <v>1431</v>
      </c>
      <c r="D1905" t="s">
        <v>1433</v>
      </c>
      <c r="E1905" t="s">
        <v>99</v>
      </c>
      <c r="F1905" t="s">
        <v>727</v>
      </c>
      <c r="G1905" s="28">
        <v>1785366</v>
      </c>
      <c r="H1905">
        <v>0</v>
      </c>
      <c r="I1905" s="29">
        <f t="shared" si="29"/>
        <v>1785366</v>
      </c>
      <c r="J1905">
        <f>IFERROR(VLOOKUP(E1905,'LEAID Match'!$A$2:$B$168,2,FALSE),"")</f>
        <v>3304890</v>
      </c>
    </row>
    <row r="1906" spans="1:10">
      <c r="A1906" s="27">
        <v>2018</v>
      </c>
      <c r="B1906" t="s">
        <v>1429</v>
      </c>
      <c r="C1906" t="s">
        <v>1431</v>
      </c>
      <c r="D1906" t="s">
        <v>1433</v>
      </c>
      <c r="E1906" t="s">
        <v>99</v>
      </c>
      <c r="F1906" s="9" t="s">
        <v>727</v>
      </c>
      <c r="G1906" s="18">
        <v>2044539</v>
      </c>
      <c r="H1906">
        <v>0</v>
      </c>
      <c r="I1906" s="29">
        <f t="shared" si="29"/>
        <v>2044539</v>
      </c>
      <c r="J1906">
        <f>IFERROR(VLOOKUP(E1906,'LEAID Match'!$A$2:$B$168,2,FALSE),"")</f>
        <v>3304890</v>
      </c>
    </row>
    <row r="1907" spans="1:10">
      <c r="A1907">
        <v>2019</v>
      </c>
      <c r="B1907" t="s">
        <v>1429</v>
      </c>
      <c r="C1907" t="s">
        <v>1431</v>
      </c>
      <c r="D1907" t="s">
        <v>1433</v>
      </c>
      <c r="E1907" t="s">
        <v>99</v>
      </c>
      <c r="F1907" s="9" t="s">
        <v>727</v>
      </c>
      <c r="G1907" s="18">
        <v>2048011</v>
      </c>
      <c r="H1907">
        <v>0</v>
      </c>
      <c r="I1907" s="29">
        <f t="shared" si="29"/>
        <v>2048011</v>
      </c>
      <c r="J1907">
        <f>IFERROR(VLOOKUP(E1907,'LEAID Match'!$A$2:$B$168,2,FALSE),"")</f>
        <v>3304890</v>
      </c>
    </row>
    <row r="1908" spans="1:10">
      <c r="A1908" s="27">
        <v>2020</v>
      </c>
      <c r="B1908" t="s">
        <v>1429</v>
      </c>
      <c r="C1908" t="s">
        <v>1431</v>
      </c>
      <c r="D1908" t="s">
        <v>1433</v>
      </c>
      <c r="E1908" t="s">
        <v>99</v>
      </c>
      <c r="F1908" s="9" t="s">
        <v>99</v>
      </c>
      <c r="G1908" s="18">
        <v>2158982</v>
      </c>
      <c r="H1908">
        <v>0</v>
      </c>
      <c r="I1908" s="29">
        <f t="shared" si="29"/>
        <v>2158982</v>
      </c>
      <c r="J1908">
        <f>IFERROR(VLOOKUP(E1908,'LEAID Match'!$A$2:$B$168,2,FALSE),"")</f>
        <v>3304890</v>
      </c>
    </row>
    <row r="1909" spans="1:10">
      <c r="A1909">
        <v>2021</v>
      </c>
      <c r="B1909" t="s">
        <v>1429</v>
      </c>
      <c r="C1909" t="s">
        <v>1431</v>
      </c>
      <c r="D1909" t="s">
        <v>1433</v>
      </c>
      <c r="E1909" t="s">
        <v>99</v>
      </c>
      <c r="F1909" s="9" t="s">
        <v>99</v>
      </c>
      <c r="G1909" s="18">
        <v>2249275</v>
      </c>
      <c r="H1909">
        <v>0</v>
      </c>
      <c r="I1909" s="29">
        <f t="shared" si="29"/>
        <v>2249275</v>
      </c>
      <c r="J1909">
        <f>IFERROR(VLOOKUP(E1909,'LEAID Match'!$A$2:$B$168,2,FALSE),"")</f>
        <v>3304890</v>
      </c>
    </row>
    <row r="1910" spans="1:10">
      <c r="A1910">
        <v>2022</v>
      </c>
      <c r="B1910" t="s">
        <v>1429</v>
      </c>
      <c r="C1910" t="s">
        <v>1431</v>
      </c>
      <c r="D1910" t="s">
        <v>1433</v>
      </c>
      <c r="E1910" t="s">
        <v>99</v>
      </c>
      <c r="F1910" s="9" t="s">
        <v>99</v>
      </c>
      <c r="G1910" s="18">
        <v>2664250</v>
      </c>
      <c r="H1910">
        <v>0</v>
      </c>
      <c r="I1910" s="29">
        <f t="shared" si="29"/>
        <v>2664250</v>
      </c>
      <c r="J1910">
        <f>IFERROR(VLOOKUP(E1910,'LEAID Match'!$A$2:$B$168,2,FALSE),"")</f>
        <v>3304890</v>
      </c>
    </row>
    <row r="1911" spans="1:10">
      <c r="A1911">
        <v>2023</v>
      </c>
      <c r="B1911" t="s">
        <v>1429</v>
      </c>
      <c r="C1911" t="s">
        <v>1431</v>
      </c>
      <c r="D1911" t="s">
        <v>1433</v>
      </c>
      <c r="E1911" t="s">
        <v>99</v>
      </c>
      <c r="F1911" t="s">
        <v>99</v>
      </c>
      <c r="G1911" s="28">
        <v>2668832</v>
      </c>
      <c r="H1911">
        <v>0</v>
      </c>
      <c r="I1911" s="29">
        <f t="shared" si="29"/>
        <v>2668832</v>
      </c>
      <c r="J1911">
        <f>IFERROR(VLOOKUP(E1911,'LEAID Match'!$A$2:$B$168,2,FALSE),"")</f>
        <v>3304890</v>
      </c>
    </row>
    <row r="1912" spans="1:10">
      <c r="A1912">
        <v>2015</v>
      </c>
      <c r="B1912" t="s">
        <v>1429</v>
      </c>
      <c r="C1912" t="s">
        <v>1431</v>
      </c>
      <c r="D1912" t="s">
        <v>1433</v>
      </c>
      <c r="E1912" t="s">
        <v>728</v>
      </c>
      <c r="F1912" s="9" t="s">
        <v>1200</v>
      </c>
      <c r="G1912" s="18">
        <v>9253.5499999999993</v>
      </c>
      <c r="H1912">
        <v>0</v>
      </c>
      <c r="I1912" s="29">
        <f t="shared" si="29"/>
        <v>9253.5499999999993</v>
      </c>
      <c r="J1912" t="str">
        <f>IFERROR(VLOOKUP(E1912,'LEAID Match'!$A$2:$B$168,2,FALSE),"")</f>
        <v/>
      </c>
    </row>
    <row r="1913" spans="1:10">
      <c r="A1913">
        <v>2016</v>
      </c>
      <c r="B1913" t="s">
        <v>1429</v>
      </c>
      <c r="C1913" t="s">
        <v>1431</v>
      </c>
      <c r="D1913" t="s">
        <v>1433</v>
      </c>
      <c r="E1913" t="s">
        <v>728</v>
      </c>
      <c r="F1913" t="s">
        <v>728</v>
      </c>
      <c r="G1913" s="28">
        <v>9159</v>
      </c>
      <c r="H1913">
        <v>0</v>
      </c>
      <c r="I1913" s="29">
        <f t="shared" si="29"/>
        <v>9159</v>
      </c>
      <c r="J1913" t="str">
        <f>IFERROR(VLOOKUP(E1913,'LEAID Match'!$A$2:$B$168,2,FALSE),"")</f>
        <v/>
      </c>
    </row>
    <row r="1914" spans="1:10">
      <c r="A1914">
        <v>2017</v>
      </c>
      <c r="B1914" t="s">
        <v>1429</v>
      </c>
      <c r="C1914" t="s">
        <v>1431</v>
      </c>
      <c r="D1914" t="s">
        <v>1433</v>
      </c>
      <c r="E1914" t="s">
        <v>728</v>
      </c>
      <c r="F1914" t="s">
        <v>728</v>
      </c>
      <c r="G1914" s="28">
        <v>9874</v>
      </c>
      <c r="H1914">
        <v>0</v>
      </c>
      <c r="I1914" s="29">
        <f t="shared" si="29"/>
        <v>9874</v>
      </c>
      <c r="J1914" t="str">
        <f>IFERROR(VLOOKUP(E1914,'LEAID Match'!$A$2:$B$168,2,FALSE),"")</f>
        <v/>
      </c>
    </row>
    <row r="1915" spans="1:10">
      <c r="A1915" s="27">
        <v>2018</v>
      </c>
      <c r="B1915" t="s">
        <v>1429</v>
      </c>
      <c r="C1915" t="s">
        <v>1431</v>
      </c>
      <c r="D1915" t="s">
        <v>1433</v>
      </c>
      <c r="E1915" t="s">
        <v>728</v>
      </c>
      <c r="F1915" s="9" t="s">
        <v>728</v>
      </c>
      <c r="G1915" s="18">
        <v>10532</v>
      </c>
      <c r="H1915">
        <v>0</v>
      </c>
      <c r="I1915" s="29">
        <f t="shared" si="29"/>
        <v>10532</v>
      </c>
      <c r="J1915" t="str">
        <f>IFERROR(VLOOKUP(E1915,'LEAID Match'!$A$2:$B$168,2,FALSE),"")</f>
        <v/>
      </c>
    </row>
    <row r="1916" spans="1:10">
      <c r="A1916">
        <v>2019</v>
      </c>
      <c r="B1916" t="s">
        <v>1429</v>
      </c>
      <c r="C1916" t="s">
        <v>1431</v>
      </c>
      <c r="D1916" t="s">
        <v>1433</v>
      </c>
      <c r="E1916" t="s">
        <v>728</v>
      </c>
      <c r="F1916" s="9" t="s">
        <v>728</v>
      </c>
      <c r="G1916" s="18">
        <v>8628</v>
      </c>
      <c r="H1916">
        <v>0</v>
      </c>
      <c r="I1916" s="29">
        <f t="shared" si="29"/>
        <v>8628</v>
      </c>
      <c r="J1916" t="str">
        <f>IFERROR(VLOOKUP(E1916,'LEAID Match'!$A$2:$B$168,2,FALSE),"")</f>
        <v/>
      </c>
    </row>
    <row r="1917" spans="1:10">
      <c r="A1917">
        <v>2015</v>
      </c>
      <c r="B1917" t="s">
        <v>1429</v>
      </c>
      <c r="C1917" t="s">
        <v>1431</v>
      </c>
      <c r="D1917" t="s">
        <v>1433</v>
      </c>
      <c r="E1917" t="s">
        <v>100</v>
      </c>
      <c r="F1917" s="9" t="s">
        <v>1201</v>
      </c>
      <c r="G1917" s="18">
        <v>87902.24</v>
      </c>
      <c r="H1917">
        <v>0</v>
      </c>
      <c r="I1917" s="29">
        <f t="shared" si="29"/>
        <v>87902.24</v>
      </c>
      <c r="J1917">
        <f>IFERROR(VLOOKUP(E1917,'LEAID Match'!$A$2:$B$168,2,FALSE),"")</f>
        <v>3304920</v>
      </c>
    </row>
    <row r="1918" spans="1:10">
      <c r="A1918">
        <v>2016</v>
      </c>
      <c r="B1918" t="s">
        <v>1429</v>
      </c>
      <c r="C1918" t="s">
        <v>1431</v>
      </c>
      <c r="D1918" t="s">
        <v>1433</v>
      </c>
      <c r="E1918" t="s">
        <v>100</v>
      </c>
      <c r="F1918" t="s">
        <v>729</v>
      </c>
      <c r="G1918" s="28">
        <v>101509</v>
      </c>
      <c r="H1918">
        <v>0</v>
      </c>
      <c r="I1918" s="29">
        <f t="shared" si="29"/>
        <v>101509</v>
      </c>
      <c r="J1918">
        <f>IFERROR(VLOOKUP(E1918,'LEAID Match'!$A$2:$B$168,2,FALSE),"")</f>
        <v>3304920</v>
      </c>
    </row>
    <row r="1919" spans="1:10">
      <c r="A1919">
        <v>2017</v>
      </c>
      <c r="B1919" t="s">
        <v>1429</v>
      </c>
      <c r="C1919" t="s">
        <v>1431</v>
      </c>
      <c r="D1919" t="s">
        <v>1433</v>
      </c>
      <c r="E1919" t="s">
        <v>100</v>
      </c>
      <c r="F1919" t="s">
        <v>729</v>
      </c>
      <c r="G1919" s="28">
        <v>111415</v>
      </c>
      <c r="H1919">
        <v>0</v>
      </c>
      <c r="I1919" s="29">
        <f t="shared" si="29"/>
        <v>111415</v>
      </c>
      <c r="J1919">
        <f>IFERROR(VLOOKUP(E1919,'LEAID Match'!$A$2:$B$168,2,FALSE),"")</f>
        <v>3304920</v>
      </c>
    </row>
    <row r="1920" spans="1:10">
      <c r="A1920" s="27">
        <v>2018</v>
      </c>
      <c r="B1920" t="s">
        <v>1429</v>
      </c>
      <c r="C1920" t="s">
        <v>1431</v>
      </c>
      <c r="D1920" t="s">
        <v>1433</v>
      </c>
      <c r="E1920" t="s">
        <v>100</v>
      </c>
      <c r="F1920" s="9" t="s">
        <v>729</v>
      </c>
      <c r="G1920" s="18">
        <v>151078</v>
      </c>
      <c r="H1920">
        <v>0</v>
      </c>
      <c r="I1920" s="29">
        <f t="shared" si="29"/>
        <v>151078</v>
      </c>
      <c r="J1920">
        <f>IFERROR(VLOOKUP(E1920,'LEAID Match'!$A$2:$B$168,2,FALSE),"")</f>
        <v>3304920</v>
      </c>
    </row>
    <row r="1921" spans="1:10">
      <c r="A1921">
        <v>2019</v>
      </c>
      <c r="B1921" t="s">
        <v>1429</v>
      </c>
      <c r="C1921" t="s">
        <v>1431</v>
      </c>
      <c r="D1921" t="s">
        <v>1433</v>
      </c>
      <c r="E1921" t="s">
        <v>100</v>
      </c>
      <c r="F1921" s="9" t="s">
        <v>729</v>
      </c>
      <c r="G1921" s="18">
        <v>154361</v>
      </c>
      <c r="H1921">
        <v>0</v>
      </c>
      <c r="I1921" s="29">
        <f t="shared" si="29"/>
        <v>154361</v>
      </c>
      <c r="J1921">
        <f>IFERROR(VLOOKUP(E1921,'LEAID Match'!$A$2:$B$168,2,FALSE),"")</f>
        <v>3304920</v>
      </c>
    </row>
    <row r="1922" spans="1:10">
      <c r="A1922" s="27">
        <v>2020</v>
      </c>
      <c r="B1922" t="s">
        <v>1429</v>
      </c>
      <c r="C1922" t="s">
        <v>1431</v>
      </c>
      <c r="D1922" t="s">
        <v>1433</v>
      </c>
      <c r="E1922" t="s">
        <v>100</v>
      </c>
      <c r="F1922" s="9" t="s">
        <v>100</v>
      </c>
      <c r="G1922" s="18">
        <v>155988</v>
      </c>
      <c r="H1922">
        <v>0</v>
      </c>
      <c r="I1922" s="29">
        <f t="shared" si="29"/>
        <v>155988</v>
      </c>
      <c r="J1922">
        <f>IFERROR(VLOOKUP(E1922,'LEAID Match'!$A$2:$B$168,2,FALSE),"")</f>
        <v>3304920</v>
      </c>
    </row>
    <row r="1923" spans="1:10">
      <c r="A1923">
        <v>2021</v>
      </c>
      <c r="B1923" t="s">
        <v>1429</v>
      </c>
      <c r="C1923" t="s">
        <v>1431</v>
      </c>
      <c r="D1923" t="s">
        <v>1433</v>
      </c>
      <c r="E1923" t="s">
        <v>100</v>
      </c>
      <c r="F1923" s="9" t="s">
        <v>100</v>
      </c>
      <c r="G1923" s="18">
        <v>153027</v>
      </c>
      <c r="H1923">
        <v>0</v>
      </c>
      <c r="I1923" s="29">
        <f t="shared" ref="I1923:I1986" si="30">SUM(G1923:H1923)</f>
        <v>153027</v>
      </c>
      <c r="J1923">
        <f>IFERROR(VLOOKUP(E1923,'LEAID Match'!$A$2:$B$168,2,FALSE),"")</f>
        <v>3304920</v>
      </c>
    </row>
    <row r="1924" spans="1:10">
      <c r="A1924">
        <v>2022</v>
      </c>
      <c r="B1924" t="s">
        <v>1429</v>
      </c>
      <c r="C1924" t="s">
        <v>1431</v>
      </c>
      <c r="D1924" t="s">
        <v>1433</v>
      </c>
      <c r="E1924" t="s">
        <v>100</v>
      </c>
      <c r="F1924" s="9" t="s">
        <v>100</v>
      </c>
      <c r="G1924" s="18">
        <v>236579</v>
      </c>
      <c r="H1924">
        <v>0</v>
      </c>
      <c r="I1924" s="29">
        <f t="shared" si="30"/>
        <v>236579</v>
      </c>
      <c r="J1924">
        <f>IFERROR(VLOOKUP(E1924,'LEAID Match'!$A$2:$B$168,2,FALSE),"")</f>
        <v>3304920</v>
      </c>
    </row>
    <row r="1925" spans="1:10">
      <c r="A1925">
        <v>2023</v>
      </c>
      <c r="B1925" t="s">
        <v>1429</v>
      </c>
      <c r="C1925" t="s">
        <v>1431</v>
      </c>
      <c r="D1925" t="s">
        <v>1433</v>
      </c>
      <c r="E1925" t="s">
        <v>100</v>
      </c>
      <c r="F1925" t="s">
        <v>100</v>
      </c>
      <c r="G1925" s="28">
        <v>257195</v>
      </c>
      <c r="H1925">
        <v>0</v>
      </c>
      <c r="I1925" s="29">
        <f t="shared" si="30"/>
        <v>257195</v>
      </c>
      <c r="J1925">
        <f>IFERROR(VLOOKUP(E1925,'LEAID Match'!$A$2:$B$168,2,FALSE),"")</f>
        <v>3304920</v>
      </c>
    </row>
    <row r="1926" spans="1:10">
      <c r="A1926">
        <v>2015</v>
      </c>
      <c r="B1926" t="s">
        <v>1429</v>
      </c>
      <c r="C1926" t="s">
        <v>1431</v>
      </c>
      <c r="D1926" t="s">
        <v>1433</v>
      </c>
      <c r="E1926" t="s">
        <v>730</v>
      </c>
      <c r="F1926" s="9" t="s">
        <v>1202</v>
      </c>
      <c r="G1926" s="18">
        <v>70749.5</v>
      </c>
      <c r="H1926">
        <v>0</v>
      </c>
      <c r="I1926" s="29">
        <f t="shared" si="30"/>
        <v>70749.5</v>
      </c>
      <c r="J1926" t="str">
        <f>IFERROR(VLOOKUP(E1926,'LEAID Match'!$A$2:$B$168,2,FALSE),"")</f>
        <v/>
      </c>
    </row>
    <row r="1927" spans="1:10">
      <c r="A1927">
        <v>2016</v>
      </c>
      <c r="B1927" t="s">
        <v>1429</v>
      </c>
      <c r="C1927" t="s">
        <v>1431</v>
      </c>
      <c r="D1927" t="s">
        <v>1433</v>
      </c>
      <c r="E1927" t="s">
        <v>730</v>
      </c>
      <c r="F1927" t="s">
        <v>730</v>
      </c>
      <c r="G1927" s="28">
        <v>77039</v>
      </c>
      <c r="H1927">
        <v>0</v>
      </c>
      <c r="I1927" s="29">
        <f t="shared" si="30"/>
        <v>77039</v>
      </c>
      <c r="J1927" t="str">
        <f>IFERROR(VLOOKUP(E1927,'LEAID Match'!$A$2:$B$168,2,FALSE),"")</f>
        <v/>
      </c>
    </row>
    <row r="1928" spans="1:10">
      <c r="A1928">
        <v>2017</v>
      </c>
      <c r="B1928" t="s">
        <v>1429</v>
      </c>
      <c r="C1928" t="s">
        <v>1431</v>
      </c>
      <c r="D1928" t="s">
        <v>1433</v>
      </c>
      <c r="E1928" t="s">
        <v>730</v>
      </c>
      <c r="F1928" t="s">
        <v>730</v>
      </c>
      <c r="G1928" s="28">
        <v>76899</v>
      </c>
      <c r="H1928">
        <v>0</v>
      </c>
      <c r="I1928" s="29">
        <f t="shared" si="30"/>
        <v>76899</v>
      </c>
      <c r="J1928" t="str">
        <f>IFERROR(VLOOKUP(E1928,'LEAID Match'!$A$2:$B$168,2,FALSE),"")</f>
        <v/>
      </c>
    </row>
    <row r="1929" spans="1:10">
      <c r="A1929" s="27">
        <v>2018</v>
      </c>
      <c r="B1929" t="s">
        <v>1429</v>
      </c>
      <c r="C1929" t="s">
        <v>1431</v>
      </c>
      <c r="D1929" t="s">
        <v>1433</v>
      </c>
      <c r="E1929" t="s">
        <v>730</v>
      </c>
      <c r="F1929" s="9" t="s">
        <v>730</v>
      </c>
      <c r="G1929" s="18">
        <v>88856</v>
      </c>
      <c r="H1929">
        <v>0</v>
      </c>
      <c r="I1929" s="29">
        <f t="shared" si="30"/>
        <v>88856</v>
      </c>
      <c r="J1929" t="str">
        <f>IFERROR(VLOOKUP(E1929,'LEAID Match'!$A$2:$B$168,2,FALSE),"")</f>
        <v/>
      </c>
    </row>
    <row r="1930" spans="1:10">
      <c r="A1930">
        <v>2019</v>
      </c>
      <c r="B1930" t="s">
        <v>1429</v>
      </c>
      <c r="C1930" t="s">
        <v>1431</v>
      </c>
      <c r="D1930" t="s">
        <v>1433</v>
      </c>
      <c r="E1930" t="s">
        <v>730</v>
      </c>
      <c r="F1930" s="9" t="s">
        <v>730</v>
      </c>
      <c r="G1930" s="18">
        <v>87865</v>
      </c>
      <c r="H1930">
        <v>0</v>
      </c>
      <c r="I1930" s="29">
        <f t="shared" si="30"/>
        <v>87865</v>
      </c>
      <c r="J1930" t="str">
        <f>IFERROR(VLOOKUP(E1930,'LEAID Match'!$A$2:$B$168,2,FALSE),"")</f>
        <v/>
      </c>
    </row>
    <row r="1931" spans="1:10">
      <c r="A1931">
        <v>2015</v>
      </c>
      <c r="B1931" t="s">
        <v>1429</v>
      </c>
      <c r="C1931" t="s">
        <v>1431</v>
      </c>
      <c r="D1931" t="s">
        <v>1433</v>
      </c>
      <c r="E1931" t="s">
        <v>101</v>
      </c>
      <c r="F1931" s="9" t="s">
        <v>1203</v>
      </c>
      <c r="G1931" s="18">
        <v>132913.07</v>
      </c>
      <c r="H1931">
        <v>0</v>
      </c>
      <c r="I1931" s="29">
        <f t="shared" si="30"/>
        <v>132913.07</v>
      </c>
      <c r="J1931">
        <f>IFERROR(VLOOKUP(E1931,'LEAID Match'!$A$2:$B$168,2,FALSE),"")</f>
        <v>3304950</v>
      </c>
    </row>
    <row r="1932" spans="1:10">
      <c r="A1932">
        <v>2016</v>
      </c>
      <c r="B1932" t="s">
        <v>1429</v>
      </c>
      <c r="C1932" t="s">
        <v>1431</v>
      </c>
      <c r="D1932" t="s">
        <v>1433</v>
      </c>
      <c r="E1932" t="s">
        <v>101</v>
      </c>
      <c r="F1932" t="s">
        <v>731</v>
      </c>
      <c r="G1932" s="28">
        <v>152526</v>
      </c>
      <c r="H1932">
        <v>0</v>
      </c>
      <c r="I1932" s="29">
        <f t="shared" si="30"/>
        <v>152526</v>
      </c>
      <c r="J1932">
        <f>IFERROR(VLOOKUP(E1932,'LEAID Match'!$A$2:$B$168,2,FALSE),"")</f>
        <v>3304950</v>
      </c>
    </row>
    <row r="1933" spans="1:10">
      <c r="A1933">
        <v>2017</v>
      </c>
      <c r="B1933" t="s">
        <v>1429</v>
      </c>
      <c r="C1933" t="s">
        <v>1431</v>
      </c>
      <c r="D1933" t="s">
        <v>1433</v>
      </c>
      <c r="E1933" t="s">
        <v>101</v>
      </c>
      <c r="F1933" t="s">
        <v>731</v>
      </c>
      <c r="G1933" s="28">
        <v>149375</v>
      </c>
      <c r="H1933">
        <v>0</v>
      </c>
      <c r="I1933" s="29">
        <f t="shared" si="30"/>
        <v>149375</v>
      </c>
      <c r="J1933">
        <f>IFERROR(VLOOKUP(E1933,'LEAID Match'!$A$2:$B$168,2,FALSE),"")</f>
        <v>3304950</v>
      </c>
    </row>
    <row r="1934" spans="1:10">
      <c r="A1934" s="27">
        <v>2018</v>
      </c>
      <c r="B1934" t="s">
        <v>1429</v>
      </c>
      <c r="C1934" t="s">
        <v>1431</v>
      </c>
      <c r="D1934" t="s">
        <v>1433</v>
      </c>
      <c r="E1934" t="s">
        <v>101</v>
      </c>
      <c r="F1934" s="9" t="s">
        <v>731</v>
      </c>
      <c r="G1934" s="18">
        <v>199248</v>
      </c>
      <c r="H1934">
        <v>0</v>
      </c>
      <c r="I1934" s="29">
        <f t="shared" si="30"/>
        <v>199248</v>
      </c>
      <c r="J1934">
        <f>IFERROR(VLOOKUP(E1934,'LEAID Match'!$A$2:$B$168,2,FALSE),"")</f>
        <v>3304950</v>
      </c>
    </row>
    <row r="1935" spans="1:10">
      <c r="A1935">
        <v>2019</v>
      </c>
      <c r="B1935" t="s">
        <v>1429</v>
      </c>
      <c r="C1935" t="s">
        <v>1431</v>
      </c>
      <c r="D1935" t="s">
        <v>1433</v>
      </c>
      <c r="E1935" t="s">
        <v>101</v>
      </c>
      <c r="F1935" s="9" t="s">
        <v>731</v>
      </c>
      <c r="G1935" s="18">
        <v>228717</v>
      </c>
      <c r="H1935">
        <v>0</v>
      </c>
      <c r="I1935" s="29">
        <f t="shared" si="30"/>
        <v>228717</v>
      </c>
      <c r="J1935">
        <f>IFERROR(VLOOKUP(E1935,'LEAID Match'!$A$2:$B$168,2,FALSE),"")</f>
        <v>3304950</v>
      </c>
    </row>
    <row r="1936" spans="1:10">
      <c r="A1936" s="27">
        <v>2020</v>
      </c>
      <c r="B1936" t="s">
        <v>1429</v>
      </c>
      <c r="C1936" t="s">
        <v>1431</v>
      </c>
      <c r="D1936" t="s">
        <v>1433</v>
      </c>
      <c r="E1936" t="s">
        <v>101</v>
      </c>
      <c r="F1936" s="9" t="s">
        <v>101</v>
      </c>
      <c r="G1936" s="18">
        <v>255390</v>
      </c>
      <c r="H1936">
        <v>0</v>
      </c>
      <c r="I1936" s="29">
        <f t="shared" si="30"/>
        <v>255390</v>
      </c>
      <c r="J1936">
        <f>IFERROR(VLOOKUP(E1936,'LEAID Match'!$A$2:$B$168,2,FALSE),"")</f>
        <v>3304950</v>
      </c>
    </row>
    <row r="1937" spans="1:10">
      <c r="A1937">
        <v>2021</v>
      </c>
      <c r="B1937" t="s">
        <v>1429</v>
      </c>
      <c r="C1937" t="s">
        <v>1431</v>
      </c>
      <c r="D1937" t="s">
        <v>1433</v>
      </c>
      <c r="E1937" t="s">
        <v>101</v>
      </c>
      <c r="F1937" s="9" t="s">
        <v>101</v>
      </c>
      <c r="G1937" s="18">
        <v>274246</v>
      </c>
      <c r="H1937">
        <v>0</v>
      </c>
      <c r="I1937" s="29">
        <f t="shared" si="30"/>
        <v>274246</v>
      </c>
      <c r="J1937">
        <f>IFERROR(VLOOKUP(E1937,'LEAID Match'!$A$2:$B$168,2,FALSE),"")</f>
        <v>3304950</v>
      </c>
    </row>
    <row r="1938" spans="1:10">
      <c r="A1938">
        <v>2022</v>
      </c>
      <c r="B1938" t="s">
        <v>1429</v>
      </c>
      <c r="C1938" t="s">
        <v>1431</v>
      </c>
      <c r="D1938" t="s">
        <v>1433</v>
      </c>
      <c r="E1938" t="s">
        <v>101</v>
      </c>
      <c r="F1938" s="9" t="s">
        <v>101</v>
      </c>
      <c r="G1938" s="18">
        <v>334309</v>
      </c>
      <c r="H1938">
        <v>0</v>
      </c>
      <c r="I1938" s="29">
        <f t="shared" si="30"/>
        <v>334309</v>
      </c>
      <c r="J1938">
        <f>IFERROR(VLOOKUP(E1938,'LEAID Match'!$A$2:$B$168,2,FALSE),"")</f>
        <v>3304950</v>
      </c>
    </row>
    <row r="1939" spans="1:10">
      <c r="A1939">
        <v>2023</v>
      </c>
      <c r="B1939" t="s">
        <v>1429</v>
      </c>
      <c r="C1939" t="s">
        <v>1431</v>
      </c>
      <c r="D1939" t="s">
        <v>1433</v>
      </c>
      <c r="E1939" t="s">
        <v>101</v>
      </c>
      <c r="F1939" t="s">
        <v>101</v>
      </c>
      <c r="G1939" s="28">
        <v>360292</v>
      </c>
      <c r="H1939">
        <v>0</v>
      </c>
      <c r="I1939" s="29">
        <f t="shared" si="30"/>
        <v>360292</v>
      </c>
      <c r="J1939">
        <f>IFERROR(VLOOKUP(E1939,'LEAID Match'!$A$2:$B$168,2,FALSE),"")</f>
        <v>3304950</v>
      </c>
    </row>
    <row r="1940" spans="1:10">
      <c r="A1940">
        <v>2015</v>
      </c>
      <c r="B1940" t="s">
        <v>1429</v>
      </c>
      <c r="C1940" t="s">
        <v>1431</v>
      </c>
      <c r="D1940" t="s">
        <v>1433</v>
      </c>
      <c r="E1940" t="s">
        <v>732</v>
      </c>
      <c r="F1940" s="9" t="s">
        <v>1204</v>
      </c>
      <c r="G1940" s="18">
        <v>401830.3</v>
      </c>
      <c r="H1940">
        <v>0</v>
      </c>
      <c r="I1940" s="29">
        <f t="shared" si="30"/>
        <v>401830.3</v>
      </c>
      <c r="J1940" t="str">
        <f>IFERROR(VLOOKUP(E1940,'LEAID Match'!$A$2:$B$168,2,FALSE),"")</f>
        <v/>
      </c>
    </row>
    <row r="1941" spans="1:10">
      <c r="A1941">
        <v>2016</v>
      </c>
      <c r="B1941" t="s">
        <v>1429</v>
      </c>
      <c r="C1941" t="s">
        <v>1431</v>
      </c>
      <c r="D1941" t="s">
        <v>1433</v>
      </c>
      <c r="E1941" t="s">
        <v>732</v>
      </c>
      <c r="F1941" t="s">
        <v>732</v>
      </c>
      <c r="G1941" s="28">
        <v>407673</v>
      </c>
      <c r="H1941">
        <v>0</v>
      </c>
      <c r="I1941" s="29">
        <f t="shared" si="30"/>
        <v>407673</v>
      </c>
      <c r="J1941" t="str">
        <f>IFERROR(VLOOKUP(E1941,'LEAID Match'!$A$2:$B$168,2,FALSE),"")</f>
        <v/>
      </c>
    </row>
    <row r="1942" spans="1:10">
      <c r="A1942">
        <v>2017</v>
      </c>
      <c r="B1942" t="s">
        <v>1429</v>
      </c>
      <c r="C1942" t="s">
        <v>1431</v>
      </c>
      <c r="D1942" t="s">
        <v>1433</v>
      </c>
      <c r="E1942" t="s">
        <v>732</v>
      </c>
      <c r="F1942" t="s">
        <v>732</v>
      </c>
      <c r="G1942" s="28">
        <v>398389</v>
      </c>
      <c r="H1942">
        <v>0</v>
      </c>
      <c r="I1942" s="29">
        <f t="shared" si="30"/>
        <v>398389</v>
      </c>
      <c r="J1942" t="str">
        <f>IFERROR(VLOOKUP(E1942,'LEAID Match'!$A$2:$B$168,2,FALSE),"")</f>
        <v/>
      </c>
    </row>
    <row r="1943" spans="1:10">
      <c r="A1943" s="27">
        <v>2018</v>
      </c>
      <c r="B1943" t="s">
        <v>1429</v>
      </c>
      <c r="C1943" t="s">
        <v>1431</v>
      </c>
      <c r="D1943" t="s">
        <v>1433</v>
      </c>
      <c r="E1943" t="s">
        <v>732</v>
      </c>
      <c r="F1943" s="9" t="s">
        <v>732</v>
      </c>
      <c r="G1943" s="18">
        <v>447399</v>
      </c>
      <c r="H1943">
        <v>0</v>
      </c>
      <c r="I1943" s="29">
        <f t="shared" si="30"/>
        <v>447399</v>
      </c>
      <c r="J1943" t="str">
        <f>IFERROR(VLOOKUP(E1943,'LEAID Match'!$A$2:$B$168,2,FALSE),"")</f>
        <v/>
      </c>
    </row>
    <row r="1944" spans="1:10">
      <c r="A1944">
        <v>2019</v>
      </c>
      <c r="B1944" t="s">
        <v>1429</v>
      </c>
      <c r="C1944" t="s">
        <v>1431</v>
      </c>
      <c r="D1944" t="s">
        <v>1433</v>
      </c>
      <c r="E1944" t="s">
        <v>732</v>
      </c>
      <c r="F1944" s="9" t="s">
        <v>732</v>
      </c>
      <c r="G1944" s="18">
        <v>463586</v>
      </c>
      <c r="H1944">
        <v>0</v>
      </c>
      <c r="I1944" s="29">
        <f t="shared" si="30"/>
        <v>463586</v>
      </c>
      <c r="J1944" t="str">
        <f>IFERROR(VLOOKUP(E1944,'LEAID Match'!$A$2:$B$168,2,FALSE),"")</f>
        <v/>
      </c>
    </row>
    <row r="1945" spans="1:10">
      <c r="A1945">
        <v>2015</v>
      </c>
      <c r="B1945" t="s">
        <v>1429</v>
      </c>
      <c r="C1945" t="s">
        <v>1431</v>
      </c>
      <c r="D1945" t="s">
        <v>1433</v>
      </c>
      <c r="E1945" t="s">
        <v>102</v>
      </c>
      <c r="F1945" s="9" t="s">
        <v>1205</v>
      </c>
      <c r="G1945" s="18">
        <v>756081.61</v>
      </c>
      <c r="H1945">
        <v>0</v>
      </c>
      <c r="I1945" s="29">
        <f t="shared" si="30"/>
        <v>756081.61</v>
      </c>
      <c r="J1945">
        <f>IFERROR(VLOOKUP(E1945,'LEAID Match'!$A$2:$B$168,2,FALSE),"")</f>
        <v>3304960</v>
      </c>
    </row>
    <row r="1946" spans="1:10">
      <c r="A1946">
        <v>2016</v>
      </c>
      <c r="B1946" t="s">
        <v>1429</v>
      </c>
      <c r="C1946" t="s">
        <v>1431</v>
      </c>
      <c r="D1946" t="s">
        <v>1433</v>
      </c>
      <c r="E1946" t="s">
        <v>102</v>
      </c>
      <c r="F1946" t="s">
        <v>733</v>
      </c>
      <c r="G1946" s="28">
        <v>779692</v>
      </c>
      <c r="H1946">
        <v>0</v>
      </c>
      <c r="I1946" s="29">
        <f t="shared" si="30"/>
        <v>779692</v>
      </c>
      <c r="J1946">
        <f>IFERROR(VLOOKUP(E1946,'LEAID Match'!$A$2:$B$168,2,FALSE),"")</f>
        <v>3304960</v>
      </c>
    </row>
    <row r="1947" spans="1:10">
      <c r="A1947">
        <v>2017</v>
      </c>
      <c r="B1947" t="s">
        <v>1429</v>
      </c>
      <c r="C1947" t="s">
        <v>1431</v>
      </c>
      <c r="D1947" t="s">
        <v>1433</v>
      </c>
      <c r="E1947" t="s">
        <v>102</v>
      </c>
      <c r="F1947" t="s">
        <v>733</v>
      </c>
      <c r="G1947" s="28">
        <v>796606</v>
      </c>
      <c r="H1947">
        <v>0</v>
      </c>
      <c r="I1947" s="29">
        <f t="shared" si="30"/>
        <v>796606</v>
      </c>
      <c r="J1947">
        <f>IFERROR(VLOOKUP(E1947,'LEAID Match'!$A$2:$B$168,2,FALSE),"")</f>
        <v>3304960</v>
      </c>
    </row>
    <row r="1948" spans="1:10">
      <c r="A1948" s="27">
        <v>2018</v>
      </c>
      <c r="B1948" t="s">
        <v>1429</v>
      </c>
      <c r="C1948" t="s">
        <v>1431</v>
      </c>
      <c r="D1948" t="s">
        <v>1433</v>
      </c>
      <c r="E1948" t="s">
        <v>102</v>
      </c>
      <c r="F1948" s="9" t="s">
        <v>733</v>
      </c>
      <c r="G1948" s="18">
        <v>937513</v>
      </c>
      <c r="H1948">
        <v>0</v>
      </c>
      <c r="I1948" s="29">
        <f t="shared" si="30"/>
        <v>937513</v>
      </c>
      <c r="J1948">
        <f>IFERROR(VLOOKUP(E1948,'LEAID Match'!$A$2:$B$168,2,FALSE),"")</f>
        <v>3304960</v>
      </c>
    </row>
    <row r="1949" spans="1:10">
      <c r="A1949">
        <v>2019</v>
      </c>
      <c r="B1949" t="s">
        <v>1429</v>
      </c>
      <c r="C1949" t="s">
        <v>1431</v>
      </c>
      <c r="D1949" t="s">
        <v>1433</v>
      </c>
      <c r="E1949" t="s">
        <v>102</v>
      </c>
      <c r="F1949" s="9" t="s">
        <v>733</v>
      </c>
      <c r="G1949" s="18">
        <v>999621</v>
      </c>
      <c r="H1949">
        <v>0</v>
      </c>
      <c r="I1949" s="29">
        <f t="shared" si="30"/>
        <v>999621</v>
      </c>
      <c r="J1949">
        <f>IFERROR(VLOOKUP(E1949,'LEAID Match'!$A$2:$B$168,2,FALSE),"")</f>
        <v>3304960</v>
      </c>
    </row>
    <row r="1950" spans="1:10">
      <c r="A1950" s="27">
        <v>2020</v>
      </c>
      <c r="B1950" t="s">
        <v>1429</v>
      </c>
      <c r="C1950" t="s">
        <v>1431</v>
      </c>
      <c r="D1950" t="s">
        <v>1433</v>
      </c>
      <c r="E1950" t="s">
        <v>102</v>
      </c>
      <c r="F1950" s="9" t="s">
        <v>102</v>
      </c>
      <c r="G1950" s="18">
        <v>1009637</v>
      </c>
      <c r="H1950">
        <v>0</v>
      </c>
      <c r="I1950" s="29">
        <f t="shared" si="30"/>
        <v>1009637</v>
      </c>
      <c r="J1950">
        <f>IFERROR(VLOOKUP(E1950,'LEAID Match'!$A$2:$B$168,2,FALSE),"")</f>
        <v>3304960</v>
      </c>
    </row>
    <row r="1951" spans="1:10">
      <c r="A1951">
        <v>2021</v>
      </c>
      <c r="B1951" t="s">
        <v>1429</v>
      </c>
      <c r="C1951" t="s">
        <v>1431</v>
      </c>
      <c r="D1951" t="s">
        <v>1433</v>
      </c>
      <c r="E1951" t="s">
        <v>102</v>
      </c>
      <c r="F1951" s="9" t="s">
        <v>102</v>
      </c>
      <c r="G1951" s="18">
        <v>1022760</v>
      </c>
      <c r="H1951">
        <v>0</v>
      </c>
      <c r="I1951" s="29">
        <f t="shared" si="30"/>
        <v>1022760</v>
      </c>
      <c r="J1951">
        <f>IFERROR(VLOOKUP(E1951,'LEAID Match'!$A$2:$B$168,2,FALSE),"")</f>
        <v>3304960</v>
      </c>
    </row>
    <row r="1952" spans="1:10">
      <c r="A1952">
        <v>2022</v>
      </c>
      <c r="B1952" t="s">
        <v>1429</v>
      </c>
      <c r="C1952" t="s">
        <v>1431</v>
      </c>
      <c r="D1952" t="s">
        <v>1433</v>
      </c>
      <c r="E1952" t="s">
        <v>102</v>
      </c>
      <c r="F1952" s="9" t="s">
        <v>102</v>
      </c>
      <c r="G1952" s="18">
        <v>1317641</v>
      </c>
      <c r="H1952">
        <v>0</v>
      </c>
      <c r="I1952" s="29">
        <f t="shared" si="30"/>
        <v>1317641</v>
      </c>
      <c r="J1952">
        <f>IFERROR(VLOOKUP(E1952,'LEAID Match'!$A$2:$B$168,2,FALSE),"")</f>
        <v>3304960</v>
      </c>
    </row>
    <row r="1953" spans="1:10">
      <c r="A1953">
        <v>2023</v>
      </c>
      <c r="B1953" t="s">
        <v>1429</v>
      </c>
      <c r="C1953" t="s">
        <v>1431</v>
      </c>
      <c r="D1953" t="s">
        <v>1433</v>
      </c>
      <c r="E1953" t="s">
        <v>102</v>
      </c>
      <c r="F1953" t="s">
        <v>102</v>
      </c>
      <c r="G1953" s="28">
        <v>1365070</v>
      </c>
      <c r="H1953">
        <v>0</v>
      </c>
      <c r="I1953" s="29">
        <f t="shared" si="30"/>
        <v>1365070</v>
      </c>
      <c r="J1953">
        <f>IFERROR(VLOOKUP(E1953,'LEAID Match'!$A$2:$B$168,2,FALSE),"")</f>
        <v>3304960</v>
      </c>
    </row>
    <row r="1954" spans="1:10">
      <c r="A1954">
        <v>2022</v>
      </c>
      <c r="B1954" t="s">
        <v>1429</v>
      </c>
      <c r="C1954" t="s">
        <v>1431</v>
      </c>
      <c r="D1954" t="s">
        <v>1433</v>
      </c>
      <c r="E1954" t="s">
        <v>103</v>
      </c>
      <c r="F1954" s="9" t="s">
        <v>103</v>
      </c>
      <c r="G1954" s="18">
        <v>2695</v>
      </c>
      <c r="H1954">
        <v>0</v>
      </c>
      <c r="I1954" s="29">
        <f t="shared" si="30"/>
        <v>2695</v>
      </c>
      <c r="J1954" t="str">
        <f>IFERROR(VLOOKUP(E1954,'LEAID Match'!$A$2:$B$168,2,FALSE),"")</f>
        <v/>
      </c>
    </row>
    <row r="1955" spans="1:10">
      <c r="A1955">
        <v>2023</v>
      </c>
      <c r="B1955" t="s">
        <v>1429</v>
      </c>
      <c r="C1955" t="s">
        <v>1431</v>
      </c>
      <c r="D1955" t="s">
        <v>1433</v>
      </c>
      <c r="E1955" t="s">
        <v>103</v>
      </c>
      <c r="F1955" t="s">
        <v>103</v>
      </c>
      <c r="G1955" s="28">
        <v>8528</v>
      </c>
      <c r="H1955">
        <v>0</v>
      </c>
      <c r="I1955" s="29">
        <f t="shared" si="30"/>
        <v>8528</v>
      </c>
      <c r="J1955" t="str">
        <f>IFERROR(VLOOKUP(E1955,'LEAID Match'!$A$2:$B$168,2,FALSE),"")</f>
        <v/>
      </c>
    </row>
    <row r="1956" spans="1:10">
      <c r="A1956">
        <v>2015</v>
      </c>
      <c r="B1956" t="s">
        <v>1429</v>
      </c>
      <c r="C1956" t="s">
        <v>1431</v>
      </c>
      <c r="D1956" t="s">
        <v>1433</v>
      </c>
      <c r="E1956" t="s">
        <v>734</v>
      </c>
      <c r="F1956" s="9" t="s">
        <v>1206</v>
      </c>
      <c r="G1956" s="18">
        <v>8226845.7800000003</v>
      </c>
      <c r="H1956">
        <v>0</v>
      </c>
      <c r="I1956" s="29">
        <f t="shared" si="30"/>
        <v>8226845.7800000003</v>
      </c>
      <c r="J1956" t="str">
        <f>IFERROR(VLOOKUP(E1956,'LEAID Match'!$A$2:$B$168,2,FALSE),"")</f>
        <v/>
      </c>
    </row>
    <row r="1957" spans="1:10">
      <c r="A1957">
        <v>2016</v>
      </c>
      <c r="B1957" t="s">
        <v>1429</v>
      </c>
      <c r="C1957" t="s">
        <v>1431</v>
      </c>
      <c r="D1957" t="s">
        <v>1433</v>
      </c>
      <c r="E1957" t="s">
        <v>734</v>
      </c>
      <c r="F1957" t="s">
        <v>734</v>
      </c>
      <c r="G1957" s="28">
        <v>8751860</v>
      </c>
      <c r="H1957">
        <v>0</v>
      </c>
      <c r="I1957" s="29">
        <f t="shared" si="30"/>
        <v>8751860</v>
      </c>
      <c r="J1957" t="str">
        <f>IFERROR(VLOOKUP(E1957,'LEAID Match'!$A$2:$B$168,2,FALSE),"")</f>
        <v/>
      </c>
    </row>
    <row r="1958" spans="1:10">
      <c r="A1958">
        <v>2017</v>
      </c>
      <c r="B1958" t="s">
        <v>1429</v>
      </c>
      <c r="C1958" t="s">
        <v>1431</v>
      </c>
      <c r="D1958" t="s">
        <v>1433</v>
      </c>
      <c r="E1958" t="s">
        <v>734</v>
      </c>
      <c r="F1958" t="s">
        <v>734</v>
      </c>
      <c r="G1958" s="28">
        <v>8898254</v>
      </c>
      <c r="H1958">
        <v>0</v>
      </c>
      <c r="I1958" s="29">
        <f t="shared" si="30"/>
        <v>8898254</v>
      </c>
      <c r="J1958" t="str">
        <f>IFERROR(VLOOKUP(E1958,'LEAID Match'!$A$2:$B$168,2,FALSE),"")</f>
        <v/>
      </c>
    </row>
    <row r="1959" spans="1:10">
      <c r="A1959" s="27">
        <v>2018</v>
      </c>
      <c r="B1959" t="s">
        <v>1429</v>
      </c>
      <c r="C1959" t="s">
        <v>1431</v>
      </c>
      <c r="D1959" t="s">
        <v>1433</v>
      </c>
      <c r="E1959" t="s">
        <v>734</v>
      </c>
      <c r="F1959" s="9" t="s">
        <v>734</v>
      </c>
      <c r="G1959" s="18">
        <v>10048534</v>
      </c>
      <c r="H1959">
        <v>0</v>
      </c>
      <c r="I1959" s="29">
        <f t="shared" si="30"/>
        <v>10048534</v>
      </c>
      <c r="J1959" t="str">
        <f>IFERROR(VLOOKUP(E1959,'LEAID Match'!$A$2:$B$168,2,FALSE),"")</f>
        <v/>
      </c>
    </row>
    <row r="1960" spans="1:10">
      <c r="A1960">
        <v>2019</v>
      </c>
      <c r="B1960" t="s">
        <v>1429</v>
      </c>
      <c r="C1960" t="s">
        <v>1431</v>
      </c>
      <c r="D1960" t="s">
        <v>1433</v>
      </c>
      <c r="E1960" t="s">
        <v>734</v>
      </c>
      <c r="F1960" s="9" t="s">
        <v>734</v>
      </c>
      <c r="G1960" s="18">
        <v>10264733</v>
      </c>
      <c r="H1960">
        <v>0</v>
      </c>
      <c r="I1960" s="29">
        <f t="shared" si="30"/>
        <v>10264733</v>
      </c>
      <c r="J1960" t="str">
        <f>IFERROR(VLOOKUP(E1960,'LEAID Match'!$A$2:$B$168,2,FALSE),"")</f>
        <v/>
      </c>
    </row>
    <row r="1961" spans="1:10">
      <c r="A1961">
        <v>2015</v>
      </c>
      <c r="B1961" t="s">
        <v>1429</v>
      </c>
      <c r="C1961" t="s">
        <v>1431</v>
      </c>
      <c r="D1961" t="s">
        <v>1433</v>
      </c>
      <c r="E1961" t="s">
        <v>104</v>
      </c>
      <c r="F1961" s="9" t="s">
        <v>1207</v>
      </c>
      <c r="G1961" s="18">
        <v>25743.57</v>
      </c>
      <c r="H1961">
        <v>0</v>
      </c>
      <c r="I1961" s="29">
        <f t="shared" si="30"/>
        <v>25743.57</v>
      </c>
      <c r="J1961" t="str">
        <f>IFERROR(VLOOKUP(E1961,'LEAID Match'!$A$2:$B$168,2,FALSE),"")</f>
        <v/>
      </c>
    </row>
    <row r="1962" spans="1:10">
      <c r="A1962">
        <v>2016</v>
      </c>
      <c r="B1962" t="s">
        <v>1429</v>
      </c>
      <c r="C1962" t="s">
        <v>1431</v>
      </c>
      <c r="D1962" t="s">
        <v>1433</v>
      </c>
      <c r="E1962" t="s">
        <v>104</v>
      </c>
      <c r="F1962" t="s">
        <v>735</v>
      </c>
      <c r="G1962" s="28">
        <v>15805</v>
      </c>
      <c r="H1962">
        <v>0</v>
      </c>
      <c r="I1962" s="29">
        <f t="shared" si="30"/>
        <v>15805</v>
      </c>
      <c r="J1962" t="str">
        <f>IFERROR(VLOOKUP(E1962,'LEAID Match'!$A$2:$B$168,2,FALSE),"")</f>
        <v/>
      </c>
    </row>
    <row r="1963" spans="1:10">
      <c r="A1963">
        <v>2017</v>
      </c>
      <c r="B1963" t="s">
        <v>1429</v>
      </c>
      <c r="C1963" t="s">
        <v>1431</v>
      </c>
      <c r="D1963" t="s">
        <v>1433</v>
      </c>
      <c r="E1963" t="s">
        <v>104</v>
      </c>
      <c r="F1963" t="s">
        <v>735</v>
      </c>
      <c r="G1963" s="28">
        <v>22720</v>
      </c>
      <c r="H1963">
        <v>0</v>
      </c>
      <c r="I1963" s="29">
        <f t="shared" si="30"/>
        <v>22720</v>
      </c>
      <c r="J1963" t="str">
        <f>IFERROR(VLOOKUP(E1963,'LEAID Match'!$A$2:$B$168,2,FALSE),"")</f>
        <v/>
      </c>
    </row>
    <row r="1964" spans="1:10">
      <c r="A1964" s="27">
        <v>2018</v>
      </c>
      <c r="B1964" t="s">
        <v>1429</v>
      </c>
      <c r="C1964" t="s">
        <v>1431</v>
      </c>
      <c r="D1964" t="s">
        <v>1433</v>
      </c>
      <c r="E1964" t="s">
        <v>104</v>
      </c>
      <c r="F1964" s="9" t="s">
        <v>735</v>
      </c>
      <c r="G1964" s="18">
        <v>26358</v>
      </c>
      <c r="H1964">
        <v>0</v>
      </c>
      <c r="I1964" s="29">
        <f t="shared" si="30"/>
        <v>26358</v>
      </c>
      <c r="J1964" t="str">
        <f>IFERROR(VLOOKUP(E1964,'LEAID Match'!$A$2:$B$168,2,FALSE),"")</f>
        <v/>
      </c>
    </row>
    <row r="1965" spans="1:10">
      <c r="A1965">
        <v>2019</v>
      </c>
      <c r="B1965" t="s">
        <v>1429</v>
      </c>
      <c r="C1965" t="s">
        <v>1431</v>
      </c>
      <c r="D1965" t="s">
        <v>1433</v>
      </c>
      <c r="E1965" t="s">
        <v>104</v>
      </c>
      <c r="F1965" s="9" t="s">
        <v>735</v>
      </c>
      <c r="G1965" s="18">
        <v>27386</v>
      </c>
      <c r="H1965">
        <v>0</v>
      </c>
      <c r="I1965" s="29">
        <f t="shared" si="30"/>
        <v>27386</v>
      </c>
      <c r="J1965" t="str">
        <f>IFERROR(VLOOKUP(E1965,'LEAID Match'!$A$2:$B$168,2,FALSE),"")</f>
        <v/>
      </c>
    </row>
    <row r="1966" spans="1:10">
      <c r="A1966" s="27">
        <v>2020</v>
      </c>
      <c r="B1966" t="s">
        <v>1429</v>
      </c>
      <c r="C1966" t="s">
        <v>1431</v>
      </c>
      <c r="D1966" t="s">
        <v>1433</v>
      </c>
      <c r="E1966" t="s">
        <v>104</v>
      </c>
      <c r="F1966" s="9" t="s">
        <v>104</v>
      </c>
      <c r="G1966" s="18">
        <v>28703</v>
      </c>
      <c r="H1966">
        <v>0</v>
      </c>
      <c r="I1966" s="29">
        <f t="shared" si="30"/>
        <v>28703</v>
      </c>
      <c r="J1966" t="str">
        <f>IFERROR(VLOOKUP(E1966,'LEAID Match'!$A$2:$B$168,2,FALSE),"")</f>
        <v/>
      </c>
    </row>
    <row r="1967" spans="1:10">
      <c r="A1967">
        <v>2021</v>
      </c>
      <c r="B1967" t="s">
        <v>1429</v>
      </c>
      <c r="C1967" t="s">
        <v>1431</v>
      </c>
      <c r="D1967" t="s">
        <v>1433</v>
      </c>
      <c r="E1967" t="s">
        <v>104</v>
      </c>
      <c r="F1967" s="9" t="s">
        <v>104</v>
      </c>
      <c r="G1967" s="18">
        <v>30550</v>
      </c>
      <c r="H1967">
        <v>0</v>
      </c>
      <c r="I1967" s="29">
        <f t="shared" si="30"/>
        <v>30550</v>
      </c>
      <c r="J1967" t="str">
        <f>IFERROR(VLOOKUP(E1967,'LEAID Match'!$A$2:$B$168,2,FALSE),"")</f>
        <v/>
      </c>
    </row>
    <row r="1968" spans="1:10">
      <c r="A1968">
        <v>2022</v>
      </c>
      <c r="B1968" t="s">
        <v>1429</v>
      </c>
      <c r="C1968" t="s">
        <v>1431</v>
      </c>
      <c r="D1968" t="s">
        <v>1433</v>
      </c>
      <c r="E1968" t="s">
        <v>104</v>
      </c>
      <c r="F1968" s="9" t="s">
        <v>104</v>
      </c>
      <c r="G1968" s="18">
        <v>42935</v>
      </c>
      <c r="H1968">
        <v>0</v>
      </c>
      <c r="I1968" s="29">
        <f t="shared" si="30"/>
        <v>42935</v>
      </c>
      <c r="J1968" t="str">
        <f>IFERROR(VLOOKUP(E1968,'LEAID Match'!$A$2:$B$168,2,FALSE),"")</f>
        <v/>
      </c>
    </row>
    <row r="1969" spans="1:10">
      <c r="A1969">
        <v>2023</v>
      </c>
      <c r="B1969" t="s">
        <v>1429</v>
      </c>
      <c r="C1969" t="s">
        <v>1431</v>
      </c>
      <c r="D1969" t="s">
        <v>1433</v>
      </c>
      <c r="E1969" t="s">
        <v>104</v>
      </c>
      <c r="F1969" t="s">
        <v>104</v>
      </c>
      <c r="G1969" s="28">
        <v>44376</v>
      </c>
      <c r="H1969">
        <v>0</v>
      </c>
      <c r="I1969" s="29">
        <f t="shared" si="30"/>
        <v>44376</v>
      </c>
      <c r="J1969" t="str">
        <f>IFERROR(VLOOKUP(E1969,'LEAID Match'!$A$2:$B$168,2,FALSE),"")</f>
        <v/>
      </c>
    </row>
    <row r="1970" spans="1:10">
      <c r="A1970">
        <v>2015</v>
      </c>
      <c r="B1970" t="s">
        <v>1429</v>
      </c>
      <c r="C1970" t="s">
        <v>1431</v>
      </c>
      <c r="D1970" t="s">
        <v>1433</v>
      </c>
      <c r="E1970" t="s">
        <v>936</v>
      </c>
      <c r="F1970" s="9" t="s">
        <v>1208</v>
      </c>
      <c r="G1970" s="18">
        <v>118276.27</v>
      </c>
      <c r="H1970">
        <v>0</v>
      </c>
      <c r="I1970" s="29">
        <f t="shared" si="30"/>
        <v>118276.27</v>
      </c>
      <c r="J1970" t="str">
        <f>IFERROR(VLOOKUP(E1970,'LEAID Match'!$A$2:$B$168,2,FALSE),"")</f>
        <v/>
      </c>
    </row>
    <row r="1971" spans="1:10">
      <c r="A1971">
        <v>2016</v>
      </c>
      <c r="B1971" t="s">
        <v>1429</v>
      </c>
      <c r="C1971" t="s">
        <v>1431</v>
      </c>
      <c r="D1971" t="s">
        <v>1433</v>
      </c>
      <c r="E1971" t="s">
        <v>936</v>
      </c>
      <c r="F1971" t="s">
        <v>936</v>
      </c>
      <c r="G1971" s="28">
        <v>119760</v>
      </c>
      <c r="H1971">
        <v>0</v>
      </c>
      <c r="I1971" s="29">
        <f t="shared" si="30"/>
        <v>119760</v>
      </c>
      <c r="J1971" t="str">
        <f>IFERROR(VLOOKUP(E1971,'LEAID Match'!$A$2:$B$168,2,FALSE),"")</f>
        <v/>
      </c>
    </row>
    <row r="1972" spans="1:10">
      <c r="A1972">
        <v>2017</v>
      </c>
      <c r="B1972" t="s">
        <v>1429</v>
      </c>
      <c r="C1972" t="s">
        <v>1431</v>
      </c>
      <c r="D1972" t="s">
        <v>1433</v>
      </c>
      <c r="E1972" t="s">
        <v>936</v>
      </c>
      <c r="F1972" t="s">
        <v>936</v>
      </c>
      <c r="G1972" s="28">
        <v>128422</v>
      </c>
      <c r="H1972">
        <v>0</v>
      </c>
      <c r="I1972" s="29">
        <f t="shared" si="30"/>
        <v>128422</v>
      </c>
      <c r="J1972" t="str">
        <f>IFERROR(VLOOKUP(E1972,'LEAID Match'!$A$2:$B$168,2,FALSE),"")</f>
        <v/>
      </c>
    </row>
    <row r="1973" spans="1:10">
      <c r="A1973" s="27">
        <v>2018</v>
      </c>
      <c r="B1973" t="s">
        <v>1429</v>
      </c>
      <c r="C1973" t="s">
        <v>1431</v>
      </c>
      <c r="D1973" t="s">
        <v>1433</v>
      </c>
      <c r="E1973" t="s">
        <v>936</v>
      </c>
      <c r="F1973" s="9" t="s">
        <v>105</v>
      </c>
      <c r="G1973" s="18">
        <v>137687</v>
      </c>
      <c r="H1973">
        <v>0</v>
      </c>
      <c r="I1973" s="29">
        <f t="shared" si="30"/>
        <v>137687</v>
      </c>
      <c r="J1973" t="str">
        <f>IFERROR(VLOOKUP(E1973,'LEAID Match'!$A$2:$B$168,2,FALSE),"")</f>
        <v/>
      </c>
    </row>
    <row r="1974" spans="1:10">
      <c r="A1974">
        <v>2019</v>
      </c>
      <c r="B1974" t="s">
        <v>1429</v>
      </c>
      <c r="C1974" t="s">
        <v>1431</v>
      </c>
      <c r="D1974" t="s">
        <v>1433</v>
      </c>
      <c r="E1974" t="s">
        <v>936</v>
      </c>
      <c r="F1974" s="9" t="s">
        <v>105</v>
      </c>
      <c r="G1974" s="18">
        <v>137433</v>
      </c>
      <c r="H1974">
        <v>0</v>
      </c>
      <c r="I1974" s="29">
        <f t="shared" si="30"/>
        <v>137433</v>
      </c>
      <c r="J1974" t="str">
        <f>IFERROR(VLOOKUP(E1974,'LEAID Match'!$A$2:$B$168,2,FALSE),"")</f>
        <v/>
      </c>
    </row>
    <row r="1975" spans="1:10">
      <c r="A1975" s="27">
        <v>2020</v>
      </c>
      <c r="B1975" t="s">
        <v>1429</v>
      </c>
      <c r="C1975" t="s">
        <v>1431</v>
      </c>
      <c r="D1975" t="s">
        <v>1433</v>
      </c>
      <c r="E1975" t="s">
        <v>936</v>
      </c>
      <c r="F1975" s="9" t="s">
        <v>105</v>
      </c>
      <c r="G1975" s="18">
        <v>140917</v>
      </c>
      <c r="H1975">
        <v>0</v>
      </c>
      <c r="I1975" s="29">
        <f t="shared" si="30"/>
        <v>140917</v>
      </c>
      <c r="J1975" t="str">
        <f>IFERROR(VLOOKUP(E1975,'LEAID Match'!$A$2:$B$168,2,FALSE),"")</f>
        <v/>
      </c>
    </row>
    <row r="1976" spans="1:10">
      <c r="A1976">
        <v>2021</v>
      </c>
      <c r="B1976" t="s">
        <v>1429</v>
      </c>
      <c r="C1976" t="s">
        <v>1431</v>
      </c>
      <c r="D1976" t="s">
        <v>1433</v>
      </c>
      <c r="E1976" t="s">
        <v>936</v>
      </c>
      <c r="F1976" s="9" t="s">
        <v>105</v>
      </c>
      <c r="G1976" s="18">
        <v>151397</v>
      </c>
      <c r="H1976">
        <v>0</v>
      </c>
      <c r="I1976" s="29">
        <f t="shared" si="30"/>
        <v>151397</v>
      </c>
      <c r="J1976" t="str">
        <f>IFERROR(VLOOKUP(E1976,'LEAID Match'!$A$2:$B$168,2,FALSE),"")</f>
        <v/>
      </c>
    </row>
    <row r="1977" spans="1:10">
      <c r="A1977">
        <v>2022</v>
      </c>
      <c r="B1977" t="s">
        <v>1429</v>
      </c>
      <c r="C1977" t="s">
        <v>1431</v>
      </c>
      <c r="D1977" t="s">
        <v>1433</v>
      </c>
      <c r="E1977" t="s">
        <v>936</v>
      </c>
      <c r="F1977" s="9" t="s">
        <v>105</v>
      </c>
      <c r="G1977" s="18">
        <v>203085</v>
      </c>
      <c r="H1977">
        <v>0</v>
      </c>
      <c r="I1977" s="29">
        <f t="shared" si="30"/>
        <v>203085</v>
      </c>
      <c r="J1977" t="str">
        <f>IFERROR(VLOOKUP(E1977,'LEAID Match'!$A$2:$B$168,2,FALSE),"")</f>
        <v/>
      </c>
    </row>
    <row r="1978" spans="1:10">
      <c r="A1978">
        <v>2023</v>
      </c>
      <c r="B1978" t="s">
        <v>1429</v>
      </c>
      <c r="C1978" t="s">
        <v>1431</v>
      </c>
      <c r="D1978" t="s">
        <v>1433</v>
      </c>
      <c r="E1978" t="s">
        <v>936</v>
      </c>
      <c r="F1978" t="s">
        <v>105</v>
      </c>
      <c r="G1978" s="28">
        <v>210561</v>
      </c>
      <c r="H1978">
        <v>0</v>
      </c>
      <c r="I1978" s="29">
        <f t="shared" si="30"/>
        <v>210561</v>
      </c>
      <c r="J1978" t="str">
        <f>IFERROR(VLOOKUP(E1978,'LEAID Match'!$A$2:$B$168,2,FALSE),"")</f>
        <v/>
      </c>
    </row>
    <row r="1979" spans="1:10">
      <c r="A1979">
        <v>2015</v>
      </c>
      <c r="B1979" t="s">
        <v>1429</v>
      </c>
      <c r="C1979" t="s">
        <v>1431</v>
      </c>
      <c r="D1979" t="s">
        <v>1433</v>
      </c>
      <c r="E1979" t="s">
        <v>736</v>
      </c>
      <c r="F1979" s="9" t="s">
        <v>1209</v>
      </c>
      <c r="G1979" s="18">
        <v>17200.25</v>
      </c>
      <c r="H1979">
        <v>0</v>
      </c>
      <c r="I1979" s="29">
        <f t="shared" si="30"/>
        <v>17200.25</v>
      </c>
      <c r="J1979" t="str">
        <f>IFERROR(VLOOKUP(E1979,'LEAID Match'!$A$2:$B$168,2,FALSE),"")</f>
        <v/>
      </c>
    </row>
    <row r="1980" spans="1:10">
      <c r="A1980">
        <v>2016</v>
      </c>
      <c r="B1980" t="s">
        <v>1429</v>
      </c>
      <c r="C1980" t="s">
        <v>1431</v>
      </c>
      <c r="D1980" t="s">
        <v>1433</v>
      </c>
      <c r="E1980" t="s">
        <v>736</v>
      </c>
      <c r="F1980" t="s">
        <v>736</v>
      </c>
      <c r="G1980" s="28">
        <v>18360</v>
      </c>
      <c r="H1980">
        <v>0</v>
      </c>
      <c r="I1980" s="29">
        <f t="shared" si="30"/>
        <v>18360</v>
      </c>
      <c r="J1980" t="str">
        <f>IFERROR(VLOOKUP(E1980,'LEAID Match'!$A$2:$B$168,2,FALSE),"")</f>
        <v/>
      </c>
    </row>
    <row r="1981" spans="1:10">
      <c r="A1981">
        <v>2017</v>
      </c>
      <c r="B1981" t="s">
        <v>1429</v>
      </c>
      <c r="C1981" t="s">
        <v>1431</v>
      </c>
      <c r="D1981" t="s">
        <v>1433</v>
      </c>
      <c r="E1981" t="s">
        <v>736</v>
      </c>
      <c r="F1981" t="s">
        <v>736</v>
      </c>
      <c r="G1981" s="28">
        <v>19205</v>
      </c>
      <c r="H1981">
        <v>0</v>
      </c>
      <c r="I1981" s="29">
        <f t="shared" si="30"/>
        <v>19205</v>
      </c>
      <c r="J1981" t="str">
        <f>IFERROR(VLOOKUP(E1981,'LEAID Match'!$A$2:$B$168,2,FALSE),"")</f>
        <v/>
      </c>
    </row>
    <row r="1982" spans="1:10">
      <c r="A1982" s="27">
        <v>2018</v>
      </c>
      <c r="B1982" t="s">
        <v>1429</v>
      </c>
      <c r="C1982" t="s">
        <v>1431</v>
      </c>
      <c r="D1982" t="s">
        <v>1433</v>
      </c>
      <c r="E1982" t="s">
        <v>736</v>
      </c>
      <c r="F1982" s="9" t="s">
        <v>736</v>
      </c>
      <c r="G1982" s="18">
        <v>10257</v>
      </c>
      <c r="H1982">
        <v>0</v>
      </c>
      <c r="I1982" s="29">
        <f t="shared" si="30"/>
        <v>10257</v>
      </c>
      <c r="J1982" t="str">
        <f>IFERROR(VLOOKUP(E1982,'LEAID Match'!$A$2:$B$168,2,FALSE),"")</f>
        <v/>
      </c>
    </row>
    <row r="1983" spans="1:10">
      <c r="A1983">
        <v>2019</v>
      </c>
      <c r="B1983" t="s">
        <v>1429</v>
      </c>
      <c r="C1983" t="s">
        <v>1431</v>
      </c>
      <c r="D1983" t="s">
        <v>1433</v>
      </c>
      <c r="E1983" t="s">
        <v>736</v>
      </c>
      <c r="F1983" s="9" t="s">
        <v>736</v>
      </c>
      <c r="G1983" s="18"/>
      <c r="H1983">
        <v>0</v>
      </c>
      <c r="I1983" s="29">
        <f t="shared" si="30"/>
        <v>0</v>
      </c>
      <c r="J1983" t="str">
        <f>IFERROR(VLOOKUP(E1983,'LEAID Match'!$A$2:$B$168,2,FALSE),"")</f>
        <v/>
      </c>
    </row>
    <row r="1984" spans="1:10">
      <c r="A1984" s="27">
        <v>2020</v>
      </c>
      <c r="B1984" t="s">
        <v>1429</v>
      </c>
      <c r="C1984" t="s">
        <v>1431</v>
      </c>
      <c r="D1984" t="s">
        <v>1433</v>
      </c>
      <c r="E1984" t="s">
        <v>479</v>
      </c>
      <c r="F1984" s="9" t="s">
        <v>479</v>
      </c>
      <c r="G1984" s="18"/>
      <c r="H1984">
        <v>0</v>
      </c>
      <c r="I1984" s="29">
        <f t="shared" si="30"/>
        <v>0</v>
      </c>
      <c r="J1984" t="str">
        <f>IFERROR(VLOOKUP(E1984,'LEAID Match'!$A$2:$B$168,2,FALSE),"")</f>
        <v/>
      </c>
    </row>
    <row r="1985" spans="1:10">
      <c r="A1985">
        <v>2021</v>
      </c>
      <c r="B1985" t="s">
        <v>1429</v>
      </c>
      <c r="C1985" t="s">
        <v>1431</v>
      </c>
      <c r="D1985" t="s">
        <v>1433</v>
      </c>
      <c r="E1985" t="s">
        <v>479</v>
      </c>
      <c r="F1985" s="9" t="s">
        <v>479</v>
      </c>
      <c r="G1985" s="18"/>
      <c r="H1985">
        <v>0</v>
      </c>
      <c r="I1985" s="29">
        <f t="shared" si="30"/>
        <v>0</v>
      </c>
      <c r="J1985" t="str">
        <f>IFERROR(VLOOKUP(E1985,'LEAID Match'!$A$2:$B$168,2,FALSE),"")</f>
        <v/>
      </c>
    </row>
    <row r="1986" spans="1:10">
      <c r="A1986">
        <v>2015</v>
      </c>
      <c r="B1986" t="s">
        <v>1429</v>
      </c>
      <c r="C1986" t="s">
        <v>1431</v>
      </c>
      <c r="D1986" t="s">
        <v>1433</v>
      </c>
      <c r="E1986" t="s">
        <v>737</v>
      </c>
      <c r="F1986" s="9" t="s">
        <v>1210</v>
      </c>
      <c r="G1986" s="18">
        <v>16472.5</v>
      </c>
      <c r="H1986">
        <v>0</v>
      </c>
      <c r="I1986" s="29">
        <f t="shared" si="30"/>
        <v>16472.5</v>
      </c>
      <c r="J1986" t="str">
        <f>IFERROR(VLOOKUP(E1986,'LEAID Match'!$A$2:$B$168,2,FALSE),"")</f>
        <v/>
      </c>
    </row>
    <row r="1987" spans="1:10">
      <c r="A1987">
        <v>2016</v>
      </c>
      <c r="B1987" t="s">
        <v>1429</v>
      </c>
      <c r="C1987" t="s">
        <v>1431</v>
      </c>
      <c r="D1987" t="s">
        <v>1433</v>
      </c>
      <c r="E1987" t="s">
        <v>737</v>
      </c>
      <c r="F1987" t="s">
        <v>737</v>
      </c>
      <c r="G1987" s="28">
        <v>16062</v>
      </c>
      <c r="H1987">
        <v>0</v>
      </c>
      <c r="I1987" s="29">
        <f t="shared" ref="I1987:I2050" si="31">SUM(G1987:H1987)</f>
        <v>16062</v>
      </c>
      <c r="J1987" t="str">
        <f>IFERROR(VLOOKUP(E1987,'LEAID Match'!$A$2:$B$168,2,FALSE),"")</f>
        <v/>
      </c>
    </row>
    <row r="1988" spans="1:10">
      <c r="A1988">
        <v>2017</v>
      </c>
      <c r="B1988" t="s">
        <v>1429</v>
      </c>
      <c r="C1988" t="s">
        <v>1431</v>
      </c>
      <c r="D1988" t="s">
        <v>1433</v>
      </c>
      <c r="E1988" t="s">
        <v>737</v>
      </c>
      <c r="F1988" t="s">
        <v>737</v>
      </c>
      <c r="G1988" s="28">
        <v>16933</v>
      </c>
      <c r="H1988">
        <v>0</v>
      </c>
      <c r="I1988" s="29">
        <f t="shared" si="31"/>
        <v>16933</v>
      </c>
      <c r="J1988" t="str">
        <f>IFERROR(VLOOKUP(E1988,'LEAID Match'!$A$2:$B$168,2,FALSE),"")</f>
        <v/>
      </c>
    </row>
    <row r="1989" spans="1:10">
      <c r="A1989" s="27">
        <v>2018</v>
      </c>
      <c r="B1989" t="s">
        <v>1429</v>
      </c>
      <c r="C1989" t="s">
        <v>1431</v>
      </c>
      <c r="D1989" t="s">
        <v>1433</v>
      </c>
      <c r="E1989" t="s">
        <v>737</v>
      </c>
      <c r="F1989" s="9" t="s">
        <v>737</v>
      </c>
      <c r="G1989" s="18">
        <v>18615</v>
      </c>
      <c r="H1989">
        <v>0</v>
      </c>
      <c r="I1989" s="29">
        <f t="shared" si="31"/>
        <v>18615</v>
      </c>
      <c r="J1989" t="str">
        <f>IFERROR(VLOOKUP(E1989,'LEAID Match'!$A$2:$B$168,2,FALSE),"")</f>
        <v/>
      </c>
    </row>
    <row r="1990" spans="1:10">
      <c r="A1990">
        <v>2019</v>
      </c>
      <c r="B1990" t="s">
        <v>1429</v>
      </c>
      <c r="C1990" t="s">
        <v>1431</v>
      </c>
      <c r="D1990" t="s">
        <v>1433</v>
      </c>
      <c r="E1990" t="s">
        <v>737</v>
      </c>
      <c r="F1990" s="9" t="s">
        <v>737</v>
      </c>
      <c r="G1990" s="18">
        <v>18704</v>
      </c>
      <c r="H1990">
        <v>0</v>
      </c>
      <c r="I1990" s="29">
        <f t="shared" si="31"/>
        <v>18704</v>
      </c>
      <c r="J1990" t="str">
        <f>IFERROR(VLOOKUP(E1990,'LEAID Match'!$A$2:$B$168,2,FALSE),"")</f>
        <v/>
      </c>
    </row>
    <row r="1991" spans="1:10">
      <c r="A1991">
        <v>2015</v>
      </c>
      <c r="B1991" t="s">
        <v>1429</v>
      </c>
      <c r="C1991" t="s">
        <v>1431</v>
      </c>
      <c r="D1991" t="s">
        <v>1433</v>
      </c>
      <c r="E1991" t="s">
        <v>106</v>
      </c>
      <c r="F1991" s="9" t="s">
        <v>1211</v>
      </c>
      <c r="G1991" s="18">
        <v>31793.37</v>
      </c>
      <c r="H1991">
        <v>0</v>
      </c>
      <c r="I1991" s="29">
        <f t="shared" si="31"/>
        <v>31793.37</v>
      </c>
      <c r="J1991">
        <f>IFERROR(VLOOKUP(E1991,'LEAID Match'!$A$2:$B$168,2,FALSE),"")</f>
        <v>3305010</v>
      </c>
    </row>
    <row r="1992" spans="1:10">
      <c r="A1992">
        <v>2016</v>
      </c>
      <c r="B1992" t="s">
        <v>1429</v>
      </c>
      <c r="C1992" t="s">
        <v>1431</v>
      </c>
      <c r="D1992" t="s">
        <v>1433</v>
      </c>
      <c r="E1992" t="s">
        <v>106</v>
      </c>
      <c r="F1992" t="s">
        <v>738</v>
      </c>
      <c r="G1992" s="28">
        <v>43669</v>
      </c>
      <c r="H1992">
        <v>0</v>
      </c>
      <c r="I1992" s="29">
        <f t="shared" si="31"/>
        <v>43669</v>
      </c>
      <c r="J1992">
        <f>IFERROR(VLOOKUP(E1992,'LEAID Match'!$A$2:$B$168,2,FALSE),"")</f>
        <v>3305010</v>
      </c>
    </row>
    <row r="1993" spans="1:10">
      <c r="A1993">
        <v>2017</v>
      </c>
      <c r="B1993" t="s">
        <v>1429</v>
      </c>
      <c r="C1993" t="s">
        <v>1431</v>
      </c>
      <c r="D1993" t="s">
        <v>1433</v>
      </c>
      <c r="E1993" t="s">
        <v>106</v>
      </c>
      <c r="F1993" t="s">
        <v>738</v>
      </c>
      <c r="G1993" s="28">
        <v>44756</v>
      </c>
      <c r="H1993">
        <v>0</v>
      </c>
      <c r="I1993" s="29">
        <f t="shared" si="31"/>
        <v>44756</v>
      </c>
      <c r="J1993">
        <f>IFERROR(VLOOKUP(E1993,'LEAID Match'!$A$2:$B$168,2,FALSE),"")</f>
        <v>3305010</v>
      </c>
    </row>
    <row r="1994" spans="1:10">
      <c r="A1994" s="27">
        <v>2018</v>
      </c>
      <c r="B1994" t="s">
        <v>1429</v>
      </c>
      <c r="C1994" t="s">
        <v>1431</v>
      </c>
      <c r="D1994" t="s">
        <v>1433</v>
      </c>
      <c r="E1994" t="s">
        <v>106</v>
      </c>
      <c r="F1994" s="9" t="s">
        <v>738</v>
      </c>
      <c r="G1994" s="18">
        <v>55029</v>
      </c>
      <c r="H1994">
        <v>0</v>
      </c>
      <c r="I1994" s="29">
        <f t="shared" si="31"/>
        <v>55029</v>
      </c>
      <c r="J1994">
        <f>IFERROR(VLOOKUP(E1994,'LEAID Match'!$A$2:$B$168,2,FALSE),"")</f>
        <v>3305010</v>
      </c>
    </row>
    <row r="1995" spans="1:10">
      <c r="A1995">
        <v>2019</v>
      </c>
      <c r="B1995" t="s">
        <v>1429</v>
      </c>
      <c r="C1995" t="s">
        <v>1431</v>
      </c>
      <c r="D1995" t="s">
        <v>1433</v>
      </c>
      <c r="E1995" t="s">
        <v>106</v>
      </c>
      <c r="F1995" s="9" t="s">
        <v>738</v>
      </c>
      <c r="G1995" s="18">
        <v>63097</v>
      </c>
      <c r="H1995">
        <v>0</v>
      </c>
      <c r="I1995" s="29">
        <f t="shared" si="31"/>
        <v>63097</v>
      </c>
      <c r="J1995">
        <f>IFERROR(VLOOKUP(E1995,'LEAID Match'!$A$2:$B$168,2,FALSE),"")</f>
        <v>3305010</v>
      </c>
    </row>
    <row r="1996" spans="1:10">
      <c r="A1996" s="27">
        <v>2020</v>
      </c>
      <c r="B1996" t="s">
        <v>1429</v>
      </c>
      <c r="C1996" t="s">
        <v>1431</v>
      </c>
      <c r="D1996" t="s">
        <v>1433</v>
      </c>
      <c r="E1996" t="s">
        <v>106</v>
      </c>
      <c r="F1996" s="9" t="s">
        <v>106</v>
      </c>
      <c r="G1996" s="18">
        <v>64051</v>
      </c>
      <c r="H1996">
        <v>0</v>
      </c>
      <c r="I1996" s="29">
        <f t="shared" si="31"/>
        <v>64051</v>
      </c>
      <c r="J1996">
        <f>IFERROR(VLOOKUP(E1996,'LEAID Match'!$A$2:$B$168,2,FALSE),"")</f>
        <v>3305010</v>
      </c>
    </row>
    <row r="1997" spans="1:10">
      <c r="A1997">
        <v>2021</v>
      </c>
      <c r="B1997" t="s">
        <v>1429</v>
      </c>
      <c r="C1997" t="s">
        <v>1431</v>
      </c>
      <c r="D1997" t="s">
        <v>1433</v>
      </c>
      <c r="E1997" t="s">
        <v>106</v>
      </c>
      <c r="F1997" s="9" t="s">
        <v>106</v>
      </c>
      <c r="G1997" s="18">
        <v>71064</v>
      </c>
      <c r="H1997">
        <v>0</v>
      </c>
      <c r="I1997" s="29">
        <f t="shared" si="31"/>
        <v>71064</v>
      </c>
      <c r="J1997">
        <f>IFERROR(VLOOKUP(E1997,'LEAID Match'!$A$2:$B$168,2,FALSE),"")</f>
        <v>3305010</v>
      </c>
    </row>
    <row r="1998" spans="1:10">
      <c r="A1998">
        <v>2022</v>
      </c>
      <c r="B1998" t="s">
        <v>1429</v>
      </c>
      <c r="C1998" t="s">
        <v>1431</v>
      </c>
      <c r="D1998" t="s">
        <v>1433</v>
      </c>
      <c r="E1998" t="s">
        <v>106</v>
      </c>
      <c r="F1998" s="9" t="s">
        <v>106</v>
      </c>
      <c r="G1998" s="18">
        <v>92163</v>
      </c>
      <c r="H1998">
        <v>0</v>
      </c>
      <c r="I1998" s="29">
        <f t="shared" si="31"/>
        <v>92163</v>
      </c>
      <c r="J1998">
        <f>IFERROR(VLOOKUP(E1998,'LEAID Match'!$A$2:$B$168,2,FALSE),"")</f>
        <v>3305010</v>
      </c>
    </row>
    <row r="1999" spans="1:10">
      <c r="A1999">
        <v>2023</v>
      </c>
      <c r="B1999" t="s">
        <v>1429</v>
      </c>
      <c r="C1999" t="s">
        <v>1431</v>
      </c>
      <c r="D1999" t="s">
        <v>1433</v>
      </c>
      <c r="E1999" t="s">
        <v>106</v>
      </c>
      <c r="F1999" t="s">
        <v>106</v>
      </c>
      <c r="G1999" s="28">
        <v>84834</v>
      </c>
      <c r="H1999">
        <v>0</v>
      </c>
      <c r="I1999" s="29">
        <f t="shared" si="31"/>
        <v>84834</v>
      </c>
      <c r="J1999">
        <f>IFERROR(VLOOKUP(E1999,'LEAID Match'!$A$2:$B$168,2,FALSE),"")</f>
        <v>3305010</v>
      </c>
    </row>
    <row r="2000" spans="1:10">
      <c r="A2000">
        <v>2015</v>
      </c>
      <c r="B2000" t="s">
        <v>1429</v>
      </c>
      <c r="C2000" t="s">
        <v>1431</v>
      </c>
      <c r="D2000" t="s">
        <v>1433</v>
      </c>
      <c r="E2000" t="s">
        <v>739</v>
      </c>
      <c r="F2000" s="9" t="s">
        <v>1212</v>
      </c>
      <c r="G2000" s="18">
        <v>73324.89</v>
      </c>
      <c r="H2000">
        <v>0</v>
      </c>
      <c r="I2000" s="29">
        <f t="shared" si="31"/>
        <v>73324.89</v>
      </c>
      <c r="J2000" t="str">
        <f>IFERROR(VLOOKUP(E2000,'LEAID Match'!$A$2:$B$168,2,FALSE),"")</f>
        <v/>
      </c>
    </row>
    <row r="2001" spans="1:10">
      <c r="A2001">
        <v>2016</v>
      </c>
      <c r="B2001" t="s">
        <v>1429</v>
      </c>
      <c r="C2001" t="s">
        <v>1431</v>
      </c>
      <c r="D2001" t="s">
        <v>1433</v>
      </c>
      <c r="E2001" t="s">
        <v>739</v>
      </c>
      <c r="F2001" t="s">
        <v>739</v>
      </c>
      <c r="G2001" s="28">
        <v>76101</v>
      </c>
      <c r="H2001">
        <v>0</v>
      </c>
      <c r="I2001" s="29">
        <f t="shared" si="31"/>
        <v>76101</v>
      </c>
      <c r="J2001" t="str">
        <f>IFERROR(VLOOKUP(E2001,'LEAID Match'!$A$2:$B$168,2,FALSE),"")</f>
        <v/>
      </c>
    </row>
    <row r="2002" spans="1:10">
      <c r="A2002">
        <v>2017</v>
      </c>
      <c r="B2002" t="s">
        <v>1429</v>
      </c>
      <c r="C2002" t="s">
        <v>1431</v>
      </c>
      <c r="D2002" t="s">
        <v>1433</v>
      </c>
      <c r="E2002" t="s">
        <v>739</v>
      </c>
      <c r="F2002" t="s">
        <v>739</v>
      </c>
      <c r="G2002" s="28">
        <v>91422</v>
      </c>
      <c r="H2002">
        <v>0</v>
      </c>
      <c r="I2002" s="29">
        <f t="shared" si="31"/>
        <v>91422</v>
      </c>
      <c r="J2002" t="str">
        <f>IFERROR(VLOOKUP(E2002,'LEAID Match'!$A$2:$B$168,2,FALSE),"")</f>
        <v/>
      </c>
    </row>
    <row r="2003" spans="1:10">
      <c r="A2003" s="27">
        <v>2018</v>
      </c>
      <c r="B2003" t="s">
        <v>1429</v>
      </c>
      <c r="C2003" t="s">
        <v>1431</v>
      </c>
      <c r="D2003" t="s">
        <v>1433</v>
      </c>
      <c r="E2003" t="s">
        <v>739</v>
      </c>
      <c r="F2003" s="9" t="s">
        <v>739</v>
      </c>
      <c r="G2003" s="18">
        <v>121444</v>
      </c>
      <c r="H2003">
        <v>0</v>
      </c>
      <c r="I2003" s="29">
        <f t="shared" si="31"/>
        <v>121444</v>
      </c>
      <c r="J2003" t="str">
        <f>IFERROR(VLOOKUP(E2003,'LEAID Match'!$A$2:$B$168,2,FALSE),"")</f>
        <v/>
      </c>
    </row>
    <row r="2004" spans="1:10">
      <c r="A2004">
        <v>2019</v>
      </c>
      <c r="B2004" t="s">
        <v>1429</v>
      </c>
      <c r="C2004" t="s">
        <v>1431</v>
      </c>
      <c r="D2004" t="s">
        <v>1433</v>
      </c>
      <c r="E2004" t="s">
        <v>739</v>
      </c>
      <c r="F2004" s="9" t="s">
        <v>739</v>
      </c>
      <c r="G2004" s="18">
        <v>131976</v>
      </c>
      <c r="H2004">
        <v>0</v>
      </c>
      <c r="I2004" s="29">
        <f t="shared" si="31"/>
        <v>131976</v>
      </c>
      <c r="J2004" t="str">
        <f>IFERROR(VLOOKUP(E2004,'LEAID Match'!$A$2:$B$168,2,FALSE),"")</f>
        <v/>
      </c>
    </row>
    <row r="2005" spans="1:10">
      <c r="A2005">
        <v>2015</v>
      </c>
      <c r="B2005" t="s">
        <v>1429</v>
      </c>
      <c r="C2005" t="s">
        <v>1431</v>
      </c>
      <c r="D2005" t="s">
        <v>1433</v>
      </c>
      <c r="E2005" t="s">
        <v>107</v>
      </c>
      <c r="F2005" s="9" t="s">
        <v>1213</v>
      </c>
      <c r="G2005" s="18">
        <v>377763.09</v>
      </c>
      <c r="H2005">
        <v>0</v>
      </c>
      <c r="I2005" s="29">
        <f t="shared" si="31"/>
        <v>377763.09</v>
      </c>
      <c r="J2005">
        <f>IFERROR(VLOOKUP(E2005,'LEAID Match'!$A$2:$B$168,2,FALSE),"")</f>
        <v>3305040</v>
      </c>
    </row>
    <row r="2006" spans="1:10">
      <c r="A2006">
        <v>2016</v>
      </c>
      <c r="B2006" t="s">
        <v>1429</v>
      </c>
      <c r="C2006" t="s">
        <v>1431</v>
      </c>
      <c r="D2006" t="s">
        <v>1433</v>
      </c>
      <c r="E2006" t="s">
        <v>107</v>
      </c>
      <c r="F2006" t="s">
        <v>740</v>
      </c>
      <c r="G2006" s="28">
        <v>413165</v>
      </c>
      <c r="H2006">
        <v>0</v>
      </c>
      <c r="I2006" s="29">
        <f t="shared" si="31"/>
        <v>413165</v>
      </c>
      <c r="J2006">
        <f>IFERROR(VLOOKUP(E2006,'LEAID Match'!$A$2:$B$168,2,FALSE),"")</f>
        <v>3305040</v>
      </c>
    </row>
    <row r="2007" spans="1:10">
      <c r="A2007">
        <v>2017</v>
      </c>
      <c r="B2007" t="s">
        <v>1429</v>
      </c>
      <c r="C2007" t="s">
        <v>1431</v>
      </c>
      <c r="D2007" t="s">
        <v>1433</v>
      </c>
      <c r="E2007" t="s">
        <v>107</v>
      </c>
      <c r="F2007" t="s">
        <v>740</v>
      </c>
      <c r="G2007" s="28">
        <v>423719</v>
      </c>
      <c r="H2007">
        <v>0</v>
      </c>
      <c r="I2007" s="29">
        <f t="shared" si="31"/>
        <v>423719</v>
      </c>
      <c r="J2007">
        <f>IFERROR(VLOOKUP(E2007,'LEAID Match'!$A$2:$B$168,2,FALSE),"")</f>
        <v>3305040</v>
      </c>
    </row>
    <row r="2008" spans="1:10">
      <c r="A2008" s="27">
        <v>2018</v>
      </c>
      <c r="B2008" t="s">
        <v>1429</v>
      </c>
      <c r="C2008" t="s">
        <v>1431</v>
      </c>
      <c r="D2008" t="s">
        <v>1433</v>
      </c>
      <c r="E2008" t="s">
        <v>107</v>
      </c>
      <c r="F2008" s="9" t="s">
        <v>740</v>
      </c>
      <c r="G2008" s="18">
        <v>518462</v>
      </c>
      <c r="H2008">
        <v>0</v>
      </c>
      <c r="I2008" s="29">
        <f t="shared" si="31"/>
        <v>518462</v>
      </c>
      <c r="J2008">
        <f>IFERROR(VLOOKUP(E2008,'LEAID Match'!$A$2:$B$168,2,FALSE),"")</f>
        <v>3305040</v>
      </c>
    </row>
    <row r="2009" spans="1:10">
      <c r="A2009">
        <v>2019</v>
      </c>
      <c r="B2009" t="s">
        <v>1429</v>
      </c>
      <c r="C2009" t="s">
        <v>1431</v>
      </c>
      <c r="D2009" t="s">
        <v>1433</v>
      </c>
      <c r="E2009" t="s">
        <v>107</v>
      </c>
      <c r="F2009" s="9" t="s">
        <v>740</v>
      </c>
      <c r="G2009" s="18">
        <v>532238</v>
      </c>
      <c r="H2009">
        <v>0</v>
      </c>
      <c r="I2009" s="29">
        <f t="shared" si="31"/>
        <v>532238</v>
      </c>
      <c r="J2009">
        <f>IFERROR(VLOOKUP(E2009,'LEAID Match'!$A$2:$B$168,2,FALSE),"")</f>
        <v>3305040</v>
      </c>
    </row>
    <row r="2010" spans="1:10">
      <c r="A2010" s="27">
        <v>2020</v>
      </c>
      <c r="B2010" t="s">
        <v>1429</v>
      </c>
      <c r="C2010" t="s">
        <v>1431</v>
      </c>
      <c r="D2010" t="s">
        <v>1433</v>
      </c>
      <c r="E2010" t="s">
        <v>107</v>
      </c>
      <c r="F2010" s="9" t="s">
        <v>107</v>
      </c>
      <c r="G2010" s="18">
        <v>544252</v>
      </c>
      <c r="H2010">
        <v>0</v>
      </c>
      <c r="I2010" s="29">
        <f t="shared" si="31"/>
        <v>544252</v>
      </c>
      <c r="J2010">
        <f>IFERROR(VLOOKUP(E2010,'LEAID Match'!$A$2:$B$168,2,FALSE),"")</f>
        <v>3305040</v>
      </c>
    </row>
    <row r="2011" spans="1:10">
      <c r="A2011">
        <v>2021</v>
      </c>
      <c r="B2011" t="s">
        <v>1429</v>
      </c>
      <c r="C2011" t="s">
        <v>1431</v>
      </c>
      <c r="D2011" t="s">
        <v>1433</v>
      </c>
      <c r="E2011" t="s">
        <v>107</v>
      </c>
      <c r="F2011" s="9" t="s">
        <v>107</v>
      </c>
      <c r="G2011" s="18">
        <v>541409</v>
      </c>
      <c r="H2011">
        <v>0</v>
      </c>
      <c r="I2011" s="29">
        <f t="shared" si="31"/>
        <v>541409</v>
      </c>
      <c r="J2011">
        <f>IFERROR(VLOOKUP(E2011,'LEAID Match'!$A$2:$B$168,2,FALSE),"")</f>
        <v>3305040</v>
      </c>
    </row>
    <row r="2012" spans="1:10">
      <c r="A2012">
        <v>2022</v>
      </c>
      <c r="B2012" t="s">
        <v>1429</v>
      </c>
      <c r="C2012" t="s">
        <v>1431</v>
      </c>
      <c r="D2012" t="s">
        <v>1433</v>
      </c>
      <c r="E2012" t="s">
        <v>107</v>
      </c>
      <c r="F2012" s="9" t="s">
        <v>107</v>
      </c>
      <c r="G2012" s="18">
        <v>703859</v>
      </c>
      <c r="H2012">
        <v>0</v>
      </c>
      <c r="I2012" s="29">
        <f t="shared" si="31"/>
        <v>703859</v>
      </c>
      <c r="J2012">
        <f>IFERROR(VLOOKUP(E2012,'LEAID Match'!$A$2:$B$168,2,FALSE),"")</f>
        <v>3305040</v>
      </c>
    </row>
    <row r="2013" spans="1:10">
      <c r="A2013">
        <v>2023</v>
      </c>
      <c r="B2013" t="s">
        <v>1429</v>
      </c>
      <c r="C2013" t="s">
        <v>1431</v>
      </c>
      <c r="D2013" t="s">
        <v>1433</v>
      </c>
      <c r="E2013" t="s">
        <v>107</v>
      </c>
      <c r="F2013" t="s">
        <v>107</v>
      </c>
      <c r="G2013" s="28">
        <v>765860</v>
      </c>
      <c r="H2013">
        <v>0</v>
      </c>
      <c r="I2013" s="29">
        <f t="shared" si="31"/>
        <v>765860</v>
      </c>
      <c r="J2013">
        <f>IFERROR(VLOOKUP(E2013,'LEAID Match'!$A$2:$B$168,2,FALSE),"")</f>
        <v>3305040</v>
      </c>
    </row>
    <row r="2014" spans="1:10">
      <c r="A2014">
        <v>2015</v>
      </c>
      <c r="B2014" t="s">
        <v>1429</v>
      </c>
      <c r="C2014" t="s">
        <v>1431</v>
      </c>
      <c r="D2014" t="s">
        <v>1433</v>
      </c>
      <c r="E2014" t="s">
        <v>741</v>
      </c>
      <c r="F2014" s="9" t="s">
        <v>1214</v>
      </c>
      <c r="G2014" s="18">
        <v>105599.4</v>
      </c>
      <c r="H2014">
        <v>0</v>
      </c>
      <c r="I2014" s="29">
        <f t="shared" si="31"/>
        <v>105599.4</v>
      </c>
      <c r="J2014" t="str">
        <f>IFERROR(VLOOKUP(E2014,'LEAID Match'!$A$2:$B$168,2,FALSE),"")</f>
        <v/>
      </c>
    </row>
    <row r="2015" spans="1:10">
      <c r="A2015">
        <v>2016</v>
      </c>
      <c r="B2015" t="s">
        <v>1429</v>
      </c>
      <c r="C2015" t="s">
        <v>1431</v>
      </c>
      <c r="D2015" t="s">
        <v>1433</v>
      </c>
      <c r="E2015" t="s">
        <v>741</v>
      </c>
      <c r="F2015" t="s">
        <v>741</v>
      </c>
      <c r="G2015" s="28">
        <v>121368</v>
      </c>
      <c r="H2015">
        <v>0</v>
      </c>
      <c r="I2015" s="29">
        <f t="shared" si="31"/>
        <v>121368</v>
      </c>
      <c r="J2015" t="str">
        <f>IFERROR(VLOOKUP(E2015,'LEAID Match'!$A$2:$B$168,2,FALSE),"")</f>
        <v/>
      </c>
    </row>
    <row r="2016" spans="1:10">
      <c r="A2016">
        <v>2017</v>
      </c>
      <c r="B2016" t="s">
        <v>1429</v>
      </c>
      <c r="C2016" t="s">
        <v>1431</v>
      </c>
      <c r="D2016" t="s">
        <v>1433</v>
      </c>
      <c r="E2016" t="s">
        <v>741</v>
      </c>
      <c r="F2016" t="s">
        <v>741</v>
      </c>
      <c r="G2016" s="28">
        <v>119400</v>
      </c>
      <c r="H2016">
        <v>0</v>
      </c>
      <c r="I2016" s="29">
        <f t="shared" si="31"/>
        <v>119400</v>
      </c>
      <c r="J2016" t="str">
        <f>IFERROR(VLOOKUP(E2016,'LEAID Match'!$A$2:$B$168,2,FALSE),"")</f>
        <v/>
      </c>
    </row>
    <row r="2017" spans="1:10">
      <c r="A2017" s="27">
        <v>2018</v>
      </c>
      <c r="B2017" t="s">
        <v>1429</v>
      </c>
      <c r="C2017" t="s">
        <v>1431</v>
      </c>
      <c r="D2017" t="s">
        <v>1433</v>
      </c>
      <c r="E2017" t="s">
        <v>741</v>
      </c>
      <c r="F2017" s="9" t="s">
        <v>741</v>
      </c>
      <c r="G2017" s="18">
        <v>137253</v>
      </c>
      <c r="H2017">
        <v>0</v>
      </c>
      <c r="I2017" s="29">
        <f t="shared" si="31"/>
        <v>137253</v>
      </c>
      <c r="J2017" t="str">
        <f>IFERROR(VLOOKUP(E2017,'LEAID Match'!$A$2:$B$168,2,FALSE),"")</f>
        <v/>
      </c>
    </row>
    <row r="2018" spans="1:10">
      <c r="A2018">
        <v>2019</v>
      </c>
      <c r="B2018" t="s">
        <v>1429</v>
      </c>
      <c r="C2018" t="s">
        <v>1431</v>
      </c>
      <c r="D2018" t="s">
        <v>1433</v>
      </c>
      <c r="E2018" t="s">
        <v>741</v>
      </c>
      <c r="F2018" s="9" t="s">
        <v>741</v>
      </c>
      <c r="G2018" s="18">
        <v>132212</v>
      </c>
      <c r="H2018">
        <v>0</v>
      </c>
      <c r="I2018" s="29">
        <f t="shared" si="31"/>
        <v>132212</v>
      </c>
      <c r="J2018" t="str">
        <f>IFERROR(VLOOKUP(E2018,'LEAID Match'!$A$2:$B$168,2,FALSE),"")</f>
        <v/>
      </c>
    </row>
    <row r="2019" spans="1:10">
      <c r="A2019">
        <v>2015</v>
      </c>
      <c r="B2019" t="s">
        <v>1429</v>
      </c>
      <c r="C2019" t="s">
        <v>1431</v>
      </c>
      <c r="D2019" t="s">
        <v>1433</v>
      </c>
      <c r="E2019" t="s">
        <v>108</v>
      </c>
      <c r="F2019" s="9" t="s">
        <v>1215</v>
      </c>
      <c r="G2019" s="18">
        <v>52845.99</v>
      </c>
      <c r="H2019">
        <v>0</v>
      </c>
      <c r="I2019" s="29">
        <f t="shared" si="31"/>
        <v>52845.99</v>
      </c>
      <c r="J2019">
        <f>IFERROR(VLOOKUP(E2019,'LEAID Match'!$A$2:$B$168,2,FALSE),"")</f>
        <v>3305070</v>
      </c>
    </row>
    <row r="2020" spans="1:10">
      <c r="A2020">
        <v>2016</v>
      </c>
      <c r="B2020" t="s">
        <v>1429</v>
      </c>
      <c r="C2020" t="s">
        <v>1431</v>
      </c>
      <c r="D2020" t="s">
        <v>1433</v>
      </c>
      <c r="E2020" t="s">
        <v>108</v>
      </c>
      <c r="F2020" t="s">
        <v>742</v>
      </c>
      <c r="G2020" s="28">
        <v>59045</v>
      </c>
      <c r="H2020">
        <v>0</v>
      </c>
      <c r="I2020" s="29">
        <f t="shared" si="31"/>
        <v>59045</v>
      </c>
      <c r="J2020">
        <f>IFERROR(VLOOKUP(E2020,'LEAID Match'!$A$2:$B$168,2,FALSE),"")</f>
        <v>3305070</v>
      </c>
    </row>
    <row r="2021" spans="1:10">
      <c r="A2021">
        <v>2017</v>
      </c>
      <c r="B2021" t="s">
        <v>1429</v>
      </c>
      <c r="C2021" t="s">
        <v>1431</v>
      </c>
      <c r="D2021" t="s">
        <v>1433</v>
      </c>
      <c r="E2021" t="s">
        <v>108</v>
      </c>
      <c r="F2021" t="s">
        <v>742</v>
      </c>
      <c r="G2021" s="28">
        <v>49481</v>
      </c>
      <c r="H2021">
        <v>0</v>
      </c>
      <c r="I2021" s="29">
        <f t="shared" si="31"/>
        <v>49481</v>
      </c>
      <c r="J2021">
        <f>IFERROR(VLOOKUP(E2021,'LEAID Match'!$A$2:$B$168,2,FALSE),"")</f>
        <v>3305070</v>
      </c>
    </row>
    <row r="2022" spans="1:10">
      <c r="A2022" s="27">
        <v>2018</v>
      </c>
      <c r="B2022" t="s">
        <v>1429</v>
      </c>
      <c r="C2022" t="s">
        <v>1431</v>
      </c>
      <c r="D2022" t="s">
        <v>1433</v>
      </c>
      <c r="E2022" t="s">
        <v>108</v>
      </c>
      <c r="F2022" s="9" t="s">
        <v>742</v>
      </c>
      <c r="G2022" s="18">
        <v>78284</v>
      </c>
      <c r="H2022">
        <v>0</v>
      </c>
      <c r="I2022" s="29">
        <f t="shared" si="31"/>
        <v>78284</v>
      </c>
      <c r="J2022">
        <f>IFERROR(VLOOKUP(E2022,'LEAID Match'!$A$2:$B$168,2,FALSE),"")</f>
        <v>3305070</v>
      </c>
    </row>
    <row r="2023" spans="1:10">
      <c r="A2023">
        <v>2019</v>
      </c>
      <c r="B2023" t="s">
        <v>1429</v>
      </c>
      <c r="C2023" t="s">
        <v>1431</v>
      </c>
      <c r="D2023" t="s">
        <v>1433</v>
      </c>
      <c r="E2023" t="s">
        <v>108</v>
      </c>
      <c r="F2023" s="9" t="s">
        <v>742</v>
      </c>
      <c r="G2023" s="18">
        <v>81833</v>
      </c>
      <c r="H2023">
        <v>0</v>
      </c>
      <c r="I2023" s="29">
        <f t="shared" si="31"/>
        <v>81833</v>
      </c>
      <c r="J2023">
        <f>IFERROR(VLOOKUP(E2023,'LEAID Match'!$A$2:$B$168,2,FALSE),"")</f>
        <v>3305070</v>
      </c>
    </row>
    <row r="2024" spans="1:10">
      <c r="A2024" s="27">
        <v>2020</v>
      </c>
      <c r="B2024" t="s">
        <v>1429</v>
      </c>
      <c r="C2024" t="s">
        <v>1431</v>
      </c>
      <c r="D2024" t="s">
        <v>1433</v>
      </c>
      <c r="E2024" t="s">
        <v>108</v>
      </c>
      <c r="F2024" s="9" t="s">
        <v>108</v>
      </c>
      <c r="G2024" s="18">
        <v>82816</v>
      </c>
      <c r="H2024">
        <v>0</v>
      </c>
      <c r="I2024" s="29">
        <f t="shared" si="31"/>
        <v>82816</v>
      </c>
      <c r="J2024">
        <f>IFERROR(VLOOKUP(E2024,'LEAID Match'!$A$2:$B$168,2,FALSE),"")</f>
        <v>3305070</v>
      </c>
    </row>
    <row r="2025" spans="1:10">
      <c r="A2025">
        <v>2021</v>
      </c>
      <c r="B2025" t="s">
        <v>1429</v>
      </c>
      <c r="C2025" t="s">
        <v>1431</v>
      </c>
      <c r="D2025" t="s">
        <v>1433</v>
      </c>
      <c r="E2025" t="s">
        <v>108</v>
      </c>
      <c r="F2025" s="9" t="s">
        <v>108</v>
      </c>
      <c r="G2025" s="18">
        <v>86432</v>
      </c>
      <c r="H2025">
        <v>0</v>
      </c>
      <c r="I2025" s="29">
        <f t="shared" si="31"/>
        <v>86432</v>
      </c>
      <c r="J2025">
        <f>IFERROR(VLOOKUP(E2025,'LEAID Match'!$A$2:$B$168,2,FALSE),"")</f>
        <v>3305070</v>
      </c>
    </row>
    <row r="2026" spans="1:10">
      <c r="A2026">
        <v>2022</v>
      </c>
      <c r="B2026" t="s">
        <v>1429</v>
      </c>
      <c r="C2026" t="s">
        <v>1431</v>
      </c>
      <c r="D2026" t="s">
        <v>1433</v>
      </c>
      <c r="E2026" t="s">
        <v>108</v>
      </c>
      <c r="F2026" s="9" t="s">
        <v>108</v>
      </c>
      <c r="G2026" s="18">
        <v>69511</v>
      </c>
      <c r="H2026">
        <v>0</v>
      </c>
      <c r="I2026" s="29">
        <f t="shared" si="31"/>
        <v>69511</v>
      </c>
      <c r="J2026">
        <f>IFERROR(VLOOKUP(E2026,'LEAID Match'!$A$2:$B$168,2,FALSE),"")</f>
        <v>3305070</v>
      </c>
    </row>
    <row r="2027" spans="1:10">
      <c r="A2027">
        <v>2023</v>
      </c>
      <c r="B2027" t="s">
        <v>1429</v>
      </c>
      <c r="C2027" t="s">
        <v>1431</v>
      </c>
      <c r="D2027" t="s">
        <v>1433</v>
      </c>
      <c r="E2027" t="s">
        <v>108</v>
      </c>
      <c r="F2027" t="s">
        <v>108</v>
      </c>
      <c r="G2027" s="28">
        <v>67842</v>
      </c>
      <c r="H2027">
        <v>0</v>
      </c>
      <c r="I2027" s="29">
        <f t="shared" si="31"/>
        <v>67842</v>
      </c>
      <c r="J2027">
        <f>IFERROR(VLOOKUP(E2027,'LEAID Match'!$A$2:$B$168,2,FALSE),"")</f>
        <v>3305070</v>
      </c>
    </row>
    <row r="2028" spans="1:10">
      <c r="A2028">
        <v>2015</v>
      </c>
      <c r="B2028" t="s">
        <v>1429</v>
      </c>
      <c r="C2028" t="s">
        <v>1431</v>
      </c>
      <c r="D2028" t="s">
        <v>1433</v>
      </c>
      <c r="E2028" t="s">
        <v>743</v>
      </c>
      <c r="F2028" s="9" t="s">
        <v>1216</v>
      </c>
      <c r="G2028" s="18">
        <v>110733.91</v>
      </c>
      <c r="H2028">
        <v>0</v>
      </c>
      <c r="I2028" s="29">
        <f t="shared" si="31"/>
        <v>110733.91</v>
      </c>
      <c r="J2028" t="str">
        <f>IFERROR(VLOOKUP(E2028,'LEAID Match'!$A$2:$B$168,2,FALSE),"")</f>
        <v/>
      </c>
    </row>
    <row r="2029" spans="1:10">
      <c r="A2029">
        <v>2016</v>
      </c>
      <c r="B2029" t="s">
        <v>1429</v>
      </c>
      <c r="C2029" t="s">
        <v>1431</v>
      </c>
      <c r="D2029" t="s">
        <v>1433</v>
      </c>
      <c r="E2029" t="s">
        <v>743</v>
      </c>
      <c r="F2029" t="s">
        <v>743</v>
      </c>
      <c r="G2029" s="28">
        <v>106438</v>
      </c>
      <c r="H2029">
        <v>0</v>
      </c>
      <c r="I2029" s="29">
        <f t="shared" si="31"/>
        <v>106438</v>
      </c>
      <c r="J2029" t="str">
        <f>IFERROR(VLOOKUP(E2029,'LEAID Match'!$A$2:$B$168,2,FALSE),"")</f>
        <v/>
      </c>
    </row>
    <row r="2030" spans="1:10">
      <c r="A2030">
        <v>2017</v>
      </c>
      <c r="B2030" t="s">
        <v>1429</v>
      </c>
      <c r="C2030" t="s">
        <v>1431</v>
      </c>
      <c r="D2030" t="s">
        <v>1433</v>
      </c>
      <c r="E2030" t="s">
        <v>743</v>
      </c>
      <c r="F2030" t="s">
        <v>743</v>
      </c>
      <c r="G2030" s="28">
        <v>90736</v>
      </c>
      <c r="H2030">
        <v>0</v>
      </c>
      <c r="I2030" s="29">
        <f t="shared" si="31"/>
        <v>90736</v>
      </c>
      <c r="J2030" t="str">
        <f>IFERROR(VLOOKUP(E2030,'LEAID Match'!$A$2:$B$168,2,FALSE),"")</f>
        <v/>
      </c>
    </row>
    <row r="2031" spans="1:10">
      <c r="A2031" s="27">
        <v>2018</v>
      </c>
      <c r="B2031" t="s">
        <v>1429</v>
      </c>
      <c r="C2031" t="s">
        <v>1431</v>
      </c>
      <c r="D2031" t="s">
        <v>1433</v>
      </c>
      <c r="E2031" t="s">
        <v>743</v>
      </c>
      <c r="F2031" s="9" t="s">
        <v>743</v>
      </c>
      <c r="G2031" s="18">
        <v>111840</v>
      </c>
      <c r="H2031">
        <v>0</v>
      </c>
      <c r="I2031" s="29">
        <f t="shared" si="31"/>
        <v>111840</v>
      </c>
      <c r="J2031" t="str">
        <f>IFERROR(VLOOKUP(E2031,'LEAID Match'!$A$2:$B$168,2,FALSE),"")</f>
        <v/>
      </c>
    </row>
    <row r="2032" spans="1:10">
      <c r="A2032">
        <v>2019</v>
      </c>
      <c r="B2032" t="s">
        <v>1429</v>
      </c>
      <c r="C2032" t="s">
        <v>1431</v>
      </c>
      <c r="D2032" t="s">
        <v>1433</v>
      </c>
      <c r="E2032" t="s">
        <v>743</v>
      </c>
      <c r="F2032" s="9" t="s">
        <v>743</v>
      </c>
      <c r="G2032" s="18">
        <v>115706</v>
      </c>
      <c r="H2032">
        <v>0</v>
      </c>
      <c r="I2032" s="29">
        <f t="shared" si="31"/>
        <v>115706</v>
      </c>
      <c r="J2032" t="str">
        <f>IFERROR(VLOOKUP(E2032,'LEAID Match'!$A$2:$B$168,2,FALSE),"")</f>
        <v/>
      </c>
    </row>
    <row r="2033" spans="1:10">
      <c r="A2033">
        <v>2015</v>
      </c>
      <c r="B2033" t="s">
        <v>1429</v>
      </c>
      <c r="C2033" t="s">
        <v>1431</v>
      </c>
      <c r="D2033" t="s">
        <v>1433</v>
      </c>
      <c r="E2033" t="s">
        <v>744</v>
      </c>
      <c r="F2033" s="9" t="s">
        <v>1217</v>
      </c>
      <c r="G2033" s="18">
        <v>104032.58</v>
      </c>
      <c r="H2033">
        <v>0</v>
      </c>
      <c r="I2033" s="29">
        <f t="shared" si="31"/>
        <v>104032.58</v>
      </c>
      <c r="J2033" t="str">
        <f>IFERROR(VLOOKUP(E2033,'LEAID Match'!$A$2:$B$168,2,FALSE),"")</f>
        <v/>
      </c>
    </row>
    <row r="2034" spans="1:10">
      <c r="A2034">
        <v>2016</v>
      </c>
      <c r="B2034" t="s">
        <v>1429</v>
      </c>
      <c r="C2034" t="s">
        <v>1431</v>
      </c>
      <c r="D2034" t="s">
        <v>1433</v>
      </c>
      <c r="E2034" t="s">
        <v>744</v>
      </c>
      <c r="F2034" t="s">
        <v>744</v>
      </c>
      <c r="G2034" s="28">
        <v>112497</v>
      </c>
      <c r="H2034">
        <v>0</v>
      </c>
      <c r="I2034" s="29">
        <f t="shared" si="31"/>
        <v>112497</v>
      </c>
      <c r="J2034" t="str">
        <f>IFERROR(VLOOKUP(E2034,'LEAID Match'!$A$2:$B$168,2,FALSE),"")</f>
        <v/>
      </c>
    </row>
    <row r="2035" spans="1:10">
      <c r="A2035">
        <v>2017</v>
      </c>
      <c r="B2035" t="s">
        <v>1429</v>
      </c>
      <c r="C2035" t="s">
        <v>1431</v>
      </c>
      <c r="D2035" t="s">
        <v>1433</v>
      </c>
      <c r="E2035" t="s">
        <v>744</v>
      </c>
      <c r="F2035" t="s">
        <v>744</v>
      </c>
      <c r="G2035" s="28">
        <v>109547</v>
      </c>
      <c r="H2035">
        <v>0</v>
      </c>
      <c r="I2035" s="29">
        <f t="shared" si="31"/>
        <v>109547</v>
      </c>
      <c r="J2035" t="str">
        <f>IFERROR(VLOOKUP(E2035,'LEAID Match'!$A$2:$B$168,2,FALSE),"")</f>
        <v/>
      </c>
    </row>
    <row r="2036" spans="1:10">
      <c r="A2036" s="27">
        <v>2018</v>
      </c>
      <c r="B2036" t="s">
        <v>1429</v>
      </c>
      <c r="C2036" t="s">
        <v>1431</v>
      </c>
      <c r="D2036" t="s">
        <v>1433</v>
      </c>
      <c r="E2036" t="s">
        <v>744</v>
      </c>
      <c r="F2036" s="9" t="s">
        <v>744</v>
      </c>
      <c r="G2036" s="18">
        <v>119668</v>
      </c>
      <c r="H2036">
        <v>0</v>
      </c>
      <c r="I2036" s="29">
        <f t="shared" si="31"/>
        <v>119668</v>
      </c>
      <c r="J2036" t="str">
        <f>IFERROR(VLOOKUP(E2036,'LEAID Match'!$A$2:$B$168,2,FALSE),"")</f>
        <v/>
      </c>
    </row>
    <row r="2037" spans="1:10">
      <c r="A2037">
        <v>2019</v>
      </c>
      <c r="B2037" t="s">
        <v>1429</v>
      </c>
      <c r="C2037" t="s">
        <v>1431</v>
      </c>
      <c r="D2037" t="s">
        <v>1433</v>
      </c>
      <c r="E2037" t="s">
        <v>744</v>
      </c>
      <c r="F2037" s="9" t="s">
        <v>744</v>
      </c>
      <c r="G2037" s="18">
        <v>129701</v>
      </c>
      <c r="H2037">
        <v>0</v>
      </c>
      <c r="I2037" s="29">
        <f t="shared" si="31"/>
        <v>129701</v>
      </c>
      <c r="J2037" t="str">
        <f>IFERROR(VLOOKUP(E2037,'LEAID Match'!$A$2:$B$168,2,FALSE),"")</f>
        <v/>
      </c>
    </row>
    <row r="2038" spans="1:10">
      <c r="A2038">
        <v>2015</v>
      </c>
      <c r="B2038" t="s">
        <v>1429</v>
      </c>
      <c r="C2038" t="s">
        <v>1431</v>
      </c>
      <c r="D2038" t="s">
        <v>1433</v>
      </c>
      <c r="E2038" t="s">
        <v>745</v>
      </c>
      <c r="F2038" s="9" t="s">
        <v>1218</v>
      </c>
      <c r="G2038" s="18">
        <v>117703.34</v>
      </c>
      <c r="H2038">
        <v>0</v>
      </c>
      <c r="I2038" s="29">
        <f t="shared" si="31"/>
        <v>117703.34</v>
      </c>
      <c r="J2038" t="str">
        <f>IFERROR(VLOOKUP(E2038,'LEAID Match'!$A$2:$B$168,2,FALSE),"")</f>
        <v/>
      </c>
    </row>
    <row r="2039" spans="1:10">
      <c r="A2039">
        <v>2016</v>
      </c>
      <c r="B2039" t="s">
        <v>1429</v>
      </c>
      <c r="C2039" t="s">
        <v>1431</v>
      </c>
      <c r="D2039" t="s">
        <v>1433</v>
      </c>
      <c r="E2039" t="s">
        <v>745</v>
      </c>
      <c r="F2039" t="s">
        <v>745</v>
      </c>
      <c r="G2039" s="28">
        <v>129304</v>
      </c>
      <c r="H2039">
        <v>0</v>
      </c>
      <c r="I2039" s="29">
        <f t="shared" si="31"/>
        <v>129304</v>
      </c>
      <c r="J2039" t="str">
        <f>IFERROR(VLOOKUP(E2039,'LEAID Match'!$A$2:$B$168,2,FALSE),"")</f>
        <v/>
      </c>
    </row>
    <row r="2040" spans="1:10">
      <c r="A2040">
        <v>2017</v>
      </c>
      <c r="B2040" t="s">
        <v>1429</v>
      </c>
      <c r="C2040" t="s">
        <v>1431</v>
      </c>
      <c r="D2040" t="s">
        <v>1433</v>
      </c>
      <c r="E2040" t="s">
        <v>745</v>
      </c>
      <c r="F2040" t="s">
        <v>745</v>
      </c>
      <c r="G2040" s="28">
        <v>112494</v>
      </c>
      <c r="H2040">
        <v>0</v>
      </c>
      <c r="I2040" s="29">
        <f t="shared" si="31"/>
        <v>112494</v>
      </c>
      <c r="J2040" t="str">
        <f>IFERROR(VLOOKUP(E2040,'LEAID Match'!$A$2:$B$168,2,FALSE),"")</f>
        <v/>
      </c>
    </row>
    <row r="2041" spans="1:10">
      <c r="A2041" s="27">
        <v>2018</v>
      </c>
      <c r="B2041" t="s">
        <v>1429</v>
      </c>
      <c r="C2041" t="s">
        <v>1431</v>
      </c>
      <c r="D2041" t="s">
        <v>1433</v>
      </c>
      <c r="E2041" t="s">
        <v>745</v>
      </c>
      <c r="F2041" s="9" t="s">
        <v>745</v>
      </c>
      <c r="G2041" s="18">
        <v>127071</v>
      </c>
      <c r="H2041">
        <v>0</v>
      </c>
      <c r="I2041" s="29">
        <f t="shared" si="31"/>
        <v>127071</v>
      </c>
      <c r="J2041" t="str">
        <f>IFERROR(VLOOKUP(E2041,'LEAID Match'!$A$2:$B$168,2,FALSE),"")</f>
        <v/>
      </c>
    </row>
    <row r="2042" spans="1:10">
      <c r="A2042">
        <v>2019</v>
      </c>
      <c r="B2042" t="s">
        <v>1429</v>
      </c>
      <c r="C2042" t="s">
        <v>1431</v>
      </c>
      <c r="D2042" t="s">
        <v>1433</v>
      </c>
      <c r="E2042" t="s">
        <v>745</v>
      </c>
      <c r="F2042" s="9" t="s">
        <v>745</v>
      </c>
      <c r="G2042" s="18">
        <v>127925</v>
      </c>
      <c r="H2042">
        <v>0</v>
      </c>
      <c r="I2042" s="29">
        <f t="shared" si="31"/>
        <v>127925</v>
      </c>
      <c r="J2042" t="str">
        <f>IFERROR(VLOOKUP(E2042,'LEAID Match'!$A$2:$B$168,2,FALSE),"")</f>
        <v/>
      </c>
    </row>
    <row r="2043" spans="1:10">
      <c r="A2043">
        <v>2015</v>
      </c>
      <c r="B2043" t="s">
        <v>1429</v>
      </c>
      <c r="C2043" t="s">
        <v>1431</v>
      </c>
      <c r="D2043" t="s">
        <v>1433</v>
      </c>
      <c r="E2043" t="s">
        <v>746</v>
      </c>
      <c r="F2043" s="9" t="s">
        <v>1219</v>
      </c>
      <c r="G2043" s="18">
        <v>270684.76</v>
      </c>
      <c r="H2043">
        <v>0</v>
      </c>
      <c r="I2043" s="29">
        <f t="shared" si="31"/>
        <v>270684.76</v>
      </c>
      <c r="J2043" t="str">
        <f>IFERROR(VLOOKUP(E2043,'LEAID Match'!$A$2:$B$168,2,FALSE),"")</f>
        <v/>
      </c>
    </row>
    <row r="2044" spans="1:10">
      <c r="A2044">
        <v>2016</v>
      </c>
      <c r="B2044" t="s">
        <v>1429</v>
      </c>
      <c r="C2044" t="s">
        <v>1431</v>
      </c>
      <c r="D2044" t="s">
        <v>1433</v>
      </c>
      <c r="E2044" t="s">
        <v>746</v>
      </c>
      <c r="F2044" t="s">
        <v>746</v>
      </c>
      <c r="G2044" s="28">
        <v>293253</v>
      </c>
      <c r="H2044">
        <v>0</v>
      </c>
      <c r="I2044" s="29">
        <f t="shared" si="31"/>
        <v>293253</v>
      </c>
      <c r="J2044" t="str">
        <f>IFERROR(VLOOKUP(E2044,'LEAID Match'!$A$2:$B$168,2,FALSE),"")</f>
        <v/>
      </c>
    </row>
    <row r="2045" spans="1:10">
      <c r="A2045">
        <v>2017</v>
      </c>
      <c r="B2045" t="s">
        <v>1429</v>
      </c>
      <c r="C2045" t="s">
        <v>1431</v>
      </c>
      <c r="D2045" t="s">
        <v>1433</v>
      </c>
      <c r="E2045" t="s">
        <v>746</v>
      </c>
      <c r="F2045" t="s">
        <v>746</v>
      </c>
      <c r="G2045" s="28">
        <v>312662</v>
      </c>
      <c r="H2045">
        <v>0</v>
      </c>
      <c r="I2045" s="29">
        <f t="shared" si="31"/>
        <v>312662</v>
      </c>
      <c r="J2045" t="str">
        <f>IFERROR(VLOOKUP(E2045,'LEAID Match'!$A$2:$B$168,2,FALSE),"")</f>
        <v/>
      </c>
    </row>
    <row r="2046" spans="1:10">
      <c r="A2046" s="27">
        <v>2018</v>
      </c>
      <c r="B2046" t="s">
        <v>1429</v>
      </c>
      <c r="C2046" t="s">
        <v>1431</v>
      </c>
      <c r="D2046" t="s">
        <v>1433</v>
      </c>
      <c r="E2046" t="s">
        <v>746</v>
      </c>
      <c r="F2046" s="9" t="s">
        <v>746</v>
      </c>
      <c r="G2046" s="18">
        <v>342430</v>
      </c>
      <c r="H2046">
        <v>0</v>
      </c>
      <c r="I2046" s="29">
        <f t="shared" si="31"/>
        <v>342430</v>
      </c>
      <c r="J2046" t="str">
        <f>IFERROR(VLOOKUP(E2046,'LEAID Match'!$A$2:$B$168,2,FALSE),"")</f>
        <v/>
      </c>
    </row>
    <row r="2047" spans="1:10">
      <c r="A2047">
        <v>2019</v>
      </c>
      <c r="B2047" t="s">
        <v>1429</v>
      </c>
      <c r="C2047" t="s">
        <v>1431</v>
      </c>
      <c r="D2047" t="s">
        <v>1433</v>
      </c>
      <c r="E2047" t="s">
        <v>746</v>
      </c>
      <c r="F2047" s="9" t="s">
        <v>746</v>
      </c>
      <c r="G2047" s="18">
        <v>354313</v>
      </c>
      <c r="H2047">
        <v>0</v>
      </c>
      <c r="I2047" s="29">
        <f t="shared" si="31"/>
        <v>354313</v>
      </c>
      <c r="J2047" t="str">
        <f>IFERROR(VLOOKUP(E2047,'LEAID Match'!$A$2:$B$168,2,FALSE),"")</f>
        <v/>
      </c>
    </row>
    <row r="2048" spans="1:10">
      <c r="A2048">
        <v>2015</v>
      </c>
      <c r="B2048" t="s">
        <v>1429</v>
      </c>
      <c r="C2048" t="s">
        <v>1431</v>
      </c>
      <c r="D2048" t="s">
        <v>1433</v>
      </c>
      <c r="E2048" t="s">
        <v>109</v>
      </c>
      <c r="F2048" s="9" t="s">
        <v>1220</v>
      </c>
      <c r="G2048" s="18">
        <v>15574.05</v>
      </c>
      <c r="H2048">
        <v>0</v>
      </c>
      <c r="I2048" s="29">
        <f t="shared" si="31"/>
        <v>15574.05</v>
      </c>
      <c r="J2048" t="str">
        <f>IFERROR(VLOOKUP(E2048,'LEAID Match'!$A$2:$B$168,2,FALSE),"")</f>
        <v/>
      </c>
    </row>
    <row r="2049" spans="1:10">
      <c r="A2049">
        <v>2016</v>
      </c>
      <c r="B2049" t="s">
        <v>1429</v>
      </c>
      <c r="C2049" t="s">
        <v>1431</v>
      </c>
      <c r="D2049" t="s">
        <v>1433</v>
      </c>
      <c r="E2049" t="s">
        <v>109</v>
      </c>
      <c r="F2049" t="s">
        <v>109</v>
      </c>
      <c r="G2049" s="28">
        <v>15785</v>
      </c>
      <c r="H2049">
        <v>0</v>
      </c>
      <c r="I2049" s="29">
        <f t="shared" si="31"/>
        <v>15785</v>
      </c>
      <c r="J2049" t="str">
        <f>IFERROR(VLOOKUP(E2049,'LEAID Match'!$A$2:$B$168,2,FALSE),"")</f>
        <v/>
      </c>
    </row>
    <row r="2050" spans="1:10">
      <c r="A2050">
        <v>2017</v>
      </c>
      <c r="B2050" t="s">
        <v>1429</v>
      </c>
      <c r="C2050" t="s">
        <v>1431</v>
      </c>
      <c r="D2050" t="s">
        <v>1433</v>
      </c>
      <c r="E2050" t="s">
        <v>109</v>
      </c>
      <c r="F2050" t="s">
        <v>109</v>
      </c>
      <c r="G2050" s="28">
        <v>16613</v>
      </c>
      <c r="H2050">
        <v>0</v>
      </c>
      <c r="I2050" s="29">
        <f t="shared" si="31"/>
        <v>16613</v>
      </c>
      <c r="J2050" t="str">
        <f>IFERROR(VLOOKUP(E2050,'LEAID Match'!$A$2:$B$168,2,FALSE),"")</f>
        <v/>
      </c>
    </row>
    <row r="2051" spans="1:10">
      <c r="A2051" s="27">
        <v>2018</v>
      </c>
      <c r="B2051" t="s">
        <v>1429</v>
      </c>
      <c r="C2051" t="s">
        <v>1431</v>
      </c>
      <c r="D2051" t="s">
        <v>1433</v>
      </c>
      <c r="E2051" t="s">
        <v>109</v>
      </c>
      <c r="F2051" s="9" t="s">
        <v>109</v>
      </c>
      <c r="G2051" s="18">
        <v>17664</v>
      </c>
      <c r="H2051">
        <v>0</v>
      </c>
      <c r="I2051" s="29">
        <f t="shared" ref="I2051:I2114" si="32">SUM(G2051:H2051)</f>
        <v>17664</v>
      </c>
      <c r="J2051" t="str">
        <f>IFERROR(VLOOKUP(E2051,'LEAID Match'!$A$2:$B$168,2,FALSE),"")</f>
        <v/>
      </c>
    </row>
    <row r="2052" spans="1:10">
      <c r="A2052">
        <v>2019</v>
      </c>
      <c r="B2052" t="s">
        <v>1429</v>
      </c>
      <c r="C2052" t="s">
        <v>1431</v>
      </c>
      <c r="D2052" t="s">
        <v>1433</v>
      </c>
      <c r="E2052" t="s">
        <v>109</v>
      </c>
      <c r="F2052" s="9" t="s">
        <v>109</v>
      </c>
      <c r="G2052" s="18">
        <v>18187</v>
      </c>
      <c r="H2052">
        <v>0</v>
      </c>
      <c r="I2052" s="29">
        <f t="shared" si="32"/>
        <v>18187</v>
      </c>
      <c r="J2052" t="str">
        <f>IFERROR(VLOOKUP(E2052,'LEAID Match'!$A$2:$B$168,2,FALSE),"")</f>
        <v/>
      </c>
    </row>
    <row r="2053" spans="1:10">
      <c r="A2053" s="27">
        <v>2020</v>
      </c>
      <c r="B2053" t="s">
        <v>1429</v>
      </c>
      <c r="C2053" t="s">
        <v>1431</v>
      </c>
      <c r="D2053" t="s">
        <v>1433</v>
      </c>
      <c r="E2053" t="s">
        <v>109</v>
      </c>
      <c r="F2053" s="9" t="s">
        <v>109</v>
      </c>
      <c r="G2053" s="18">
        <v>18744</v>
      </c>
      <c r="H2053">
        <v>0</v>
      </c>
      <c r="I2053" s="29">
        <f t="shared" si="32"/>
        <v>18744</v>
      </c>
      <c r="J2053" t="str">
        <f>IFERROR(VLOOKUP(E2053,'LEAID Match'!$A$2:$B$168,2,FALSE),"")</f>
        <v/>
      </c>
    </row>
    <row r="2054" spans="1:10">
      <c r="A2054">
        <v>2021</v>
      </c>
      <c r="B2054" t="s">
        <v>1429</v>
      </c>
      <c r="C2054" t="s">
        <v>1431</v>
      </c>
      <c r="D2054" t="s">
        <v>1433</v>
      </c>
      <c r="E2054" t="s">
        <v>109</v>
      </c>
      <c r="F2054" s="9" t="s">
        <v>109</v>
      </c>
      <c r="G2054" s="18">
        <v>18971</v>
      </c>
      <c r="H2054">
        <v>0</v>
      </c>
      <c r="I2054" s="29">
        <f t="shared" si="32"/>
        <v>18971</v>
      </c>
      <c r="J2054" t="str">
        <f>IFERROR(VLOOKUP(E2054,'LEAID Match'!$A$2:$B$168,2,FALSE),"")</f>
        <v/>
      </c>
    </row>
    <row r="2055" spans="1:10">
      <c r="A2055">
        <v>2022</v>
      </c>
      <c r="B2055" t="s">
        <v>1429</v>
      </c>
      <c r="C2055" t="s">
        <v>1431</v>
      </c>
      <c r="D2055" t="s">
        <v>1433</v>
      </c>
      <c r="E2055" t="s">
        <v>109</v>
      </c>
      <c r="F2055" s="9" t="s">
        <v>109</v>
      </c>
      <c r="G2055" s="18">
        <v>24978</v>
      </c>
      <c r="H2055">
        <v>0</v>
      </c>
      <c r="I2055" s="29">
        <f t="shared" si="32"/>
        <v>24978</v>
      </c>
      <c r="J2055" t="str">
        <f>IFERROR(VLOOKUP(E2055,'LEAID Match'!$A$2:$B$168,2,FALSE),"")</f>
        <v/>
      </c>
    </row>
    <row r="2056" spans="1:10">
      <c r="A2056">
        <v>2023</v>
      </c>
      <c r="B2056" t="s">
        <v>1429</v>
      </c>
      <c r="C2056" t="s">
        <v>1431</v>
      </c>
      <c r="D2056" t="s">
        <v>1433</v>
      </c>
      <c r="E2056" t="s">
        <v>109</v>
      </c>
      <c r="F2056" t="s">
        <v>109</v>
      </c>
      <c r="G2056" s="28">
        <v>26426</v>
      </c>
      <c r="H2056">
        <v>0</v>
      </c>
      <c r="I2056" s="29">
        <f t="shared" si="32"/>
        <v>26426</v>
      </c>
      <c r="J2056" t="str">
        <f>IFERROR(VLOOKUP(E2056,'LEAID Match'!$A$2:$B$168,2,FALSE),"")</f>
        <v/>
      </c>
    </row>
    <row r="2057" spans="1:10">
      <c r="A2057">
        <v>2015</v>
      </c>
      <c r="B2057" t="s">
        <v>1429</v>
      </c>
      <c r="C2057" t="s">
        <v>1431</v>
      </c>
      <c r="D2057" t="s">
        <v>1433</v>
      </c>
      <c r="E2057" t="s">
        <v>747</v>
      </c>
      <c r="F2057" s="9" t="s">
        <v>1221</v>
      </c>
      <c r="G2057" s="18">
        <v>55147.6</v>
      </c>
      <c r="H2057">
        <v>0</v>
      </c>
      <c r="I2057" s="29">
        <f t="shared" si="32"/>
        <v>55147.6</v>
      </c>
      <c r="J2057" t="str">
        <f>IFERROR(VLOOKUP(E2057,'LEAID Match'!$A$2:$B$168,2,FALSE),"")</f>
        <v/>
      </c>
    </row>
    <row r="2058" spans="1:10">
      <c r="A2058">
        <v>2016</v>
      </c>
      <c r="B2058" t="s">
        <v>1429</v>
      </c>
      <c r="C2058" t="s">
        <v>1431</v>
      </c>
      <c r="D2058" t="s">
        <v>1433</v>
      </c>
      <c r="E2058" t="s">
        <v>747</v>
      </c>
      <c r="F2058" t="s">
        <v>747</v>
      </c>
      <c r="G2058" s="28">
        <v>60431</v>
      </c>
      <c r="H2058">
        <v>0</v>
      </c>
      <c r="I2058" s="29">
        <f t="shared" si="32"/>
        <v>60431</v>
      </c>
      <c r="J2058" t="str">
        <f>IFERROR(VLOOKUP(E2058,'LEAID Match'!$A$2:$B$168,2,FALSE),"")</f>
        <v/>
      </c>
    </row>
    <row r="2059" spans="1:10">
      <c r="A2059">
        <v>2017</v>
      </c>
      <c r="B2059" t="s">
        <v>1429</v>
      </c>
      <c r="C2059" t="s">
        <v>1431</v>
      </c>
      <c r="D2059" t="s">
        <v>1433</v>
      </c>
      <c r="E2059" t="s">
        <v>747</v>
      </c>
      <c r="F2059" t="s">
        <v>747</v>
      </c>
      <c r="G2059" s="28">
        <v>60249</v>
      </c>
      <c r="H2059">
        <v>0</v>
      </c>
      <c r="I2059" s="29">
        <f t="shared" si="32"/>
        <v>60249</v>
      </c>
      <c r="J2059" t="str">
        <f>IFERROR(VLOOKUP(E2059,'LEAID Match'!$A$2:$B$168,2,FALSE),"")</f>
        <v/>
      </c>
    </row>
    <row r="2060" spans="1:10">
      <c r="A2060" s="27">
        <v>2018</v>
      </c>
      <c r="B2060" t="s">
        <v>1429</v>
      </c>
      <c r="C2060" t="s">
        <v>1431</v>
      </c>
      <c r="D2060" t="s">
        <v>1433</v>
      </c>
      <c r="E2060" t="s">
        <v>747</v>
      </c>
      <c r="F2060" s="9" t="s">
        <v>747</v>
      </c>
      <c r="G2060" s="18">
        <v>57131</v>
      </c>
      <c r="H2060">
        <v>0</v>
      </c>
      <c r="I2060" s="29">
        <f t="shared" si="32"/>
        <v>57131</v>
      </c>
      <c r="J2060" t="str">
        <f>IFERROR(VLOOKUP(E2060,'LEAID Match'!$A$2:$B$168,2,FALSE),"")</f>
        <v/>
      </c>
    </row>
    <row r="2061" spans="1:10">
      <c r="A2061">
        <v>2019</v>
      </c>
      <c r="B2061" t="s">
        <v>1429</v>
      </c>
      <c r="C2061" t="s">
        <v>1431</v>
      </c>
      <c r="D2061" t="s">
        <v>1433</v>
      </c>
      <c r="E2061" t="s">
        <v>747</v>
      </c>
      <c r="F2061" s="9" t="s">
        <v>747</v>
      </c>
      <c r="G2061" s="18">
        <v>71643</v>
      </c>
      <c r="H2061">
        <v>0</v>
      </c>
      <c r="I2061" s="29">
        <f t="shared" si="32"/>
        <v>71643</v>
      </c>
      <c r="J2061" t="str">
        <f>IFERROR(VLOOKUP(E2061,'LEAID Match'!$A$2:$B$168,2,FALSE),"")</f>
        <v/>
      </c>
    </row>
    <row r="2062" spans="1:10">
      <c r="A2062">
        <v>2015</v>
      </c>
      <c r="B2062" t="s">
        <v>1429</v>
      </c>
      <c r="C2062" t="s">
        <v>1431</v>
      </c>
      <c r="D2062" t="s">
        <v>1433</v>
      </c>
      <c r="E2062" t="s">
        <v>748</v>
      </c>
      <c r="F2062" s="9" t="s">
        <v>1222</v>
      </c>
      <c r="G2062" s="18">
        <v>58962.21</v>
      </c>
      <c r="H2062">
        <v>0</v>
      </c>
      <c r="I2062" s="29">
        <f t="shared" si="32"/>
        <v>58962.21</v>
      </c>
      <c r="J2062" t="str">
        <f>IFERROR(VLOOKUP(E2062,'LEAID Match'!$A$2:$B$168,2,FALSE),"")</f>
        <v/>
      </c>
    </row>
    <row r="2063" spans="1:10">
      <c r="A2063">
        <v>2016</v>
      </c>
      <c r="B2063" t="s">
        <v>1429</v>
      </c>
      <c r="C2063" t="s">
        <v>1431</v>
      </c>
      <c r="D2063" t="s">
        <v>1433</v>
      </c>
      <c r="E2063" t="s">
        <v>748</v>
      </c>
      <c r="F2063" t="s">
        <v>748</v>
      </c>
      <c r="G2063" s="28">
        <v>67373</v>
      </c>
      <c r="H2063">
        <v>0</v>
      </c>
      <c r="I2063" s="29">
        <f t="shared" si="32"/>
        <v>67373</v>
      </c>
      <c r="J2063" t="str">
        <f>IFERROR(VLOOKUP(E2063,'LEAID Match'!$A$2:$B$168,2,FALSE),"")</f>
        <v/>
      </c>
    </row>
    <row r="2064" spans="1:10">
      <c r="A2064">
        <v>2017</v>
      </c>
      <c r="B2064" t="s">
        <v>1429</v>
      </c>
      <c r="C2064" t="s">
        <v>1431</v>
      </c>
      <c r="D2064" t="s">
        <v>1433</v>
      </c>
      <c r="E2064" t="s">
        <v>748</v>
      </c>
      <c r="F2064" t="s">
        <v>748</v>
      </c>
      <c r="G2064" s="28">
        <v>48583</v>
      </c>
      <c r="H2064">
        <v>0</v>
      </c>
      <c r="I2064" s="29">
        <f t="shared" si="32"/>
        <v>48583</v>
      </c>
      <c r="J2064" t="str">
        <f>IFERROR(VLOOKUP(E2064,'LEAID Match'!$A$2:$B$168,2,FALSE),"")</f>
        <v/>
      </c>
    </row>
    <row r="2065" spans="1:10">
      <c r="A2065" s="27">
        <v>2018</v>
      </c>
      <c r="B2065" t="s">
        <v>1429</v>
      </c>
      <c r="C2065" t="s">
        <v>1431</v>
      </c>
      <c r="D2065" t="s">
        <v>1433</v>
      </c>
      <c r="E2065" t="s">
        <v>748</v>
      </c>
      <c r="F2065" s="9" t="s">
        <v>748</v>
      </c>
      <c r="G2065" s="18">
        <v>53966</v>
      </c>
      <c r="H2065">
        <v>0</v>
      </c>
      <c r="I2065" s="29">
        <f t="shared" si="32"/>
        <v>53966</v>
      </c>
      <c r="J2065" t="str">
        <f>IFERROR(VLOOKUP(E2065,'LEAID Match'!$A$2:$B$168,2,FALSE),"")</f>
        <v/>
      </c>
    </row>
    <row r="2066" spans="1:10">
      <c r="A2066">
        <v>2019</v>
      </c>
      <c r="B2066" t="s">
        <v>1429</v>
      </c>
      <c r="C2066" t="s">
        <v>1431</v>
      </c>
      <c r="D2066" t="s">
        <v>1433</v>
      </c>
      <c r="E2066" t="s">
        <v>748</v>
      </c>
      <c r="F2066" s="9" t="s">
        <v>748</v>
      </c>
      <c r="G2066" s="18">
        <v>55730</v>
      </c>
      <c r="H2066">
        <v>0</v>
      </c>
      <c r="I2066" s="29">
        <f t="shared" si="32"/>
        <v>55730</v>
      </c>
      <c r="J2066" t="str">
        <f>IFERROR(VLOOKUP(E2066,'LEAID Match'!$A$2:$B$168,2,FALSE),"")</f>
        <v/>
      </c>
    </row>
    <row r="2067" spans="1:10">
      <c r="A2067">
        <v>2015</v>
      </c>
      <c r="B2067" t="s">
        <v>1429</v>
      </c>
      <c r="C2067" t="s">
        <v>1431</v>
      </c>
      <c r="D2067" t="s">
        <v>1433</v>
      </c>
      <c r="E2067" t="s">
        <v>110</v>
      </c>
      <c r="F2067" s="9" t="s">
        <v>1223</v>
      </c>
      <c r="G2067" s="18">
        <v>105628.14</v>
      </c>
      <c r="H2067">
        <v>0</v>
      </c>
      <c r="I2067" s="29">
        <f t="shared" si="32"/>
        <v>105628.14</v>
      </c>
      <c r="J2067">
        <f>IFERROR(VLOOKUP(E2067,'LEAID Match'!$A$2:$B$168,2,FALSE),"")</f>
        <v>3305190</v>
      </c>
    </row>
    <row r="2068" spans="1:10">
      <c r="A2068">
        <v>2016</v>
      </c>
      <c r="B2068" t="s">
        <v>1429</v>
      </c>
      <c r="C2068" t="s">
        <v>1431</v>
      </c>
      <c r="D2068" t="s">
        <v>1433</v>
      </c>
      <c r="E2068" t="s">
        <v>110</v>
      </c>
      <c r="F2068" t="s">
        <v>749</v>
      </c>
      <c r="G2068" s="28">
        <v>111071</v>
      </c>
      <c r="H2068">
        <v>0</v>
      </c>
      <c r="I2068" s="29">
        <f t="shared" si="32"/>
        <v>111071</v>
      </c>
      <c r="J2068">
        <f>IFERROR(VLOOKUP(E2068,'LEAID Match'!$A$2:$B$168,2,FALSE),"")</f>
        <v>3305190</v>
      </c>
    </row>
    <row r="2069" spans="1:10">
      <c r="A2069">
        <v>2017</v>
      </c>
      <c r="B2069" t="s">
        <v>1429</v>
      </c>
      <c r="C2069" t="s">
        <v>1431</v>
      </c>
      <c r="D2069" t="s">
        <v>1433</v>
      </c>
      <c r="E2069" t="s">
        <v>110</v>
      </c>
      <c r="F2069" t="s">
        <v>749</v>
      </c>
      <c r="G2069" s="28">
        <v>124374</v>
      </c>
      <c r="H2069">
        <v>0</v>
      </c>
      <c r="I2069" s="29">
        <f t="shared" si="32"/>
        <v>124374</v>
      </c>
      <c r="J2069">
        <f>IFERROR(VLOOKUP(E2069,'LEAID Match'!$A$2:$B$168,2,FALSE),"")</f>
        <v>3305190</v>
      </c>
    </row>
    <row r="2070" spans="1:10">
      <c r="A2070" s="27">
        <v>2018</v>
      </c>
      <c r="B2070" t="s">
        <v>1429</v>
      </c>
      <c r="C2070" t="s">
        <v>1431</v>
      </c>
      <c r="D2070" t="s">
        <v>1433</v>
      </c>
      <c r="E2070" t="s">
        <v>110</v>
      </c>
      <c r="F2070" s="9" t="s">
        <v>749</v>
      </c>
      <c r="G2070" s="18">
        <v>153115</v>
      </c>
      <c r="H2070">
        <v>0</v>
      </c>
      <c r="I2070" s="29">
        <f t="shared" si="32"/>
        <v>153115</v>
      </c>
      <c r="J2070">
        <f>IFERROR(VLOOKUP(E2070,'LEAID Match'!$A$2:$B$168,2,FALSE),"")</f>
        <v>3305190</v>
      </c>
    </row>
    <row r="2071" spans="1:10">
      <c r="A2071">
        <v>2019</v>
      </c>
      <c r="B2071" t="s">
        <v>1429</v>
      </c>
      <c r="C2071" t="s">
        <v>1431</v>
      </c>
      <c r="D2071" t="s">
        <v>1433</v>
      </c>
      <c r="E2071" t="s">
        <v>110</v>
      </c>
      <c r="F2071" s="9" t="s">
        <v>749</v>
      </c>
      <c r="G2071" s="18">
        <v>151093</v>
      </c>
      <c r="H2071">
        <v>0</v>
      </c>
      <c r="I2071" s="29">
        <f t="shared" si="32"/>
        <v>151093</v>
      </c>
      <c r="J2071">
        <f>IFERROR(VLOOKUP(E2071,'LEAID Match'!$A$2:$B$168,2,FALSE),"")</f>
        <v>3305190</v>
      </c>
    </row>
    <row r="2072" spans="1:10">
      <c r="A2072" s="27">
        <v>2020</v>
      </c>
      <c r="B2072" t="s">
        <v>1429</v>
      </c>
      <c r="C2072" t="s">
        <v>1431</v>
      </c>
      <c r="D2072" t="s">
        <v>1433</v>
      </c>
      <c r="E2072" t="s">
        <v>110</v>
      </c>
      <c r="F2072" s="9" t="s">
        <v>110</v>
      </c>
      <c r="G2072" s="18">
        <v>159038</v>
      </c>
      <c r="H2072">
        <v>0</v>
      </c>
      <c r="I2072" s="29">
        <f t="shared" si="32"/>
        <v>159038</v>
      </c>
      <c r="J2072">
        <f>IFERROR(VLOOKUP(E2072,'LEAID Match'!$A$2:$B$168,2,FALSE),"")</f>
        <v>3305190</v>
      </c>
    </row>
    <row r="2073" spans="1:10">
      <c r="A2073">
        <v>2021</v>
      </c>
      <c r="B2073" t="s">
        <v>1429</v>
      </c>
      <c r="C2073" t="s">
        <v>1431</v>
      </c>
      <c r="D2073" t="s">
        <v>1433</v>
      </c>
      <c r="E2073" t="s">
        <v>110</v>
      </c>
      <c r="F2073" s="9" t="s">
        <v>110</v>
      </c>
      <c r="G2073" s="18">
        <v>153428</v>
      </c>
      <c r="H2073">
        <v>0</v>
      </c>
      <c r="I2073" s="29">
        <f t="shared" si="32"/>
        <v>153428</v>
      </c>
      <c r="J2073">
        <f>IFERROR(VLOOKUP(E2073,'LEAID Match'!$A$2:$B$168,2,FALSE),"")</f>
        <v>3305190</v>
      </c>
    </row>
    <row r="2074" spans="1:10">
      <c r="A2074">
        <v>2022</v>
      </c>
      <c r="B2074" t="s">
        <v>1429</v>
      </c>
      <c r="C2074" t="s">
        <v>1431</v>
      </c>
      <c r="D2074" t="s">
        <v>1433</v>
      </c>
      <c r="E2074" t="s">
        <v>110</v>
      </c>
      <c r="F2074" s="9" t="s">
        <v>110</v>
      </c>
      <c r="G2074" s="18">
        <v>203430</v>
      </c>
      <c r="H2074">
        <v>0</v>
      </c>
      <c r="I2074" s="29">
        <f t="shared" si="32"/>
        <v>203430</v>
      </c>
      <c r="J2074">
        <f>IFERROR(VLOOKUP(E2074,'LEAID Match'!$A$2:$B$168,2,FALSE),"")</f>
        <v>3305190</v>
      </c>
    </row>
    <row r="2075" spans="1:10">
      <c r="A2075">
        <v>2023</v>
      </c>
      <c r="B2075" t="s">
        <v>1429</v>
      </c>
      <c r="C2075" t="s">
        <v>1431</v>
      </c>
      <c r="D2075" t="s">
        <v>1433</v>
      </c>
      <c r="E2075" t="s">
        <v>110</v>
      </c>
      <c r="F2075" t="s">
        <v>110</v>
      </c>
      <c r="G2075" s="28">
        <v>228836</v>
      </c>
      <c r="H2075">
        <v>0</v>
      </c>
      <c r="I2075" s="29">
        <f t="shared" si="32"/>
        <v>228836</v>
      </c>
      <c r="J2075">
        <f>IFERROR(VLOOKUP(E2075,'LEAID Match'!$A$2:$B$168,2,FALSE),"")</f>
        <v>3305190</v>
      </c>
    </row>
    <row r="2076" spans="1:10">
      <c r="A2076">
        <v>2015</v>
      </c>
      <c r="B2076" t="s">
        <v>1429</v>
      </c>
      <c r="C2076" t="s">
        <v>1431</v>
      </c>
      <c r="D2076" t="s">
        <v>1433</v>
      </c>
      <c r="E2076" t="s">
        <v>111</v>
      </c>
      <c r="F2076" s="9" t="s">
        <v>1224</v>
      </c>
      <c r="G2076" s="18">
        <v>1164995.5900000001</v>
      </c>
      <c r="H2076">
        <v>0</v>
      </c>
      <c r="I2076" s="29">
        <f t="shared" si="32"/>
        <v>1164995.5900000001</v>
      </c>
      <c r="J2076">
        <f>IFERROR(VLOOKUP(E2076,'LEAID Match'!$A$2:$B$168,2,FALSE),"")</f>
        <v>3305220</v>
      </c>
    </row>
    <row r="2077" spans="1:10">
      <c r="A2077">
        <v>2016</v>
      </c>
      <c r="B2077" t="s">
        <v>1429</v>
      </c>
      <c r="C2077" t="s">
        <v>1431</v>
      </c>
      <c r="D2077" t="s">
        <v>1433</v>
      </c>
      <c r="E2077" t="s">
        <v>111</v>
      </c>
      <c r="F2077" t="s">
        <v>750</v>
      </c>
      <c r="G2077" s="28">
        <v>1273862</v>
      </c>
      <c r="H2077">
        <v>0</v>
      </c>
      <c r="I2077" s="29">
        <f t="shared" si="32"/>
        <v>1273862</v>
      </c>
      <c r="J2077">
        <f>IFERROR(VLOOKUP(E2077,'LEAID Match'!$A$2:$B$168,2,FALSE),"")</f>
        <v>3305220</v>
      </c>
    </row>
    <row r="2078" spans="1:10">
      <c r="A2078">
        <v>2017</v>
      </c>
      <c r="B2078" t="s">
        <v>1429</v>
      </c>
      <c r="C2078" t="s">
        <v>1431</v>
      </c>
      <c r="D2078" t="s">
        <v>1433</v>
      </c>
      <c r="E2078" t="s">
        <v>111</v>
      </c>
      <c r="F2078" t="s">
        <v>750</v>
      </c>
      <c r="G2078" s="28">
        <v>1299338</v>
      </c>
      <c r="H2078">
        <v>0</v>
      </c>
      <c r="I2078" s="29">
        <f t="shared" si="32"/>
        <v>1299338</v>
      </c>
      <c r="J2078">
        <f>IFERROR(VLOOKUP(E2078,'LEAID Match'!$A$2:$B$168,2,FALSE),"")</f>
        <v>3305220</v>
      </c>
    </row>
    <row r="2079" spans="1:10">
      <c r="A2079" s="27">
        <v>2018</v>
      </c>
      <c r="B2079" t="s">
        <v>1429</v>
      </c>
      <c r="C2079" t="s">
        <v>1431</v>
      </c>
      <c r="D2079" t="s">
        <v>1433</v>
      </c>
      <c r="E2079" t="s">
        <v>111</v>
      </c>
      <c r="F2079" s="9" t="s">
        <v>750</v>
      </c>
      <c r="G2079" s="18">
        <v>1513869</v>
      </c>
      <c r="H2079">
        <v>0</v>
      </c>
      <c r="I2079" s="29">
        <f t="shared" si="32"/>
        <v>1513869</v>
      </c>
      <c r="J2079">
        <f>IFERROR(VLOOKUP(E2079,'LEAID Match'!$A$2:$B$168,2,FALSE),"")</f>
        <v>3305220</v>
      </c>
    </row>
    <row r="2080" spans="1:10">
      <c r="A2080">
        <v>2019</v>
      </c>
      <c r="B2080" t="s">
        <v>1429</v>
      </c>
      <c r="C2080" t="s">
        <v>1431</v>
      </c>
      <c r="D2080" t="s">
        <v>1433</v>
      </c>
      <c r="E2080" t="s">
        <v>111</v>
      </c>
      <c r="F2080" s="9" t="s">
        <v>750</v>
      </c>
      <c r="G2080" s="18">
        <v>1543562</v>
      </c>
      <c r="H2080">
        <v>0</v>
      </c>
      <c r="I2080" s="29">
        <f t="shared" si="32"/>
        <v>1543562</v>
      </c>
      <c r="J2080">
        <f>IFERROR(VLOOKUP(E2080,'LEAID Match'!$A$2:$B$168,2,FALSE),"")</f>
        <v>3305220</v>
      </c>
    </row>
    <row r="2081" spans="1:10">
      <c r="A2081" s="27">
        <v>2020</v>
      </c>
      <c r="B2081" t="s">
        <v>1429</v>
      </c>
      <c r="C2081" t="s">
        <v>1431</v>
      </c>
      <c r="D2081" t="s">
        <v>1433</v>
      </c>
      <c r="E2081" t="s">
        <v>111</v>
      </c>
      <c r="F2081" s="9" t="s">
        <v>111</v>
      </c>
      <c r="G2081" s="18">
        <v>1584482</v>
      </c>
      <c r="H2081">
        <v>0</v>
      </c>
      <c r="I2081" s="29">
        <f t="shared" si="32"/>
        <v>1584482</v>
      </c>
      <c r="J2081">
        <f>IFERROR(VLOOKUP(E2081,'LEAID Match'!$A$2:$B$168,2,FALSE),"")</f>
        <v>3305220</v>
      </c>
    </row>
    <row r="2082" spans="1:10">
      <c r="A2082">
        <v>2021</v>
      </c>
      <c r="B2082" t="s">
        <v>1429</v>
      </c>
      <c r="C2082" t="s">
        <v>1431</v>
      </c>
      <c r="D2082" t="s">
        <v>1433</v>
      </c>
      <c r="E2082" t="s">
        <v>111</v>
      </c>
      <c r="F2082" s="9" t="s">
        <v>111</v>
      </c>
      <c r="G2082" s="18">
        <v>1622046</v>
      </c>
      <c r="H2082">
        <v>0</v>
      </c>
      <c r="I2082" s="29">
        <f t="shared" si="32"/>
        <v>1622046</v>
      </c>
      <c r="J2082">
        <f>IFERROR(VLOOKUP(E2082,'LEAID Match'!$A$2:$B$168,2,FALSE),"")</f>
        <v>3305220</v>
      </c>
    </row>
    <row r="2083" spans="1:10">
      <c r="A2083">
        <v>2022</v>
      </c>
      <c r="B2083" t="s">
        <v>1429</v>
      </c>
      <c r="C2083" t="s">
        <v>1431</v>
      </c>
      <c r="D2083" t="s">
        <v>1433</v>
      </c>
      <c r="E2083" t="s">
        <v>111</v>
      </c>
      <c r="F2083" s="9" t="s">
        <v>111</v>
      </c>
      <c r="G2083" s="18">
        <v>2098401</v>
      </c>
      <c r="H2083">
        <v>0</v>
      </c>
      <c r="I2083" s="29">
        <f t="shared" si="32"/>
        <v>2098401</v>
      </c>
      <c r="J2083">
        <f>IFERROR(VLOOKUP(E2083,'LEAID Match'!$A$2:$B$168,2,FALSE),"")</f>
        <v>3305220</v>
      </c>
    </row>
    <row r="2084" spans="1:10">
      <c r="A2084">
        <v>2023</v>
      </c>
      <c r="B2084" t="s">
        <v>1429</v>
      </c>
      <c r="C2084" t="s">
        <v>1431</v>
      </c>
      <c r="D2084" t="s">
        <v>1433</v>
      </c>
      <c r="E2084" t="s">
        <v>111</v>
      </c>
      <c r="F2084" t="s">
        <v>111</v>
      </c>
      <c r="G2084" s="28">
        <v>2091173</v>
      </c>
      <c r="H2084">
        <v>0</v>
      </c>
      <c r="I2084" s="29">
        <f t="shared" si="32"/>
        <v>2091173</v>
      </c>
      <c r="J2084">
        <f>IFERROR(VLOOKUP(E2084,'LEAID Match'!$A$2:$B$168,2,FALSE),"")</f>
        <v>3305220</v>
      </c>
    </row>
    <row r="2085" spans="1:10">
      <c r="A2085">
        <v>2015</v>
      </c>
      <c r="B2085" t="s">
        <v>1429</v>
      </c>
      <c r="C2085" t="s">
        <v>1431</v>
      </c>
      <c r="D2085" t="s">
        <v>1433</v>
      </c>
      <c r="E2085" t="s">
        <v>751</v>
      </c>
      <c r="F2085" s="9" t="s">
        <v>1225</v>
      </c>
      <c r="G2085" s="18">
        <v>346615.18</v>
      </c>
      <c r="H2085">
        <v>0</v>
      </c>
      <c r="I2085" s="29">
        <f t="shared" si="32"/>
        <v>346615.18</v>
      </c>
      <c r="J2085" t="str">
        <f>IFERROR(VLOOKUP(E2085,'LEAID Match'!$A$2:$B$168,2,FALSE),"")</f>
        <v/>
      </c>
    </row>
    <row r="2086" spans="1:10">
      <c r="A2086">
        <v>2016</v>
      </c>
      <c r="B2086" t="s">
        <v>1429</v>
      </c>
      <c r="C2086" t="s">
        <v>1431</v>
      </c>
      <c r="D2086" t="s">
        <v>1433</v>
      </c>
      <c r="E2086" t="s">
        <v>751</v>
      </c>
      <c r="F2086" t="s">
        <v>751</v>
      </c>
      <c r="G2086" s="28">
        <v>367052</v>
      </c>
      <c r="H2086">
        <v>0</v>
      </c>
      <c r="I2086" s="29">
        <f t="shared" si="32"/>
        <v>367052</v>
      </c>
      <c r="J2086" t="str">
        <f>IFERROR(VLOOKUP(E2086,'LEAID Match'!$A$2:$B$168,2,FALSE),"")</f>
        <v/>
      </c>
    </row>
    <row r="2087" spans="1:10">
      <c r="A2087">
        <v>2017</v>
      </c>
      <c r="B2087" t="s">
        <v>1429</v>
      </c>
      <c r="C2087" t="s">
        <v>1431</v>
      </c>
      <c r="D2087" t="s">
        <v>1433</v>
      </c>
      <c r="E2087" t="s">
        <v>751</v>
      </c>
      <c r="F2087" t="s">
        <v>751</v>
      </c>
      <c r="G2087" s="28">
        <v>367358</v>
      </c>
      <c r="H2087">
        <v>0</v>
      </c>
      <c r="I2087" s="29">
        <f t="shared" si="32"/>
        <v>367358</v>
      </c>
      <c r="J2087" t="str">
        <f>IFERROR(VLOOKUP(E2087,'LEAID Match'!$A$2:$B$168,2,FALSE),"")</f>
        <v/>
      </c>
    </row>
    <row r="2088" spans="1:10">
      <c r="A2088" s="27">
        <v>2018</v>
      </c>
      <c r="B2088" t="s">
        <v>1429</v>
      </c>
      <c r="C2088" t="s">
        <v>1431</v>
      </c>
      <c r="D2088" t="s">
        <v>1433</v>
      </c>
      <c r="E2088" t="s">
        <v>751</v>
      </c>
      <c r="F2088" s="9" t="s">
        <v>751</v>
      </c>
      <c r="G2088" s="18">
        <v>410041</v>
      </c>
      <c r="H2088">
        <v>0</v>
      </c>
      <c r="I2088" s="29">
        <f t="shared" si="32"/>
        <v>410041</v>
      </c>
      <c r="J2088" t="str">
        <f>IFERROR(VLOOKUP(E2088,'LEAID Match'!$A$2:$B$168,2,FALSE),"")</f>
        <v/>
      </c>
    </row>
    <row r="2089" spans="1:10">
      <c r="A2089">
        <v>2019</v>
      </c>
      <c r="B2089" t="s">
        <v>1429</v>
      </c>
      <c r="C2089" t="s">
        <v>1431</v>
      </c>
      <c r="D2089" t="s">
        <v>1433</v>
      </c>
      <c r="E2089" t="s">
        <v>751</v>
      </c>
      <c r="F2089" s="9" t="s">
        <v>751</v>
      </c>
      <c r="G2089" s="18">
        <v>444310</v>
      </c>
      <c r="H2089">
        <v>0</v>
      </c>
      <c r="I2089" s="29">
        <f t="shared" si="32"/>
        <v>444310</v>
      </c>
      <c r="J2089" t="str">
        <f>IFERROR(VLOOKUP(E2089,'LEAID Match'!$A$2:$B$168,2,FALSE),"")</f>
        <v/>
      </c>
    </row>
    <row r="2090" spans="1:10">
      <c r="A2090">
        <v>2015</v>
      </c>
      <c r="B2090" t="s">
        <v>1429</v>
      </c>
      <c r="C2090" t="s">
        <v>1431</v>
      </c>
      <c r="D2090" t="s">
        <v>1433</v>
      </c>
      <c r="E2090" t="s">
        <v>112</v>
      </c>
      <c r="F2090" s="9" t="s">
        <v>1226</v>
      </c>
      <c r="G2090" s="18">
        <v>62385.02</v>
      </c>
      <c r="H2090">
        <v>0</v>
      </c>
      <c r="I2090" s="29">
        <f t="shared" si="32"/>
        <v>62385.02</v>
      </c>
      <c r="J2090">
        <f>IFERROR(VLOOKUP(E2090,'LEAID Match'!$A$2:$B$168,2,FALSE),"")</f>
        <v>3305250</v>
      </c>
    </row>
    <row r="2091" spans="1:10">
      <c r="A2091">
        <v>2016</v>
      </c>
      <c r="B2091" t="s">
        <v>1429</v>
      </c>
      <c r="C2091" t="s">
        <v>1431</v>
      </c>
      <c r="D2091" t="s">
        <v>1433</v>
      </c>
      <c r="E2091" t="s">
        <v>112</v>
      </c>
      <c r="F2091" t="s">
        <v>752</v>
      </c>
      <c r="G2091" s="28">
        <v>67067</v>
      </c>
      <c r="H2091">
        <v>0</v>
      </c>
      <c r="I2091" s="29">
        <f t="shared" si="32"/>
        <v>67067</v>
      </c>
      <c r="J2091">
        <f>IFERROR(VLOOKUP(E2091,'LEAID Match'!$A$2:$B$168,2,FALSE),"")</f>
        <v>3305250</v>
      </c>
    </row>
    <row r="2092" spans="1:10">
      <c r="A2092">
        <v>2017</v>
      </c>
      <c r="B2092" t="s">
        <v>1429</v>
      </c>
      <c r="C2092" t="s">
        <v>1431</v>
      </c>
      <c r="D2092" t="s">
        <v>1433</v>
      </c>
      <c r="E2092" t="s">
        <v>112</v>
      </c>
      <c r="F2092" t="s">
        <v>752</v>
      </c>
      <c r="G2092" s="28">
        <v>66251</v>
      </c>
      <c r="H2092">
        <v>0</v>
      </c>
      <c r="I2092" s="29">
        <f t="shared" si="32"/>
        <v>66251</v>
      </c>
      <c r="J2092">
        <f>IFERROR(VLOOKUP(E2092,'LEAID Match'!$A$2:$B$168,2,FALSE),"")</f>
        <v>3305250</v>
      </c>
    </row>
    <row r="2093" spans="1:10">
      <c r="A2093" s="27">
        <v>2018</v>
      </c>
      <c r="B2093" t="s">
        <v>1429</v>
      </c>
      <c r="C2093" t="s">
        <v>1431</v>
      </c>
      <c r="D2093" t="s">
        <v>1433</v>
      </c>
      <c r="E2093" t="s">
        <v>112</v>
      </c>
      <c r="F2093" s="9" t="s">
        <v>752</v>
      </c>
      <c r="G2093" s="18">
        <v>84514</v>
      </c>
      <c r="H2093">
        <v>0</v>
      </c>
      <c r="I2093" s="29">
        <f t="shared" si="32"/>
        <v>84514</v>
      </c>
      <c r="J2093">
        <f>IFERROR(VLOOKUP(E2093,'LEAID Match'!$A$2:$B$168,2,FALSE),"")</f>
        <v>3305250</v>
      </c>
    </row>
    <row r="2094" spans="1:10">
      <c r="A2094">
        <v>2019</v>
      </c>
      <c r="B2094" t="s">
        <v>1429</v>
      </c>
      <c r="C2094" t="s">
        <v>1431</v>
      </c>
      <c r="D2094" t="s">
        <v>1433</v>
      </c>
      <c r="E2094" t="s">
        <v>112</v>
      </c>
      <c r="F2094" s="9" t="s">
        <v>752</v>
      </c>
      <c r="G2094" s="18">
        <v>80581</v>
      </c>
      <c r="H2094">
        <v>0</v>
      </c>
      <c r="I2094" s="29">
        <f t="shared" si="32"/>
        <v>80581</v>
      </c>
      <c r="J2094">
        <f>IFERROR(VLOOKUP(E2094,'LEAID Match'!$A$2:$B$168,2,FALSE),"")</f>
        <v>3305250</v>
      </c>
    </row>
    <row r="2095" spans="1:10">
      <c r="A2095" s="27">
        <v>2020</v>
      </c>
      <c r="B2095" t="s">
        <v>1429</v>
      </c>
      <c r="C2095" t="s">
        <v>1431</v>
      </c>
      <c r="D2095" t="s">
        <v>1433</v>
      </c>
      <c r="E2095" t="s">
        <v>112</v>
      </c>
      <c r="F2095" s="9" t="s">
        <v>112</v>
      </c>
      <c r="G2095" s="18">
        <v>85697</v>
      </c>
      <c r="H2095">
        <v>0</v>
      </c>
      <c r="I2095" s="29">
        <f t="shared" si="32"/>
        <v>85697</v>
      </c>
      <c r="J2095">
        <f>IFERROR(VLOOKUP(E2095,'LEAID Match'!$A$2:$B$168,2,FALSE),"")</f>
        <v>3305250</v>
      </c>
    </row>
    <row r="2096" spans="1:10">
      <c r="A2096">
        <v>2021</v>
      </c>
      <c r="B2096" t="s">
        <v>1429</v>
      </c>
      <c r="C2096" t="s">
        <v>1431</v>
      </c>
      <c r="D2096" t="s">
        <v>1433</v>
      </c>
      <c r="E2096" t="s">
        <v>112</v>
      </c>
      <c r="F2096" s="9" t="s">
        <v>112</v>
      </c>
      <c r="G2096" s="18">
        <v>84203</v>
      </c>
      <c r="H2096">
        <v>0</v>
      </c>
      <c r="I2096" s="29">
        <f t="shared" si="32"/>
        <v>84203</v>
      </c>
      <c r="J2096">
        <f>IFERROR(VLOOKUP(E2096,'LEAID Match'!$A$2:$B$168,2,FALSE),"")</f>
        <v>3305250</v>
      </c>
    </row>
    <row r="2097" spans="1:10">
      <c r="A2097">
        <v>2022</v>
      </c>
      <c r="B2097" t="s">
        <v>1429</v>
      </c>
      <c r="C2097" t="s">
        <v>1431</v>
      </c>
      <c r="D2097" t="s">
        <v>1433</v>
      </c>
      <c r="E2097" t="s">
        <v>112</v>
      </c>
      <c r="F2097" s="9" t="s">
        <v>112</v>
      </c>
      <c r="G2097" s="18">
        <v>105833</v>
      </c>
      <c r="H2097">
        <v>0</v>
      </c>
      <c r="I2097" s="29">
        <f t="shared" si="32"/>
        <v>105833</v>
      </c>
      <c r="J2097">
        <f>IFERROR(VLOOKUP(E2097,'LEAID Match'!$A$2:$B$168,2,FALSE),"")</f>
        <v>3305250</v>
      </c>
    </row>
    <row r="2098" spans="1:10">
      <c r="A2098">
        <v>2023</v>
      </c>
      <c r="B2098" t="s">
        <v>1429</v>
      </c>
      <c r="C2098" t="s">
        <v>1431</v>
      </c>
      <c r="D2098" t="s">
        <v>1433</v>
      </c>
      <c r="E2098" t="s">
        <v>112</v>
      </c>
      <c r="F2098" t="s">
        <v>112</v>
      </c>
      <c r="G2098" s="28">
        <v>113899</v>
      </c>
      <c r="H2098">
        <v>0</v>
      </c>
      <c r="I2098" s="29">
        <f t="shared" si="32"/>
        <v>113899</v>
      </c>
      <c r="J2098">
        <f>IFERROR(VLOOKUP(E2098,'LEAID Match'!$A$2:$B$168,2,FALSE),"")</f>
        <v>3305250</v>
      </c>
    </row>
    <row r="2099" spans="1:10">
      <c r="A2099">
        <v>2015</v>
      </c>
      <c r="B2099" t="s">
        <v>1429</v>
      </c>
      <c r="C2099" t="s">
        <v>1431</v>
      </c>
      <c r="D2099" t="s">
        <v>1433</v>
      </c>
      <c r="E2099" t="s">
        <v>753</v>
      </c>
      <c r="F2099" s="9" t="s">
        <v>1227</v>
      </c>
      <c r="G2099" s="18">
        <v>406680.3</v>
      </c>
      <c r="H2099">
        <v>0</v>
      </c>
      <c r="I2099" s="29">
        <f t="shared" si="32"/>
        <v>406680.3</v>
      </c>
      <c r="J2099" t="str">
        <f>IFERROR(VLOOKUP(E2099,'LEAID Match'!$A$2:$B$168,2,FALSE),"")</f>
        <v/>
      </c>
    </row>
    <row r="2100" spans="1:10">
      <c r="A2100">
        <v>2016</v>
      </c>
      <c r="B2100" t="s">
        <v>1429</v>
      </c>
      <c r="C2100" t="s">
        <v>1431</v>
      </c>
      <c r="D2100" t="s">
        <v>1433</v>
      </c>
      <c r="E2100" t="s">
        <v>753</v>
      </c>
      <c r="F2100" t="s">
        <v>753</v>
      </c>
      <c r="G2100" s="28">
        <v>426510</v>
      </c>
      <c r="H2100">
        <v>0</v>
      </c>
      <c r="I2100" s="29">
        <f t="shared" si="32"/>
        <v>426510</v>
      </c>
      <c r="J2100" t="str">
        <f>IFERROR(VLOOKUP(E2100,'LEAID Match'!$A$2:$B$168,2,FALSE),"")</f>
        <v/>
      </c>
    </row>
    <row r="2101" spans="1:10">
      <c r="A2101">
        <v>2017</v>
      </c>
      <c r="B2101" t="s">
        <v>1429</v>
      </c>
      <c r="C2101" t="s">
        <v>1431</v>
      </c>
      <c r="D2101" t="s">
        <v>1433</v>
      </c>
      <c r="E2101" t="s">
        <v>753</v>
      </c>
      <c r="F2101" t="s">
        <v>753</v>
      </c>
      <c r="G2101" s="28">
        <v>434112</v>
      </c>
      <c r="H2101">
        <v>0</v>
      </c>
      <c r="I2101" s="29">
        <f t="shared" si="32"/>
        <v>434112</v>
      </c>
      <c r="J2101" t="str">
        <f>IFERROR(VLOOKUP(E2101,'LEAID Match'!$A$2:$B$168,2,FALSE),"")</f>
        <v/>
      </c>
    </row>
    <row r="2102" spans="1:10">
      <c r="A2102" s="27">
        <v>2018</v>
      </c>
      <c r="B2102" t="s">
        <v>1429</v>
      </c>
      <c r="C2102" t="s">
        <v>1431</v>
      </c>
      <c r="D2102" t="s">
        <v>1433</v>
      </c>
      <c r="E2102" t="s">
        <v>753</v>
      </c>
      <c r="F2102" s="9" t="s">
        <v>753</v>
      </c>
      <c r="G2102" s="18">
        <v>496365</v>
      </c>
      <c r="H2102">
        <v>0</v>
      </c>
      <c r="I2102" s="29">
        <f t="shared" si="32"/>
        <v>496365</v>
      </c>
      <c r="J2102" t="str">
        <f>IFERROR(VLOOKUP(E2102,'LEAID Match'!$A$2:$B$168,2,FALSE),"")</f>
        <v/>
      </c>
    </row>
    <row r="2103" spans="1:10">
      <c r="A2103">
        <v>2019</v>
      </c>
      <c r="B2103" t="s">
        <v>1429</v>
      </c>
      <c r="C2103" t="s">
        <v>1431</v>
      </c>
      <c r="D2103" t="s">
        <v>1433</v>
      </c>
      <c r="E2103" t="s">
        <v>753</v>
      </c>
      <c r="F2103" s="9" t="s">
        <v>753</v>
      </c>
      <c r="G2103" s="18">
        <v>526916</v>
      </c>
      <c r="H2103">
        <v>0</v>
      </c>
      <c r="I2103" s="29">
        <f t="shared" si="32"/>
        <v>526916</v>
      </c>
      <c r="J2103" t="str">
        <f>IFERROR(VLOOKUP(E2103,'LEAID Match'!$A$2:$B$168,2,FALSE),"")</f>
        <v/>
      </c>
    </row>
    <row r="2104" spans="1:10">
      <c r="A2104" s="27">
        <v>2020</v>
      </c>
      <c r="B2104" t="s">
        <v>1429</v>
      </c>
      <c r="C2104" t="s">
        <v>1431</v>
      </c>
      <c r="D2104" t="s">
        <v>1433</v>
      </c>
      <c r="E2104" t="s">
        <v>113</v>
      </c>
      <c r="F2104" s="9" t="s">
        <v>113</v>
      </c>
      <c r="G2104" s="18">
        <v>3743</v>
      </c>
      <c r="H2104">
        <v>0</v>
      </c>
      <c r="I2104" s="29">
        <f t="shared" si="32"/>
        <v>3743</v>
      </c>
      <c r="J2104" t="str">
        <f>IFERROR(VLOOKUP(E2104,'LEAID Match'!$A$2:$B$168,2,FALSE),"")</f>
        <v/>
      </c>
    </row>
    <row r="2105" spans="1:10">
      <c r="A2105">
        <v>2021</v>
      </c>
      <c r="B2105" t="s">
        <v>1429</v>
      </c>
      <c r="C2105" t="s">
        <v>1431</v>
      </c>
      <c r="D2105" t="s">
        <v>1433</v>
      </c>
      <c r="E2105" t="s">
        <v>113</v>
      </c>
      <c r="F2105" s="9" t="s">
        <v>113</v>
      </c>
      <c r="G2105" s="18">
        <v>9237</v>
      </c>
      <c r="H2105">
        <v>0</v>
      </c>
      <c r="I2105" s="29">
        <f t="shared" si="32"/>
        <v>9237</v>
      </c>
      <c r="J2105" t="str">
        <f>IFERROR(VLOOKUP(E2105,'LEAID Match'!$A$2:$B$168,2,FALSE),"")</f>
        <v/>
      </c>
    </row>
    <row r="2106" spans="1:10">
      <c r="A2106">
        <v>2022</v>
      </c>
      <c r="B2106" t="s">
        <v>1429</v>
      </c>
      <c r="C2106" t="s">
        <v>1431</v>
      </c>
      <c r="D2106" t="s">
        <v>1433</v>
      </c>
      <c r="E2106" t="s">
        <v>113</v>
      </c>
      <c r="F2106" s="9" t="s">
        <v>113</v>
      </c>
      <c r="G2106" s="18">
        <v>18387</v>
      </c>
      <c r="H2106">
        <v>0</v>
      </c>
      <c r="I2106" s="29">
        <f t="shared" si="32"/>
        <v>18387</v>
      </c>
      <c r="J2106" t="str">
        <f>IFERROR(VLOOKUP(E2106,'LEAID Match'!$A$2:$B$168,2,FALSE),"")</f>
        <v/>
      </c>
    </row>
    <row r="2107" spans="1:10">
      <c r="A2107">
        <v>2023</v>
      </c>
      <c r="B2107" t="s">
        <v>1429</v>
      </c>
      <c r="C2107" t="s">
        <v>1431</v>
      </c>
      <c r="D2107" t="s">
        <v>1433</v>
      </c>
      <c r="E2107" t="s">
        <v>113</v>
      </c>
      <c r="F2107" t="s">
        <v>113</v>
      </c>
      <c r="G2107" s="28">
        <v>28487</v>
      </c>
      <c r="H2107">
        <v>0</v>
      </c>
      <c r="I2107" s="29">
        <f t="shared" si="32"/>
        <v>28487</v>
      </c>
      <c r="J2107" t="str">
        <f>IFERROR(VLOOKUP(E2107,'LEAID Match'!$A$2:$B$168,2,FALSE),"")</f>
        <v/>
      </c>
    </row>
    <row r="2108" spans="1:10">
      <c r="A2108">
        <v>2015</v>
      </c>
      <c r="B2108" t="s">
        <v>1429</v>
      </c>
      <c r="C2108" t="s">
        <v>1431</v>
      </c>
      <c r="D2108" t="s">
        <v>1433</v>
      </c>
      <c r="E2108" t="s">
        <v>114</v>
      </c>
      <c r="F2108" s="9" t="s">
        <v>1228</v>
      </c>
      <c r="G2108" s="18">
        <v>952341.79</v>
      </c>
      <c r="H2108">
        <v>0</v>
      </c>
      <c r="I2108" s="29">
        <f t="shared" si="32"/>
        <v>952341.79</v>
      </c>
      <c r="J2108">
        <f>IFERROR(VLOOKUP(E2108,'LEAID Match'!$A$2:$B$168,2,FALSE),"")</f>
        <v>3305280</v>
      </c>
    </row>
    <row r="2109" spans="1:10">
      <c r="A2109">
        <v>2016</v>
      </c>
      <c r="B2109" t="s">
        <v>1429</v>
      </c>
      <c r="C2109" t="s">
        <v>1431</v>
      </c>
      <c r="D2109" t="s">
        <v>1433</v>
      </c>
      <c r="E2109" t="s">
        <v>114</v>
      </c>
      <c r="F2109" t="s">
        <v>754</v>
      </c>
      <c r="G2109" s="28">
        <v>1046578</v>
      </c>
      <c r="H2109">
        <v>0</v>
      </c>
      <c r="I2109" s="29">
        <f t="shared" si="32"/>
        <v>1046578</v>
      </c>
      <c r="J2109">
        <f>IFERROR(VLOOKUP(E2109,'LEAID Match'!$A$2:$B$168,2,FALSE),"")</f>
        <v>3305280</v>
      </c>
    </row>
    <row r="2110" spans="1:10">
      <c r="A2110">
        <v>2017</v>
      </c>
      <c r="B2110" t="s">
        <v>1429</v>
      </c>
      <c r="C2110" t="s">
        <v>1431</v>
      </c>
      <c r="D2110" t="s">
        <v>1433</v>
      </c>
      <c r="E2110" t="s">
        <v>114</v>
      </c>
      <c r="F2110" t="s">
        <v>754</v>
      </c>
      <c r="G2110" s="28">
        <v>1084927</v>
      </c>
      <c r="H2110">
        <v>0</v>
      </c>
      <c r="I2110" s="29">
        <f t="shared" si="32"/>
        <v>1084927</v>
      </c>
      <c r="J2110">
        <f>IFERROR(VLOOKUP(E2110,'LEAID Match'!$A$2:$B$168,2,FALSE),"")</f>
        <v>3305280</v>
      </c>
    </row>
    <row r="2111" spans="1:10">
      <c r="A2111" s="27">
        <v>2018</v>
      </c>
      <c r="B2111" t="s">
        <v>1429</v>
      </c>
      <c r="C2111" t="s">
        <v>1431</v>
      </c>
      <c r="D2111" t="s">
        <v>1433</v>
      </c>
      <c r="E2111" t="s">
        <v>114</v>
      </c>
      <c r="F2111" s="9" t="s">
        <v>754</v>
      </c>
      <c r="G2111" s="18">
        <v>1201590</v>
      </c>
      <c r="H2111">
        <v>0</v>
      </c>
      <c r="I2111" s="29">
        <f t="shared" si="32"/>
        <v>1201590</v>
      </c>
      <c r="J2111">
        <f>IFERROR(VLOOKUP(E2111,'LEAID Match'!$A$2:$B$168,2,FALSE),"")</f>
        <v>3305280</v>
      </c>
    </row>
    <row r="2112" spans="1:10">
      <c r="A2112">
        <v>2019</v>
      </c>
      <c r="B2112" t="s">
        <v>1429</v>
      </c>
      <c r="C2112" t="s">
        <v>1431</v>
      </c>
      <c r="D2112" t="s">
        <v>1433</v>
      </c>
      <c r="E2112" t="s">
        <v>114</v>
      </c>
      <c r="F2112" s="9" t="s">
        <v>754</v>
      </c>
      <c r="G2112" s="18">
        <v>1226307</v>
      </c>
      <c r="H2112">
        <v>0</v>
      </c>
      <c r="I2112" s="29">
        <f t="shared" si="32"/>
        <v>1226307</v>
      </c>
      <c r="J2112">
        <f>IFERROR(VLOOKUP(E2112,'LEAID Match'!$A$2:$B$168,2,FALSE),"")</f>
        <v>3305280</v>
      </c>
    </row>
    <row r="2113" spans="1:10">
      <c r="A2113" s="27">
        <v>2020</v>
      </c>
      <c r="B2113" t="s">
        <v>1429</v>
      </c>
      <c r="C2113" t="s">
        <v>1431</v>
      </c>
      <c r="D2113" t="s">
        <v>1433</v>
      </c>
      <c r="E2113" t="s">
        <v>114</v>
      </c>
      <c r="F2113" s="9" t="s">
        <v>114</v>
      </c>
      <c r="G2113" s="18">
        <v>1374495</v>
      </c>
      <c r="H2113">
        <v>0</v>
      </c>
      <c r="I2113" s="29">
        <f t="shared" si="32"/>
        <v>1374495</v>
      </c>
      <c r="J2113">
        <f>IFERROR(VLOOKUP(E2113,'LEAID Match'!$A$2:$B$168,2,FALSE),"")</f>
        <v>3305280</v>
      </c>
    </row>
    <row r="2114" spans="1:10">
      <c r="A2114">
        <v>2021</v>
      </c>
      <c r="B2114" t="s">
        <v>1429</v>
      </c>
      <c r="C2114" t="s">
        <v>1431</v>
      </c>
      <c r="D2114" t="s">
        <v>1433</v>
      </c>
      <c r="E2114" t="s">
        <v>114</v>
      </c>
      <c r="F2114" s="9" t="s">
        <v>114</v>
      </c>
      <c r="G2114" s="18">
        <v>1498631</v>
      </c>
      <c r="H2114">
        <v>0</v>
      </c>
      <c r="I2114" s="29">
        <f t="shared" si="32"/>
        <v>1498631</v>
      </c>
      <c r="J2114">
        <f>IFERROR(VLOOKUP(E2114,'LEAID Match'!$A$2:$B$168,2,FALSE),"")</f>
        <v>3305280</v>
      </c>
    </row>
    <row r="2115" spans="1:10">
      <c r="A2115">
        <v>2022</v>
      </c>
      <c r="B2115" t="s">
        <v>1429</v>
      </c>
      <c r="C2115" t="s">
        <v>1431</v>
      </c>
      <c r="D2115" t="s">
        <v>1433</v>
      </c>
      <c r="E2115" t="s">
        <v>114</v>
      </c>
      <c r="F2115" s="9" t="s">
        <v>114</v>
      </c>
      <c r="G2115" s="18">
        <v>1938353</v>
      </c>
      <c r="H2115">
        <v>0</v>
      </c>
      <c r="I2115" s="29">
        <f t="shared" ref="I2115:I2178" si="33">SUM(G2115:H2115)</f>
        <v>1938353</v>
      </c>
      <c r="J2115">
        <f>IFERROR(VLOOKUP(E2115,'LEAID Match'!$A$2:$B$168,2,FALSE),"")</f>
        <v>3305280</v>
      </c>
    </row>
    <row r="2116" spans="1:10">
      <c r="A2116">
        <v>2023</v>
      </c>
      <c r="B2116" t="s">
        <v>1429</v>
      </c>
      <c r="C2116" t="s">
        <v>1431</v>
      </c>
      <c r="D2116" t="s">
        <v>1433</v>
      </c>
      <c r="E2116" t="s">
        <v>114</v>
      </c>
      <c r="F2116" t="s">
        <v>114</v>
      </c>
      <c r="G2116" s="28">
        <v>1969927</v>
      </c>
      <c r="H2116">
        <v>0</v>
      </c>
      <c r="I2116" s="29">
        <f t="shared" si="33"/>
        <v>1969927</v>
      </c>
      <c r="J2116">
        <f>IFERROR(VLOOKUP(E2116,'LEAID Match'!$A$2:$B$168,2,FALSE),"")</f>
        <v>3305280</v>
      </c>
    </row>
    <row r="2117" spans="1:10">
      <c r="A2117">
        <v>2015</v>
      </c>
      <c r="B2117" t="s">
        <v>1429</v>
      </c>
      <c r="C2117" t="s">
        <v>1431</v>
      </c>
      <c r="D2117" t="s">
        <v>1433</v>
      </c>
      <c r="E2117" t="s">
        <v>755</v>
      </c>
      <c r="F2117" s="9" t="s">
        <v>1229</v>
      </c>
      <c r="G2117" s="18">
        <v>453196.87</v>
      </c>
      <c r="H2117">
        <v>0</v>
      </c>
      <c r="I2117" s="29">
        <f t="shared" si="33"/>
        <v>453196.87</v>
      </c>
      <c r="J2117" t="str">
        <f>IFERROR(VLOOKUP(E2117,'LEAID Match'!$A$2:$B$168,2,FALSE),"")</f>
        <v/>
      </c>
    </row>
    <row r="2118" spans="1:10">
      <c r="A2118">
        <v>2016</v>
      </c>
      <c r="B2118" t="s">
        <v>1429</v>
      </c>
      <c r="C2118" t="s">
        <v>1431</v>
      </c>
      <c r="D2118" t="s">
        <v>1433</v>
      </c>
      <c r="E2118" t="s">
        <v>755</v>
      </c>
      <c r="F2118" t="s">
        <v>755</v>
      </c>
      <c r="G2118" s="28">
        <v>477279</v>
      </c>
      <c r="H2118">
        <v>0</v>
      </c>
      <c r="I2118" s="29">
        <f t="shared" si="33"/>
        <v>477279</v>
      </c>
      <c r="J2118" t="str">
        <f>IFERROR(VLOOKUP(E2118,'LEAID Match'!$A$2:$B$168,2,FALSE),"")</f>
        <v/>
      </c>
    </row>
    <row r="2119" spans="1:10">
      <c r="A2119">
        <v>2017</v>
      </c>
      <c r="B2119" t="s">
        <v>1429</v>
      </c>
      <c r="C2119" t="s">
        <v>1431</v>
      </c>
      <c r="D2119" t="s">
        <v>1433</v>
      </c>
      <c r="E2119" t="s">
        <v>755</v>
      </c>
      <c r="F2119" t="s">
        <v>755</v>
      </c>
      <c r="G2119" s="28">
        <v>492587</v>
      </c>
      <c r="H2119">
        <v>0</v>
      </c>
      <c r="I2119" s="29">
        <f t="shared" si="33"/>
        <v>492587</v>
      </c>
      <c r="J2119" t="str">
        <f>IFERROR(VLOOKUP(E2119,'LEAID Match'!$A$2:$B$168,2,FALSE),"")</f>
        <v/>
      </c>
    </row>
    <row r="2120" spans="1:10">
      <c r="A2120" s="27">
        <v>2018</v>
      </c>
      <c r="B2120" t="s">
        <v>1429</v>
      </c>
      <c r="C2120" t="s">
        <v>1431</v>
      </c>
      <c r="D2120" t="s">
        <v>1433</v>
      </c>
      <c r="E2120" t="s">
        <v>755</v>
      </c>
      <c r="F2120" s="9" t="s">
        <v>755</v>
      </c>
      <c r="G2120" s="18">
        <v>525700</v>
      </c>
      <c r="H2120">
        <v>0</v>
      </c>
      <c r="I2120" s="29">
        <f t="shared" si="33"/>
        <v>525700</v>
      </c>
      <c r="J2120" t="str">
        <f>IFERROR(VLOOKUP(E2120,'LEAID Match'!$A$2:$B$168,2,FALSE),"")</f>
        <v/>
      </c>
    </row>
    <row r="2121" spans="1:10">
      <c r="A2121">
        <v>2019</v>
      </c>
      <c r="B2121" t="s">
        <v>1429</v>
      </c>
      <c r="C2121" t="s">
        <v>1431</v>
      </c>
      <c r="D2121" t="s">
        <v>1433</v>
      </c>
      <c r="E2121" t="s">
        <v>755</v>
      </c>
      <c r="F2121" s="9" t="s">
        <v>755</v>
      </c>
      <c r="G2121" s="18">
        <v>560437</v>
      </c>
      <c r="H2121">
        <v>0</v>
      </c>
      <c r="I2121" s="29">
        <f t="shared" si="33"/>
        <v>560437</v>
      </c>
      <c r="J2121" t="str">
        <f>IFERROR(VLOOKUP(E2121,'LEAID Match'!$A$2:$B$168,2,FALSE),"")</f>
        <v/>
      </c>
    </row>
    <row r="2122" spans="1:10">
      <c r="A2122">
        <v>2015</v>
      </c>
      <c r="B2122" t="s">
        <v>1429</v>
      </c>
      <c r="C2122" t="s">
        <v>1431</v>
      </c>
      <c r="D2122" t="s">
        <v>1433</v>
      </c>
      <c r="E2122" t="s">
        <v>115</v>
      </c>
      <c r="F2122" s="9" t="s">
        <v>1230</v>
      </c>
      <c r="G2122" s="18">
        <v>766882.87</v>
      </c>
      <c r="H2122">
        <v>0</v>
      </c>
      <c r="I2122" s="29">
        <f t="shared" si="33"/>
        <v>766882.87</v>
      </c>
      <c r="J2122">
        <f>IFERROR(VLOOKUP(E2122,'LEAID Match'!$A$2:$B$168,2,FALSE),"")</f>
        <v>3305310</v>
      </c>
    </row>
    <row r="2123" spans="1:10">
      <c r="A2123">
        <v>2016</v>
      </c>
      <c r="B2123" t="s">
        <v>1429</v>
      </c>
      <c r="C2123" t="s">
        <v>1431</v>
      </c>
      <c r="D2123" t="s">
        <v>1433</v>
      </c>
      <c r="E2123" t="s">
        <v>115</v>
      </c>
      <c r="F2123" t="s">
        <v>756</v>
      </c>
      <c r="G2123" s="28">
        <v>773353</v>
      </c>
      <c r="H2123">
        <v>0</v>
      </c>
      <c r="I2123" s="29">
        <f t="shared" si="33"/>
        <v>773353</v>
      </c>
      <c r="J2123">
        <f>IFERROR(VLOOKUP(E2123,'LEAID Match'!$A$2:$B$168,2,FALSE),"")</f>
        <v>3305310</v>
      </c>
    </row>
    <row r="2124" spans="1:10">
      <c r="A2124">
        <v>2017</v>
      </c>
      <c r="B2124" t="s">
        <v>1429</v>
      </c>
      <c r="C2124" t="s">
        <v>1431</v>
      </c>
      <c r="D2124" t="s">
        <v>1433</v>
      </c>
      <c r="E2124" t="s">
        <v>115</v>
      </c>
      <c r="F2124" t="s">
        <v>756</v>
      </c>
      <c r="G2124" s="28">
        <v>816626</v>
      </c>
      <c r="H2124">
        <v>0</v>
      </c>
      <c r="I2124" s="29">
        <f t="shared" si="33"/>
        <v>816626</v>
      </c>
      <c r="J2124">
        <f>IFERROR(VLOOKUP(E2124,'LEAID Match'!$A$2:$B$168,2,FALSE),"")</f>
        <v>3305310</v>
      </c>
    </row>
    <row r="2125" spans="1:10">
      <c r="A2125" s="27">
        <v>2018</v>
      </c>
      <c r="B2125" t="s">
        <v>1429</v>
      </c>
      <c r="C2125" t="s">
        <v>1431</v>
      </c>
      <c r="D2125" t="s">
        <v>1433</v>
      </c>
      <c r="E2125" t="s">
        <v>115</v>
      </c>
      <c r="F2125" s="9" t="s">
        <v>756</v>
      </c>
      <c r="G2125" s="18">
        <v>992433</v>
      </c>
      <c r="H2125">
        <v>0</v>
      </c>
      <c r="I2125" s="29">
        <f t="shared" si="33"/>
        <v>992433</v>
      </c>
      <c r="J2125">
        <f>IFERROR(VLOOKUP(E2125,'LEAID Match'!$A$2:$B$168,2,FALSE),"")</f>
        <v>3305310</v>
      </c>
    </row>
    <row r="2126" spans="1:10">
      <c r="A2126">
        <v>2019</v>
      </c>
      <c r="B2126" t="s">
        <v>1429</v>
      </c>
      <c r="C2126" t="s">
        <v>1431</v>
      </c>
      <c r="D2126" t="s">
        <v>1433</v>
      </c>
      <c r="E2126" t="s">
        <v>115</v>
      </c>
      <c r="F2126" s="9" t="s">
        <v>756</v>
      </c>
      <c r="G2126" s="18">
        <v>1000799</v>
      </c>
      <c r="H2126">
        <v>0</v>
      </c>
      <c r="I2126" s="29">
        <f t="shared" si="33"/>
        <v>1000799</v>
      </c>
      <c r="J2126">
        <f>IFERROR(VLOOKUP(E2126,'LEAID Match'!$A$2:$B$168,2,FALSE),"")</f>
        <v>3305310</v>
      </c>
    </row>
    <row r="2127" spans="1:10">
      <c r="A2127" s="27">
        <v>2020</v>
      </c>
      <c r="B2127" t="s">
        <v>1429</v>
      </c>
      <c r="C2127" t="s">
        <v>1431</v>
      </c>
      <c r="D2127" t="s">
        <v>1433</v>
      </c>
      <c r="E2127" t="s">
        <v>115</v>
      </c>
      <c r="F2127" s="9" t="s">
        <v>115</v>
      </c>
      <c r="G2127" s="18">
        <v>1143015</v>
      </c>
      <c r="H2127">
        <v>0</v>
      </c>
      <c r="I2127" s="29">
        <f t="shared" si="33"/>
        <v>1143015</v>
      </c>
      <c r="J2127">
        <f>IFERROR(VLOOKUP(E2127,'LEAID Match'!$A$2:$B$168,2,FALSE),"")</f>
        <v>3305310</v>
      </c>
    </row>
    <row r="2128" spans="1:10">
      <c r="A2128">
        <v>2021</v>
      </c>
      <c r="B2128" t="s">
        <v>1429</v>
      </c>
      <c r="C2128" t="s">
        <v>1431</v>
      </c>
      <c r="D2128" t="s">
        <v>1433</v>
      </c>
      <c r="E2128" t="s">
        <v>115</v>
      </c>
      <c r="F2128" s="9" t="s">
        <v>115</v>
      </c>
      <c r="G2128" s="18">
        <v>1156474</v>
      </c>
      <c r="H2128">
        <v>0</v>
      </c>
      <c r="I2128" s="29">
        <f t="shared" si="33"/>
        <v>1156474</v>
      </c>
      <c r="J2128">
        <f>IFERROR(VLOOKUP(E2128,'LEAID Match'!$A$2:$B$168,2,FALSE),"")</f>
        <v>3305310</v>
      </c>
    </row>
    <row r="2129" spans="1:10">
      <c r="A2129">
        <v>2022</v>
      </c>
      <c r="B2129" t="s">
        <v>1429</v>
      </c>
      <c r="C2129" t="s">
        <v>1431</v>
      </c>
      <c r="D2129" t="s">
        <v>1433</v>
      </c>
      <c r="E2129" t="s">
        <v>115</v>
      </c>
      <c r="F2129" s="9" t="s">
        <v>115</v>
      </c>
      <c r="G2129" s="18">
        <v>1431951</v>
      </c>
      <c r="H2129">
        <v>0</v>
      </c>
      <c r="I2129" s="29">
        <f t="shared" si="33"/>
        <v>1431951</v>
      </c>
      <c r="J2129">
        <f>IFERROR(VLOOKUP(E2129,'LEAID Match'!$A$2:$B$168,2,FALSE),"")</f>
        <v>3305310</v>
      </c>
    </row>
    <row r="2130" spans="1:10">
      <c r="A2130">
        <v>2023</v>
      </c>
      <c r="B2130" t="s">
        <v>1429</v>
      </c>
      <c r="C2130" t="s">
        <v>1431</v>
      </c>
      <c r="D2130" t="s">
        <v>1433</v>
      </c>
      <c r="E2130" t="s">
        <v>115</v>
      </c>
      <c r="F2130" t="s">
        <v>115</v>
      </c>
      <c r="G2130" s="28">
        <v>1484670</v>
      </c>
      <c r="H2130">
        <v>0</v>
      </c>
      <c r="I2130" s="29">
        <f t="shared" si="33"/>
        <v>1484670</v>
      </c>
      <c r="J2130">
        <f>IFERROR(VLOOKUP(E2130,'LEAID Match'!$A$2:$B$168,2,FALSE),"")</f>
        <v>3305310</v>
      </c>
    </row>
    <row r="2131" spans="1:10">
      <c r="A2131">
        <v>2015</v>
      </c>
      <c r="B2131" t="s">
        <v>1429</v>
      </c>
      <c r="C2131" t="s">
        <v>1431</v>
      </c>
      <c r="D2131" t="s">
        <v>1433</v>
      </c>
      <c r="E2131" t="s">
        <v>757</v>
      </c>
      <c r="F2131" s="9" t="s">
        <v>1231</v>
      </c>
      <c r="G2131" s="18">
        <v>108168.28</v>
      </c>
      <c r="H2131">
        <v>0</v>
      </c>
      <c r="I2131" s="29">
        <f t="shared" si="33"/>
        <v>108168.28</v>
      </c>
      <c r="J2131" t="str">
        <f>IFERROR(VLOOKUP(E2131,'LEAID Match'!$A$2:$B$168,2,FALSE),"")</f>
        <v/>
      </c>
    </row>
    <row r="2132" spans="1:10">
      <c r="A2132">
        <v>2016</v>
      </c>
      <c r="B2132" t="s">
        <v>1429</v>
      </c>
      <c r="C2132" t="s">
        <v>1431</v>
      </c>
      <c r="D2132" t="s">
        <v>1433</v>
      </c>
      <c r="E2132" t="s">
        <v>757</v>
      </c>
      <c r="F2132" t="s">
        <v>757</v>
      </c>
      <c r="G2132" s="28">
        <v>166228</v>
      </c>
      <c r="H2132">
        <v>0</v>
      </c>
      <c r="I2132" s="29">
        <f t="shared" si="33"/>
        <v>166228</v>
      </c>
      <c r="J2132" t="str">
        <f>IFERROR(VLOOKUP(E2132,'LEAID Match'!$A$2:$B$168,2,FALSE),"")</f>
        <v/>
      </c>
    </row>
    <row r="2133" spans="1:10">
      <c r="A2133">
        <v>2017</v>
      </c>
      <c r="B2133" t="s">
        <v>1429</v>
      </c>
      <c r="C2133" t="s">
        <v>1431</v>
      </c>
      <c r="D2133" t="s">
        <v>1433</v>
      </c>
      <c r="E2133" t="s">
        <v>757</v>
      </c>
      <c r="F2133" t="s">
        <v>757</v>
      </c>
      <c r="G2133" s="28">
        <v>115994</v>
      </c>
      <c r="H2133">
        <v>0</v>
      </c>
      <c r="I2133" s="29">
        <f t="shared" si="33"/>
        <v>115994</v>
      </c>
      <c r="J2133" t="str">
        <f>IFERROR(VLOOKUP(E2133,'LEAID Match'!$A$2:$B$168,2,FALSE),"")</f>
        <v/>
      </c>
    </row>
    <row r="2134" spans="1:10">
      <c r="A2134" s="27">
        <v>2018</v>
      </c>
      <c r="B2134" t="s">
        <v>1429</v>
      </c>
      <c r="C2134" t="s">
        <v>1431</v>
      </c>
      <c r="D2134" t="s">
        <v>1433</v>
      </c>
      <c r="E2134" t="s">
        <v>757</v>
      </c>
      <c r="F2134" s="9" t="s">
        <v>757</v>
      </c>
      <c r="G2134" s="18">
        <v>139618</v>
      </c>
      <c r="H2134">
        <v>0</v>
      </c>
      <c r="I2134" s="29">
        <f t="shared" si="33"/>
        <v>139618</v>
      </c>
      <c r="J2134" t="str">
        <f>IFERROR(VLOOKUP(E2134,'LEAID Match'!$A$2:$B$168,2,FALSE),"")</f>
        <v/>
      </c>
    </row>
    <row r="2135" spans="1:10">
      <c r="A2135">
        <v>2019</v>
      </c>
      <c r="B2135" t="s">
        <v>1429</v>
      </c>
      <c r="C2135" t="s">
        <v>1431</v>
      </c>
      <c r="D2135" t="s">
        <v>1433</v>
      </c>
      <c r="E2135" t="s">
        <v>757</v>
      </c>
      <c r="F2135" s="9" t="s">
        <v>757</v>
      </c>
      <c r="G2135" s="18">
        <v>141896</v>
      </c>
      <c r="H2135">
        <v>0</v>
      </c>
      <c r="I2135" s="29">
        <f t="shared" si="33"/>
        <v>141896</v>
      </c>
      <c r="J2135" t="str">
        <f>IFERROR(VLOOKUP(E2135,'LEAID Match'!$A$2:$B$168,2,FALSE),"")</f>
        <v/>
      </c>
    </row>
    <row r="2136" spans="1:10">
      <c r="A2136">
        <v>2015</v>
      </c>
      <c r="B2136" t="s">
        <v>1429</v>
      </c>
      <c r="C2136" t="s">
        <v>1431</v>
      </c>
      <c r="D2136" t="s">
        <v>1433</v>
      </c>
      <c r="E2136" t="s">
        <v>116</v>
      </c>
      <c r="F2136" s="9" t="s">
        <v>1232</v>
      </c>
      <c r="G2136" s="18">
        <v>24862.62</v>
      </c>
      <c r="H2136">
        <v>0</v>
      </c>
      <c r="I2136" s="29">
        <f t="shared" si="33"/>
        <v>24862.62</v>
      </c>
      <c r="J2136">
        <f>IFERROR(VLOOKUP(E2136,'LEAID Match'!$A$2:$B$168,2,FALSE),"")</f>
        <v>3303291</v>
      </c>
    </row>
    <row r="2137" spans="1:10">
      <c r="A2137">
        <v>2016</v>
      </c>
      <c r="B2137" t="s">
        <v>1429</v>
      </c>
      <c r="C2137" t="s">
        <v>1431</v>
      </c>
      <c r="D2137" t="s">
        <v>1433</v>
      </c>
      <c r="E2137" t="s">
        <v>116</v>
      </c>
      <c r="F2137" t="s">
        <v>116</v>
      </c>
      <c r="G2137" s="28">
        <v>26837</v>
      </c>
      <c r="H2137">
        <v>0</v>
      </c>
      <c r="I2137" s="29">
        <f t="shared" si="33"/>
        <v>26837</v>
      </c>
      <c r="J2137">
        <f>IFERROR(VLOOKUP(E2137,'LEAID Match'!$A$2:$B$168,2,FALSE),"")</f>
        <v>3303291</v>
      </c>
    </row>
    <row r="2138" spans="1:10">
      <c r="A2138">
        <v>2017</v>
      </c>
      <c r="B2138" t="s">
        <v>1429</v>
      </c>
      <c r="C2138" t="s">
        <v>1431</v>
      </c>
      <c r="D2138" t="s">
        <v>1433</v>
      </c>
      <c r="E2138" t="s">
        <v>116</v>
      </c>
      <c r="F2138" t="s">
        <v>116</v>
      </c>
      <c r="G2138" s="28">
        <v>34507</v>
      </c>
      <c r="H2138">
        <v>0</v>
      </c>
      <c r="I2138" s="29">
        <f t="shared" si="33"/>
        <v>34507</v>
      </c>
      <c r="J2138">
        <f>IFERROR(VLOOKUP(E2138,'LEAID Match'!$A$2:$B$168,2,FALSE),"")</f>
        <v>3303291</v>
      </c>
    </row>
    <row r="2139" spans="1:10">
      <c r="A2139" s="27">
        <v>2018</v>
      </c>
      <c r="B2139" t="s">
        <v>1429</v>
      </c>
      <c r="C2139" t="s">
        <v>1431</v>
      </c>
      <c r="D2139" t="s">
        <v>1433</v>
      </c>
      <c r="E2139" t="s">
        <v>116</v>
      </c>
      <c r="F2139" s="9" t="s">
        <v>116</v>
      </c>
      <c r="G2139" s="18">
        <v>50712</v>
      </c>
      <c r="H2139">
        <v>0</v>
      </c>
      <c r="I2139" s="29">
        <f t="shared" si="33"/>
        <v>50712</v>
      </c>
      <c r="J2139">
        <f>IFERROR(VLOOKUP(E2139,'LEAID Match'!$A$2:$B$168,2,FALSE),"")</f>
        <v>3303291</v>
      </c>
    </row>
    <row r="2140" spans="1:10">
      <c r="A2140">
        <v>2019</v>
      </c>
      <c r="B2140" t="s">
        <v>1429</v>
      </c>
      <c r="C2140" t="s">
        <v>1431</v>
      </c>
      <c r="D2140" t="s">
        <v>1433</v>
      </c>
      <c r="E2140" t="s">
        <v>116</v>
      </c>
      <c r="F2140" s="9" t="s">
        <v>116</v>
      </c>
      <c r="G2140" s="18">
        <v>51933</v>
      </c>
      <c r="H2140">
        <v>0</v>
      </c>
      <c r="I2140" s="29">
        <f t="shared" si="33"/>
        <v>51933</v>
      </c>
      <c r="J2140">
        <f>IFERROR(VLOOKUP(E2140,'LEAID Match'!$A$2:$B$168,2,FALSE),"")</f>
        <v>3303291</v>
      </c>
    </row>
    <row r="2141" spans="1:10">
      <c r="A2141" s="27">
        <v>2020</v>
      </c>
      <c r="B2141" t="s">
        <v>1429</v>
      </c>
      <c r="C2141" t="s">
        <v>1431</v>
      </c>
      <c r="D2141" t="s">
        <v>1433</v>
      </c>
      <c r="E2141" t="s">
        <v>116</v>
      </c>
      <c r="F2141" s="9" t="s">
        <v>116</v>
      </c>
      <c r="G2141" s="18">
        <v>68549</v>
      </c>
      <c r="H2141">
        <v>0</v>
      </c>
      <c r="I2141" s="29">
        <f t="shared" si="33"/>
        <v>68549</v>
      </c>
      <c r="J2141">
        <f>IFERROR(VLOOKUP(E2141,'LEAID Match'!$A$2:$B$168,2,FALSE),"")</f>
        <v>3303291</v>
      </c>
    </row>
    <row r="2142" spans="1:10">
      <c r="A2142">
        <v>2021</v>
      </c>
      <c r="B2142" t="s">
        <v>1429</v>
      </c>
      <c r="C2142" t="s">
        <v>1431</v>
      </c>
      <c r="D2142" t="s">
        <v>1433</v>
      </c>
      <c r="E2142" t="s">
        <v>116</v>
      </c>
      <c r="F2142" s="9" t="s">
        <v>116</v>
      </c>
      <c r="G2142" s="18">
        <v>70079</v>
      </c>
      <c r="H2142">
        <v>0</v>
      </c>
      <c r="I2142" s="29">
        <f t="shared" si="33"/>
        <v>70079</v>
      </c>
      <c r="J2142">
        <f>IFERROR(VLOOKUP(E2142,'LEAID Match'!$A$2:$B$168,2,FALSE),"")</f>
        <v>3303291</v>
      </c>
    </row>
    <row r="2143" spans="1:10">
      <c r="A2143">
        <v>2022</v>
      </c>
      <c r="B2143" t="s">
        <v>1429</v>
      </c>
      <c r="C2143" t="s">
        <v>1431</v>
      </c>
      <c r="D2143" t="s">
        <v>1433</v>
      </c>
      <c r="E2143" t="s">
        <v>116</v>
      </c>
      <c r="F2143" s="9" t="s">
        <v>116</v>
      </c>
      <c r="G2143" s="18">
        <v>89851</v>
      </c>
      <c r="H2143">
        <v>0</v>
      </c>
      <c r="I2143" s="29">
        <f t="shared" si="33"/>
        <v>89851</v>
      </c>
      <c r="J2143">
        <f>IFERROR(VLOOKUP(E2143,'LEAID Match'!$A$2:$B$168,2,FALSE),"")</f>
        <v>3303291</v>
      </c>
    </row>
    <row r="2144" spans="1:10">
      <c r="A2144">
        <v>2023</v>
      </c>
      <c r="B2144" t="s">
        <v>1429</v>
      </c>
      <c r="C2144" t="s">
        <v>1431</v>
      </c>
      <c r="D2144" t="s">
        <v>1433</v>
      </c>
      <c r="E2144" t="s">
        <v>116</v>
      </c>
      <c r="F2144" t="s">
        <v>116</v>
      </c>
      <c r="G2144" s="28">
        <v>99016</v>
      </c>
      <c r="H2144">
        <v>0</v>
      </c>
      <c r="I2144" s="29">
        <f t="shared" si="33"/>
        <v>99016</v>
      </c>
      <c r="J2144">
        <f>IFERROR(VLOOKUP(E2144,'LEAID Match'!$A$2:$B$168,2,FALSE),"")</f>
        <v>3303291</v>
      </c>
    </row>
    <row r="2145" spans="1:10">
      <c r="A2145">
        <v>2015</v>
      </c>
      <c r="B2145" t="s">
        <v>1429</v>
      </c>
      <c r="C2145" t="s">
        <v>1431</v>
      </c>
      <c r="D2145" t="s">
        <v>1433</v>
      </c>
      <c r="E2145" t="s">
        <v>117</v>
      </c>
      <c r="F2145" s="9" t="s">
        <v>1233</v>
      </c>
      <c r="G2145" s="18">
        <v>7722.75</v>
      </c>
      <c r="H2145">
        <v>0</v>
      </c>
      <c r="I2145" s="29">
        <f t="shared" si="33"/>
        <v>7722.75</v>
      </c>
      <c r="J2145" t="str">
        <f>IFERROR(VLOOKUP(E2145,'LEAID Match'!$A$2:$B$168,2,FALSE),"")</f>
        <v/>
      </c>
    </row>
    <row r="2146" spans="1:10">
      <c r="A2146" s="27">
        <v>2020</v>
      </c>
      <c r="B2146" t="s">
        <v>1429</v>
      </c>
      <c r="C2146" t="s">
        <v>1431</v>
      </c>
      <c r="D2146" t="s">
        <v>1433</v>
      </c>
      <c r="E2146" t="s">
        <v>117</v>
      </c>
      <c r="F2146" s="9" t="s">
        <v>117</v>
      </c>
      <c r="G2146" s="18">
        <v>9351</v>
      </c>
      <c r="H2146">
        <v>0</v>
      </c>
      <c r="I2146" s="29">
        <f t="shared" si="33"/>
        <v>9351</v>
      </c>
      <c r="J2146" t="str">
        <f>IFERROR(VLOOKUP(E2146,'LEAID Match'!$A$2:$B$168,2,FALSE),"")</f>
        <v/>
      </c>
    </row>
    <row r="2147" spans="1:10">
      <c r="A2147">
        <v>2021</v>
      </c>
      <c r="B2147" t="s">
        <v>1429</v>
      </c>
      <c r="C2147" t="s">
        <v>1431</v>
      </c>
      <c r="D2147" t="s">
        <v>1433</v>
      </c>
      <c r="E2147" t="s">
        <v>117</v>
      </c>
      <c r="F2147" s="9" t="s">
        <v>117</v>
      </c>
      <c r="G2147" s="18">
        <v>9011</v>
      </c>
      <c r="H2147">
        <v>0</v>
      </c>
      <c r="I2147" s="29">
        <f t="shared" si="33"/>
        <v>9011</v>
      </c>
      <c r="J2147" t="str">
        <f>IFERROR(VLOOKUP(E2147,'LEAID Match'!$A$2:$B$168,2,FALSE),"")</f>
        <v/>
      </c>
    </row>
    <row r="2148" spans="1:10">
      <c r="A2148">
        <v>2022</v>
      </c>
      <c r="B2148" t="s">
        <v>1429</v>
      </c>
      <c r="C2148" t="s">
        <v>1431</v>
      </c>
      <c r="D2148" t="s">
        <v>1433</v>
      </c>
      <c r="E2148" t="s">
        <v>117</v>
      </c>
      <c r="F2148" s="9" t="s">
        <v>117</v>
      </c>
      <c r="G2148" s="18">
        <v>11672</v>
      </c>
      <c r="H2148">
        <v>0</v>
      </c>
      <c r="I2148" s="29">
        <f t="shared" si="33"/>
        <v>11672</v>
      </c>
      <c r="J2148" t="str">
        <f>IFERROR(VLOOKUP(E2148,'LEAID Match'!$A$2:$B$168,2,FALSE),"")</f>
        <v/>
      </c>
    </row>
    <row r="2149" spans="1:10">
      <c r="A2149">
        <v>2023</v>
      </c>
      <c r="B2149" t="s">
        <v>1429</v>
      </c>
      <c r="C2149" t="s">
        <v>1431</v>
      </c>
      <c r="D2149" t="s">
        <v>1433</v>
      </c>
      <c r="E2149" t="s">
        <v>117</v>
      </c>
      <c r="F2149" t="s">
        <v>117</v>
      </c>
      <c r="G2149" s="28">
        <v>1178</v>
      </c>
      <c r="H2149">
        <v>0</v>
      </c>
      <c r="I2149" s="29">
        <f t="shared" si="33"/>
        <v>1178</v>
      </c>
      <c r="J2149" t="str">
        <f>IFERROR(VLOOKUP(E2149,'LEAID Match'!$A$2:$B$168,2,FALSE),"")</f>
        <v/>
      </c>
    </row>
    <row r="2150" spans="1:10">
      <c r="A2150">
        <v>2016</v>
      </c>
      <c r="B2150" t="s">
        <v>1429</v>
      </c>
      <c r="C2150" t="s">
        <v>1431</v>
      </c>
      <c r="D2150" t="s">
        <v>1433</v>
      </c>
      <c r="E2150" t="s">
        <v>758</v>
      </c>
      <c r="F2150" t="s">
        <v>937</v>
      </c>
      <c r="G2150" s="28">
        <v>8214</v>
      </c>
      <c r="H2150">
        <v>0</v>
      </c>
      <c r="I2150" s="29">
        <f t="shared" si="33"/>
        <v>8214</v>
      </c>
      <c r="J2150" t="str">
        <f>IFERROR(VLOOKUP(E2150,'LEAID Match'!$A$2:$B$168,2,FALSE),"")</f>
        <v/>
      </c>
    </row>
    <row r="2151" spans="1:10">
      <c r="A2151">
        <v>2017</v>
      </c>
      <c r="B2151" t="s">
        <v>1429</v>
      </c>
      <c r="C2151" t="s">
        <v>1431</v>
      </c>
      <c r="D2151" t="s">
        <v>1433</v>
      </c>
      <c r="E2151" t="s">
        <v>758</v>
      </c>
      <c r="F2151" t="s">
        <v>937</v>
      </c>
      <c r="G2151" s="28">
        <v>8469</v>
      </c>
      <c r="H2151">
        <v>0</v>
      </c>
      <c r="I2151" s="29">
        <f t="shared" si="33"/>
        <v>8469</v>
      </c>
      <c r="J2151" t="str">
        <f>IFERROR(VLOOKUP(E2151,'LEAID Match'!$A$2:$B$168,2,FALSE),"")</f>
        <v/>
      </c>
    </row>
    <row r="2152" spans="1:10">
      <c r="A2152" s="27">
        <v>2018</v>
      </c>
      <c r="B2152" t="s">
        <v>1429</v>
      </c>
      <c r="C2152" t="s">
        <v>1431</v>
      </c>
      <c r="D2152" t="s">
        <v>1433</v>
      </c>
      <c r="E2152" t="s">
        <v>758</v>
      </c>
      <c r="F2152" s="9" t="s">
        <v>758</v>
      </c>
      <c r="G2152" s="18">
        <v>8888</v>
      </c>
      <c r="H2152">
        <v>0</v>
      </c>
      <c r="I2152" s="29">
        <f t="shared" si="33"/>
        <v>8888</v>
      </c>
      <c r="J2152" t="str">
        <f>IFERROR(VLOOKUP(E2152,'LEAID Match'!$A$2:$B$168,2,FALSE),"")</f>
        <v/>
      </c>
    </row>
    <row r="2153" spans="1:10">
      <c r="A2153">
        <v>2019</v>
      </c>
      <c r="B2153" t="s">
        <v>1429</v>
      </c>
      <c r="C2153" t="s">
        <v>1431</v>
      </c>
      <c r="D2153" t="s">
        <v>1433</v>
      </c>
      <c r="E2153" t="s">
        <v>758</v>
      </c>
      <c r="F2153" s="9" t="s">
        <v>758</v>
      </c>
      <c r="G2153" s="18">
        <v>9153</v>
      </c>
      <c r="H2153">
        <v>0</v>
      </c>
      <c r="I2153" s="29">
        <f t="shared" si="33"/>
        <v>9153</v>
      </c>
      <c r="J2153" t="str">
        <f>IFERROR(VLOOKUP(E2153,'LEAID Match'!$A$2:$B$168,2,FALSE),"")</f>
        <v/>
      </c>
    </row>
    <row r="2154" spans="1:10">
      <c r="A2154">
        <v>2015</v>
      </c>
      <c r="B2154" t="s">
        <v>1429</v>
      </c>
      <c r="C2154" t="s">
        <v>1431</v>
      </c>
      <c r="D2154" t="s">
        <v>1433</v>
      </c>
      <c r="E2154" t="s">
        <v>1234</v>
      </c>
      <c r="F2154" s="9" t="s">
        <v>1234</v>
      </c>
      <c r="G2154" s="18">
        <v>4953.1099999999997</v>
      </c>
      <c r="H2154">
        <v>0</v>
      </c>
      <c r="I2154" s="29">
        <f t="shared" si="33"/>
        <v>4953.1099999999997</v>
      </c>
      <c r="J2154" t="str">
        <f>IFERROR(VLOOKUP(E2154,'LEAID Match'!$A$2:$B$168,2,FALSE),"")</f>
        <v/>
      </c>
    </row>
    <row r="2155" spans="1:10">
      <c r="A2155">
        <v>2016</v>
      </c>
      <c r="B2155" t="s">
        <v>1429</v>
      </c>
      <c r="C2155" t="s">
        <v>1431</v>
      </c>
      <c r="D2155" t="s">
        <v>1433</v>
      </c>
      <c r="E2155" t="s">
        <v>759</v>
      </c>
      <c r="F2155" t="s">
        <v>938</v>
      </c>
      <c r="G2155" s="28">
        <v>9216</v>
      </c>
      <c r="H2155">
        <v>0</v>
      </c>
      <c r="I2155" s="29">
        <f t="shared" si="33"/>
        <v>9216</v>
      </c>
      <c r="J2155" t="str">
        <f>IFERROR(VLOOKUP(E2155,'LEAID Match'!$A$2:$B$168,2,FALSE),"")</f>
        <v/>
      </c>
    </row>
    <row r="2156" spans="1:10">
      <c r="A2156">
        <v>2017</v>
      </c>
      <c r="B2156" t="s">
        <v>1429</v>
      </c>
      <c r="C2156" t="s">
        <v>1431</v>
      </c>
      <c r="D2156" t="s">
        <v>1433</v>
      </c>
      <c r="E2156" t="s">
        <v>759</v>
      </c>
      <c r="F2156" t="s">
        <v>938</v>
      </c>
      <c r="G2156" s="28">
        <v>10235</v>
      </c>
      <c r="H2156">
        <v>0</v>
      </c>
      <c r="I2156" s="29">
        <f t="shared" si="33"/>
        <v>10235</v>
      </c>
      <c r="J2156" t="str">
        <f>IFERROR(VLOOKUP(E2156,'LEAID Match'!$A$2:$B$168,2,FALSE),"")</f>
        <v/>
      </c>
    </row>
    <row r="2157" spans="1:10">
      <c r="A2157" s="27">
        <v>2018</v>
      </c>
      <c r="B2157" t="s">
        <v>1429</v>
      </c>
      <c r="C2157" t="s">
        <v>1431</v>
      </c>
      <c r="D2157" t="s">
        <v>1433</v>
      </c>
      <c r="E2157" t="s">
        <v>759</v>
      </c>
      <c r="F2157" s="9" t="s">
        <v>759</v>
      </c>
      <c r="G2157" s="18">
        <v>11088</v>
      </c>
      <c r="H2157">
        <v>0</v>
      </c>
      <c r="I2157" s="29">
        <f t="shared" si="33"/>
        <v>11088</v>
      </c>
      <c r="J2157" t="str">
        <f>IFERROR(VLOOKUP(E2157,'LEAID Match'!$A$2:$B$168,2,FALSE),"")</f>
        <v/>
      </c>
    </row>
    <row r="2158" spans="1:10">
      <c r="A2158">
        <v>2019</v>
      </c>
      <c r="B2158" t="s">
        <v>1429</v>
      </c>
      <c r="C2158" t="s">
        <v>1431</v>
      </c>
      <c r="D2158" t="s">
        <v>1433</v>
      </c>
      <c r="E2158" t="s">
        <v>759</v>
      </c>
      <c r="F2158" s="9" t="s">
        <v>759</v>
      </c>
      <c r="G2158" s="18">
        <v>11877</v>
      </c>
      <c r="H2158">
        <v>0</v>
      </c>
      <c r="I2158" s="29">
        <f t="shared" si="33"/>
        <v>11877</v>
      </c>
      <c r="J2158" t="str">
        <f>IFERROR(VLOOKUP(E2158,'LEAID Match'!$A$2:$B$168,2,FALSE),"")</f>
        <v/>
      </c>
    </row>
    <row r="2159" spans="1:10">
      <c r="A2159">
        <v>2015</v>
      </c>
      <c r="B2159" t="s">
        <v>1429</v>
      </c>
      <c r="C2159" t="s">
        <v>1431</v>
      </c>
      <c r="D2159" t="s">
        <v>1433</v>
      </c>
      <c r="E2159" t="s">
        <v>118</v>
      </c>
      <c r="F2159" s="9" t="s">
        <v>1235</v>
      </c>
      <c r="G2159" s="18">
        <v>16522.490000000002</v>
      </c>
      <c r="H2159">
        <v>0</v>
      </c>
      <c r="I2159" s="29">
        <f t="shared" si="33"/>
        <v>16522.490000000002</v>
      </c>
      <c r="J2159" t="str">
        <f>IFERROR(VLOOKUP(E2159,'LEAID Match'!$A$2:$B$168,2,FALSE),"")</f>
        <v/>
      </c>
    </row>
    <row r="2160" spans="1:10">
      <c r="A2160">
        <v>2016</v>
      </c>
      <c r="B2160" t="s">
        <v>1429</v>
      </c>
      <c r="C2160" t="s">
        <v>1431</v>
      </c>
      <c r="D2160" t="s">
        <v>1433</v>
      </c>
      <c r="E2160" t="s">
        <v>118</v>
      </c>
      <c r="F2160" t="s">
        <v>939</v>
      </c>
      <c r="G2160" s="28">
        <v>19563</v>
      </c>
      <c r="H2160">
        <v>0</v>
      </c>
      <c r="I2160" s="29">
        <f t="shared" si="33"/>
        <v>19563</v>
      </c>
      <c r="J2160" t="str">
        <f>IFERROR(VLOOKUP(E2160,'LEAID Match'!$A$2:$B$168,2,FALSE),"")</f>
        <v/>
      </c>
    </row>
    <row r="2161" spans="1:10">
      <c r="A2161">
        <v>2017</v>
      </c>
      <c r="B2161" t="s">
        <v>1429</v>
      </c>
      <c r="C2161" t="s">
        <v>1431</v>
      </c>
      <c r="D2161" t="s">
        <v>1433</v>
      </c>
      <c r="E2161" t="s">
        <v>118</v>
      </c>
      <c r="F2161" t="s">
        <v>939</v>
      </c>
      <c r="G2161" s="28">
        <v>36318</v>
      </c>
      <c r="H2161">
        <v>0</v>
      </c>
      <c r="I2161" s="29">
        <f t="shared" si="33"/>
        <v>36318</v>
      </c>
      <c r="J2161" t="str">
        <f>IFERROR(VLOOKUP(E2161,'LEAID Match'!$A$2:$B$168,2,FALSE),"")</f>
        <v/>
      </c>
    </row>
    <row r="2162" spans="1:10">
      <c r="A2162" s="27">
        <v>2018</v>
      </c>
      <c r="B2162" t="s">
        <v>1429</v>
      </c>
      <c r="C2162" t="s">
        <v>1431</v>
      </c>
      <c r="D2162" t="s">
        <v>1433</v>
      </c>
      <c r="E2162" t="s">
        <v>118</v>
      </c>
      <c r="F2162" s="9" t="s">
        <v>760</v>
      </c>
      <c r="G2162" s="18">
        <v>22072</v>
      </c>
      <c r="H2162">
        <v>0</v>
      </c>
      <c r="I2162" s="29">
        <f t="shared" si="33"/>
        <v>22072</v>
      </c>
      <c r="J2162" t="str">
        <f>IFERROR(VLOOKUP(E2162,'LEAID Match'!$A$2:$B$168,2,FALSE),"")</f>
        <v/>
      </c>
    </row>
    <row r="2163" spans="1:10">
      <c r="A2163">
        <v>2019</v>
      </c>
      <c r="B2163" t="s">
        <v>1429</v>
      </c>
      <c r="C2163" t="s">
        <v>1431</v>
      </c>
      <c r="D2163" t="s">
        <v>1433</v>
      </c>
      <c r="E2163" t="s">
        <v>118</v>
      </c>
      <c r="F2163" s="9" t="s">
        <v>760</v>
      </c>
      <c r="G2163" s="18">
        <v>22449</v>
      </c>
      <c r="H2163">
        <v>0</v>
      </c>
      <c r="I2163" s="29">
        <f t="shared" si="33"/>
        <v>22449</v>
      </c>
      <c r="J2163" t="str">
        <f>IFERROR(VLOOKUP(E2163,'LEAID Match'!$A$2:$B$168,2,FALSE),"")</f>
        <v/>
      </c>
    </row>
    <row r="2164" spans="1:10">
      <c r="A2164" s="27">
        <v>2020</v>
      </c>
      <c r="B2164" t="s">
        <v>1429</v>
      </c>
      <c r="C2164" t="s">
        <v>1431</v>
      </c>
      <c r="D2164" t="s">
        <v>1433</v>
      </c>
      <c r="E2164" t="s">
        <v>118</v>
      </c>
      <c r="F2164" s="9" t="s">
        <v>118</v>
      </c>
      <c r="G2164" s="18">
        <v>23594</v>
      </c>
      <c r="H2164">
        <v>0</v>
      </c>
      <c r="I2164" s="29">
        <f t="shared" si="33"/>
        <v>23594</v>
      </c>
      <c r="J2164" t="str">
        <f>IFERROR(VLOOKUP(E2164,'LEAID Match'!$A$2:$B$168,2,FALSE),"")</f>
        <v/>
      </c>
    </row>
    <row r="2165" spans="1:10">
      <c r="A2165">
        <v>2021</v>
      </c>
      <c r="B2165" t="s">
        <v>1429</v>
      </c>
      <c r="C2165" t="s">
        <v>1431</v>
      </c>
      <c r="D2165" t="s">
        <v>1433</v>
      </c>
      <c r="E2165" t="s">
        <v>118</v>
      </c>
      <c r="F2165" s="9" t="s">
        <v>118</v>
      </c>
      <c r="G2165" s="18">
        <v>23834</v>
      </c>
      <c r="H2165">
        <v>0</v>
      </c>
      <c r="I2165" s="29">
        <f t="shared" si="33"/>
        <v>23834</v>
      </c>
      <c r="J2165" t="str">
        <f>IFERROR(VLOOKUP(E2165,'LEAID Match'!$A$2:$B$168,2,FALSE),"")</f>
        <v/>
      </c>
    </row>
    <row r="2166" spans="1:10">
      <c r="A2166">
        <v>2022</v>
      </c>
      <c r="B2166" t="s">
        <v>1429</v>
      </c>
      <c r="C2166" t="s">
        <v>1431</v>
      </c>
      <c r="D2166" t="s">
        <v>1433</v>
      </c>
      <c r="E2166" t="s">
        <v>118</v>
      </c>
      <c r="F2166" s="9" t="s">
        <v>118</v>
      </c>
      <c r="G2166" s="18">
        <v>33235</v>
      </c>
      <c r="H2166">
        <v>0</v>
      </c>
      <c r="I2166" s="29">
        <f t="shared" si="33"/>
        <v>33235</v>
      </c>
      <c r="J2166" t="str">
        <f>IFERROR(VLOOKUP(E2166,'LEAID Match'!$A$2:$B$168,2,FALSE),"")</f>
        <v/>
      </c>
    </row>
    <row r="2167" spans="1:10">
      <c r="A2167">
        <v>2023</v>
      </c>
      <c r="B2167" t="s">
        <v>1429</v>
      </c>
      <c r="C2167" t="s">
        <v>1431</v>
      </c>
      <c r="D2167" t="s">
        <v>1433</v>
      </c>
      <c r="E2167" t="s">
        <v>118</v>
      </c>
      <c r="F2167" t="s">
        <v>118</v>
      </c>
      <c r="G2167" s="28">
        <v>37580</v>
      </c>
      <c r="H2167">
        <v>0</v>
      </c>
      <c r="I2167" s="29">
        <f t="shared" si="33"/>
        <v>37580</v>
      </c>
      <c r="J2167" t="str">
        <f>IFERROR(VLOOKUP(E2167,'LEAID Match'!$A$2:$B$168,2,FALSE),"")</f>
        <v/>
      </c>
    </row>
    <row r="2168" spans="1:10">
      <c r="A2168">
        <v>2015</v>
      </c>
      <c r="B2168" t="s">
        <v>1429</v>
      </c>
      <c r="C2168" t="s">
        <v>1431</v>
      </c>
      <c r="D2168" t="s">
        <v>1433</v>
      </c>
      <c r="E2168" t="s">
        <v>1236</v>
      </c>
      <c r="F2168" s="9" t="s">
        <v>1236</v>
      </c>
      <c r="G2168" s="18">
        <v>0</v>
      </c>
      <c r="H2168">
        <v>0</v>
      </c>
      <c r="I2168" s="29">
        <f t="shared" si="33"/>
        <v>0</v>
      </c>
      <c r="J2168" t="str">
        <f>IFERROR(VLOOKUP(E2168,'LEAID Match'!$A$2:$B$168,2,FALSE),"")</f>
        <v/>
      </c>
    </row>
    <row r="2169" spans="1:10">
      <c r="A2169">
        <v>2016</v>
      </c>
      <c r="B2169" t="s">
        <v>1429</v>
      </c>
      <c r="C2169" t="s">
        <v>1431</v>
      </c>
      <c r="D2169" t="s">
        <v>1433</v>
      </c>
      <c r="E2169" t="s">
        <v>119</v>
      </c>
      <c r="F2169" t="s">
        <v>940</v>
      </c>
      <c r="H2169">
        <v>0</v>
      </c>
      <c r="I2169" s="29">
        <f t="shared" si="33"/>
        <v>0</v>
      </c>
      <c r="J2169" t="str">
        <f>IFERROR(VLOOKUP(E2169,'LEAID Match'!$A$2:$B$168,2,FALSE),"")</f>
        <v/>
      </c>
    </row>
    <row r="2170" spans="1:10">
      <c r="A2170">
        <v>2017</v>
      </c>
      <c r="B2170" t="s">
        <v>1429</v>
      </c>
      <c r="C2170" t="s">
        <v>1431</v>
      </c>
      <c r="D2170" t="s">
        <v>1433</v>
      </c>
      <c r="E2170" t="s">
        <v>119</v>
      </c>
      <c r="F2170" t="s">
        <v>940</v>
      </c>
      <c r="G2170" s="28">
        <v>0</v>
      </c>
      <c r="H2170">
        <v>0</v>
      </c>
      <c r="I2170" s="29">
        <f t="shared" si="33"/>
        <v>0</v>
      </c>
      <c r="J2170" t="str">
        <f>IFERROR(VLOOKUP(E2170,'LEAID Match'!$A$2:$B$168,2,FALSE),"")</f>
        <v/>
      </c>
    </row>
    <row r="2171" spans="1:10">
      <c r="A2171" s="27">
        <v>2018</v>
      </c>
      <c r="B2171" t="s">
        <v>1429</v>
      </c>
      <c r="C2171" t="s">
        <v>1431</v>
      </c>
      <c r="D2171" t="s">
        <v>1433</v>
      </c>
      <c r="E2171" t="s">
        <v>119</v>
      </c>
      <c r="F2171" s="9" t="s">
        <v>119</v>
      </c>
      <c r="G2171" s="18"/>
      <c r="H2171">
        <v>0</v>
      </c>
      <c r="I2171" s="29">
        <f t="shared" si="33"/>
        <v>0</v>
      </c>
      <c r="J2171" t="str">
        <f>IFERROR(VLOOKUP(E2171,'LEAID Match'!$A$2:$B$168,2,FALSE),"")</f>
        <v/>
      </c>
    </row>
    <row r="2172" spans="1:10">
      <c r="A2172">
        <v>2019</v>
      </c>
      <c r="B2172" t="s">
        <v>1429</v>
      </c>
      <c r="C2172" t="s">
        <v>1431</v>
      </c>
      <c r="D2172" t="s">
        <v>1433</v>
      </c>
      <c r="E2172" t="s">
        <v>119</v>
      </c>
      <c r="F2172" s="9" t="s">
        <v>119</v>
      </c>
      <c r="G2172" s="18"/>
      <c r="H2172">
        <v>0</v>
      </c>
      <c r="I2172" s="29">
        <f t="shared" si="33"/>
        <v>0</v>
      </c>
      <c r="J2172" t="str">
        <f>IFERROR(VLOOKUP(E2172,'LEAID Match'!$A$2:$B$168,2,FALSE),"")</f>
        <v/>
      </c>
    </row>
    <row r="2173" spans="1:10">
      <c r="A2173" s="27">
        <v>2020</v>
      </c>
      <c r="B2173" t="s">
        <v>1429</v>
      </c>
      <c r="C2173" t="s">
        <v>1431</v>
      </c>
      <c r="D2173" t="s">
        <v>1433</v>
      </c>
      <c r="E2173" t="s">
        <v>119</v>
      </c>
      <c r="F2173" s="9" t="s">
        <v>119</v>
      </c>
      <c r="G2173" s="18"/>
      <c r="H2173">
        <v>0</v>
      </c>
      <c r="I2173" s="29">
        <f t="shared" si="33"/>
        <v>0</v>
      </c>
      <c r="J2173" t="str">
        <f>IFERROR(VLOOKUP(E2173,'LEAID Match'!$A$2:$B$168,2,FALSE),"")</f>
        <v/>
      </c>
    </row>
    <row r="2174" spans="1:10">
      <c r="A2174">
        <v>2021</v>
      </c>
      <c r="B2174" t="s">
        <v>1429</v>
      </c>
      <c r="C2174" t="s">
        <v>1431</v>
      </c>
      <c r="D2174" t="s">
        <v>1433</v>
      </c>
      <c r="E2174" t="s">
        <v>119</v>
      </c>
      <c r="F2174" s="9" t="s">
        <v>119</v>
      </c>
      <c r="G2174" s="18"/>
      <c r="H2174">
        <v>0</v>
      </c>
      <c r="I2174" s="29">
        <f t="shared" si="33"/>
        <v>0</v>
      </c>
      <c r="J2174" t="str">
        <f>IFERROR(VLOOKUP(E2174,'LEAID Match'!$A$2:$B$168,2,FALSE),"")</f>
        <v/>
      </c>
    </row>
    <row r="2175" spans="1:10">
      <c r="A2175">
        <v>2022</v>
      </c>
      <c r="B2175" t="s">
        <v>1429</v>
      </c>
      <c r="C2175" t="s">
        <v>1431</v>
      </c>
      <c r="D2175" t="s">
        <v>1433</v>
      </c>
      <c r="E2175" t="s">
        <v>119</v>
      </c>
      <c r="F2175" s="9" t="s">
        <v>119</v>
      </c>
      <c r="G2175" s="18"/>
      <c r="H2175">
        <v>0</v>
      </c>
      <c r="I2175" s="29">
        <f t="shared" si="33"/>
        <v>0</v>
      </c>
      <c r="J2175" t="str">
        <f>IFERROR(VLOOKUP(E2175,'LEAID Match'!$A$2:$B$168,2,FALSE),"")</f>
        <v/>
      </c>
    </row>
    <row r="2176" spans="1:10">
      <c r="A2176">
        <v>2023</v>
      </c>
      <c r="B2176" t="s">
        <v>1429</v>
      </c>
      <c r="C2176" t="s">
        <v>1431</v>
      </c>
      <c r="D2176" t="s">
        <v>1433</v>
      </c>
      <c r="E2176" t="s">
        <v>119</v>
      </c>
      <c r="F2176" t="s">
        <v>119</v>
      </c>
      <c r="H2176">
        <v>0</v>
      </c>
      <c r="I2176" s="29">
        <f t="shared" si="33"/>
        <v>0</v>
      </c>
      <c r="J2176" t="str">
        <f>IFERROR(VLOOKUP(E2176,'LEAID Match'!$A$2:$B$168,2,FALSE),"")</f>
        <v/>
      </c>
    </row>
    <row r="2177" spans="1:10">
      <c r="A2177">
        <v>2015</v>
      </c>
      <c r="B2177" t="s">
        <v>1429</v>
      </c>
      <c r="C2177" t="s">
        <v>1431</v>
      </c>
      <c r="D2177" t="s">
        <v>1433</v>
      </c>
      <c r="E2177" t="s">
        <v>761</v>
      </c>
      <c r="F2177" s="9" t="s">
        <v>1237</v>
      </c>
      <c r="G2177" s="18">
        <v>84979</v>
      </c>
      <c r="H2177">
        <v>0</v>
      </c>
      <c r="I2177" s="29">
        <f t="shared" si="33"/>
        <v>84979</v>
      </c>
      <c r="J2177" t="str">
        <f>IFERROR(VLOOKUP(E2177,'LEAID Match'!$A$2:$B$168,2,FALSE),"")</f>
        <v/>
      </c>
    </row>
    <row r="2178" spans="1:10">
      <c r="A2178">
        <v>2016</v>
      </c>
      <c r="B2178" t="s">
        <v>1429</v>
      </c>
      <c r="C2178" t="s">
        <v>1431</v>
      </c>
      <c r="D2178" t="s">
        <v>1433</v>
      </c>
      <c r="E2178" t="s">
        <v>761</v>
      </c>
      <c r="F2178" t="s">
        <v>761</v>
      </c>
      <c r="G2178" s="28">
        <v>105787</v>
      </c>
      <c r="H2178">
        <v>0</v>
      </c>
      <c r="I2178" s="29">
        <f t="shared" si="33"/>
        <v>105787</v>
      </c>
      <c r="J2178" t="str">
        <f>IFERROR(VLOOKUP(E2178,'LEAID Match'!$A$2:$B$168,2,FALSE),"")</f>
        <v/>
      </c>
    </row>
    <row r="2179" spans="1:10">
      <c r="A2179">
        <v>2017</v>
      </c>
      <c r="B2179" t="s">
        <v>1429</v>
      </c>
      <c r="C2179" t="s">
        <v>1431</v>
      </c>
      <c r="D2179" t="s">
        <v>1433</v>
      </c>
      <c r="E2179" t="s">
        <v>761</v>
      </c>
      <c r="F2179" t="s">
        <v>761</v>
      </c>
      <c r="G2179" s="28">
        <v>107779</v>
      </c>
      <c r="H2179">
        <v>0</v>
      </c>
      <c r="I2179" s="29">
        <f t="shared" ref="I2179:I2242" si="34">SUM(G2179:H2179)</f>
        <v>107779</v>
      </c>
      <c r="J2179" t="str">
        <f>IFERROR(VLOOKUP(E2179,'LEAID Match'!$A$2:$B$168,2,FALSE),"")</f>
        <v/>
      </c>
    </row>
    <row r="2180" spans="1:10">
      <c r="A2180" s="27">
        <v>2018</v>
      </c>
      <c r="B2180" t="s">
        <v>1429</v>
      </c>
      <c r="C2180" t="s">
        <v>1431</v>
      </c>
      <c r="D2180" t="s">
        <v>1433</v>
      </c>
      <c r="E2180" t="s">
        <v>761</v>
      </c>
      <c r="F2180" s="9" t="s">
        <v>761</v>
      </c>
      <c r="G2180" s="18">
        <v>116980</v>
      </c>
      <c r="H2180">
        <v>0</v>
      </c>
      <c r="I2180" s="29">
        <f t="shared" si="34"/>
        <v>116980</v>
      </c>
      <c r="J2180" t="str">
        <f>IFERROR(VLOOKUP(E2180,'LEAID Match'!$A$2:$B$168,2,FALSE),"")</f>
        <v/>
      </c>
    </row>
    <row r="2181" spans="1:10">
      <c r="A2181">
        <v>2019</v>
      </c>
      <c r="B2181" t="s">
        <v>1429</v>
      </c>
      <c r="C2181" t="s">
        <v>1431</v>
      </c>
      <c r="D2181" t="s">
        <v>1433</v>
      </c>
      <c r="E2181" t="s">
        <v>761</v>
      </c>
      <c r="F2181" s="9" t="s">
        <v>761</v>
      </c>
      <c r="G2181" s="18">
        <v>120027</v>
      </c>
      <c r="H2181">
        <v>0</v>
      </c>
      <c r="I2181" s="29">
        <f t="shared" si="34"/>
        <v>120027</v>
      </c>
      <c r="J2181" t="str">
        <f>IFERROR(VLOOKUP(E2181,'LEAID Match'!$A$2:$B$168,2,FALSE),"")</f>
        <v/>
      </c>
    </row>
    <row r="2182" spans="1:10">
      <c r="A2182" s="27">
        <v>2020</v>
      </c>
      <c r="B2182" t="s">
        <v>1429</v>
      </c>
      <c r="C2182" t="s">
        <v>1431</v>
      </c>
      <c r="D2182" t="s">
        <v>1433</v>
      </c>
      <c r="E2182" t="s">
        <v>121</v>
      </c>
      <c r="F2182" s="9" t="s">
        <v>121</v>
      </c>
      <c r="G2182" s="18">
        <v>112716</v>
      </c>
      <c r="H2182">
        <v>0</v>
      </c>
      <c r="I2182" s="29">
        <f t="shared" si="34"/>
        <v>112716</v>
      </c>
      <c r="J2182" t="str">
        <f>IFERROR(VLOOKUP(E2182,'LEAID Match'!$A$2:$B$168,2,FALSE),"")</f>
        <v/>
      </c>
    </row>
    <row r="2183" spans="1:10">
      <c r="A2183">
        <v>2021</v>
      </c>
      <c r="B2183" t="s">
        <v>1429</v>
      </c>
      <c r="C2183" t="s">
        <v>1431</v>
      </c>
      <c r="D2183" t="s">
        <v>1433</v>
      </c>
      <c r="E2183" t="s">
        <v>121</v>
      </c>
      <c r="F2183" s="9" t="s">
        <v>121</v>
      </c>
      <c r="G2183" s="18">
        <v>122593</v>
      </c>
      <c r="H2183">
        <v>0</v>
      </c>
      <c r="I2183" s="29">
        <f t="shared" si="34"/>
        <v>122593</v>
      </c>
      <c r="J2183" t="str">
        <f>IFERROR(VLOOKUP(E2183,'LEAID Match'!$A$2:$B$168,2,FALSE),"")</f>
        <v/>
      </c>
    </row>
    <row r="2184" spans="1:10">
      <c r="A2184">
        <v>2022</v>
      </c>
      <c r="B2184" t="s">
        <v>1429</v>
      </c>
      <c r="C2184" t="s">
        <v>1431</v>
      </c>
      <c r="D2184" t="s">
        <v>1433</v>
      </c>
      <c r="E2184" t="s">
        <v>121</v>
      </c>
      <c r="F2184" s="9" t="s">
        <v>121</v>
      </c>
      <c r="G2184" s="18">
        <v>154335</v>
      </c>
      <c r="H2184">
        <v>0</v>
      </c>
      <c r="I2184" s="29">
        <f t="shared" si="34"/>
        <v>154335</v>
      </c>
      <c r="J2184" t="str">
        <f>IFERROR(VLOOKUP(E2184,'LEAID Match'!$A$2:$B$168,2,FALSE),"")</f>
        <v/>
      </c>
    </row>
    <row r="2185" spans="1:10">
      <c r="A2185">
        <v>2023</v>
      </c>
      <c r="B2185" t="s">
        <v>1429</v>
      </c>
      <c r="C2185" t="s">
        <v>1431</v>
      </c>
      <c r="D2185" t="s">
        <v>1433</v>
      </c>
      <c r="E2185" t="s">
        <v>121</v>
      </c>
      <c r="F2185" t="s">
        <v>121</v>
      </c>
      <c r="G2185" s="28">
        <v>167275</v>
      </c>
      <c r="H2185">
        <v>0</v>
      </c>
      <c r="I2185" s="29">
        <f t="shared" si="34"/>
        <v>167275</v>
      </c>
      <c r="J2185" t="str">
        <f>IFERROR(VLOOKUP(E2185,'LEAID Match'!$A$2:$B$168,2,FALSE),"")</f>
        <v/>
      </c>
    </row>
    <row r="2186" spans="1:10">
      <c r="A2186">
        <v>2015</v>
      </c>
      <c r="B2186" t="s">
        <v>1429</v>
      </c>
      <c r="C2186" t="s">
        <v>1431</v>
      </c>
      <c r="D2186" t="s">
        <v>1433</v>
      </c>
      <c r="E2186" t="s">
        <v>122</v>
      </c>
      <c r="F2186" s="9" t="s">
        <v>1238</v>
      </c>
      <c r="G2186" s="18">
        <v>29357.96</v>
      </c>
      <c r="H2186">
        <v>0</v>
      </c>
      <c r="I2186" s="29">
        <f t="shared" si="34"/>
        <v>29357.96</v>
      </c>
      <c r="J2186" t="str">
        <f>IFERROR(VLOOKUP(E2186,'LEAID Match'!$A$2:$B$168,2,FALSE),"")</f>
        <v/>
      </c>
    </row>
    <row r="2187" spans="1:10">
      <c r="A2187">
        <v>2016</v>
      </c>
      <c r="B2187" t="s">
        <v>1429</v>
      </c>
      <c r="C2187" t="s">
        <v>1431</v>
      </c>
      <c r="D2187" t="s">
        <v>1433</v>
      </c>
      <c r="E2187" t="s">
        <v>122</v>
      </c>
      <c r="F2187" t="s">
        <v>122</v>
      </c>
      <c r="G2187" s="28">
        <v>26648</v>
      </c>
      <c r="H2187">
        <v>0</v>
      </c>
      <c r="I2187" s="29">
        <f t="shared" si="34"/>
        <v>26648</v>
      </c>
      <c r="J2187" t="str">
        <f>IFERROR(VLOOKUP(E2187,'LEAID Match'!$A$2:$B$168,2,FALSE),"")</f>
        <v/>
      </c>
    </row>
    <row r="2188" spans="1:10">
      <c r="A2188">
        <v>2017</v>
      </c>
      <c r="B2188" t="s">
        <v>1429</v>
      </c>
      <c r="C2188" t="s">
        <v>1431</v>
      </c>
      <c r="D2188" t="s">
        <v>1433</v>
      </c>
      <c r="E2188" t="s">
        <v>122</v>
      </c>
      <c r="F2188" t="s">
        <v>122</v>
      </c>
      <c r="G2188" s="28">
        <v>25857</v>
      </c>
      <c r="H2188">
        <v>0</v>
      </c>
      <c r="I2188" s="29">
        <f t="shared" si="34"/>
        <v>25857</v>
      </c>
      <c r="J2188" t="str">
        <f>IFERROR(VLOOKUP(E2188,'LEAID Match'!$A$2:$B$168,2,FALSE),"")</f>
        <v/>
      </c>
    </row>
    <row r="2189" spans="1:10">
      <c r="A2189" s="27">
        <v>2018</v>
      </c>
      <c r="B2189" t="s">
        <v>1429</v>
      </c>
      <c r="C2189" t="s">
        <v>1431</v>
      </c>
      <c r="D2189" t="s">
        <v>1433</v>
      </c>
      <c r="E2189" t="s">
        <v>122</v>
      </c>
      <c r="F2189" s="9" t="s">
        <v>122</v>
      </c>
      <c r="G2189" s="18">
        <v>32336</v>
      </c>
      <c r="H2189">
        <v>0</v>
      </c>
      <c r="I2189" s="29">
        <f t="shared" si="34"/>
        <v>32336</v>
      </c>
      <c r="J2189" t="str">
        <f>IFERROR(VLOOKUP(E2189,'LEAID Match'!$A$2:$B$168,2,FALSE),"")</f>
        <v/>
      </c>
    </row>
    <row r="2190" spans="1:10">
      <c r="A2190">
        <v>2019</v>
      </c>
      <c r="B2190" t="s">
        <v>1429</v>
      </c>
      <c r="C2190" t="s">
        <v>1431</v>
      </c>
      <c r="D2190" t="s">
        <v>1433</v>
      </c>
      <c r="E2190" t="s">
        <v>122</v>
      </c>
      <c r="F2190" s="9" t="s">
        <v>122</v>
      </c>
      <c r="G2190" s="18">
        <v>35299</v>
      </c>
      <c r="H2190">
        <v>0</v>
      </c>
      <c r="I2190" s="29">
        <f t="shared" si="34"/>
        <v>35299</v>
      </c>
      <c r="J2190" t="str">
        <f>IFERROR(VLOOKUP(E2190,'LEAID Match'!$A$2:$B$168,2,FALSE),"")</f>
        <v/>
      </c>
    </row>
    <row r="2191" spans="1:10">
      <c r="A2191" s="27">
        <v>2020</v>
      </c>
      <c r="B2191" t="s">
        <v>1429</v>
      </c>
      <c r="C2191" t="s">
        <v>1431</v>
      </c>
      <c r="D2191" t="s">
        <v>1433</v>
      </c>
      <c r="E2191" t="s">
        <v>122</v>
      </c>
      <c r="F2191" s="9" t="s">
        <v>122</v>
      </c>
      <c r="G2191" s="18">
        <v>38112</v>
      </c>
      <c r="H2191">
        <v>0</v>
      </c>
      <c r="I2191" s="29">
        <f t="shared" si="34"/>
        <v>38112</v>
      </c>
      <c r="J2191" t="str">
        <f>IFERROR(VLOOKUP(E2191,'LEAID Match'!$A$2:$B$168,2,FALSE),"")</f>
        <v/>
      </c>
    </row>
    <row r="2192" spans="1:10">
      <c r="A2192">
        <v>2021</v>
      </c>
      <c r="B2192" t="s">
        <v>1429</v>
      </c>
      <c r="C2192" t="s">
        <v>1431</v>
      </c>
      <c r="D2192" t="s">
        <v>1433</v>
      </c>
      <c r="E2192" t="s">
        <v>122</v>
      </c>
      <c r="F2192" s="9" t="s">
        <v>122</v>
      </c>
      <c r="G2192" s="18">
        <v>30362</v>
      </c>
      <c r="H2192">
        <v>0</v>
      </c>
      <c r="I2192" s="29">
        <f t="shared" si="34"/>
        <v>30362</v>
      </c>
      <c r="J2192" t="str">
        <f>IFERROR(VLOOKUP(E2192,'LEAID Match'!$A$2:$B$168,2,FALSE),"")</f>
        <v/>
      </c>
    </row>
    <row r="2193" spans="1:10">
      <c r="A2193">
        <v>2022</v>
      </c>
      <c r="B2193" t="s">
        <v>1429</v>
      </c>
      <c r="C2193" t="s">
        <v>1431</v>
      </c>
      <c r="D2193" t="s">
        <v>1433</v>
      </c>
      <c r="E2193" t="s">
        <v>122</v>
      </c>
      <c r="F2193" s="9" t="s">
        <v>122</v>
      </c>
      <c r="G2193" s="18">
        <v>42677</v>
      </c>
      <c r="H2193">
        <v>0</v>
      </c>
      <c r="I2193" s="29">
        <f t="shared" si="34"/>
        <v>42677</v>
      </c>
      <c r="J2193" t="str">
        <f>IFERROR(VLOOKUP(E2193,'LEAID Match'!$A$2:$B$168,2,FALSE),"")</f>
        <v/>
      </c>
    </row>
    <row r="2194" spans="1:10">
      <c r="A2194">
        <v>2023</v>
      </c>
      <c r="B2194" t="s">
        <v>1429</v>
      </c>
      <c r="C2194" t="s">
        <v>1431</v>
      </c>
      <c r="D2194" t="s">
        <v>1433</v>
      </c>
      <c r="E2194" t="s">
        <v>122</v>
      </c>
      <c r="F2194" t="s">
        <v>122</v>
      </c>
      <c r="G2194" s="28">
        <v>51856</v>
      </c>
      <c r="H2194">
        <v>0</v>
      </c>
      <c r="I2194" s="29">
        <f t="shared" si="34"/>
        <v>51856</v>
      </c>
      <c r="J2194" t="str">
        <f>IFERROR(VLOOKUP(E2194,'LEAID Match'!$A$2:$B$168,2,FALSE),"")</f>
        <v/>
      </c>
    </row>
    <row r="2195" spans="1:10">
      <c r="A2195" s="27">
        <v>2020</v>
      </c>
      <c r="B2195" t="s">
        <v>1429</v>
      </c>
      <c r="C2195" t="s">
        <v>1431</v>
      </c>
      <c r="D2195" t="s">
        <v>1433</v>
      </c>
      <c r="E2195" t="s">
        <v>123</v>
      </c>
      <c r="F2195" s="9" t="s">
        <v>123</v>
      </c>
      <c r="G2195" s="18">
        <v>92319</v>
      </c>
      <c r="H2195">
        <v>0</v>
      </c>
      <c r="I2195" s="29">
        <f t="shared" si="34"/>
        <v>92319</v>
      </c>
      <c r="J2195" t="str">
        <f>IFERROR(VLOOKUP(E2195,'LEAID Match'!$A$2:$B$168,2,FALSE),"")</f>
        <v/>
      </c>
    </row>
    <row r="2196" spans="1:10">
      <c r="A2196">
        <v>2021</v>
      </c>
      <c r="B2196" t="s">
        <v>1429</v>
      </c>
      <c r="C2196" t="s">
        <v>1431</v>
      </c>
      <c r="D2196" t="s">
        <v>1433</v>
      </c>
      <c r="E2196" t="s">
        <v>123</v>
      </c>
      <c r="F2196" s="9" t="s">
        <v>123</v>
      </c>
      <c r="G2196" s="18">
        <v>92088</v>
      </c>
      <c r="H2196">
        <v>0</v>
      </c>
      <c r="I2196" s="29">
        <f t="shared" si="34"/>
        <v>92088</v>
      </c>
      <c r="J2196" t="str">
        <f>IFERROR(VLOOKUP(E2196,'LEAID Match'!$A$2:$B$168,2,FALSE),"")</f>
        <v/>
      </c>
    </row>
    <row r="2197" spans="1:10">
      <c r="A2197">
        <v>2022</v>
      </c>
      <c r="B2197" t="s">
        <v>1429</v>
      </c>
      <c r="C2197" t="s">
        <v>1431</v>
      </c>
      <c r="D2197" t="s">
        <v>1433</v>
      </c>
      <c r="E2197" t="s">
        <v>123</v>
      </c>
      <c r="F2197" s="9" t="s">
        <v>123</v>
      </c>
      <c r="G2197" s="18">
        <v>114542</v>
      </c>
      <c r="H2197">
        <v>0</v>
      </c>
      <c r="I2197" s="29">
        <f t="shared" si="34"/>
        <v>114542</v>
      </c>
      <c r="J2197" t="str">
        <f>IFERROR(VLOOKUP(E2197,'LEAID Match'!$A$2:$B$168,2,FALSE),"")</f>
        <v/>
      </c>
    </row>
    <row r="2198" spans="1:10">
      <c r="A2198">
        <v>2023</v>
      </c>
      <c r="B2198" t="s">
        <v>1429</v>
      </c>
      <c r="C2198" t="s">
        <v>1431</v>
      </c>
      <c r="D2198" t="s">
        <v>1433</v>
      </c>
      <c r="E2198" t="s">
        <v>123</v>
      </c>
      <c r="F2198" t="s">
        <v>123</v>
      </c>
      <c r="G2198" s="28">
        <v>105127</v>
      </c>
      <c r="H2198">
        <v>0</v>
      </c>
      <c r="I2198" s="29">
        <f t="shared" si="34"/>
        <v>105127</v>
      </c>
      <c r="J2198" t="str">
        <f>IFERROR(VLOOKUP(E2198,'LEAID Match'!$A$2:$B$168,2,FALSE),"")</f>
        <v/>
      </c>
    </row>
    <row r="2199" spans="1:10">
      <c r="A2199">
        <v>2015</v>
      </c>
      <c r="B2199" t="s">
        <v>1429</v>
      </c>
      <c r="C2199" t="s">
        <v>1431</v>
      </c>
      <c r="D2199" t="s">
        <v>1433</v>
      </c>
      <c r="E2199" t="s">
        <v>762</v>
      </c>
      <c r="F2199" s="9" t="s">
        <v>1239</v>
      </c>
      <c r="G2199" s="18">
        <v>97590.85</v>
      </c>
      <c r="H2199">
        <v>0</v>
      </c>
      <c r="I2199" s="29">
        <f t="shared" si="34"/>
        <v>97590.85</v>
      </c>
      <c r="J2199" t="str">
        <f>IFERROR(VLOOKUP(E2199,'LEAID Match'!$A$2:$B$168,2,FALSE),"")</f>
        <v/>
      </c>
    </row>
    <row r="2200" spans="1:10">
      <c r="A2200">
        <v>2016</v>
      </c>
      <c r="B2200" t="s">
        <v>1429</v>
      </c>
      <c r="C2200" t="s">
        <v>1431</v>
      </c>
      <c r="D2200" t="s">
        <v>1433</v>
      </c>
      <c r="E2200" t="s">
        <v>762</v>
      </c>
      <c r="F2200" t="s">
        <v>762</v>
      </c>
      <c r="G2200" s="28">
        <v>101665</v>
      </c>
      <c r="H2200">
        <v>0</v>
      </c>
      <c r="I2200" s="29">
        <f t="shared" si="34"/>
        <v>101665</v>
      </c>
      <c r="J2200" t="str">
        <f>IFERROR(VLOOKUP(E2200,'LEAID Match'!$A$2:$B$168,2,FALSE),"")</f>
        <v/>
      </c>
    </row>
    <row r="2201" spans="1:10">
      <c r="A2201">
        <v>2017</v>
      </c>
      <c r="B2201" t="s">
        <v>1429</v>
      </c>
      <c r="C2201" t="s">
        <v>1431</v>
      </c>
      <c r="D2201" t="s">
        <v>1433</v>
      </c>
      <c r="E2201" t="s">
        <v>762</v>
      </c>
      <c r="F2201" t="s">
        <v>762</v>
      </c>
      <c r="G2201" s="28">
        <v>107800</v>
      </c>
      <c r="H2201">
        <v>0</v>
      </c>
      <c r="I2201" s="29">
        <f t="shared" si="34"/>
        <v>107800</v>
      </c>
      <c r="J2201" t="str">
        <f>IFERROR(VLOOKUP(E2201,'LEAID Match'!$A$2:$B$168,2,FALSE),"")</f>
        <v/>
      </c>
    </row>
    <row r="2202" spans="1:10">
      <c r="A2202" s="27">
        <v>2018</v>
      </c>
      <c r="B2202" t="s">
        <v>1429</v>
      </c>
      <c r="C2202" t="s">
        <v>1431</v>
      </c>
      <c r="D2202" t="s">
        <v>1433</v>
      </c>
      <c r="E2202" t="s">
        <v>762</v>
      </c>
      <c r="F2202" s="9" t="s">
        <v>762</v>
      </c>
      <c r="G2202" s="18">
        <v>97199</v>
      </c>
      <c r="H2202">
        <v>0</v>
      </c>
      <c r="I2202" s="29">
        <f t="shared" si="34"/>
        <v>97199</v>
      </c>
      <c r="J2202" t="str">
        <f>IFERROR(VLOOKUP(E2202,'LEAID Match'!$A$2:$B$168,2,FALSE),"")</f>
        <v/>
      </c>
    </row>
    <row r="2203" spans="1:10">
      <c r="A2203">
        <v>2019</v>
      </c>
      <c r="B2203" t="s">
        <v>1429</v>
      </c>
      <c r="C2203" t="s">
        <v>1431</v>
      </c>
      <c r="D2203" t="s">
        <v>1433</v>
      </c>
      <c r="E2203" t="s">
        <v>762</v>
      </c>
      <c r="F2203" s="9" t="s">
        <v>762</v>
      </c>
      <c r="G2203" s="18">
        <v>89370</v>
      </c>
      <c r="H2203">
        <v>0</v>
      </c>
      <c r="I2203" s="29">
        <f t="shared" si="34"/>
        <v>89370</v>
      </c>
      <c r="J2203" t="str">
        <f>IFERROR(VLOOKUP(E2203,'LEAID Match'!$A$2:$B$168,2,FALSE),"")</f>
        <v/>
      </c>
    </row>
    <row r="2204" spans="1:10">
      <c r="A2204">
        <v>2015</v>
      </c>
      <c r="B2204" t="s">
        <v>1429</v>
      </c>
      <c r="C2204" t="s">
        <v>1431</v>
      </c>
      <c r="D2204" t="s">
        <v>1433</v>
      </c>
      <c r="E2204" t="s">
        <v>763</v>
      </c>
      <c r="F2204" s="9" t="s">
        <v>1240</v>
      </c>
      <c r="G2204" s="18">
        <v>458500.21</v>
      </c>
      <c r="H2204">
        <v>0</v>
      </c>
      <c r="I2204" s="29">
        <f t="shared" si="34"/>
        <v>458500.21</v>
      </c>
      <c r="J2204" t="str">
        <f>IFERROR(VLOOKUP(E2204,'LEAID Match'!$A$2:$B$168,2,FALSE),"")</f>
        <v/>
      </c>
    </row>
    <row r="2205" spans="1:10">
      <c r="A2205">
        <v>2016</v>
      </c>
      <c r="B2205" t="s">
        <v>1429</v>
      </c>
      <c r="C2205" t="s">
        <v>1431</v>
      </c>
      <c r="D2205" t="s">
        <v>1433</v>
      </c>
      <c r="E2205" t="s">
        <v>763</v>
      </c>
      <c r="F2205" t="s">
        <v>763</v>
      </c>
      <c r="G2205" s="28">
        <v>487062</v>
      </c>
      <c r="H2205">
        <v>0</v>
      </c>
      <c r="I2205" s="29">
        <f t="shared" si="34"/>
        <v>487062</v>
      </c>
      <c r="J2205" t="str">
        <f>IFERROR(VLOOKUP(E2205,'LEAID Match'!$A$2:$B$168,2,FALSE),"")</f>
        <v/>
      </c>
    </row>
    <row r="2206" spans="1:10">
      <c r="A2206">
        <v>2017</v>
      </c>
      <c r="B2206" t="s">
        <v>1429</v>
      </c>
      <c r="C2206" t="s">
        <v>1431</v>
      </c>
      <c r="D2206" t="s">
        <v>1433</v>
      </c>
      <c r="E2206" t="s">
        <v>763</v>
      </c>
      <c r="F2206" t="s">
        <v>763</v>
      </c>
      <c r="G2206" s="28">
        <v>532397</v>
      </c>
      <c r="H2206">
        <v>0</v>
      </c>
      <c r="I2206" s="29">
        <f t="shared" si="34"/>
        <v>532397</v>
      </c>
      <c r="J2206" t="str">
        <f>IFERROR(VLOOKUP(E2206,'LEAID Match'!$A$2:$B$168,2,FALSE),"")</f>
        <v/>
      </c>
    </row>
    <row r="2207" spans="1:10">
      <c r="A2207" s="27">
        <v>2018</v>
      </c>
      <c r="B2207" t="s">
        <v>1429</v>
      </c>
      <c r="C2207" t="s">
        <v>1431</v>
      </c>
      <c r="D2207" t="s">
        <v>1433</v>
      </c>
      <c r="E2207" t="s">
        <v>763</v>
      </c>
      <c r="F2207" s="9" t="s">
        <v>763</v>
      </c>
      <c r="G2207" s="18">
        <v>586995</v>
      </c>
      <c r="H2207">
        <v>0</v>
      </c>
      <c r="I2207" s="29">
        <f t="shared" si="34"/>
        <v>586995</v>
      </c>
      <c r="J2207" t="str">
        <f>IFERROR(VLOOKUP(E2207,'LEAID Match'!$A$2:$B$168,2,FALSE),"")</f>
        <v/>
      </c>
    </row>
    <row r="2208" spans="1:10">
      <c r="A2208">
        <v>2019</v>
      </c>
      <c r="B2208" t="s">
        <v>1429</v>
      </c>
      <c r="C2208" t="s">
        <v>1431</v>
      </c>
      <c r="D2208" t="s">
        <v>1433</v>
      </c>
      <c r="E2208" t="s">
        <v>763</v>
      </c>
      <c r="F2208" s="9" t="s">
        <v>763</v>
      </c>
      <c r="G2208" s="18">
        <v>601573</v>
      </c>
      <c r="H2208">
        <v>0</v>
      </c>
      <c r="I2208" s="29">
        <f t="shared" si="34"/>
        <v>601573</v>
      </c>
      <c r="J2208" t="str">
        <f>IFERROR(VLOOKUP(E2208,'LEAID Match'!$A$2:$B$168,2,FALSE),"")</f>
        <v/>
      </c>
    </row>
    <row r="2209" spans="1:10">
      <c r="A2209">
        <v>2015</v>
      </c>
      <c r="B2209" t="s">
        <v>1429</v>
      </c>
      <c r="C2209" t="s">
        <v>1431</v>
      </c>
      <c r="D2209" t="s">
        <v>1433</v>
      </c>
      <c r="E2209" t="s">
        <v>124</v>
      </c>
      <c r="F2209" s="9" t="s">
        <v>1241</v>
      </c>
      <c r="G2209" s="18">
        <v>477112.44</v>
      </c>
      <c r="H2209">
        <v>0</v>
      </c>
      <c r="I2209" s="29">
        <f t="shared" si="34"/>
        <v>477112.44</v>
      </c>
      <c r="J2209">
        <f>IFERROR(VLOOKUP(E2209,'LEAID Match'!$A$2:$B$168,2,FALSE),"")</f>
        <v>3305370</v>
      </c>
    </row>
    <row r="2210" spans="1:10">
      <c r="A2210">
        <v>2016</v>
      </c>
      <c r="B2210" t="s">
        <v>1429</v>
      </c>
      <c r="C2210" t="s">
        <v>1431</v>
      </c>
      <c r="D2210" t="s">
        <v>1433</v>
      </c>
      <c r="E2210" t="s">
        <v>124</v>
      </c>
      <c r="F2210" t="s">
        <v>764</v>
      </c>
      <c r="G2210" s="28">
        <v>518310</v>
      </c>
      <c r="H2210">
        <v>0</v>
      </c>
      <c r="I2210" s="29">
        <f t="shared" si="34"/>
        <v>518310</v>
      </c>
      <c r="J2210">
        <f>IFERROR(VLOOKUP(E2210,'LEAID Match'!$A$2:$B$168,2,FALSE),"")</f>
        <v>3305370</v>
      </c>
    </row>
    <row r="2211" spans="1:10">
      <c r="A2211">
        <v>2017</v>
      </c>
      <c r="B2211" t="s">
        <v>1429</v>
      </c>
      <c r="C2211" t="s">
        <v>1431</v>
      </c>
      <c r="D2211" t="s">
        <v>1433</v>
      </c>
      <c r="E2211" t="s">
        <v>124</v>
      </c>
      <c r="F2211" t="s">
        <v>764</v>
      </c>
      <c r="G2211" s="28">
        <v>510882</v>
      </c>
      <c r="H2211">
        <v>0</v>
      </c>
      <c r="I2211" s="29">
        <f t="shared" si="34"/>
        <v>510882</v>
      </c>
      <c r="J2211">
        <f>IFERROR(VLOOKUP(E2211,'LEAID Match'!$A$2:$B$168,2,FALSE),"")</f>
        <v>3305370</v>
      </c>
    </row>
    <row r="2212" spans="1:10">
      <c r="A2212" s="27">
        <v>2018</v>
      </c>
      <c r="B2212" t="s">
        <v>1429</v>
      </c>
      <c r="C2212" t="s">
        <v>1431</v>
      </c>
      <c r="D2212" t="s">
        <v>1433</v>
      </c>
      <c r="E2212" t="s">
        <v>124</v>
      </c>
      <c r="F2212" s="9" t="s">
        <v>764</v>
      </c>
      <c r="G2212" s="18">
        <v>601421</v>
      </c>
      <c r="H2212">
        <v>0</v>
      </c>
      <c r="I2212" s="29">
        <f t="shared" si="34"/>
        <v>601421</v>
      </c>
      <c r="J2212">
        <f>IFERROR(VLOOKUP(E2212,'LEAID Match'!$A$2:$B$168,2,FALSE),"")</f>
        <v>3305370</v>
      </c>
    </row>
    <row r="2213" spans="1:10">
      <c r="A2213">
        <v>2019</v>
      </c>
      <c r="B2213" t="s">
        <v>1429</v>
      </c>
      <c r="C2213" t="s">
        <v>1431</v>
      </c>
      <c r="D2213" t="s">
        <v>1433</v>
      </c>
      <c r="E2213" t="s">
        <v>124</v>
      </c>
      <c r="F2213" s="9" t="s">
        <v>764</v>
      </c>
      <c r="G2213" s="18">
        <v>600841</v>
      </c>
      <c r="H2213">
        <v>0</v>
      </c>
      <c r="I2213" s="29">
        <f t="shared" si="34"/>
        <v>600841</v>
      </c>
      <c r="J2213">
        <f>IFERROR(VLOOKUP(E2213,'LEAID Match'!$A$2:$B$168,2,FALSE),"")</f>
        <v>3305370</v>
      </c>
    </row>
    <row r="2214" spans="1:10">
      <c r="A2214" s="27">
        <v>2020</v>
      </c>
      <c r="B2214" t="s">
        <v>1429</v>
      </c>
      <c r="C2214" t="s">
        <v>1431</v>
      </c>
      <c r="D2214" t="s">
        <v>1433</v>
      </c>
      <c r="E2214" t="s">
        <v>124</v>
      </c>
      <c r="F2214" s="9" t="s">
        <v>124</v>
      </c>
      <c r="G2214" s="18">
        <v>625696</v>
      </c>
      <c r="H2214">
        <v>0</v>
      </c>
      <c r="I2214" s="29">
        <f t="shared" si="34"/>
        <v>625696</v>
      </c>
      <c r="J2214">
        <f>IFERROR(VLOOKUP(E2214,'LEAID Match'!$A$2:$B$168,2,FALSE),"")</f>
        <v>3305370</v>
      </c>
    </row>
    <row r="2215" spans="1:10">
      <c r="A2215">
        <v>2021</v>
      </c>
      <c r="B2215" t="s">
        <v>1429</v>
      </c>
      <c r="C2215" t="s">
        <v>1431</v>
      </c>
      <c r="D2215" t="s">
        <v>1433</v>
      </c>
      <c r="E2215" t="s">
        <v>124</v>
      </c>
      <c r="F2215" s="9" t="s">
        <v>124</v>
      </c>
      <c r="G2215" s="18">
        <v>609216</v>
      </c>
      <c r="H2215">
        <v>0</v>
      </c>
      <c r="I2215" s="29">
        <f t="shared" si="34"/>
        <v>609216</v>
      </c>
      <c r="J2215">
        <f>IFERROR(VLOOKUP(E2215,'LEAID Match'!$A$2:$B$168,2,FALSE),"")</f>
        <v>3305370</v>
      </c>
    </row>
    <row r="2216" spans="1:10">
      <c r="A2216">
        <v>2022</v>
      </c>
      <c r="B2216" t="s">
        <v>1429</v>
      </c>
      <c r="C2216" t="s">
        <v>1431</v>
      </c>
      <c r="D2216" t="s">
        <v>1433</v>
      </c>
      <c r="E2216" t="s">
        <v>124</v>
      </c>
      <c r="F2216" s="9" t="s">
        <v>124</v>
      </c>
      <c r="G2216" s="18">
        <v>793314</v>
      </c>
      <c r="H2216">
        <v>0</v>
      </c>
      <c r="I2216" s="29">
        <f t="shared" si="34"/>
        <v>793314</v>
      </c>
      <c r="J2216">
        <f>IFERROR(VLOOKUP(E2216,'LEAID Match'!$A$2:$B$168,2,FALSE),"")</f>
        <v>3305370</v>
      </c>
    </row>
    <row r="2217" spans="1:10">
      <c r="A2217">
        <v>2023</v>
      </c>
      <c r="B2217" t="s">
        <v>1429</v>
      </c>
      <c r="C2217" t="s">
        <v>1431</v>
      </c>
      <c r="D2217" t="s">
        <v>1433</v>
      </c>
      <c r="E2217" t="s">
        <v>124</v>
      </c>
      <c r="F2217" t="s">
        <v>124</v>
      </c>
      <c r="G2217" s="28">
        <v>816310</v>
      </c>
      <c r="H2217">
        <v>0</v>
      </c>
      <c r="I2217" s="29">
        <f t="shared" si="34"/>
        <v>816310</v>
      </c>
      <c r="J2217">
        <f>IFERROR(VLOOKUP(E2217,'LEAID Match'!$A$2:$B$168,2,FALSE),"")</f>
        <v>3305370</v>
      </c>
    </row>
    <row r="2218" spans="1:10">
      <c r="A2218">
        <v>2015</v>
      </c>
      <c r="B2218" t="s">
        <v>1429</v>
      </c>
      <c r="C2218" t="s">
        <v>1431</v>
      </c>
      <c r="D2218" t="s">
        <v>1433</v>
      </c>
      <c r="E2218" t="s">
        <v>765</v>
      </c>
      <c r="F2218" s="9" t="s">
        <v>1242</v>
      </c>
      <c r="G2218" s="18">
        <v>133858.54</v>
      </c>
      <c r="H2218">
        <v>0</v>
      </c>
      <c r="I2218" s="29">
        <f t="shared" si="34"/>
        <v>133858.54</v>
      </c>
      <c r="J2218" t="str">
        <f>IFERROR(VLOOKUP(E2218,'LEAID Match'!$A$2:$B$168,2,FALSE),"")</f>
        <v/>
      </c>
    </row>
    <row r="2219" spans="1:10">
      <c r="A2219">
        <v>2016</v>
      </c>
      <c r="B2219" t="s">
        <v>1429</v>
      </c>
      <c r="C2219" t="s">
        <v>1431</v>
      </c>
      <c r="D2219" t="s">
        <v>1433</v>
      </c>
      <c r="E2219" t="s">
        <v>765</v>
      </c>
      <c r="F2219" t="s">
        <v>765</v>
      </c>
      <c r="G2219" s="28">
        <v>146359</v>
      </c>
      <c r="H2219">
        <v>0</v>
      </c>
      <c r="I2219" s="29">
        <f t="shared" si="34"/>
        <v>146359</v>
      </c>
      <c r="J2219" t="str">
        <f>IFERROR(VLOOKUP(E2219,'LEAID Match'!$A$2:$B$168,2,FALSE),"")</f>
        <v/>
      </c>
    </row>
    <row r="2220" spans="1:10">
      <c r="A2220">
        <v>2017</v>
      </c>
      <c r="B2220" t="s">
        <v>1429</v>
      </c>
      <c r="C2220" t="s">
        <v>1431</v>
      </c>
      <c r="D2220" t="s">
        <v>1433</v>
      </c>
      <c r="E2220" t="s">
        <v>765</v>
      </c>
      <c r="F2220" t="s">
        <v>765</v>
      </c>
      <c r="G2220" s="28">
        <v>169980</v>
      </c>
      <c r="H2220">
        <v>0</v>
      </c>
      <c r="I2220" s="29">
        <f t="shared" si="34"/>
        <v>169980</v>
      </c>
      <c r="J2220" t="str">
        <f>IFERROR(VLOOKUP(E2220,'LEAID Match'!$A$2:$B$168,2,FALSE),"")</f>
        <v/>
      </c>
    </row>
    <row r="2221" spans="1:10">
      <c r="A2221" s="27">
        <v>2018</v>
      </c>
      <c r="B2221" t="s">
        <v>1429</v>
      </c>
      <c r="C2221" t="s">
        <v>1431</v>
      </c>
      <c r="D2221" t="s">
        <v>1433</v>
      </c>
      <c r="E2221" t="s">
        <v>765</v>
      </c>
      <c r="F2221" s="9" t="s">
        <v>765</v>
      </c>
      <c r="G2221" s="18">
        <v>194318</v>
      </c>
      <c r="H2221">
        <v>0</v>
      </c>
      <c r="I2221" s="29">
        <f t="shared" si="34"/>
        <v>194318</v>
      </c>
      <c r="J2221" t="str">
        <f>IFERROR(VLOOKUP(E2221,'LEAID Match'!$A$2:$B$168,2,FALSE),"")</f>
        <v/>
      </c>
    </row>
    <row r="2222" spans="1:10">
      <c r="A2222">
        <v>2019</v>
      </c>
      <c r="B2222" t="s">
        <v>1429</v>
      </c>
      <c r="C2222" t="s">
        <v>1431</v>
      </c>
      <c r="D2222" t="s">
        <v>1433</v>
      </c>
      <c r="E2222" t="s">
        <v>765</v>
      </c>
      <c r="F2222" s="9" t="s">
        <v>765</v>
      </c>
      <c r="G2222" s="18">
        <v>189187</v>
      </c>
      <c r="H2222">
        <v>0</v>
      </c>
      <c r="I2222" s="29">
        <f t="shared" si="34"/>
        <v>189187</v>
      </c>
      <c r="J2222" t="str">
        <f>IFERROR(VLOOKUP(E2222,'LEAID Match'!$A$2:$B$168,2,FALSE),"")</f>
        <v/>
      </c>
    </row>
    <row r="2223" spans="1:10">
      <c r="A2223">
        <v>2015</v>
      </c>
      <c r="B2223" t="s">
        <v>1429</v>
      </c>
      <c r="C2223" t="s">
        <v>1431</v>
      </c>
      <c r="D2223" t="s">
        <v>1433</v>
      </c>
      <c r="E2223" t="s">
        <v>766</v>
      </c>
      <c r="F2223" s="9" t="s">
        <v>1243</v>
      </c>
      <c r="G2223" s="18">
        <v>84163.520000000004</v>
      </c>
      <c r="H2223">
        <v>0</v>
      </c>
      <c r="I2223" s="29">
        <f t="shared" si="34"/>
        <v>84163.520000000004</v>
      </c>
      <c r="J2223" t="str">
        <f>IFERROR(VLOOKUP(E2223,'LEAID Match'!$A$2:$B$168,2,FALSE),"")</f>
        <v/>
      </c>
    </row>
    <row r="2224" spans="1:10">
      <c r="A2224">
        <v>2016</v>
      </c>
      <c r="B2224" t="s">
        <v>1429</v>
      </c>
      <c r="C2224" t="s">
        <v>1431</v>
      </c>
      <c r="D2224" t="s">
        <v>1433</v>
      </c>
      <c r="E2224" t="s">
        <v>766</v>
      </c>
      <c r="F2224" t="s">
        <v>766</v>
      </c>
      <c r="G2224" s="28">
        <v>71944</v>
      </c>
      <c r="H2224">
        <v>0</v>
      </c>
      <c r="I2224" s="29">
        <f t="shared" si="34"/>
        <v>71944</v>
      </c>
      <c r="J2224" t="str">
        <f>IFERROR(VLOOKUP(E2224,'LEAID Match'!$A$2:$B$168,2,FALSE),"")</f>
        <v/>
      </c>
    </row>
    <row r="2225" spans="1:10">
      <c r="A2225">
        <v>2017</v>
      </c>
      <c r="B2225" t="s">
        <v>1429</v>
      </c>
      <c r="C2225" t="s">
        <v>1431</v>
      </c>
      <c r="D2225" t="s">
        <v>1433</v>
      </c>
      <c r="E2225" t="s">
        <v>766</v>
      </c>
      <c r="F2225" t="s">
        <v>766</v>
      </c>
      <c r="G2225" s="28">
        <v>55816</v>
      </c>
      <c r="H2225">
        <v>0</v>
      </c>
      <c r="I2225" s="29">
        <f t="shared" si="34"/>
        <v>55816</v>
      </c>
      <c r="J2225" t="str">
        <f>IFERROR(VLOOKUP(E2225,'LEAID Match'!$A$2:$B$168,2,FALSE),"")</f>
        <v/>
      </c>
    </row>
    <row r="2226" spans="1:10">
      <c r="A2226" s="27">
        <v>2018</v>
      </c>
      <c r="B2226" t="s">
        <v>1429</v>
      </c>
      <c r="C2226" t="s">
        <v>1431</v>
      </c>
      <c r="D2226" t="s">
        <v>1433</v>
      </c>
      <c r="E2226" t="s">
        <v>766</v>
      </c>
      <c r="F2226" s="9" t="s">
        <v>766</v>
      </c>
      <c r="G2226" s="18">
        <v>71980</v>
      </c>
      <c r="H2226">
        <v>0</v>
      </c>
      <c r="I2226" s="29">
        <f t="shared" si="34"/>
        <v>71980</v>
      </c>
      <c r="J2226" t="str">
        <f>IFERROR(VLOOKUP(E2226,'LEAID Match'!$A$2:$B$168,2,FALSE),"")</f>
        <v/>
      </c>
    </row>
    <row r="2227" spans="1:10">
      <c r="A2227">
        <v>2019</v>
      </c>
      <c r="B2227" t="s">
        <v>1429</v>
      </c>
      <c r="C2227" t="s">
        <v>1431</v>
      </c>
      <c r="D2227" t="s">
        <v>1433</v>
      </c>
      <c r="E2227" t="s">
        <v>766</v>
      </c>
      <c r="F2227" s="9" t="s">
        <v>766</v>
      </c>
      <c r="G2227" s="18">
        <v>87407</v>
      </c>
      <c r="H2227">
        <v>0</v>
      </c>
      <c r="I2227" s="29">
        <f t="shared" si="34"/>
        <v>87407</v>
      </c>
      <c r="J2227" t="str">
        <f>IFERROR(VLOOKUP(E2227,'LEAID Match'!$A$2:$B$168,2,FALSE),"")</f>
        <v/>
      </c>
    </row>
    <row r="2228" spans="1:10">
      <c r="A2228">
        <v>2015</v>
      </c>
      <c r="B2228" t="s">
        <v>1429</v>
      </c>
      <c r="C2228" t="s">
        <v>1431</v>
      </c>
      <c r="D2228" t="s">
        <v>1433</v>
      </c>
      <c r="E2228" t="s">
        <v>125</v>
      </c>
      <c r="F2228" s="9" t="s">
        <v>1244</v>
      </c>
      <c r="G2228" s="18">
        <v>278702.02</v>
      </c>
      <c r="H2228">
        <v>0</v>
      </c>
      <c r="I2228" s="29">
        <f t="shared" si="34"/>
        <v>278702.02</v>
      </c>
      <c r="J2228">
        <f>IFERROR(VLOOKUP(E2228,'LEAID Match'!$A$2:$B$168,2,FALSE),"")</f>
        <v>3305400</v>
      </c>
    </row>
    <row r="2229" spans="1:10">
      <c r="A2229">
        <v>2016</v>
      </c>
      <c r="B2229" t="s">
        <v>1429</v>
      </c>
      <c r="C2229" t="s">
        <v>1431</v>
      </c>
      <c r="D2229" t="s">
        <v>1433</v>
      </c>
      <c r="E2229" t="s">
        <v>125</v>
      </c>
      <c r="F2229" t="s">
        <v>767</v>
      </c>
      <c r="G2229" s="28">
        <v>303305</v>
      </c>
      <c r="H2229">
        <v>0</v>
      </c>
      <c r="I2229" s="29">
        <f t="shared" si="34"/>
        <v>303305</v>
      </c>
      <c r="J2229">
        <f>IFERROR(VLOOKUP(E2229,'LEAID Match'!$A$2:$B$168,2,FALSE),"")</f>
        <v>3305400</v>
      </c>
    </row>
    <row r="2230" spans="1:10">
      <c r="A2230">
        <v>2017</v>
      </c>
      <c r="B2230" t="s">
        <v>1429</v>
      </c>
      <c r="C2230" t="s">
        <v>1431</v>
      </c>
      <c r="D2230" t="s">
        <v>1433</v>
      </c>
      <c r="E2230" t="s">
        <v>125</v>
      </c>
      <c r="F2230" t="s">
        <v>767</v>
      </c>
      <c r="G2230" s="28">
        <v>284079</v>
      </c>
      <c r="H2230">
        <v>0</v>
      </c>
      <c r="I2230" s="29">
        <f t="shared" si="34"/>
        <v>284079</v>
      </c>
      <c r="J2230">
        <f>IFERROR(VLOOKUP(E2230,'LEAID Match'!$A$2:$B$168,2,FALSE),"")</f>
        <v>3305400</v>
      </c>
    </row>
    <row r="2231" spans="1:10">
      <c r="A2231" s="27">
        <v>2018</v>
      </c>
      <c r="B2231" t="s">
        <v>1429</v>
      </c>
      <c r="C2231" t="s">
        <v>1431</v>
      </c>
      <c r="D2231" t="s">
        <v>1433</v>
      </c>
      <c r="E2231" t="s">
        <v>125</v>
      </c>
      <c r="F2231" s="9" t="s">
        <v>767</v>
      </c>
      <c r="G2231" s="18">
        <v>397140</v>
      </c>
      <c r="H2231">
        <v>0</v>
      </c>
      <c r="I2231" s="29">
        <f t="shared" si="34"/>
        <v>397140</v>
      </c>
      <c r="J2231">
        <f>IFERROR(VLOOKUP(E2231,'LEAID Match'!$A$2:$B$168,2,FALSE),"")</f>
        <v>3305400</v>
      </c>
    </row>
    <row r="2232" spans="1:10">
      <c r="A2232">
        <v>2019</v>
      </c>
      <c r="B2232" t="s">
        <v>1429</v>
      </c>
      <c r="C2232" t="s">
        <v>1431</v>
      </c>
      <c r="D2232" t="s">
        <v>1433</v>
      </c>
      <c r="E2232" t="s">
        <v>125</v>
      </c>
      <c r="F2232" s="9" t="s">
        <v>767</v>
      </c>
      <c r="G2232" s="18">
        <v>393309</v>
      </c>
      <c r="H2232">
        <v>0</v>
      </c>
      <c r="I2232" s="29">
        <f t="shared" si="34"/>
        <v>393309</v>
      </c>
      <c r="J2232">
        <f>IFERROR(VLOOKUP(E2232,'LEAID Match'!$A$2:$B$168,2,FALSE),"")</f>
        <v>3305400</v>
      </c>
    </row>
    <row r="2233" spans="1:10">
      <c r="A2233" s="27">
        <v>2020</v>
      </c>
      <c r="B2233" t="s">
        <v>1429</v>
      </c>
      <c r="C2233" t="s">
        <v>1431</v>
      </c>
      <c r="D2233" t="s">
        <v>1433</v>
      </c>
      <c r="E2233" t="s">
        <v>125</v>
      </c>
      <c r="F2233" s="9" t="s">
        <v>125</v>
      </c>
      <c r="G2233" s="18">
        <v>406253</v>
      </c>
      <c r="H2233">
        <v>0</v>
      </c>
      <c r="I2233" s="29">
        <f t="shared" si="34"/>
        <v>406253</v>
      </c>
      <c r="J2233">
        <f>IFERROR(VLOOKUP(E2233,'LEAID Match'!$A$2:$B$168,2,FALSE),"")</f>
        <v>3305400</v>
      </c>
    </row>
    <row r="2234" spans="1:10">
      <c r="A2234">
        <v>2021</v>
      </c>
      <c r="B2234" t="s">
        <v>1429</v>
      </c>
      <c r="C2234" t="s">
        <v>1431</v>
      </c>
      <c r="D2234" t="s">
        <v>1433</v>
      </c>
      <c r="E2234" t="s">
        <v>125</v>
      </c>
      <c r="F2234" s="9" t="s">
        <v>125</v>
      </c>
      <c r="G2234" s="18">
        <v>438662</v>
      </c>
      <c r="H2234">
        <v>0</v>
      </c>
      <c r="I2234" s="29">
        <f t="shared" si="34"/>
        <v>438662</v>
      </c>
      <c r="J2234">
        <f>IFERROR(VLOOKUP(E2234,'LEAID Match'!$A$2:$B$168,2,FALSE),"")</f>
        <v>3305400</v>
      </c>
    </row>
    <row r="2235" spans="1:10">
      <c r="A2235">
        <v>2022</v>
      </c>
      <c r="B2235" t="s">
        <v>1429</v>
      </c>
      <c r="C2235" t="s">
        <v>1431</v>
      </c>
      <c r="D2235" t="s">
        <v>1433</v>
      </c>
      <c r="E2235" t="s">
        <v>125</v>
      </c>
      <c r="F2235" s="9" t="s">
        <v>125</v>
      </c>
      <c r="G2235" s="18">
        <v>543988</v>
      </c>
      <c r="H2235">
        <v>0</v>
      </c>
      <c r="I2235" s="29">
        <f t="shared" si="34"/>
        <v>543988</v>
      </c>
      <c r="J2235">
        <f>IFERROR(VLOOKUP(E2235,'LEAID Match'!$A$2:$B$168,2,FALSE),"")</f>
        <v>3305400</v>
      </c>
    </row>
    <row r="2236" spans="1:10">
      <c r="A2236">
        <v>2023</v>
      </c>
      <c r="B2236" t="s">
        <v>1429</v>
      </c>
      <c r="C2236" t="s">
        <v>1431</v>
      </c>
      <c r="D2236" t="s">
        <v>1433</v>
      </c>
      <c r="E2236" t="s">
        <v>125</v>
      </c>
      <c r="F2236" t="s">
        <v>125</v>
      </c>
      <c r="G2236" s="28">
        <v>566617</v>
      </c>
      <c r="H2236">
        <v>0</v>
      </c>
      <c r="I2236" s="29">
        <f t="shared" si="34"/>
        <v>566617</v>
      </c>
      <c r="J2236">
        <f>IFERROR(VLOOKUP(E2236,'LEAID Match'!$A$2:$B$168,2,FALSE),"")</f>
        <v>3305400</v>
      </c>
    </row>
    <row r="2237" spans="1:10">
      <c r="A2237">
        <v>2015</v>
      </c>
      <c r="B2237" t="s">
        <v>1429</v>
      </c>
      <c r="C2237" t="s">
        <v>1431</v>
      </c>
      <c r="D2237" t="s">
        <v>1433</v>
      </c>
      <c r="E2237" t="s">
        <v>768</v>
      </c>
      <c r="F2237" s="9" t="s">
        <v>1245</v>
      </c>
      <c r="G2237" s="18">
        <v>172354.42</v>
      </c>
      <c r="H2237">
        <v>0</v>
      </c>
      <c r="I2237" s="29">
        <f t="shared" si="34"/>
        <v>172354.42</v>
      </c>
      <c r="J2237" t="str">
        <f>IFERROR(VLOOKUP(E2237,'LEAID Match'!$A$2:$B$168,2,FALSE),"")</f>
        <v/>
      </c>
    </row>
    <row r="2238" spans="1:10">
      <c r="A2238">
        <v>2016</v>
      </c>
      <c r="B2238" t="s">
        <v>1429</v>
      </c>
      <c r="C2238" t="s">
        <v>1431</v>
      </c>
      <c r="D2238" t="s">
        <v>1433</v>
      </c>
      <c r="E2238" t="s">
        <v>768</v>
      </c>
      <c r="F2238" t="s">
        <v>768</v>
      </c>
      <c r="G2238" s="28">
        <v>194326</v>
      </c>
      <c r="H2238">
        <v>0</v>
      </c>
      <c r="I2238" s="29">
        <f t="shared" si="34"/>
        <v>194326</v>
      </c>
      <c r="J2238" t="str">
        <f>IFERROR(VLOOKUP(E2238,'LEAID Match'!$A$2:$B$168,2,FALSE),"")</f>
        <v/>
      </c>
    </row>
    <row r="2239" spans="1:10">
      <c r="A2239">
        <v>2017</v>
      </c>
      <c r="B2239" t="s">
        <v>1429</v>
      </c>
      <c r="C2239" t="s">
        <v>1431</v>
      </c>
      <c r="D2239" t="s">
        <v>1433</v>
      </c>
      <c r="E2239" t="s">
        <v>768</v>
      </c>
      <c r="F2239" t="s">
        <v>768</v>
      </c>
      <c r="G2239" s="28">
        <v>190751</v>
      </c>
      <c r="H2239">
        <v>0</v>
      </c>
      <c r="I2239" s="29">
        <f t="shared" si="34"/>
        <v>190751</v>
      </c>
      <c r="J2239" t="str">
        <f>IFERROR(VLOOKUP(E2239,'LEAID Match'!$A$2:$B$168,2,FALSE),"")</f>
        <v/>
      </c>
    </row>
    <row r="2240" spans="1:10">
      <c r="A2240" s="27">
        <v>2018</v>
      </c>
      <c r="B2240" t="s">
        <v>1429</v>
      </c>
      <c r="C2240" t="s">
        <v>1431</v>
      </c>
      <c r="D2240" t="s">
        <v>1433</v>
      </c>
      <c r="E2240" t="s">
        <v>768</v>
      </c>
      <c r="F2240" s="9" t="s">
        <v>768</v>
      </c>
      <c r="G2240" s="18">
        <v>193152</v>
      </c>
      <c r="H2240">
        <v>0</v>
      </c>
      <c r="I2240" s="29">
        <f t="shared" si="34"/>
        <v>193152</v>
      </c>
      <c r="J2240" t="str">
        <f>IFERROR(VLOOKUP(E2240,'LEAID Match'!$A$2:$B$168,2,FALSE),"")</f>
        <v/>
      </c>
    </row>
    <row r="2241" spans="1:10">
      <c r="A2241">
        <v>2019</v>
      </c>
      <c r="B2241" t="s">
        <v>1429</v>
      </c>
      <c r="C2241" t="s">
        <v>1431</v>
      </c>
      <c r="D2241" t="s">
        <v>1433</v>
      </c>
      <c r="E2241" t="s">
        <v>768</v>
      </c>
      <c r="F2241" s="9" t="s">
        <v>768</v>
      </c>
      <c r="G2241" s="18">
        <v>193198</v>
      </c>
      <c r="H2241">
        <v>0</v>
      </c>
      <c r="I2241" s="29">
        <f t="shared" si="34"/>
        <v>193198</v>
      </c>
      <c r="J2241" t="str">
        <f>IFERROR(VLOOKUP(E2241,'LEAID Match'!$A$2:$B$168,2,FALSE),"")</f>
        <v/>
      </c>
    </row>
    <row r="2242" spans="1:10">
      <c r="A2242">
        <v>2015</v>
      </c>
      <c r="B2242" t="s">
        <v>1429</v>
      </c>
      <c r="C2242" t="s">
        <v>1431</v>
      </c>
      <c r="D2242" t="s">
        <v>1433</v>
      </c>
      <c r="E2242" t="s">
        <v>126</v>
      </c>
      <c r="F2242" s="9" t="s">
        <v>1246</v>
      </c>
      <c r="G2242" s="18">
        <v>261332.46</v>
      </c>
      <c r="H2242">
        <v>0</v>
      </c>
      <c r="I2242" s="29">
        <f t="shared" si="34"/>
        <v>261332.46</v>
      </c>
      <c r="J2242">
        <f>IFERROR(VLOOKUP(E2242,'LEAID Match'!$A$2:$B$168,2,FALSE),"")</f>
        <v>3305430</v>
      </c>
    </row>
    <row r="2243" spans="1:10">
      <c r="A2243">
        <v>2016</v>
      </c>
      <c r="B2243" t="s">
        <v>1429</v>
      </c>
      <c r="C2243" t="s">
        <v>1431</v>
      </c>
      <c r="D2243" t="s">
        <v>1433</v>
      </c>
      <c r="E2243" t="s">
        <v>126</v>
      </c>
      <c r="F2243" t="s">
        <v>769</v>
      </c>
      <c r="G2243" s="28">
        <v>296817</v>
      </c>
      <c r="H2243">
        <v>0</v>
      </c>
      <c r="I2243" s="29">
        <f t="shared" ref="I2243:I2306" si="35">SUM(G2243:H2243)</f>
        <v>296817</v>
      </c>
      <c r="J2243">
        <f>IFERROR(VLOOKUP(E2243,'LEAID Match'!$A$2:$B$168,2,FALSE),"")</f>
        <v>3305430</v>
      </c>
    </row>
    <row r="2244" spans="1:10">
      <c r="A2244">
        <v>2017</v>
      </c>
      <c r="B2244" t="s">
        <v>1429</v>
      </c>
      <c r="C2244" t="s">
        <v>1431</v>
      </c>
      <c r="D2244" t="s">
        <v>1433</v>
      </c>
      <c r="E2244" t="s">
        <v>126</v>
      </c>
      <c r="F2244" t="s">
        <v>769</v>
      </c>
      <c r="G2244" s="28">
        <v>277582</v>
      </c>
      <c r="H2244">
        <v>0</v>
      </c>
      <c r="I2244" s="29">
        <f t="shared" si="35"/>
        <v>277582</v>
      </c>
      <c r="J2244">
        <f>IFERROR(VLOOKUP(E2244,'LEAID Match'!$A$2:$B$168,2,FALSE),"")</f>
        <v>3305430</v>
      </c>
    </row>
    <row r="2245" spans="1:10">
      <c r="A2245" s="27">
        <v>2018</v>
      </c>
      <c r="B2245" t="s">
        <v>1429</v>
      </c>
      <c r="C2245" t="s">
        <v>1431</v>
      </c>
      <c r="D2245" t="s">
        <v>1433</v>
      </c>
      <c r="E2245" t="s">
        <v>126</v>
      </c>
      <c r="F2245" s="9" t="s">
        <v>769</v>
      </c>
      <c r="G2245" s="18">
        <v>344552</v>
      </c>
      <c r="H2245">
        <v>0</v>
      </c>
      <c r="I2245" s="29">
        <f t="shared" si="35"/>
        <v>344552</v>
      </c>
      <c r="J2245">
        <f>IFERROR(VLOOKUP(E2245,'LEAID Match'!$A$2:$B$168,2,FALSE),"")</f>
        <v>3305430</v>
      </c>
    </row>
    <row r="2246" spans="1:10">
      <c r="A2246">
        <v>2019</v>
      </c>
      <c r="B2246" t="s">
        <v>1429</v>
      </c>
      <c r="C2246" t="s">
        <v>1431</v>
      </c>
      <c r="D2246" t="s">
        <v>1433</v>
      </c>
      <c r="E2246" t="s">
        <v>126</v>
      </c>
      <c r="F2246" s="9" t="s">
        <v>769</v>
      </c>
      <c r="G2246" s="18">
        <v>368039</v>
      </c>
      <c r="H2246">
        <v>0</v>
      </c>
      <c r="I2246" s="29">
        <f t="shared" si="35"/>
        <v>368039</v>
      </c>
      <c r="J2246">
        <f>IFERROR(VLOOKUP(E2246,'LEAID Match'!$A$2:$B$168,2,FALSE),"")</f>
        <v>3305430</v>
      </c>
    </row>
    <row r="2247" spans="1:10">
      <c r="A2247" s="27">
        <v>2020</v>
      </c>
      <c r="B2247" t="s">
        <v>1429</v>
      </c>
      <c r="C2247" t="s">
        <v>1431</v>
      </c>
      <c r="D2247" t="s">
        <v>1433</v>
      </c>
      <c r="E2247" t="s">
        <v>126</v>
      </c>
      <c r="F2247" s="9" t="s">
        <v>126</v>
      </c>
      <c r="G2247" s="18">
        <v>380933</v>
      </c>
      <c r="H2247">
        <v>0</v>
      </c>
      <c r="I2247" s="29">
        <f t="shared" si="35"/>
        <v>380933</v>
      </c>
      <c r="J2247">
        <f>IFERROR(VLOOKUP(E2247,'LEAID Match'!$A$2:$B$168,2,FALSE),"")</f>
        <v>3305430</v>
      </c>
    </row>
    <row r="2248" spans="1:10">
      <c r="A2248">
        <v>2021</v>
      </c>
      <c r="B2248" t="s">
        <v>1429</v>
      </c>
      <c r="C2248" t="s">
        <v>1431</v>
      </c>
      <c r="D2248" t="s">
        <v>1433</v>
      </c>
      <c r="E2248" t="s">
        <v>126</v>
      </c>
      <c r="F2248" s="9" t="s">
        <v>126</v>
      </c>
      <c r="G2248" s="18">
        <v>412488</v>
      </c>
      <c r="H2248">
        <v>0</v>
      </c>
      <c r="I2248" s="29">
        <f t="shared" si="35"/>
        <v>412488</v>
      </c>
      <c r="J2248">
        <f>IFERROR(VLOOKUP(E2248,'LEAID Match'!$A$2:$B$168,2,FALSE),"")</f>
        <v>3305430</v>
      </c>
    </row>
    <row r="2249" spans="1:10">
      <c r="A2249">
        <v>2022</v>
      </c>
      <c r="B2249" t="s">
        <v>1429</v>
      </c>
      <c r="C2249" t="s">
        <v>1431</v>
      </c>
      <c r="D2249" t="s">
        <v>1433</v>
      </c>
      <c r="E2249" t="s">
        <v>126</v>
      </c>
      <c r="F2249" s="9" t="s">
        <v>126</v>
      </c>
      <c r="G2249" s="18">
        <v>521325</v>
      </c>
      <c r="H2249">
        <v>0</v>
      </c>
      <c r="I2249" s="29">
        <f t="shared" si="35"/>
        <v>521325</v>
      </c>
      <c r="J2249">
        <f>IFERROR(VLOOKUP(E2249,'LEAID Match'!$A$2:$B$168,2,FALSE),"")</f>
        <v>3305430</v>
      </c>
    </row>
    <row r="2250" spans="1:10">
      <c r="A2250">
        <v>2023</v>
      </c>
      <c r="B2250" t="s">
        <v>1429</v>
      </c>
      <c r="C2250" t="s">
        <v>1431</v>
      </c>
      <c r="D2250" t="s">
        <v>1433</v>
      </c>
      <c r="E2250" t="s">
        <v>126</v>
      </c>
      <c r="F2250" t="s">
        <v>126</v>
      </c>
      <c r="G2250" s="28">
        <v>604191</v>
      </c>
      <c r="H2250">
        <v>0</v>
      </c>
      <c r="I2250" s="29">
        <f t="shared" si="35"/>
        <v>604191</v>
      </c>
      <c r="J2250">
        <f>IFERROR(VLOOKUP(E2250,'LEAID Match'!$A$2:$B$168,2,FALSE),"")</f>
        <v>3305430</v>
      </c>
    </row>
    <row r="2251" spans="1:10">
      <c r="A2251">
        <v>2015</v>
      </c>
      <c r="B2251" t="s">
        <v>1429</v>
      </c>
      <c r="C2251" t="s">
        <v>1431</v>
      </c>
      <c r="D2251" t="s">
        <v>1433</v>
      </c>
      <c r="E2251" t="s">
        <v>770</v>
      </c>
      <c r="F2251" s="9" t="s">
        <v>1247</v>
      </c>
      <c r="G2251" s="18">
        <v>88978.6</v>
      </c>
      <c r="H2251">
        <v>0</v>
      </c>
      <c r="I2251" s="29">
        <f t="shared" si="35"/>
        <v>88978.6</v>
      </c>
      <c r="J2251" t="str">
        <f>IFERROR(VLOOKUP(E2251,'LEAID Match'!$A$2:$B$168,2,FALSE),"")</f>
        <v/>
      </c>
    </row>
    <row r="2252" spans="1:10">
      <c r="A2252">
        <v>2016</v>
      </c>
      <c r="B2252" t="s">
        <v>1429</v>
      </c>
      <c r="C2252" t="s">
        <v>1431</v>
      </c>
      <c r="D2252" t="s">
        <v>1433</v>
      </c>
      <c r="E2252" t="s">
        <v>770</v>
      </c>
      <c r="F2252" t="s">
        <v>770</v>
      </c>
      <c r="G2252" s="28">
        <v>107785</v>
      </c>
      <c r="H2252">
        <v>0</v>
      </c>
      <c r="I2252" s="29">
        <f t="shared" si="35"/>
        <v>107785</v>
      </c>
      <c r="J2252" t="str">
        <f>IFERROR(VLOOKUP(E2252,'LEAID Match'!$A$2:$B$168,2,FALSE),"")</f>
        <v/>
      </c>
    </row>
    <row r="2253" spans="1:10">
      <c r="A2253">
        <v>2017</v>
      </c>
      <c r="B2253" t="s">
        <v>1429</v>
      </c>
      <c r="C2253" t="s">
        <v>1431</v>
      </c>
      <c r="D2253" t="s">
        <v>1433</v>
      </c>
      <c r="E2253" t="s">
        <v>770</v>
      </c>
      <c r="F2253" t="s">
        <v>770</v>
      </c>
      <c r="G2253" s="28">
        <v>113334</v>
      </c>
      <c r="H2253">
        <v>0</v>
      </c>
      <c r="I2253" s="29">
        <f t="shared" si="35"/>
        <v>113334</v>
      </c>
      <c r="J2253" t="str">
        <f>IFERROR(VLOOKUP(E2253,'LEAID Match'!$A$2:$B$168,2,FALSE),"")</f>
        <v/>
      </c>
    </row>
    <row r="2254" spans="1:10">
      <c r="A2254" s="27">
        <v>2018</v>
      </c>
      <c r="B2254" t="s">
        <v>1429</v>
      </c>
      <c r="C2254" t="s">
        <v>1431</v>
      </c>
      <c r="D2254" t="s">
        <v>1433</v>
      </c>
      <c r="E2254" t="s">
        <v>770</v>
      </c>
      <c r="F2254" s="9" t="s">
        <v>770</v>
      </c>
      <c r="G2254" s="18">
        <v>127539</v>
      </c>
      <c r="H2254">
        <v>0</v>
      </c>
      <c r="I2254" s="29">
        <f t="shared" si="35"/>
        <v>127539</v>
      </c>
      <c r="J2254" t="str">
        <f>IFERROR(VLOOKUP(E2254,'LEAID Match'!$A$2:$B$168,2,FALSE),"")</f>
        <v/>
      </c>
    </row>
    <row r="2255" spans="1:10">
      <c r="A2255">
        <v>2019</v>
      </c>
      <c r="B2255" t="s">
        <v>1429</v>
      </c>
      <c r="C2255" t="s">
        <v>1431</v>
      </c>
      <c r="D2255" t="s">
        <v>1433</v>
      </c>
      <c r="E2255" t="s">
        <v>770</v>
      </c>
      <c r="F2255" s="9" t="s">
        <v>770</v>
      </c>
      <c r="G2255" s="18">
        <v>133885</v>
      </c>
      <c r="H2255">
        <v>0</v>
      </c>
      <c r="I2255" s="29">
        <f t="shared" si="35"/>
        <v>133885</v>
      </c>
      <c r="J2255" t="str">
        <f>IFERROR(VLOOKUP(E2255,'LEAID Match'!$A$2:$B$168,2,FALSE),"")</f>
        <v/>
      </c>
    </row>
    <row r="2256" spans="1:10">
      <c r="A2256">
        <v>2015</v>
      </c>
      <c r="B2256" t="s">
        <v>1429</v>
      </c>
      <c r="C2256" t="s">
        <v>1431</v>
      </c>
      <c r="D2256" t="s">
        <v>1433</v>
      </c>
      <c r="E2256" t="s">
        <v>127</v>
      </c>
      <c r="F2256" s="9" t="s">
        <v>1248</v>
      </c>
      <c r="G2256" s="18">
        <v>359025.01</v>
      </c>
      <c r="H2256">
        <v>0</v>
      </c>
      <c r="I2256" s="29">
        <f t="shared" si="35"/>
        <v>359025.01</v>
      </c>
      <c r="J2256">
        <f>IFERROR(VLOOKUP(E2256,'LEAID Match'!$A$2:$B$168,2,FALSE),"")</f>
        <v>3305460</v>
      </c>
    </row>
    <row r="2257" spans="1:10">
      <c r="A2257">
        <v>2016</v>
      </c>
      <c r="B2257" t="s">
        <v>1429</v>
      </c>
      <c r="C2257" t="s">
        <v>1431</v>
      </c>
      <c r="D2257" t="s">
        <v>1433</v>
      </c>
      <c r="E2257" t="s">
        <v>127</v>
      </c>
      <c r="F2257" t="s">
        <v>771</v>
      </c>
      <c r="G2257" s="28">
        <v>386914</v>
      </c>
      <c r="H2257">
        <v>0</v>
      </c>
      <c r="I2257" s="29">
        <f t="shared" si="35"/>
        <v>386914</v>
      </c>
      <c r="J2257">
        <f>IFERROR(VLOOKUP(E2257,'LEAID Match'!$A$2:$B$168,2,FALSE),"")</f>
        <v>3305460</v>
      </c>
    </row>
    <row r="2258" spans="1:10">
      <c r="A2258">
        <v>2017</v>
      </c>
      <c r="B2258" t="s">
        <v>1429</v>
      </c>
      <c r="C2258" t="s">
        <v>1431</v>
      </c>
      <c r="D2258" t="s">
        <v>1433</v>
      </c>
      <c r="E2258" t="s">
        <v>127</v>
      </c>
      <c r="F2258" t="s">
        <v>771</v>
      </c>
      <c r="G2258" s="28">
        <v>404265</v>
      </c>
      <c r="H2258">
        <v>0</v>
      </c>
      <c r="I2258" s="29">
        <f t="shared" si="35"/>
        <v>404265</v>
      </c>
      <c r="J2258">
        <f>IFERROR(VLOOKUP(E2258,'LEAID Match'!$A$2:$B$168,2,FALSE),"")</f>
        <v>3305460</v>
      </c>
    </row>
    <row r="2259" spans="1:10">
      <c r="A2259" s="27">
        <v>2018</v>
      </c>
      <c r="B2259" t="s">
        <v>1429</v>
      </c>
      <c r="C2259" t="s">
        <v>1431</v>
      </c>
      <c r="D2259" t="s">
        <v>1433</v>
      </c>
      <c r="E2259" t="s">
        <v>127</v>
      </c>
      <c r="F2259" s="9" t="s">
        <v>771</v>
      </c>
      <c r="G2259" s="18">
        <v>504331</v>
      </c>
      <c r="H2259">
        <v>0</v>
      </c>
      <c r="I2259" s="29">
        <f t="shared" si="35"/>
        <v>504331</v>
      </c>
      <c r="J2259">
        <f>IFERROR(VLOOKUP(E2259,'LEAID Match'!$A$2:$B$168,2,FALSE),"")</f>
        <v>3305460</v>
      </c>
    </row>
    <row r="2260" spans="1:10">
      <c r="A2260">
        <v>2019</v>
      </c>
      <c r="B2260" t="s">
        <v>1429</v>
      </c>
      <c r="C2260" t="s">
        <v>1431</v>
      </c>
      <c r="D2260" t="s">
        <v>1433</v>
      </c>
      <c r="E2260" t="s">
        <v>127</v>
      </c>
      <c r="F2260" s="9" t="s">
        <v>771</v>
      </c>
      <c r="G2260" s="18">
        <v>512501</v>
      </c>
      <c r="H2260">
        <v>0</v>
      </c>
      <c r="I2260" s="29">
        <f t="shared" si="35"/>
        <v>512501</v>
      </c>
      <c r="J2260">
        <f>IFERROR(VLOOKUP(E2260,'LEAID Match'!$A$2:$B$168,2,FALSE),"")</f>
        <v>3305460</v>
      </c>
    </row>
    <row r="2261" spans="1:10">
      <c r="A2261" s="27">
        <v>2020</v>
      </c>
      <c r="B2261" t="s">
        <v>1429</v>
      </c>
      <c r="C2261" t="s">
        <v>1431</v>
      </c>
      <c r="D2261" t="s">
        <v>1433</v>
      </c>
      <c r="E2261" t="s">
        <v>127</v>
      </c>
      <c r="F2261" s="9" t="s">
        <v>127</v>
      </c>
      <c r="G2261" s="18">
        <v>527158</v>
      </c>
      <c r="H2261">
        <v>0</v>
      </c>
      <c r="I2261" s="29">
        <f t="shared" si="35"/>
        <v>527158</v>
      </c>
      <c r="J2261">
        <f>IFERROR(VLOOKUP(E2261,'LEAID Match'!$A$2:$B$168,2,FALSE),"")</f>
        <v>3305460</v>
      </c>
    </row>
    <row r="2262" spans="1:10">
      <c r="A2262">
        <v>2021</v>
      </c>
      <c r="B2262" t="s">
        <v>1429</v>
      </c>
      <c r="C2262" t="s">
        <v>1431</v>
      </c>
      <c r="D2262" t="s">
        <v>1433</v>
      </c>
      <c r="E2262" t="s">
        <v>127</v>
      </c>
      <c r="F2262" s="9" t="s">
        <v>127</v>
      </c>
      <c r="G2262" s="18">
        <v>529024</v>
      </c>
      <c r="H2262">
        <v>0</v>
      </c>
      <c r="I2262" s="29">
        <f t="shared" si="35"/>
        <v>529024</v>
      </c>
      <c r="J2262">
        <f>IFERROR(VLOOKUP(E2262,'LEAID Match'!$A$2:$B$168,2,FALSE),"")</f>
        <v>3305460</v>
      </c>
    </row>
    <row r="2263" spans="1:10">
      <c r="A2263">
        <v>2022</v>
      </c>
      <c r="B2263" t="s">
        <v>1429</v>
      </c>
      <c r="C2263" t="s">
        <v>1431</v>
      </c>
      <c r="D2263" t="s">
        <v>1433</v>
      </c>
      <c r="E2263" t="s">
        <v>127</v>
      </c>
      <c r="F2263" s="9" t="s">
        <v>127</v>
      </c>
      <c r="G2263" s="18">
        <v>667830</v>
      </c>
      <c r="H2263">
        <v>0</v>
      </c>
      <c r="I2263" s="29">
        <f t="shared" si="35"/>
        <v>667830</v>
      </c>
      <c r="J2263">
        <f>IFERROR(VLOOKUP(E2263,'LEAID Match'!$A$2:$B$168,2,FALSE),"")</f>
        <v>3305460</v>
      </c>
    </row>
    <row r="2264" spans="1:10">
      <c r="A2264">
        <v>2023</v>
      </c>
      <c r="B2264" t="s">
        <v>1429</v>
      </c>
      <c r="C2264" t="s">
        <v>1431</v>
      </c>
      <c r="D2264" t="s">
        <v>1433</v>
      </c>
      <c r="E2264" t="s">
        <v>127</v>
      </c>
      <c r="F2264" t="s">
        <v>127</v>
      </c>
      <c r="G2264" s="28">
        <v>742774</v>
      </c>
      <c r="H2264">
        <v>0</v>
      </c>
      <c r="I2264" s="29">
        <f t="shared" si="35"/>
        <v>742774</v>
      </c>
      <c r="J2264">
        <f>IFERROR(VLOOKUP(E2264,'LEAID Match'!$A$2:$B$168,2,FALSE),"")</f>
        <v>3305460</v>
      </c>
    </row>
    <row r="2265" spans="1:10">
      <c r="A2265">
        <v>2015</v>
      </c>
      <c r="B2265" t="s">
        <v>1429</v>
      </c>
      <c r="C2265" t="s">
        <v>1431</v>
      </c>
      <c r="D2265" t="s">
        <v>1433</v>
      </c>
      <c r="E2265" t="s">
        <v>772</v>
      </c>
      <c r="F2265" s="9" t="s">
        <v>1249</v>
      </c>
      <c r="G2265" s="18">
        <v>37441.07</v>
      </c>
      <c r="H2265">
        <v>0</v>
      </c>
      <c r="I2265" s="29">
        <f t="shared" si="35"/>
        <v>37441.07</v>
      </c>
      <c r="J2265" t="str">
        <f>IFERROR(VLOOKUP(E2265,'LEAID Match'!$A$2:$B$168,2,FALSE),"")</f>
        <v/>
      </c>
    </row>
    <row r="2266" spans="1:10">
      <c r="A2266">
        <v>2016</v>
      </c>
      <c r="B2266" t="s">
        <v>1429</v>
      </c>
      <c r="C2266" t="s">
        <v>1431</v>
      </c>
      <c r="D2266" t="s">
        <v>1433</v>
      </c>
      <c r="E2266" t="s">
        <v>772</v>
      </c>
      <c r="F2266" t="s">
        <v>772</v>
      </c>
      <c r="G2266" s="28">
        <v>34170</v>
      </c>
      <c r="H2266">
        <v>0</v>
      </c>
      <c r="I2266" s="29">
        <f t="shared" si="35"/>
        <v>34170</v>
      </c>
      <c r="J2266" t="str">
        <f>IFERROR(VLOOKUP(E2266,'LEAID Match'!$A$2:$B$168,2,FALSE),"")</f>
        <v/>
      </c>
    </row>
    <row r="2267" spans="1:10">
      <c r="A2267">
        <v>2017</v>
      </c>
      <c r="B2267" t="s">
        <v>1429</v>
      </c>
      <c r="C2267" t="s">
        <v>1431</v>
      </c>
      <c r="D2267" t="s">
        <v>1433</v>
      </c>
      <c r="E2267" t="s">
        <v>772</v>
      </c>
      <c r="F2267" t="s">
        <v>772</v>
      </c>
      <c r="G2267" s="28">
        <v>28086</v>
      </c>
      <c r="H2267">
        <v>0</v>
      </c>
      <c r="I2267" s="29">
        <f t="shared" si="35"/>
        <v>28086</v>
      </c>
      <c r="J2267" t="str">
        <f>IFERROR(VLOOKUP(E2267,'LEAID Match'!$A$2:$B$168,2,FALSE),"")</f>
        <v/>
      </c>
    </row>
    <row r="2268" spans="1:10">
      <c r="A2268" s="27">
        <v>2018</v>
      </c>
      <c r="B2268" t="s">
        <v>1429</v>
      </c>
      <c r="C2268" t="s">
        <v>1431</v>
      </c>
      <c r="D2268" t="s">
        <v>1433</v>
      </c>
      <c r="E2268" t="s">
        <v>772</v>
      </c>
      <c r="F2268" s="9" t="s">
        <v>772</v>
      </c>
      <c r="G2268" s="18">
        <v>18482</v>
      </c>
      <c r="H2268">
        <v>0</v>
      </c>
      <c r="I2268" s="29">
        <f t="shared" si="35"/>
        <v>18482</v>
      </c>
      <c r="J2268" t="str">
        <f>IFERROR(VLOOKUP(E2268,'LEAID Match'!$A$2:$B$168,2,FALSE),"")</f>
        <v/>
      </c>
    </row>
    <row r="2269" spans="1:10">
      <c r="A2269">
        <v>2019</v>
      </c>
      <c r="B2269" t="s">
        <v>1429</v>
      </c>
      <c r="C2269" t="s">
        <v>1431</v>
      </c>
      <c r="D2269" t="s">
        <v>1433</v>
      </c>
      <c r="E2269" t="s">
        <v>772</v>
      </c>
      <c r="F2269" s="9" t="s">
        <v>772</v>
      </c>
      <c r="G2269" s="18">
        <v>33213</v>
      </c>
      <c r="H2269">
        <v>0</v>
      </c>
      <c r="I2269" s="29">
        <f t="shared" si="35"/>
        <v>33213</v>
      </c>
      <c r="J2269" t="str">
        <f>IFERROR(VLOOKUP(E2269,'LEAID Match'!$A$2:$B$168,2,FALSE),"")</f>
        <v/>
      </c>
    </row>
    <row r="2270" spans="1:10">
      <c r="A2270">
        <v>2015</v>
      </c>
      <c r="B2270" t="s">
        <v>1429</v>
      </c>
      <c r="C2270" t="s">
        <v>1431</v>
      </c>
      <c r="D2270" t="s">
        <v>1433</v>
      </c>
      <c r="E2270" t="s">
        <v>773</v>
      </c>
      <c r="F2270" s="9" t="s">
        <v>1250</v>
      </c>
      <c r="G2270" s="18">
        <v>267859.49</v>
      </c>
      <c r="H2270">
        <v>0</v>
      </c>
      <c r="I2270" s="29">
        <f t="shared" si="35"/>
        <v>267859.49</v>
      </c>
      <c r="J2270" t="str">
        <f>IFERROR(VLOOKUP(E2270,'LEAID Match'!$A$2:$B$168,2,FALSE),"")</f>
        <v/>
      </c>
    </row>
    <row r="2271" spans="1:10">
      <c r="A2271">
        <v>2016</v>
      </c>
      <c r="B2271" t="s">
        <v>1429</v>
      </c>
      <c r="C2271" t="s">
        <v>1431</v>
      </c>
      <c r="D2271" t="s">
        <v>1433</v>
      </c>
      <c r="E2271" t="s">
        <v>773</v>
      </c>
      <c r="F2271" t="s">
        <v>773</v>
      </c>
      <c r="G2271" s="28">
        <v>285315</v>
      </c>
      <c r="H2271">
        <v>0</v>
      </c>
      <c r="I2271" s="29">
        <f t="shared" si="35"/>
        <v>285315</v>
      </c>
      <c r="J2271" t="str">
        <f>IFERROR(VLOOKUP(E2271,'LEAID Match'!$A$2:$B$168,2,FALSE),"")</f>
        <v/>
      </c>
    </row>
    <row r="2272" spans="1:10">
      <c r="A2272">
        <v>2017</v>
      </c>
      <c r="B2272" t="s">
        <v>1429</v>
      </c>
      <c r="C2272" t="s">
        <v>1431</v>
      </c>
      <c r="D2272" t="s">
        <v>1433</v>
      </c>
      <c r="E2272" t="s">
        <v>773</v>
      </c>
      <c r="F2272" t="s">
        <v>773</v>
      </c>
      <c r="G2272" s="28">
        <v>301168</v>
      </c>
      <c r="H2272">
        <v>0</v>
      </c>
      <c r="I2272" s="29">
        <f t="shared" si="35"/>
        <v>301168</v>
      </c>
      <c r="J2272" t="str">
        <f>IFERROR(VLOOKUP(E2272,'LEAID Match'!$A$2:$B$168,2,FALSE),"")</f>
        <v/>
      </c>
    </row>
    <row r="2273" spans="1:10">
      <c r="A2273" s="27">
        <v>2018</v>
      </c>
      <c r="B2273" t="s">
        <v>1429</v>
      </c>
      <c r="C2273" t="s">
        <v>1431</v>
      </c>
      <c r="D2273" t="s">
        <v>1433</v>
      </c>
      <c r="E2273" t="s">
        <v>773</v>
      </c>
      <c r="F2273" s="9" t="s">
        <v>773</v>
      </c>
      <c r="G2273" s="18">
        <v>326218</v>
      </c>
      <c r="H2273">
        <v>0</v>
      </c>
      <c r="I2273" s="29">
        <f t="shared" si="35"/>
        <v>326218</v>
      </c>
      <c r="J2273" t="str">
        <f>IFERROR(VLOOKUP(E2273,'LEAID Match'!$A$2:$B$168,2,FALSE),"")</f>
        <v/>
      </c>
    </row>
    <row r="2274" spans="1:10">
      <c r="A2274">
        <v>2019</v>
      </c>
      <c r="B2274" t="s">
        <v>1429</v>
      </c>
      <c r="C2274" t="s">
        <v>1431</v>
      </c>
      <c r="D2274" t="s">
        <v>1433</v>
      </c>
      <c r="E2274" t="s">
        <v>773</v>
      </c>
      <c r="F2274" s="9" t="s">
        <v>773</v>
      </c>
      <c r="G2274" s="18">
        <v>347068</v>
      </c>
      <c r="H2274">
        <v>0</v>
      </c>
      <c r="I2274" s="29">
        <f t="shared" si="35"/>
        <v>347068</v>
      </c>
      <c r="J2274" t="str">
        <f>IFERROR(VLOOKUP(E2274,'LEAID Match'!$A$2:$B$168,2,FALSE),"")</f>
        <v/>
      </c>
    </row>
    <row r="2275" spans="1:10">
      <c r="A2275">
        <v>2015</v>
      </c>
      <c r="B2275" t="s">
        <v>1429</v>
      </c>
      <c r="C2275" t="s">
        <v>1431</v>
      </c>
      <c r="D2275" t="s">
        <v>1433</v>
      </c>
      <c r="E2275" t="s">
        <v>128</v>
      </c>
      <c r="F2275" s="9" t="s">
        <v>1251</v>
      </c>
      <c r="G2275" s="18">
        <v>2096165.67</v>
      </c>
      <c r="H2275">
        <v>0</v>
      </c>
      <c r="I2275" s="29">
        <f t="shared" si="35"/>
        <v>2096165.67</v>
      </c>
      <c r="J2275">
        <f>IFERROR(VLOOKUP(E2275,'LEAID Match'!$A$2:$B$168,2,FALSE),"")</f>
        <v>3305520</v>
      </c>
    </row>
    <row r="2276" spans="1:10">
      <c r="A2276">
        <v>2016</v>
      </c>
      <c r="B2276" t="s">
        <v>1429</v>
      </c>
      <c r="C2276" t="s">
        <v>1431</v>
      </c>
      <c r="D2276" t="s">
        <v>1433</v>
      </c>
      <c r="E2276" t="s">
        <v>128</v>
      </c>
      <c r="F2276" t="s">
        <v>774</v>
      </c>
      <c r="G2276" s="28">
        <v>2227462</v>
      </c>
      <c r="H2276">
        <v>0</v>
      </c>
      <c r="I2276" s="29">
        <f t="shared" si="35"/>
        <v>2227462</v>
      </c>
      <c r="J2276">
        <f>IFERROR(VLOOKUP(E2276,'LEAID Match'!$A$2:$B$168,2,FALSE),"")</f>
        <v>3305520</v>
      </c>
    </row>
    <row r="2277" spans="1:10">
      <c r="A2277">
        <v>2017</v>
      </c>
      <c r="B2277" t="s">
        <v>1429</v>
      </c>
      <c r="C2277" t="s">
        <v>1431</v>
      </c>
      <c r="D2277" t="s">
        <v>1433</v>
      </c>
      <c r="E2277" t="s">
        <v>128</v>
      </c>
      <c r="F2277" t="s">
        <v>774</v>
      </c>
      <c r="G2277" s="28">
        <v>2385792</v>
      </c>
      <c r="H2277">
        <v>0</v>
      </c>
      <c r="I2277" s="29">
        <f t="shared" si="35"/>
        <v>2385792</v>
      </c>
      <c r="J2277">
        <f>IFERROR(VLOOKUP(E2277,'LEAID Match'!$A$2:$B$168,2,FALSE),"")</f>
        <v>3305520</v>
      </c>
    </row>
    <row r="2278" spans="1:10">
      <c r="A2278" s="27">
        <v>2018</v>
      </c>
      <c r="B2278" t="s">
        <v>1429</v>
      </c>
      <c r="C2278" t="s">
        <v>1431</v>
      </c>
      <c r="D2278" t="s">
        <v>1433</v>
      </c>
      <c r="E2278" t="s">
        <v>128</v>
      </c>
      <c r="F2278" s="9" t="s">
        <v>774</v>
      </c>
      <c r="G2278" s="18">
        <v>2962266</v>
      </c>
      <c r="H2278">
        <v>0</v>
      </c>
      <c r="I2278" s="29">
        <f t="shared" si="35"/>
        <v>2962266</v>
      </c>
      <c r="J2278">
        <f>IFERROR(VLOOKUP(E2278,'LEAID Match'!$A$2:$B$168,2,FALSE),"")</f>
        <v>3305520</v>
      </c>
    </row>
    <row r="2279" spans="1:10">
      <c r="A2279">
        <v>2019</v>
      </c>
      <c r="B2279" t="s">
        <v>1429</v>
      </c>
      <c r="C2279" t="s">
        <v>1431</v>
      </c>
      <c r="D2279" t="s">
        <v>1433</v>
      </c>
      <c r="E2279" t="s">
        <v>128</v>
      </c>
      <c r="F2279" s="9" t="s">
        <v>774</v>
      </c>
      <c r="G2279" s="18">
        <v>3014797</v>
      </c>
      <c r="H2279">
        <v>0</v>
      </c>
      <c r="I2279" s="29">
        <f t="shared" si="35"/>
        <v>3014797</v>
      </c>
      <c r="J2279">
        <f>IFERROR(VLOOKUP(E2279,'LEAID Match'!$A$2:$B$168,2,FALSE),"")</f>
        <v>3305520</v>
      </c>
    </row>
    <row r="2280" spans="1:10">
      <c r="A2280" s="27">
        <v>2020</v>
      </c>
      <c r="B2280" t="s">
        <v>1429</v>
      </c>
      <c r="C2280" t="s">
        <v>1431</v>
      </c>
      <c r="D2280" t="s">
        <v>1433</v>
      </c>
      <c r="E2280" t="s">
        <v>128</v>
      </c>
      <c r="F2280" s="9" t="s">
        <v>128</v>
      </c>
      <c r="G2280" s="18">
        <v>3156408</v>
      </c>
      <c r="H2280">
        <v>0</v>
      </c>
      <c r="I2280" s="29">
        <f t="shared" si="35"/>
        <v>3156408</v>
      </c>
      <c r="J2280">
        <f>IFERROR(VLOOKUP(E2280,'LEAID Match'!$A$2:$B$168,2,FALSE),"")</f>
        <v>3305520</v>
      </c>
    </row>
    <row r="2281" spans="1:10">
      <c r="A2281">
        <v>2021</v>
      </c>
      <c r="B2281" t="s">
        <v>1429</v>
      </c>
      <c r="C2281" t="s">
        <v>1431</v>
      </c>
      <c r="D2281" t="s">
        <v>1433</v>
      </c>
      <c r="E2281" t="s">
        <v>128</v>
      </c>
      <c r="F2281" s="9" t="s">
        <v>128</v>
      </c>
      <c r="G2281" s="18">
        <v>3324150</v>
      </c>
      <c r="H2281">
        <v>0</v>
      </c>
      <c r="I2281" s="29">
        <f t="shared" si="35"/>
        <v>3324150</v>
      </c>
      <c r="J2281">
        <f>IFERROR(VLOOKUP(E2281,'LEAID Match'!$A$2:$B$168,2,FALSE),"")</f>
        <v>3305520</v>
      </c>
    </row>
    <row r="2282" spans="1:10">
      <c r="A2282">
        <v>2022</v>
      </c>
      <c r="B2282" t="s">
        <v>1429</v>
      </c>
      <c r="C2282" t="s">
        <v>1431</v>
      </c>
      <c r="D2282" t="s">
        <v>1433</v>
      </c>
      <c r="E2282" t="s">
        <v>128</v>
      </c>
      <c r="F2282" s="9" t="s">
        <v>128</v>
      </c>
      <c r="G2282" s="18">
        <v>4007724</v>
      </c>
      <c r="H2282">
        <v>0</v>
      </c>
      <c r="I2282" s="29">
        <f t="shared" si="35"/>
        <v>4007724</v>
      </c>
      <c r="J2282">
        <f>IFERROR(VLOOKUP(E2282,'LEAID Match'!$A$2:$B$168,2,FALSE),"")</f>
        <v>3305520</v>
      </c>
    </row>
    <row r="2283" spans="1:10">
      <c r="A2283">
        <v>2023</v>
      </c>
      <c r="B2283" t="s">
        <v>1429</v>
      </c>
      <c r="C2283" t="s">
        <v>1431</v>
      </c>
      <c r="D2283" t="s">
        <v>1433</v>
      </c>
      <c r="E2283" t="s">
        <v>128</v>
      </c>
      <c r="F2283" t="s">
        <v>128</v>
      </c>
      <c r="G2283" s="28">
        <v>4212316</v>
      </c>
      <c r="H2283">
        <v>0</v>
      </c>
      <c r="I2283" s="29">
        <f t="shared" si="35"/>
        <v>4212316</v>
      </c>
      <c r="J2283">
        <f>IFERROR(VLOOKUP(E2283,'LEAID Match'!$A$2:$B$168,2,FALSE),"")</f>
        <v>3305520</v>
      </c>
    </row>
    <row r="2284" spans="1:10">
      <c r="A2284">
        <v>2015</v>
      </c>
      <c r="B2284" t="s">
        <v>1429</v>
      </c>
      <c r="C2284" t="s">
        <v>1431</v>
      </c>
      <c r="D2284" t="s">
        <v>1433</v>
      </c>
      <c r="E2284" t="s">
        <v>129</v>
      </c>
      <c r="F2284" s="9" t="s">
        <v>1252</v>
      </c>
      <c r="G2284" s="18">
        <v>360425.26</v>
      </c>
      <c r="H2284">
        <v>0</v>
      </c>
      <c r="I2284" s="29">
        <f t="shared" si="35"/>
        <v>360425.26</v>
      </c>
      <c r="J2284" t="str">
        <f>IFERROR(VLOOKUP(E2284,'LEAID Match'!$A$2:$B$168,2,FALSE),"")</f>
        <v/>
      </c>
    </row>
    <row r="2285" spans="1:10">
      <c r="A2285">
        <v>2016</v>
      </c>
      <c r="B2285" t="s">
        <v>1429</v>
      </c>
      <c r="C2285" t="s">
        <v>1431</v>
      </c>
      <c r="D2285" t="s">
        <v>1433</v>
      </c>
      <c r="E2285" t="s">
        <v>129</v>
      </c>
      <c r="F2285" t="s">
        <v>129</v>
      </c>
      <c r="G2285" s="28">
        <v>369687</v>
      </c>
      <c r="H2285">
        <v>0</v>
      </c>
      <c r="I2285" s="29">
        <f t="shared" si="35"/>
        <v>369687</v>
      </c>
      <c r="J2285" t="str">
        <f>IFERROR(VLOOKUP(E2285,'LEAID Match'!$A$2:$B$168,2,FALSE),"")</f>
        <v/>
      </c>
    </row>
    <row r="2286" spans="1:10">
      <c r="A2286">
        <v>2017</v>
      </c>
      <c r="B2286" t="s">
        <v>1429</v>
      </c>
      <c r="C2286" t="s">
        <v>1431</v>
      </c>
      <c r="D2286" t="s">
        <v>1433</v>
      </c>
      <c r="E2286" t="s">
        <v>129</v>
      </c>
      <c r="F2286" t="s">
        <v>129</v>
      </c>
      <c r="G2286" s="28">
        <v>371439</v>
      </c>
      <c r="H2286">
        <v>0</v>
      </c>
      <c r="I2286" s="29">
        <f t="shared" si="35"/>
        <v>371439</v>
      </c>
      <c r="J2286" t="str">
        <f>IFERROR(VLOOKUP(E2286,'LEAID Match'!$A$2:$B$168,2,FALSE),"")</f>
        <v/>
      </c>
    </row>
    <row r="2287" spans="1:10">
      <c r="A2287" s="27">
        <v>2018</v>
      </c>
      <c r="B2287" t="s">
        <v>1429</v>
      </c>
      <c r="C2287" t="s">
        <v>1431</v>
      </c>
      <c r="D2287" t="s">
        <v>1433</v>
      </c>
      <c r="E2287" t="s">
        <v>129</v>
      </c>
      <c r="F2287" s="9" t="s">
        <v>129</v>
      </c>
      <c r="G2287" s="18">
        <v>384843</v>
      </c>
      <c r="H2287">
        <v>0</v>
      </c>
      <c r="I2287" s="29">
        <f t="shared" si="35"/>
        <v>384843</v>
      </c>
      <c r="J2287" t="str">
        <f>IFERROR(VLOOKUP(E2287,'LEAID Match'!$A$2:$B$168,2,FALSE),"")</f>
        <v/>
      </c>
    </row>
    <row r="2288" spans="1:10">
      <c r="A2288">
        <v>2019</v>
      </c>
      <c r="B2288" t="s">
        <v>1429</v>
      </c>
      <c r="C2288" t="s">
        <v>1431</v>
      </c>
      <c r="D2288" t="s">
        <v>1433</v>
      </c>
      <c r="E2288" t="s">
        <v>129</v>
      </c>
      <c r="F2288" s="9" t="s">
        <v>129</v>
      </c>
      <c r="G2288" s="18">
        <v>379663</v>
      </c>
      <c r="H2288">
        <v>0</v>
      </c>
      <c r="I2288" s="29">
        <f t="shared" si="35"/>
        <v>379663</v>
      </c>
      <c r="J2288" t="str">
        <f>IFERROR(VLOOKUP(E2288,'LEAID Match'!$A$2:$B$168,2,FALSE),"")</f>
        <v/>
      </c>
    </row>
    <row r="2289" spans="1:10">
      <c r="A2289" s="27">
        <v>2020</v>
      </c>
      <c r="B2289" t="s">
        <v>1429</v>
      </c>
      <c r="C2289" t="s">
        <v>1431</v>
      </c>
      <c r="D2289" t="s">
        <v>1433</v>
      </c>
      <c r="E2289" t="s">
        <v>129</v>
      </c>
      <c r="F2289" s="9" t="s">
        <v>129</v>
      </c>
      <c r="G2289" s="18">
        <v>428565</v>
      </c>
      <c r="H2289">
        <v>0</v>
      </c>
      <c r="I2289" s="29">
        <f t="shared" si="35"/>
        <v>428565</v>
      </c>
      <c r="J2289" t="str">
        <f>IFERROR(VLOOKUP(E2289,'LEAID Match'!$A$2:$B$168,2,FALSE),"")</f>
        <v/>
      </c>
    </row>
    <row r="2290" spans="1:10">
      <c r="A2290">
        <v>2021</v>
      </c>
      <c r="B2290" t="s">
        <v>1429</v>
      </c>
      <c r="C2290" t="s">
        <v>1431</v>
      </c>
      <c r="D2290" t="s">
        <v>1433</v>
      </c>
      <c r="E2290" t="s">
        <v>129</v>
      </c>
      <c r="F2290" s="9" t="s">
        <v>129</v>
      </c>
      <c r="G2290" s="18">
        <v>443641</v>
      </c>
      <c r="H2290">
        <v>0</v>
      </c>
      <c r="I2290" s="29">
        <f t="shared" si="35"/>
        <v>443641</v>
      </c>
      <c r="J2290" t="str">
        <f>IFERROR(VLOOKUP(E2290,'LEAID Match'!$A$2:$B$168,2,FALSE),"")</f>
        <v/>
      </c>
    </row>
    <row r="2291" spans="1:10">
      <c r="A2291">
        <v>2022</v>
      </c>
      <c r="B2291" t="s">
        <v>1429</v>
      </c>
      <c r="C2291" t="s">
        <v>1431</v>
      </c>
      <c r="D2291" t="s">
        <v>1433</v>
      </c>
      <c r="E2291" t="s">
        <v>129</v>
      </c>
      <c r="F2291" s="9" t="s">
        <v>129</v>
      </c>
      <c r="G2291" s="18">
        <v>533656</v>
      </c>
      <c r="H2291">
        <v>0</v>
      </c>
      <c r="I2291" s="29">
        <f t="shared" si="35"/>
        <v>533656</v>
      </c>
      <c r="J2291" t="str">
        <f>IFERROR(VLOOKUP(E2291,'LEAID Match'!$A$2:$B$168,2,FALSE),"")</f>
        <v/>
      </c>
    </row>
    <row r="2292" spans="1:10">
      <c r="A2292">
        <v>2023</v>
      </c>
      <c r="B2292" t="s">
        <v>1429</v>
      </c>
      <c r="C2292" t="s">
        <v>1431</v>
      </c>
      <c r="D2292" t="s">
        <v>1433</v>
      </c>
      <c r="E2292" t="s">
        <v>129</v>
      </c>
      <c r="F2292" t="s">
        <v>129</v>
      </c>
      <c r="G2292" s="28">
        <v>613465</v>
      </c>
      <c r="H2292">
        <v>0</v>
      </c>
      <c r="I2292" s="29">
        <f t="shared" si="35"/>
        <v>613465</v>
      </c>
      <c r="J2292" t="str">
        <f>IFERROR(VLOOKUP(E2292,'LEAID Match'!$A$2:$B$168,2,FALSE),"")</f>
        <v/>
      </c>
    </row>
    <row r="2293" spans="1:10">
      <c r="A2293">
        <v>2015</v>
      </c>
      <c r="B2293" t="s">
        <v>1429</v>
      </c>
      <c r="C2293" t="s">
        <v>1431</v>
      </c>
      <c r="D2293" t="s">
        <v>1433</v>
      </c>
      <c r="E2293" t="s">
        <v>775</v>
      </c>
      <c r="F2293" s="9" t="s">
        <v>1253</v>
      </c>
      <c r="G2293" s="18">
        <v>899602.06</v>
      </c>
      <c r="H2293">
        <v>0</v>
      </c>
      <c r="I2293" s="29">
        <f t="shared" si="35"/>
        <v>899602.06</v>
      </c>
      <c r="J2293" t="str">
        <f>IFERROR(VLOOKUP(E2293,'LEAID Match'!$A$2:$B$168,2,FALSE),"")</f>
        <v/>
      </c>
    </row>
    <row r="2294" spans="1:10">
      <c r="A2294">
        <v>2016</v>
      </c>
      <c r="B2294" t="s">
        <v>1429</v>
      </c>
      <c r="C2294" t="s">
        <v>1431</v>
      </c>
      <c r="D2294" t="s">
        <v>1433</v>
      </c>
      <c r="E2294" t="s">
        <v>775</v>
      </c>
      <c r="F2294" t="s">
        <v>775</v>
      </c>
      <c r="G2294" s="28">
        <v>949664</v>
      </c>
      <c r="H2294">
        <v>0</v>
      </c>
      <c r="I2294" s="29">
        <f t="shared" si="35"/>
        <v>949664</v>
      </c>
      <c r="J2294" t="str">
        <f>IFERROR(VLOOKUP(E2294,'LEAID Match'!$A$2:$B$168,2,FALSE),"")</f>
        <v/>
      </c>
    </row>
    <row r="2295" spans="1:10">
      <c r="A2295">
        <v>2017</v>
      </c>
      <c r="B2295" t="s">
        <v>1429</v>
      </c>
      <c r="C2295" t="s">
        <v>1431</v>
      </c>
      <c r="D2295" t="s">
        <v>1433</v>
      </c>
      <c r="E2295" t="s">
        <v>775</v>
      </c>
      <c r="F2295" t="s">
        <v>775</v>
      </c>
      <c r="G2295" s="28">
        <v>950598</v>
      </c>
      <c r="H2295">
        <v>0</v>
      </c>
      <c r="I2295" s="29">
        <f t="shared" si="35"/>
        <v>950598</v>
      </c>
      <c r="J2295" t="str">
        <f>IFERROR(VLOOKUP(E2295,'LEAID Match'!$A$2:$B$168,2,FALSE),"")</f>
        <v/>
      </c>
    </row>
    <row r="2296" spans="1:10">
      <c r="A2296" s="27">
        <v>2018</v>
      </c>
      <c r="B2296" t="s">
        <v>1429</v>
      </c>
      <c r="C2296" t="s">
        <v>1431</v>
      </c>
      <c r="D2296" t="s">
        <v>1433</v>
      </c>
      <c r="E2296" t="s">
        <v>775</v>
      </c>
      <c r="F2296" s="9" t="s">
        <v>775</v>
      </c>
      <c r="G2296" s="18">
        <v>1108321</v>
      </c>
      <c r="H2296">
        <v>0</v>
      </c>
      <c r="I2296" s="29">
        <f t="shared" si="35"/>
        <v>1108321</v>
      </c>
      <c r="J2296" t="str">
        <f>IFERROR(VLOOKUP(E2296,'LEAID Match'!$A$2:$B$168,2,FALSE),"")</f>
        <v/>
      </c>
    </row>
    <row r="2297" spans="1:10">
      <c r="A2297">
        <v>2019</v>
      </c>
      <c r="B2297" t="s">
        <v>1429</v>
      </c>
      <c r="C2297" t="s">
        <v>1431</v>
      </c>
      <c r="D2297" t="s">
        <v>1433</v>
      </c>
      <c r="E2297" t="s">
        <v>775</v>
      </c>
      <c r="F2297" s="9" t="s">
        <v>775</v>
      </c>
      <c r="G2297" s="18">
        <v>1206312</v>
      </c>
      <c r="H2297">
        <v>0</v>
      </c>
      <c r="I2297" s="29">
        <f t="shared" si="35"/>
        <v>1206312</v>
      </c>
      <c r="J2297" t="str">
        <f>IFERROR(VLOOKUP(E2297,'LEAID Match'!$A$2:$B$168,2,FALSE),"")</f>
        <v/>
      </c>
    </row>
    <row r="2298" spans="1:10">
      <c r="A2298">
        <v>2015</v>
      </c>
      <c r="B2298" t="s">
        <v>1429</v>
      </c>
      <c r="C2298" t="s">
        <v>1431</v>
      </c>
      <c r="D2298" t="s">
        <v>1433</v>
      </c>
      <c r="E2298" t="s">
        <v>130</v>
      </c>
      <c r="F2298" s="9" t="s">
        <v>1254</v>
      </c>
      <c r="G2298" s="18">
        <v>1265024.4099999999</v>
      </c>
      <c r="H2298">
        <v>0</v>
      </c>
      <c r="I2298" s="29">
        <f t="shared" si="35"/>
        <v>1265024.4099999999</v>
      </c>
      <c r="J2298">
        <f>IFERROR(VLOOKUP(E2298,'LEAID Match'!$A$2:$B$168,2,FALSE),"")</f>
        <v>3305550</v>
      </c>
    </row>
    <row r="2299" spans="1:10">
      <c r="A2299">
        <v>2016</v>
      </c>
      <c r="B2299" t="s">
        <v>1429</v>
      </c>
      <c r="C2299" t="s">
        <v>1431</v>
      </c>
      <c r="D2299" t="s">
        <v>1433</v>
      </c>
      <c r="E2299" t="s">
        <v>130</v>
      </c>
      <c r="F2299" t="s">
        <v>776</v>
      </c>
      <c r="G2299" s="28">
        <v>1354575</v>
      </c>
      <c r="H2299">
        <v>0</v>
      </c>
      <c r="I2299" s="29">
        <f t="shared" si="35"/>
        <v>1354575</v>
      </c>
      <c r="J2299">
        <f>IFERROR(VLOOKUP(E2299,'LEAID Match'!$A$2:$B$168,2,FALSE),"")</f>
        <v>3305550</v>
      </c>
    </row>
    <row r="2300" spans="1:10">
      <c r="A2300">
        <v>2017</v>
      </c>
      <c r="B2300" t="s">
        <v>1429</v>
      </c>
      <c r="C2300" t="s">
        <v>1431</v>
      </c>
      <c r="D2300" t="s">
        <v>1433</v>
      </c>
      <c r="E2300" t="s">
        <v>130</v>
      </c>
      <c r="F2300" t="s">
        <v>776</v>
      </c>
      <c r="G2300" s="28">
        <v>1412060</v>
      </c>
      <c r="H2300">
        <v>0</v>
      </c>
      <c r="I2300" s="29">
        <f t="shared" si="35"/>
        <v>1412060</v>
      </c>
      <c r="J2300">
        <f>IFERROR(VLOOKUP(E2300,'LEAID Match'!$A$2:$B$168,2,FALSE),"")</f>
        <v>3305550</v>
      </c>
    </row>
    <row r="2301" spans="1:10">
      <c r="A2301" s="27">
        <v>2018</v>
      </c>
      <c r="B2301" t="s">
        <v>1429</v>
      </c>
      <c r="C2301" t="s">
        <v>1431</v>
      </c>
      <c r="D2301" t="s">
        <v>1433</v>
      </c>
      <c r="E2301" t="s">
        <v>130</v>
      </c>
      <c r="F2301" s="9" t="s">
        <v>776</v>
      </c>
      <c r="G2301" s="18">
        <v>1754369</v>
      </c>
      <c r="H2301">
        <v>0</v>
      </c>
      <c r="I2301" s="29">
        <f t="shared" si="35"/>
        <v>1754369</v>
      </c>
      <c r="J2301">
        <f>IFERROR(VLOOKUP(E2301,'LEAID Match'!$A$2:$B$168,2,FALSE),"")</f>
        <v>3305550</v>
      </c>
    </row>
    <row r="2302" spans="1:10">
      <c r="A2302">
        <v>2019</v>
      </c>
      <c r="B2302" t="s">
        <v>1429</v>
      </c>
      <c r="C2302" t="s">
        <v>1431</v>
      </c>
      <c r="D2302" t="s">
        <v>1433</v>
      </c>
      <c r="E2302" t="s">
        <v>130</v>
      </c>
      <c r="F2302" s="9" t="s">
        <v>776</v>
      </c>
      <c r="G2302" s="18">
        <v>1794100</v>
      </c>
      <c r="H2302">
        <v>0</v>
      </c>
      <c r="I2302" s="29">
        <f t="shared" si="35"/>
        <v>1794100</v>
      </c>
      <c r="J2302">
        <f>IFERROR(VLOOKUP(E2302,'LEAID Match'!$A$2:$B$168,2,FALSE),"")</f>
        <v>3305550</v>
      </c>
    </row>
    <row r="2303" spans="1:10">
      <c r="A2303" s="27">
        <v>2020</v>
      </c>
      <c r="B2303" t="s">
        <v>1429</v>
      </c>
      <c r="C2303" t="s">
        <v>1431</v>
      </c>
      <c r="D2303" t="s">
        <v>1433</v>
      </c>
      <c r="E2303" t="s">
        <v>130</v>
      </c>
      <c r="F2303" s="9" t="s">
        <v>130</v>
      </c>
      <c r="G2303" s="18">
        <v>1884444</v>
      </c>
      <c r="H2303">
        <v>0</v>
      </c>
      <c r="I2303" s="29">
        <f t="shared" si="35"/>
        <v>1884444</v>
      </c>
      <c r="J2303">
        <f>IFERROR(VLOOKUP(E2303,'LEAID Match'!$A$2:$B$168,2,FALSE),"")</f>
        <v>3305550</v>
      </c>
    </row>
    <row r="2304" spans="1:10">
      <c r="A2304">
        <v>2021</v>
      </c>
      <c r="B2304" t="s">
        <v>1429</v>
      </c>
      <c r="C2304" t="s">
        <v>1431</v>
      </c>
      <c r="D2304" t="s">
        <v>1433</v>
      </c>
      <c r="E2304" t="s">
        <v>130</v>
      </c>
      <c r="F2304" s="9" t="s">
        <v>130</v>
      </c>
      <c r="G2304" s="18">
        <v>1966622</v>
      </c>
      <c r="H2304">
        <v>0</v>
      </c>
      <c r="I2304" s="29">
        <f t="shared" si="35"/>
        <v>1966622</v>
      </c>
      <c r="J2304">
        <f>IFERROR(VLOOKUP(E2304,'LEAID Match'!$A$2:$B$168,2,FALSE),"")</f>
        <v>3305550</v>
      </c>
    </row>
    <row r="2305" spans="1:10">
      <c r="A2305">
        <v>2022</v>
      </c>
      <c r="B2305" t="s">
        <v>1429</v>
      </c>
      <c r="C2305" t="s">
        <v>1431</v>
      </c>
      <c r="D2305" t="s">
        <v>1433</v>
      </c>
      <c r="E2305" t="s">
        <v>130</v>
      </c>
      <c r="F2305" s="9" t="s">
        <v>130</v>
      </c>
      <c r="G2305" s="18">
        <v>2469082</v>
      </c>
      <c r="H2305">
        <v>0</v>
      </c>
      <c r="I2305" s="29">
        <f t="shared" si="35"/>
        <v>2469082</v>
      </c>
      <c r="J2305">
        <f>IFERROR(VLOOKUP(E2305,'LEAID Match'!$A$2:$B$168,2,FALSE),"")</f>
        <v>3305550</v>
      </c>
    </row>
    <row r="2306" spans="1:10">
      <c r="A2306">
        <v>2023</v>
      </c>
      <c r="B2306" t="s">
        <v>1429</v>
      </c>
      <c r="C2306" t="s">
        <v>1431</v>
      </c>
      <c r="D2306" t="s">
        <v>1433</v>
      </c>
      <c r="E2306" t="s">
        <v>130</v>
      </c>
      <c r="F2306" t="s">
        <v>130</v>
      </c>
      <c r="G2306" s="28">
        <v>2550707</v>
      </c>
      <c r="H2306">
        <v>0</v>
      </c>
      <c r="I2306" s="29">
        <f t="shared" si="35"/>
        <v>2550707</v>
      </c>
      <c r="J2306">
        <f>IFERROR(VLOOKUP(E2306,'LEAID Match'!$A$2:$B$168,2,FALSE),"")</f>
        <v>3305550</v>
      </c>
    </row>
    <row r="2307" spans="1:10">
      <c r="A2307">
        <v>2015</v>
      </c>
      <c r="B2307" t="s">
        <v>1429</v>
      </c>
      <c r="C2307" t="s">
        <v>1431</v>
      </c>
      <c r="D2307" t="s">
        <v>1433</v>
      </c>
      <c r="E2307" t="s">
        <v>941</v>
      </c>
      <c r="F2307" s="9" t="s">
        <v>1255</v>
      </c>
      <c r="G2307" s="18">
        <v>264702.74</v>
      </c>
      <c r="H2307">
        <v>0</v>
      </c>
      <c r="I2307" s="29">
        <f t="shared" ref="I2307:I2370" si="36">SUM(G2307:H2307)</f>
        <v>264702.74</v>
      </c>
      <c r="J2307" t="str">
        <f>IFERROR(VLOOKUP(E2307,'LEAID Match'!$A$2:$B$168,2,FALSE),"")</f>
        <v/>
      </c>
    </row>
    <row r="2308" spans="1:10">
      <c r="A2308">
        <v>2016</v>
      </c>
      <c r="B2308" t="s">
        <v>1429</v>
      </c>
      <c r="C2308" t="s">
        <v>1431</v>
      </c>
      <c r="D2308" t="s">
        <v>1433</v>
      </c>
      <c r="E2308" t="s">
        <v>941</v>
      </c>
      <c r="F2308" t="s">
        <v>941</v>
      </c>
      <c r="G2308" s="28">
        <v>279484</v>
      </c>
      <c r="H2308">
        <v>0</v>
      </c>
      <c r="I2308" s="29">
        <f t="shared" si="36"/>
        <v>279484</v>
      </c>
      <c r="J2308" t="str">
        <f>IFERROR(VLOOKUP(E2308,'LEAID Match'!$A$2:$B$168,2,FALSE),"")</f>
        <v/>
      </c>
    </row>
    <row r="2309" spans="1:10">
      <c r="A2309">
        <v>2017</v>
      </c>
      <c r="B2309" t="s">
        <v>1429</v>
      </c>
      <c r="C2309" t="s">
        <v>1431</v>
      </c>
      <c r="D2309" t="s">
        <v>1433</v>
      </c>
      <c r="E2309" t="s">
        <v>941</v>
      </c>
      <c r="F2309" t="s">
        <v>941</v>
      </c>
      <c r="G2309" s="28">
        <v>293473</v>
      </c>
      <c r="H2309">
        <v>0</v>
      </c>
      <c r="I2309" s="29">
        <f t="shared" si="36"/>
        <v>293473</v>
      </c>
      <c r="J2309" t="str">
        <f>IFERROR(VLOOKUP(E2309,'LEAID Match'!$A$2:$B$168,2,FALSE),"")</f>
        <v/>
      </c>
    </row>
    <row r="2310" spans="1:10">
      <c r="A2310" s="27">
        <v>2018</v>
      </c>
      <c r="B2310" t="s">
        <v>1429</v>
      </c>
      <c r="C2310" t="s">
        <v>1431</v>
      </c>
      <c r="D2310" t="s">
        <v>1433</v>
      </c>
      <c r="E2310" t="s">
        <v>941</v>
      </c>
      <c r="F2310" s="9" t="s">
        <v>777</v>
      </c>
      <c r="G2310" s="18">
        <v>338746</v>
      </c>
      <c r="H2310">
        <v>0</v>
      </c>
      <c r="I2310" s="29">
        <f t="shared" si="36"/>
        <v>338746</v>
      </c>
      <c r="J2310" t="str">
        <f>IFERROR(VLOOKUP(E2310,'LEAID Match'!$A$2:$B$168,2,FALSE),"")</f>
        <v/>
      </c>
    </row>
    <row r="2311" spans="1:10">
      <c r="A2311">
        <v>2019</v>
      </c>
      <c r="B2311" t="s">
        <v>1429</v>
      </c>
      <c r="C2311" t="s">
        <v>1431</v>
      </c>
      <c r="D2311" t="s">
        <v>1433</v>
      </c>
      <c r="E2311" t="s">
        <v>941</v>
      </c>
      <c r="F2311" s="9" t="s">
        <v>777</v>
      </c>
      <c r="G2311" s="18">
        <v>334096</v>
      </c>
      <c r="H2311">
        <v>0</v>
      </c>
      <c r="I2311" s="29">
        <f t="shared" si="36"/>
        <v>334096</v>
      </c>
      <c r="J2311" t="str">
        <f>IFERROR(VLOOKUP(E2311,'LEAID Match'!$A$2:$B$168,2,FALSE),"")</f>
        <v/>
      </c>
    </row>
    <row r="2312" spans="1:10">
      <c r="A2312">
        <v>2015</v>
      </c>
      <c r="B2312" t="s">
        <v>1429</v>
      </c>
      <c r="C2312" t="s">
        <v>1431</v>
      </c>
      <c r="D2312" t="s">
        <v>1433</v>
      </c>
      <c r="E2312" t="s">
        <v>131</v>
      </c>
      <c r="F2312" s="9" t="s">
        <v>1256</v>
      </c>
      <c r="G2312" s="18">
        <v>1286933.8999999999</v>
      </c>
      <c r="H2312">
        <v>0</v>
      </c>
      <c r="I2312" s="29">
        <f t="shared" si="36"/>
        <v>1286933.8999999999</v>
      </c>
      <c r="J2312">
        <f>IFERROR(VLOOKUP(E2312,'LEAID Match'!$A$2:$B$168,2,FALSE),"")</f>
        <v>3305580</v>
      </c>
    </row>
    <row r="2313" spans="1:10">
      <c r="A2313">
        <v>2016</v>
      </c>
      <c r="B2313" t="s">
        <v>1429</v>
      </c>
      <c r="C2313" t="s">
        <v>1431</v>
      </c>
      <c r="D2313" t="s">
        <v>1433</v>
      </c>
      <c r="E2313" t="s">
        <v>131</v>
      </c>
      <c r="F2313" t="s">
        <v>778</v>
      </c>
      <c r="G2313" s="28">
        <v>1399034</v>
      </c>
      <c r="H2313">
        <v>0</v>
      </c>
      <c r="I2313" s="29">
        <f t="shared" si="36"/>
        <v>1399034</v>
      </c>
      <c r="J2313">
        <f>IFERROR(VLOOKUP(E2313,'LEAID Match'!$A$2:$B$168,2,FALSE),"")</f>
        <v>3305580</v>
      </c>
    </row>
    <row r="2314" spans="1:10">
      <c r="A2314">
        <v>2017</v>
      </c>
      <c r="B2314" t="s">
        <v>1429</v>
      </c>
      <c r="C2314" t="s">
        <v>1431</v>
      </c>
      <c r="D2314" t="s">
        <v>1433</v>
      </c>
      <c r="E2314" t="s">
        <v>131</v>
      </c>
      <c r="F2314" t="s">
        <v>778</v>
      </c>
      <c r="G2314" s="28">
        <v>1441510</v>
      </c>
      <c r="H2314">
        <v>0</v>
      </c>
      <c r="I2314" s="29">
        <f t="shared" si="36"/>
        <v>1441510</v>
      </c>
      <c r="J2314">
        <f>IFERROR(VLOOKUP(E2314,'LEAID Match'!$A$2:$B$168,2,FALSE),"")</f>
        <v>3305580</v>
      </c>
    </row>
    <row r="2315" spans="1:10">
      <c r="A2315" s="27">
        <v>2018</v>
      </c>
      <c r="B2315" t="s">
        <v>1429</v>
      </c>
      <c r="C2315" t="s">
        <v>1431</v>
      </c>
      <c r="D2315" t="s">
        <v>1433</v>
      </c>
      <c r="E2315" t="s">
        <v>131</v>
      </c>
      <c r="F2315" s="9" t="s">
        <v>778</v>
      </c>
      <c r="G2315" s="18">
        <v>1734615</v>
      </c>
      <c r="H2315">
        <v>0</v>
      </c>
      <c r="I2315" s="29">
        <f t="shared" si="36"/>
        <v>1734615</v>
      </c>
      <c r="J2315">
        <f>IFERROR(VLOOKUP(E2315,'LEAID Match'!$A$2:$B$168,2,FALSE),"")</f>
        <v>3305580</v>
      </c>
    </row>
    <row r="2316" spans="1:10">
      <c r="A2316">
        <v>2019</v>
      </c>
      <c r="B2316" t="s">
        <v>1429</v>
      </c>
      <c r="C2316" t="s">
        <v>1431</v>
      </c>
      <c r="D2316" t="s">
        <v>1433</v>
      </c>
      <c r="E2316" t="s">
        <v>131</v>
      </c>
      <c r="F2316" s="9" t="s">
        <v>778</v>
      </c>
      <c r="G2316" s="18">
        <v>1707486</v>
      </c>
      <c r="H2316">
        <v>0</v>
      </c>
      <c r="I2316" s="29">
        <f t="shared" si="36"/>
        <v>1707486</v>
      </c>
      <c r="J2316">
        <f>IFERROR(VLOOKUP(E2316,'LEAID Match'!$A$2:$B$168,2,FALSE),"")</f>
        <v>3305580</v>
      </c>
    </row>
    <row r="2317" spans="1:10">
      <c r="A2317" s="27">
        <v>2020</v>
      </c>
      <c r="B2317" t="s">
        <v>1429</v>
      </c>
      <c r="C2317" t="s">
        <v>1431</v>
      </c>
      <c r="D2317" t="s">
        <v>1433</v>
      </c>
      <c r="E2317" t="s">
        <v>131</v>
      </c>
      <c r="F2317" s="9" t="s">
        <v>131</v>
      </c>
      <c r="G2317" s="18">
        <v>1720647</v>
      </c>
      <c r="H2317">
        <v>0</v>
      </c>
      <c r="I2317" s="29">
        <f t="shared" si="36"/>
        <v>1720647</v>
      </c>
      <c r="J2317">
        <f>IFERROR(VLOOKUP(E2317,'LEAID Match'!$A$2:$B$168,2,FALSE),"")</f>
        <v>3305580</v>
      </c>
    </row>
    <row r="2318" spans="1:10">
      <c r="A2318">
        <v>2021</v>
      </c>
      <c r="B2318" t="s">
        <v>1429</v>
      </c>
      <c r="C2318" t="s">
        <v>1431</v>
      </c>
      <c r="D2318" t="s">
        <v>1433</v>
      </c>
      <c r="E2318" t="s">
        <v>131</v>
      </c>
      <c r="F2318" s="9" t="s">
        <v>131</v>
      </c>
      <c r="G2318" s="18">
        <v>1806761</v>
      </c>
      <c r="H2318">
        <v>0</v>
      </c>
      <c r="I2318" s="29">
        <f t="shared" si="36"/>
        <v>1806761</v>
      </c>
      <c r="J2318">
        <f>IFERROR(VLOOKUP(E2318,'LEAID Match'!$A$2:$B$168,2,FALSE),"")</f>
        <v>3305580</v>
      </c>
    </row>
    <row r="2319" spans="1:10">
      <c r="A2319">
        <v>2022</v>
      </c>
      <c r="B2319" t="s">
        <v>1429</v>
      </c>
      <c r="C2319" t="s">
        <v>1431</v>
      </c>
      <c r="D2319" t="s">
        <v>1433</v>
      </c>
      <c r="E2319" t="s">
        <v>131</v>
      </c>
      <c r="F2319" s="9" t="s">
        <v>131</v>
      </c>
      <c r="G2319" s="18">
        <v>2260426</v>
      </c>
      <c r="H2319">
        <v>0</v>
      </c>
      <c r="I2319" s="29">
        <f t="shared" si="36"/>
        <v>2260426</v>
      </c>
      <c r="J2319">
        <f>IFERROR(VLOOKUP(E2319,'LEAID Match'!$A$2:$B$168,2,FALSE),"")</f>
        <v>3305580</v>
      </c>
    </row>
    <row r="2320" spans="1:10">
      <c r="A2320">
        <v>2023</v>
      </c>
      <c r="B2320" t="s">
        <v>1429</v>
      </c>
      <c r="C2320" t="s">
        <v>1431</v>
      </c>
      <c r="D2320" t="s">
        <v>1433</v>
      </c>
      <c r="E2320" t="s">
        <v>131</v>
      </c>
      <c r="F2320" t="s">
        <v>131</v>
      </c>
      <c r="G2320" s="28">
        <v>2317885</v>
      </c>
      <c r="H2320">
        <v>0</v>
      </c>
      <c r="I2320" s="29">
        <f t="shared" si="36"/>
        <v>2317885</v>
      </c>
      <c r="J2320">
        <f>IFERROR(VLOOKUP(E2320,'LEAID Match'!$A$2:$B$168,2,FALSE),"")</f>
        <v>3305580</v>
      </c>
    </row>
    <row r="2321" spans="1:10">
      <c r="A2321">
        <v>2015</v>
      </c>
      <c r="B2321" t="s">
        <v>1429</v>
      </c>
      <c r="C2321" t="s">
        <v>1431</v>
      </c>
      <c r="D2321" t="s">
        <v>1433</v>
      </c>
      <c r="E2321" t="s">
        <v>132</v>
      </c>
      <c r="F2321" s="9" t="s">
        <v>1257</v>
      </c>
      <c r="G2321" s="18">
        <v>652831.41</v>
      </c>
      <c r="H2321">
        <v>0</v>
      </c>
      <c r="I2321" s="29">
        <f t="shared" si="36"/>
        <v>652831.41</v>
      </c>
      <c r="J2321">
        <f>IFERROR(VLOOKUP(E2321,'LEAID Match'!$A$2:$B$168,2,FALSE),"")</f>
        <v>3399965</v>
      </c>
    </row>
    <row r="2322" spans="1:10">
      <c r="A2322">
        <v>2016</v>
      </c>
      <c r="B2322" t="s">
        <v>1429</v>
      </c>
      <c r="C2322" t="s">
        <v>1431</v>
      </c>
      <c r="D2322" t="s">
        <v>1433</v>
      </c>
      <c r="E2322" t="s">
        <v>132</v>
      </c>
      <c r="F2322" t="s">
        <v>779</v>
      </c>
      <c r="G2322" s="28">
        <v>698006</v>
      </c>
      <c r="H2322">
        <v>0</v>
      </c>
      <c r="I2322" s="29">
        <f t="shared" si="36"/>
        <v>698006</v>
      </c>
      <c r="J2322">
        <f>IFERROR(VLOOKUP(E2322,'LEAID Match'!$A$2:$B$168,2,FALSE),"")</f>
        <v>3399965</v>
      </c>
    </row>
    <row r="2323" spans="1:10">
      <c r="A2323">
        <v>2017</v>
      </c>
      <c r="B2323" t="s">
        <v>1429</v>
      </c>
      <c r="C2323" t="s">
        <v>1431</v>
      </c>
      <c r="D2323" t="s">
        <v>1433</v>
      </c>
      <c r="E2323" t="s">
        <v>132</v>
      </c>
      <c r="F2323" t="s">
        <v>779</v>
      </c>
      <c r="G2323" s="28">
        <v>743362</v>
      </c>
      <c r="H2323">
        <v>0</v>
      </c>
      <c r="I2323" s="29">
        <f t="shared" si="36"/>
        <v>743362</v>
      </c>
      <c r="J2323">
        <f>IFERROR(VLOOKUP(E2323,'LEAID Match'!$A$2:$B$168,2,FALSE),"")</f>
        <v>3399965</v>
      </c>
    </row>
    <row r="2324" spans="1:10">
      <c r="A2324" s="27">
        <v>2018</v>
      </c>
      <c r="B2324" t="s">
        <v>1429</v>
      </c>
      <c r="C2324" t="s">
        <v>1431</v>
      </c>
      <c r="D2324" t="s">
        <v>1433</v>
      </c>
      <c r="E2324" t="s">
        <v>132</v>
      </c>
      <c r="F2324" s="9" t="s">
        <v>779</v>
      </c>
      <c r="G2324" s="18">
        <v>914348</v>
      </c>
      <c r="H2324">
        <v>0</v>
      </c>
      <c r="I2324" s="29">
        <f t="shared" si="36"/>
        <v>914348</v>
      </c>
      <c r="J2324">
        <f>IFERROR(VLOOKUP(E2324,'LEAID Match'!$A$2:$B$168,2,FALSE),"")</f>
        <v>3399965</v>
      </c>
    </row>
    <row r="2325" spans="1:10">
      <c r="A2325">
        <v>2019</v>
      </c>
      <c r="B2325" t="s">
        <v>1429</v>
      </c>
      <c r="C2325" t="s">
        <v>1431</v>
      </c>
      <c r="D2325" t="s">
        <v>1433</v>
      </c>
      <c r="E2325" t="s">
        <v>132</v>
      </c>
      <c r="F2325" s="9" t="s">
        <v>779</v>
      </c>
      <c r="G2325" s="18">
        <v>931227</v>
      </c>
      <c r="H2325">
        <v>0</v>
      </c>
      <c r="I2325" s="29">
        <f t="shared" si="36"/>
        <v>931227</v>
      </c>
      <c r="J2325">
        <f>IFERROR(VLOOKUP(E2325,'LEAID Match'!$A$2:$B$168,2,FALSE),"")</f>
        <v>3399965</v>
      </c>
    </row>
    <row r="2326" spans="1:10">
      <c r="A2326" s="27">
        <v>2020</v>
      </c>
      <c r="B2326" t="s">
        <v>1429</v>
      </c>
      <c r="C2326" t="s">
        <v>1431</v>
      </c>
      <c r="D2326" t="s">
        <v>1433</v>
      </c>
      <c r="E2326" t="s">
        <v>132</v>
      </c>
      <c r="F2326" s="9" t="s">
        <v>132</v>
      </c>
      <c r="G2326" s="18">
        <v>951947</v>
      </c>
      <c r="H2326">
        <v>0</v>
      </c>
      <c r="I2326" s="29">
        <f t="shared" si="36"/>
        <v>951947</v>
      </c>
      <c r="J2326">
        <f>IFERROR(VLOOKUP(E2326,'LEAID Match'!$A$2:$B$168,2,FALSE),"")</f>
        <v>3399965</v>
      </c>
    </row>
    <row r="2327" spans="1:10">
      <c r="A2327">
        <v>2021</v>
      </c>
      <c r="B2327" t="s">
        <v>1429</v>
      </c>
      <c r="C2327" t="s">
        <v>1431</v>
      </c>
      <c r="D2327" t="s">
        <v>1433</v>
      </c>
      <c r="E2327" t="s">
        <v>132</v>
      </c>
      <c r="F2327" s="9" t="s">
        <v>132</v>
      </c>
      <c r="G2327" s="18">
        <v>946491</v>
      </c>
      <c r="H2327">
        <v>0</v>
      </c>
      <c r="I2327" s="29">
        <f t="shared" si="36"/>
        <v>946491</v>
      </c>
      <c r="J2327">
        <f>IFERROR(VLOOKUP(E2327,'LEAID Match'!$A$2:$B$168,2,FALSE),"")</f>
        <v>3399965</v>
      </c>
    </row>
    <row r="2328" spans="1:10">
      <c r="A2328">
        <v>2022</v>
      </c>
      <c r="B2328" t="s">
        <v>1429</v>
      </c>
      <c r="C2328" t="s">
        <v>1431</v>
      </c>
      <c r="D2328" t="s">
        <v>1433</v>
      </c>
      <c r="E2328" t="s">
        <v>132</v>
      </c>
      <c r="F2328" s="9" t="s">
        <v>132</v>
      </c>
      <c r="G2328" s="18">
        <v>1169099</v>
      </c>
      <c r="H2328">
        <v>0</v>
      </c>
      <c r="I2328" s="29">
        <f t="shared" si="36"/>
        <v>1169099</v>
      </c>
      <c r="J2328">
        <f>IFERROR(VLOOKUP(E2328,'LEAID Match'!$A$2:$B$168,2,FALSE),"")</f>
        <v>3399965</v>
      </c>
    </row>
    <row r="2329" spans="1:10">
      <c r="A2329">
        <v>2023</v>
      </c>
      <c r="B2329" t="s">
        <v>1429</v>
      </c>
      <c r="C2329" t="s">
        <v>1431</v>
      </c>
      <c r="D2329" t="s">
        <v>1433</v>
      </c>
      <c r="E2329" t="s">
        <v>132</v>
      </c>
      <c r="F2329" t="s">
        <v>132</v>
      </c>
      <c r="G2329" s="28">
        <v>1171361</v>
      </c>
      <c r="H2329">
        <v>0</v>
      </c>
      <c r="I2329" s="29">
        <f t="shared" si="36"/>
        <v>1171361</v>
      </c>
      <c r="J2329">
        <f>IFERROR(VLOOKUP(E2329,'LEAID Match'!$A$2:$B$168,2,FALSE),"")</f>
        <v>3399965</v>
      </c>
    </row>
    <row r="2330" spans="1:10">
      <c r="A2330">
        <v>2015</v>
      </c>
      <c r="B2330" t="s">
        <v>1429</v>
      </c>
      <c r="C2330" t="s">
        <v>1431</v>
      </c>
      <c r="D2330" t="s">
        <v>1433</v>
      </c>
      <c r="E2330" t="s">
        <v>480</v>
      </c>
      <c r="F2330" s="9" t="s">
        <v>1258</v>
      </c>
      <c r="G2330" s="18">
        <v>12157.47</v>
      </c>
      <c r="H2330">
        <v>0</v>
      </c>
      <c r="I2330" s="29">
        <f t="shared" si="36"/>
        <v>12157.47</v>
      </c>
      <c r="J2330" t="str">
        <f>IFERROR(VLOOKUP(E2330,'LEAID Match'!$A$2:$B$168,2,FALSE),"")</f>
        <v/>
      </c>
    </row>
    <row r="2331" spans="1:10">
      <c r="A2331">
        <v>2016</v>
      </c>
      <c r="B2331" t="s">
        <v>1429</v>
      </c>
      <c r="C2331" t="s">
        <v>1431</v>
      </c>
      <c r="D2331" t="s">
        <v>1433</v>
      </c>
      <c r="E2331" t="s">
        <v>480</v>
      </c>
      <c r="F2331" t="s">
        <v>480</v>
      </c>
      <c r="G2331" s="28">
        <v>11500</v>
      </c>
      <c r="H2331">
        <v>0</v>
      </c>
      <c r="I2331" s="29">
        <f t="shared" si="36"/>
        <v>11500</v>
      </c>
      <c r="J2331" t="str">
        <f>IFERROR(VLOOKUP(E2331,'LEAID Match'!$A$2:$B$168,2,FALSE),"")</f>
        <v/>
      </c>
    </row>
    <row r="2332" spans="1:10">
      <c r="A2332">
        <v>2017</v>
      </c>
      <c r="B2332" t="s">
        <v>1429</v>
      </c>
      <c r="C2332" t="s">
        <v>1431</v>
      </c>
      <c r="D2332" t="s">
        <v>1433</v>
      </c>
      <c r="E2332" t="s">
        <v>480</v>
      </c>
      <c r="F2332" t="s">
        <v>480</v>
      </c>
      <c r="G2332" s="28">
        <v>7061</v>
      </c>
      <c r="H2332">
        <v>0</v>
      </c>
      <c r="I2332" s="29">
        <f t="shared" si="36"/>
        <v>7061</v>
      </c>
      <c r="J2332" t="str">
        <f>IFERROR(VLOOKUP(E2332,'LEAID Match'!$A$2:$B$168,2,FALSE),"")</f>
        <v/>
      </c>
    </row>
    <row r="2333" spans="1:10">
      <c r="A2333" s="27">
        <v>2018</v>
      </c>
      <c r="B2333" t="s">
        <v>1429</v>
      </c>
      <c r="C2333" t="s">
        <v>1431</v>
      </c>
      <c r="D2333" t="s">
        <v>1433</v>
      </c>
      <c r="E2333" t="s">
        <v>480</v>
      </c>
      <c r="F2333" s="9" t="s">
        <v>480</v>
      </c>
      <c r="G2333" s="18">
        <v>2068</v>
      </c>
      <c r="H2333">
        <v>0</v>
      </c>
      <c r="I2333" s="29">
        <f t="shared" si="36"/>
        <v>2068</v>
      </c>
      <c r="J2333" t="str">
        <f>IFERROR(VLOOKUP(E2333,'LEAID Match'!$A$2:$B$168,2,FALSE),"")</f>
        <v/>
      </c>
    </row>
    <row r="2334" spans="1:10">
      <c r="A2334">
        <v>2019</v>
      </c>
      <c r="B2334" t="s">
        <v>1429</v>
      </c>
      <c r="C2334" t="s">
        <v>1431</v>
      </c>
      <c r="D2334" t="s">
        <v>1433</v>
      </c>
      <c r="E2334" t="s">
        <v>480</v>
      </c>
      <c r="F2334" s="9" t="s">
        <v>480</v>
      </c>
      <c r="G2334" s="18"/>
      <c r="H2334">
        <v>0</v>
      </c>
      <c r="I2334" s="29">
        <f t="shared" si="36"/>
        <v>0</v>
      </c>
      <c r="J2334" t="str">
        <f>IFERROR(VLOOKUP(E2334,'LEAID Match'!$A$2:$B$168,2,FALSE),"")</f>
        <v/>
      </c>
    </row>
    <row r="2335" spans="1:10">
      <c r="A2335" s="27">
        <v>2020</v>
      </c>
      <c r="B2335" t="s">
        <v>1429</v>
      </c>
      <c r="C2335" t="s">
        <v>1431</v>
      </c>
      <c r="D2335" t="s">
        <v>1433</v>
      </c>
      <c r="E2335" t="s">
        <v>480</v>
      </c>
      <c r="F2335" s="9" t="s">
        <v>480</v>
      </c>
      <c r="G2335" s="18"/>
      <c r="H2335">
        <v>0</v>
      </c>
      <c r="I2335" s="29">
        <f t="shared" si="36"/>
        <v>0</v>
      </c>
      <c r="J2335" t="str">
        <f>IFERROR(VLOOKUP(E2335,'LEAID Match'!$A$2:$B$168,2,FALSE),"")</f>
        <v/>
      </c>
    </row>
    <row r="2336" spans="1:10">
      <c r="A2336">
        <v>2021</v>
      </c>
      <c r="B2336" t="s">
        <v>1429</v>
      </c>
      <c r="C2336" t="s">
        <v>1431</v>
      </c>
      <c r="D2336" t="s">
        <v>1433</v>
      </c>
      <c r="E2336" t="s">
        <v>480</v>
      </c>
      <c r="F2336" s="9" t="s">
        <v>480</v>
      </c>
      <c r="G2336" s="18"/>
      <c r="H2336">
        <v>0</v>
      </c>
      <c r="I2336" s="29">
        <f t="shared" si="36"/>
        <v>0</v>
      </c>
      <c r="J2336" t="str">
        <f>IFERROR(VLOOKUP(E2336,'LEAID Match'!$A$2:$B$168,2,FALSE),"")</f>
        <v/>
      </c>
    </row>
    <row r="2337" spans="1:10">
      <c r="A2337">
        <v>2015</v>
      </c>
      <c r="B2337" t="s">
        <v>1429</v>
      </c>
      <c r="C2337" t="s">
        <v>1431</v>
      </c>
      <c r="D2337" t="s">
        <v>1433</v>
      </c>
      <c r="E2337" t="s">
        <v>780</v>
      </c>
      <c r="F2337" s="9" t="s">
        <v>1259</v>
      </c>
      <c r="G2337" s="18">
        <v>426131.55</v>
      </c>
      <c r="H2337">
        <v>0</v>
      </c>
      <c r="I2337" s="29">
        <f t="shared" si="36"/>
        <v>426131.55</v>
      </c>
      <c r="J2337" t="str">
        <f>IFERROR(VLOOKUP(E2337,'LEAID Match'!$A$2:$B$168,2,FALSE),"")</f>
        <v/>
      </c>
    </row>
    <row r="2338" spans="1:10">
      <c r="A2338">
        <v>2016</v>
      </c>
      <c r="B2338" t="s">
        <v>1429</v>
      </c>
      <c r="C2338" t="s">
        <v>1431</v>
      </c>
      <c r="D2338" t="s">
        <v>1433</v>
      </c>
      <c r="E2338" t="s">
        <v>780</v>
      </c>
      <c r="F2338" t="s">
        <v>780</v>
      </c>
      <c r="G2338" s="28">
        <v>486114</v>
      </c>
      <c r="H2338">
        <v>0</v>
      </c>
      <c r="I2338" s="29">
        <f t="shared" si="36"/>
        <v>486114</v>
      </c>
      <c r="J2338" t="str">
        <f>IFERROR(VLOOKUP(E2338,'LEAID Match'!$A$2:$B$168,2,FALSE),"")</f>
        <v/>
      </c>
    </row>
    <row r="2339" spans="1:10">
      <c r="A2339">
        <v>2017</v>
      </c>
      <c r="B2339" t="s">
        <v>1429</v>
      </c>
      <c r="C2339" t="s">
        <v>1431</v>
      </c>
      <c r="D2339" t="s">
        <v>1433</v>
      </c>
      <c r="E2339" t="s">
        <v>780</v>
      </c>
      <c r="F2339" t="s">
        <v>780</v>
      </c>
      <c r="G2339" s="28">
        <v>497852</v>
      </c>
      <c r="H2339">
        <v>0</v>
      </c>
      <c r="I2339" s="29">
        <f t="shared" si="36"/>
        <v>497852</v>
      </c>
      <c r="J2339" t="str">
        <f>IFERROR(VLOOKUP(E2339,'LEAID Match'!$A$2:$B$168,2,FALSE),"")</f>
        <v/>
      </c>
    </row>
    <row r="2340" spans="1:10">
      <c r="A2340" s="27">
        <v>2018</v>
      </c>
      <c r="B2340" t="s">
        <v>1429</v>
      </c>
      <c r="C2340" t="s">
        <v>1431</v>
      </c>
      <c r="D2340" t="s">
        <v>1433</v>
      </c>
      <c r="E2340" t="s">
        <v>780</v>
      </c>
      <c r="F2340" s="9" t="s">
        <v>780</v>
      </c>
      <c r="G2340" s="18">
        <v>583986</v>
      </c>
      <c r="H2340">
        <v>0</v>
      </c>
      <c r="I2340" s="29">
        <f t="shared" si="36"/>
        <v>583986</v>
      </c>
      <c r="J2340" t="str">
        <f>IFERROR(VLOOKUP(E2340,'LEAID Match'!$A$2:$B$168,2,FALSE),"")</f>
        <v/>
      </c>
    </row>
    <row r="2341" spans="1:10">
      <c r="A2341">
        <v>2019</v>
      </c>
      <c r="B2341" t="s">
        <v>1429</v>
      </c>
      <c r="C2341" t="s">
        <v>1431</v>
      </c>
      <c r="D2341" t="s">
        <v>1433</v>
      </c>
      <c r="E2341" t="s">
        <v>780</v>
      </c>
      <c r="F2341" s="9" t="s">
        <v>780</v>
      </c>
      <c r="G2341" s="18">
        <v>598851</v>
      </c>
      <c r="H2341">
        <v>0</v>
      </c>
      <c r="I2341" s="29">
        <f t="shared" si="36"/>
        <v>598851</v>
      </c>
      <c r="J2341" t="str">
        <f>IFERROR(VLOOKUP(E2341,'LEAID Match'!$A$2:$B$168,2,FALSE),"")</f>
        <v/>
      </c>
    </row>
    <row r="2342" spans="1:10">
      <c r="A2342">
        <v>2015</v>
      </c>
      <c r="B2342" t="s">
        <v>1429</v>
      </c>
      <c r="C2342" t="s">
        <v>1431</v>
      </c>
      <c r="D2342" t="s">
        <v>1433</v>
      </c>
      <c r="E2342" t="s">
        <v>781</v>
      </c>
      <c r="F2342" s="9" t="s">
        <v>1260</v>
      </c>
      <c r="G2342" s="18">
        <v>4674.41</v>
      </c>
      <c r="H2342">
        <v>0</v>
      </c>
      <c r="I2342" s="29">
        <f t="shared" si="36"/>
        <v>4674.41</v>
      </c>
      <c r="J2342" t="str">
        <f>IFERROR(VLOOKUP(E2342,'LEAID Match'!$A$2:$B$168,2,FALSE),"")</f>
        <v/>
      </c>
    </row>
    <row r="2343" spans="1:10">
      <c r="A2343">
        <v>2016</v>
      </c>
      <c r="B2343" t="s">
        <v>1429</v>
      </c>
      <c r="C2343" t="s">
        <v>1431</v>
      </c>
      <c r="D2343" t="s">
        <v>1433</v>
      </c>
      <c r="E2343" t="s">
        <v>781</v>
      </c>
      <c r="F2343" t="s">
        <v>781</v>
      </c>
      <c r="G2343" s="28">
        <v>12622</v>
      </c>
      <c r="H2343">
        <v>0</v>
      </c>
      <c r="I2343" s="29">
        <f t="shared" si="36"/>
        <v>12622</v>
      </c>
      <c r="J2343" t="str">
        <f>IFERROR(VLOOKUP(E2343,'LEAID Match'!$A$2:$B$168,2,FALSE),"")</f>
        <v/>
      </c>
    </row>
    <row r="2344" spans="1:10">
      <c r="A2344">
        <v>2017</v>
      </c>
      <c r="B2344" t="s">
        <v>1429</v>
      </c>
      <c r="C2344" t="s">
        <v>1431</v>
      </c>
      <c r="D2344" t="s">
        <v>1433</v>
      </c>
      <c r="E2344" t="s">
        <v>781</v>
      </c>
      <c r="F2344" t="s">
        <v>781</v>
      </c>
      <c r="G2344" s="28">
        <v>13073</v>
      </c>
      <c r="H2344">
        <v>0</v>
      </c>
      <c r="I2344" s="29">
        <f t="shared" si="36"/>
        <v>13073</v>
      </c>
      <c r="J2344" t="str">
        <f>IFERROR(VLOOKUP(E2344,'LEAID Match'!$A$2:$B$168,2,FALSE),"")</f>
        <v/>
      </c>
    </row>
    <row r="2345" spans="1:10">
      <c r="A2345" s="27">
        <v>2018</v>
      </c>
      <c r="B2345" t="s">
        <v>1429</v>
      </c>
      <c r="C2345" t="s">
        <v>1431</v>
      </c>
      <c r="D2345" t="s">
        <v>1433</v>
      </c>
      <c r="E2345" t="s">
        <v>781</v>
      </c>
      <c r="F2345" s="9" t="s">
        <v>781</v>
      </c>
      <c r="G2345" s="18">
        <v>14497</v>
      </c>
      <c r="H2345">
        <v>0</v>
      </c>
      <c r="I2345" s="29">
        <f t="shared" si="36"/>
        <v>14497</v>
      </c>
      <c r="J2345" t="str">
        <f>IFERROR(VLOOKUP(E2345,'LEAID Match'!$A$2:$B$168,2,FALSE),"")</f>
        <v/>
      </c>
    </row>
    <row r="2346" spans="1:10">
      <c r="A2346">
        <v>2019</v>
      </c>
      <c r="B2346" t="s">
        <v>1429</v>
      </c>
      <c r="C2346" t="s">
        <v>1431</v>
      </c>
      <c r="D2346" t="s">
        <v>1433</v>
      </c>
      <c r="E2346" t="s">
        <v>781</v>
      </c>
      <c r="F2346" s="9" t="s">
        <v>781</v>
      </c>
      <c r="G2346" s="18">
        <v>15748</v>
      </c>
      <c r="H2346">
        <v>0</v>
      </c>
      <c r="I2346" s="29">
        <f t="shared" si="36"/>
        <v>15748</v>
      </c>
      <c r="J2346" t="str">
        <f>IFERROR(VLOOKUP(E2346,'LEAID Match'!$A$2:$B$168,2,FALSE),"")</f>
        <v/>
      </c>
    </row>
    <row r="2347" spans="1:10">
      <c r="A2347">
        <v>2015</v>
      </c>
      <c r="B2347" t="s">
        <v>1429</v>
      </c>
      <c r="C2347" t="s">
        <v>1431</v>
      </c>
      <c r="D2347" t="s">
        <v>1433</v>
      </c>
      <c r="E2347" t="s">
        <v>133</v>
      </c>
      <c r="F2347" s="9" t="s">
        <v>1261</v>
      </c>
      <c r="G2347" s="18">
        <v>68502.3</v>
      </c>
      <c r="H2347">
        <v>0</v>
      </c>
      <c r="I2347" s="29">
        <f t="shared" si="36"/>
        <v>68502.3</v>
      </c>
      <c r="J2347">
        <f>IFERROR(VLOOKUP(E2347,'LEAID Match'!$A$2:$B$168,2,FALSE),"")</f>
        <v>3305670</v>
      </c>
    </row>
    <row r="2348" spans="1:10">
      <c r="A2348">
        <v>2016</v>
      </c>
      <c r="B2348" t="s">
        <v>1429</v>
      </c>
      <c r="C2348" t="s">
        <v>1431</v>
      </c>
      <c r="D2348" t="s">
        <v>1433</v>
      </c>
      <c r="E2348" t="s">
        <v>133</v>
      </c>
      <c r="F2348" t="s">
        <v>782</v>
      </c>
      <c r="G2348" s="28">
        <v>65380</v>
      </c>
      <c r="H2348">
        <v>0</v>
      </c>
      <c r="I2348" s="29">
        <f t="shared" si="36"/>
        <v>65380</v>
      </c>
      <c r="J2348">
        <f>IFERROR(VLOOKUP(E2348,'LEAID Match'!$A$2:$B$168,2,FALSE),"")</f>
        <v>3305670</v>
      </c>
    </row>
    <row r="2349" spans="1:10">
      <c r="A2349">
        <v>2017</v>
      </c>
      <c r="B2349" t="s">
        <v>1429</v>
      </c>
      <c r="C2349" t="s">
        <v>1431</v>
      </c>
      <c r="D2349" t="s">
        <v>1433</v>
      </c>
      <c r="E2349" t="s">
        <v>133</v>
      </c>
      <c r="F2349" t="s">
        <v>782</v>
      </c>
      <c r="G2349" s="28">
        <v>60126</v>
      </c>
      <c r="H2349">
        <v>0</v>
      </c>
      <c r="I2349" s="29">
        <f t="shared" si="36"/>
        <v>60126</v>
      </c>
      <c r="J2349">
        <f>IFERROR(VLOOKUP(E2349,'LEAID Match'!$A$2:$B$168,2,FALSE),"")</f>
        <v>3305670</v>
      </c>
    </row>
    <row r="2350" spans="1:10">
      <c r="A2350" s="27">
        <v>2018</v>
      </c>
      <c r="B2350" t="s">
        <v>1429</v>
      </c>
      <c r="C2350" t="s">
        <v>1431</v>
      </c>
      <c r="D2350" t="s">
        <v>1433</v>
      </c>
      <c r="E2350" t="s">
        <v>133</v>
      </c>
      <c r="F2350" s="9" t="s">
        <v>782</v>
      </c>
      <c r="G2350" s="18">
        <v>72640</v>
      </c>
      <c r="H2350">
        <v>0</v>
      </c>
      <c r="I2350" s="29">
        <f t="shared" si="36"/>
        <v>72640</v>
      </c>
      <c r="J2350">
        <f>IFERROR(VLOOKUP(E2350,'LEAID Match'!$A$2:$B$168,2,FALSE),"")</f>
        <v>3305670</v>
      </c>
    </row>
    <row r="2351" spans="1:10">
      <c r="A2351">
        <v>2019</v>
      </c>
      <c r="B2351" t="s">
        <v>1429</v>
      </c>
      <c r="C2351" t="s">
        <v>1431</v>
      </c>
      <c r="D2351" t="s">
        <v>1433</v>
      </c>
      <c r="E2351" t="s">
        <v>133</v>
      </c>
      <c r="F2351" s="9" t="s">
        <v>782</v>
      </c>
      <c r="G2351" s="18">
        <v>76167</v>
      </c>
      <c r="H2351">
        <v>0</v>
      </c>
      <c r="I2351" s="29">
        <f t="shared" si="36"/>
        <v>76167</v>
      </c>
      <c r="J2351">
        <f>IFERROR(VLOOKUP(E2351,'LEAID Match'!$A$2:$B$168,2,FALSE),"")</f>
        <v>3305670</v>
      </c>
    </row>
    <row r="2352" spans="1:10">
      <c r="A2352" s="27">
        <v>2020</v>
      </c>
      <c r="B2352" t="s">
        <v>1429</v>
      </c>
      <c r="C2352" t="s">
        <v>1431</v>
      </c>
      <c r="D2352" t="s">
        <v>1433</v>
      </c>
      <c r="E2352" t="s">
        <v>133</v>
      </c>
      <c r="F2352" s="9" t="s">
        <v>133</v>
      </c>
      <c r="G2352" s="18">
        <v>77962</v>
      </c>
      <c r="H2352">
        <v>0</v>
      </c>
      <c r="I2352" s="29">
        <f t="shared" si="36"/>
        <v>77962</v>
      </c>
      <c r="J2352">
        <f>IFERROR(VLOOKUP(E2352,'LEAID Match'!$A$2:$B$168,2,FALSE),"")</f>
        <v>3305670</v>
      </c>
    </row>
    <row r="2353" spans="1:10">
      <c r="A2353">
        <v>2021</v>
      </c>
      <c r="B2353" t="s">
        <v>1429</v>
      </c>
      <c r="C2353" t="s">
        <v>1431</v>
      </c>
      <c r="D2353" t="s">
        <v>1433</v>
      </c>
      <c r="E2353" t="s">
        <v>133</v>
      </c>
      <c r="F2353" s="9" t="s">
        <v>133</v>
      </c>
      <c r="G2353" s="18">
        <v>84575</v>
      </c>
      <c r="H2353">
        <v>0</v>
      </c>
      <c r="I2353" s="29">
        <f t="shared" si="36"/>
        <v>84575</v>
      </c>
      <c r="J2353">
        <f>IFERROR(VLOOKUP(E2353,'LEAID Match'!$A$2:$B$168,2,FALSE),"")</f>
        <v>3305670</v>
      </c>
    </row>
    <row r="2354" spans="1:10">
      <c r="A2354">
        <v>2022</v>
      </c>
      <c r="B2354" t="s">
        <v>1429</v>
      </c>
      <c r="C2354" t="s">
        <v>1431</v>
      </c>
      <c r="D2354" t="s">
        <v>1433</v>
      </c>
      <c r="E2354" t="s">
        <v>133</v>
      </c>
      <c r="F2354" s="9" t="s">
        <v>133</v>
      </c>
      <c r="G2354" s="18">
        <v>93992</v>
      </c>
      <c r="H2354">
        <v>0</v>
      </c>
      <c r="I2354" s="29">
        <f t="shared" si="36"/>
        <v>93992</v>
      </c>
      <c r="J2354">
        <f>IFERROR(VLOOKUP(E2354,'LEAID Match'!$A$2:$B$168,2,FALSE),"")</f>
        <v>3305670</v>
      </c>
    </row>
    <row r="2355" spans="1:10">
      <c r="A2355">
        <v>2023</v>
      </c>
      <c r="B2355" t="s">
        <v>1429</v>
      </c>
      <c r="C2355" t="s">
        <v>1431</v>
      </c>
      <c r="D2355" t="s">
        <v>1433</v>
      </c>
      <c r="E2355" t="s">
        <v>133</v>
      </c>
      <c r="F2355" t="s">
        <v>133</v>
      </c>
      <c r="G2355" s="28">
        <v>102286</v>
      </c>
      <c r="H2355">
        <v>0</v>
      </c>
      <c r="I2355" s="29">
        <f t="shared" si="36"/>
        <v>102286</v>
      </c>
      <c r="J2355">
        <f>IFERROR(VLOOKUP(E2355,'LEAID Match'!$A$2:$B$168,2,FALSE),"")</f>
        <v>3305670</v>
      </c>
    </row>
    <row r="2356" spans="1:10">
      <c r="A2356">
        <v>2015</v>
      </c>
      <c r="B2356" t="s">
        <v>1429</v>
      </c>
      <c r="C2356" t="s">
        <v>1431</v>
      </c>
      <c r="D2356" t="s">
        <v>1433</v>
      </c>
      <c r="E2356" t="s">
        <v>783</v>
      </c>
      <c r="F2356" s="9" t="s">
        <v>1262</v>
      </c>
      <c r="G2356" s="18">
        <v>30181.08</v>
      </c>
      <c r="H2356">
        <v>0</v>
      </c>
      <c r="I2356" s="29">
        <f t="shared" si="36"/>
        <v>30181.08</v>
      </c>
      <c r="J2356" t="str">
        <f>IFERROR(VLOOKUP(E2356,'LEAID Match'!$A$2:$B$168,2,FALSE),"")</f>
        <v/>
      </c>
    </row>
    <row r="2357" spans="1:10">
      <c r="A2357">
        <v>2016</v>
      </c>
      <c r="B2357" t="s">
        <v>1429</v>
      </c>
      <c r="C2357" t="s">
        <v>1431</v>
      </c>
      <c r="D2357" t="s">
        <v>1433</v>
      </c>
      <c r="E2357" t="s">
        <v>783</v>
      </c>
      <c r="F2357" t="s">
        <v>783</v>
      </c>
      <c r="G2357" s="28">
        <v>27975</v>
      </c>
      <c r="H2357">
        <v>0</v>
      </c>
      <c r="I2357" s="29">
        <f t="shared" si="36"/>
        <v>27975</v>
      </c>
      <c r="J2357" t="str">
        <f>IFERROR(VLOOKUP(E2357,'LEAID Match'!$A$2:$B$168,2,FALSE),"")</f>
        <v/>
      </c>
    </row>
    <row r="2358" spans="1:10">
      <c r="A2358">
        <v>2017</v>
      </c>
      <c r="B2358" t="s">
        <v>1429</v>
      </c>
      <c r="C2358" t="s">
        <v>1431</v>
      </c>
      <c r="D2358" t="s">
        <v>1433</v>
      </c>
      <c r="E2358" t="s">
        <v>783</v>
      </c>
      <c r="F2358" t="s">
        <v>783</v>
      </c>
      <c r="G2358" s="28">
        <v>27266</v>
      </c>
      <c r="H2358">
        <v>0</v>
      </c>
      <c r="I2358" s="29">
        <f t="shared" si="36"/>
        <v>27266</v>
      </c>
      <c r="J2358" t="str">
        <f>IFERROR(VLOOKUP(E2358,'LEAID Match'!$A$2:$B$168,2,FALSE),"")</f>
        <v/>
      </c>
    </row>
    <row r="2359" spans="1:10">
      <c r="A2359" s="27">
        <v>2018</v>
      </c>
      <c r="B2359" t="s">
        <v>1429</v>
      </c>
      <c r="C2359" t="s">
        <v>1431</v>
      </c>
      <c r="D2359" t="s">
        <v>1433</v>
      </c>
      <c r="E2359" t="s">
        <v>783</v>
      </c>
      <c r="F2359" s="9" t="s">
        <v>783</v>
      </c>
      <c r="G2359" s="18">
        <v>30903</v>
      </c>
      <c r="H2359">
        <v>0</v>
      </c>
      <c r="I2359" s="29">
        <f t="shared" si="36"/>
        <v>30903</v>
      </c>
      <c r="J2359" t="str">
        <f>IFERROR(VLOOKUP(E2359,'LEAID Match'!$A$2:$B$168,2,FALSE),"")</f>
        <v/>
      </c>
    </row>
    <row r="2360" spans="1:10">
      <c r="A2360">
        <v>2019</v>
      </c>
      <c r="B2360" t="s">
        <v>1429</v>
      </c>
      <c r="C2360" t="s">
        <v>1431</v>
      </c>
      <c r="D2360" t="s">
        <v>1433</v>
      </c>
      <c r="E2360" t="s">
        <v>783</v>
      </c>
      <c r="F2360" s="9" t="s">
        <v>783</v>
      </c>
      <c r="G2360" s="18">
        <v>36763</v>
      </c>
      <c r="H2360">
        <v>0</v>
      </c>
      <c r="I2360" s="29">
        <f t="shared" si="36"/>
        <v>36763</v>
      </c>
      <c r="J2360" t="str">
        <f>IFERROR(VLOOKUP(E2360,'LEAID Match'!$A$2:$B$168,2,FALSE),"")</f>
        <v/>
      </c>
    </row>
    <row r="2361" spans="1:10">
      <c r="A2361">
        <v>2015</v>
      </c>
      <c r="B2361" t="s">
        <v>1429</v>
      </c>
      <c r="C2361" t="s">
        <v>1431</v>
      </c>
      <c r="D2361" t="s">
        <v>1433</v>
      </c>
      <c r="E2361" t="s">
        <v>134</v>
      </c>
      <c r="F2361" s="9" t="s">
        <v>1263</v>
      </c>
      <c r="G2361" s="18">
        <v>129274.43</v>
      </c>
      <c r="H2361">
        <v>0</v>
      </c>
      <c r="I2361" s="29">
        <f t="shared" si="36"/>
        <v>129274.43</v>
      </c>
      <c r="J2361">
        <f>IFERROR(VLOOKUP(E2361,'LEAID Match'!$A$2:$B$168,2,FALSE),"")</f>
        <v>3305700</v>
      </c>
    </row>
    <row r="2362" spans="1:10">
      <c r="A2362">
        <v>2016</v>
      </c>
      <c r="B2362" t="s">
        <v>1429</v>
      </c>
      <c r="C2362" t="s">
        <v>1431</v>
      </c>
      <c r="D2362" t="s">
        <v>1433</v>
      </c>
      <c r="E2362" t="s">
        <v>134</v>
      </c>
      <c r="F2362" t="s">
        <v>784</v>
      </c>
      <c r="G2362" s="28">
        <v>134985</v>
      </c>
      <c r="H2362">
        <v>0</v>
      </c>
      <c r="I2362" s="29">
        <f t="shared" si="36"/>
        <v>134985</v>
      </c>
      <c r="J2362">
        <f>IFERROR(VLOOKUP(E2362,'LEAID Match'!$A$2:$B$168,2,FALSE),"")</f>
        <v>3305700</v>
      </c>
    </row>
    <row r="2363" spans="1:10">
      <c r="A2363">
        <v>2017</v>
      </c>
      <c r="B2363" t="s">
        <v>1429</v>
      </c>
      <c r="C2363" t="s">
        <v>1431</v>
      </c>
      <c r="D2363" t="s">
        <v>1433</v>
      </c>
      <c r="E2363" t="s">
        <v>134</v>
      </c>
      <c r="F2363" t="s">
        <v>784</v>
      </c>
      <c r="G2363" s="28">
        <v>127302</v>
      </c>
      <c r="H2363">
        <v>0</v>
      </c>
      <c r="I2363" s="29">
        <f t="shared" si="36"/>
        <v>127302</v>
      </c>
      <c r="J2363">
        <f>IFERROR(VLOOKUP(E2363,'LEAID Match'!$A$2:$B$168,2,FALSE),"")</f>
        <v>3305700</v>
      </c>
    </row>
    <row r="2364" spans="1:10">
      <c r="A2364" s="27">
        <v>2018</v>
      </c>
      <c r="B2364" t="s">
        <v>1429</v>
      </c>
      <c r="C2364" t="s">
        <v>1431</v>
      </c>
      <c r="D2364" t="s">
        <v>1433</v>
      </c>
      <c r="E2364" t="s">
        <v>134</v>
      </c>
      <c r="F2364" s="9" t="s">
        <v>784</v>
      </c>
      <c r="G2364" s="18">
        <v>145160</v>
      </c>
      <c r="H2364">
        <v>0</v>
      </c>
      <c r="I2364" s="29">
        <f t="shared" si="36"/>
        <v>145160</v>
      </c>
      <c r="J2364">
        <f>IFERROR(VLOOKUP(E2364,'LEAID Match'!$A$2:$B$168,2,FALSE),"")</f>
        <v>3305700</v>
      </c>
    </row>
    <row r="2365" spans="1:10">
      <c r="A2365">
        <v>2019</v>
      </c>
      <c r="B2365" t="s">
        <v>1429</v>
      </c>
      <c r="C2365" t="s">
        <v>1431</v>
      </c>
      <c r="D2365" t="s">
        <v>1433</v>
      </c>
      <c r="E2365" t="s">
        <v>134</v>
      </c>
      <c r="F2365" s="9" t="s">
        <v>784</v>
      </c>
      <c r="G2365" s="18">
        <v>144705</v>
      </c>
      <c r="H2365">
        <v>0</v>
      </c>
      <c r="I2365" s="29">
        <f t="shared" si="36"/>
        <v>144705</v>
      </c>
      <c r="J2365">
        <f>IFERROR(VLOOKUP(E2365,'LEAID Match'!$A$2:$B$168,2,FALSE),"")</f>
        <v>3305700</v>
      </c>
    </row>
    <row r="2366" spans="1:10">
      <c r="A2366" s="27">
        <v>2020</v>
      </c>
      <c r="B2366" t="s">
        <v>1429</v>
      </c>
      <c r="C2366" t="s">
        <v>1431</v>
      </c>
      <c r="D2366" t="s">
        <v>1433</v>
      </c>
      <c r="E2366" t="s">
        <v>134</v>
      </c>
      <c r="F2366" s="9" t="s">
        <v>134</v>
      </c>
      <c r="G2366" s="18">
        <v>164554</v>
      </c>
      <c r="H2366">
        <v>0</v>
      </c>
      <c r="I2366" s="29">
        <f t="shared" si="36"/>
        <v>164554</v>
      </c>
      <c r="J2366">
        <f>IFERROR(VLOOKUP(E2366,'LEAID Match'!$A$2:$B$168,2,FALSE),"")</f>
        <v>3305700</v>
      </c>
    </row>
    <row r="2367" spans="1:10">
      <c r="A2367">
        <v>2021</v>
      </c>
      <c r="B2367" t="s">
        <v>1429</v>
      </c>
      <c r="C2367" t="s">
        <v>1431</v>
      </c>
      <c r="D2367" t="s">
        <v>1433</v>
      </c>
      <c r="E2367" t="s">
        <v>134</v>
      </c>
      <c r="F2367" s="9" t="s">
        <v>134</v>
      </c>
      <c r="G2367" s="18">
        <v>171454</v>
      </c>
      <c r="H2367">
        <v>0</v>
      </c>
      <c r="I2367" s="29">
        <f t="shared" si="36"/>
        <v>171454</v>
      </c>
      <c r="J2367">
        <f>IFERROR(VLOOKUP(E2367,'LEAID Match'!$A$2:$B$168,2,FALSE),"")</f>
        <v>3305700</v>
      </c>
    </row>
    <row r="2368" spans="1:10">
      <c r="A2368">
        <v>2022</v>
      </c>
      <c r="B2368" t="s">
        <v>1429</v>
      </c>
      <c r="C2368" t="s">
        <v>1431</v>
      </c>
      <c r="D2368" t="s">
        <v>1433</v>
      </c>
      <c r="E2368" t="s">
        <v>134</v>
      </c>
      <c r="F2368" s="9" t="s">
        <v>134</v>
      </c>
      <c r="G2368" s="18">
        <v>217037</v>
      </c>
      <c r="H2368">
        <v>0</v>
      </c>
      <c r="I2368" s="29">
        <f t="shared" si="36"/>
        <v>217037</v>
      </c>
      <c r="J2368">
        <f>IFERROR(VLOOKUP(E2368,'LEAID Match'!$A$2:$B$168,2,FALSE),"")</f>
        <v>3305700</v>
      </c>
    </row>
    <row r="2369" spans="1:10">
      <c r="A2369">
        <v>2023</v>
      </c>
      <c r="B2369" t="s">
        <v>1429</v>
      </c>
      <c r="C2369" t="s">
        <v>1431</v>
      </c>
      <c r="D2369" t="s">
        <v>1433</v>
      </c>
      <c r="E2369" t="s">
        <v>134</v>
      </c>
      <c r="F2369" t="s">
        <v>134</v>
      </c>
      <c r="G2369" s="28">
        <v>223199</v>
      </c>
      <c r="H2369">
        <v>0</v>
      </c>
      <c r="I2369" s="29">
        <f t="shared" si="36"/>
        <v>223199</v>
      </c>
      <c r="J2369">
        <f>IFERROR(VLOOKUP(E2369,'LEAID Match'!$A$2:$B$168,2,FALSE),"")</f>
        <v>3305700</v>
      </c>
    </row>
    <row r="2370" spans="1:10">
      <c r="A2370">
        <v>2015</v>
      </c>
      <c r="B2370" t="s">
        <v>1429</v>
      </c>
      <c r="C2370" t="s">
        <v>1431</v>
      </c>
      <c r="D2370" t="s">
        <v>1433</v>
      </c>
      <c r="E2370" t="s">
        <v>785</v>
      </c>
      <c r="F2370" s="9" t="s">
        <v>1264</v>
      </c>
      <c r="G2370" s="18">
        <v>196605.37</v>
      </c>
      <c r="H2370">
        <v>0</v>
      </c>
      <c r="I2370" s="29">
        <f t="shared" si="36"/>
        <v>196605.37</v>
      </c>
      <c r="J2370" t="str">
        <f>IFERROR(VLOOKUP(E2370,'LEAID Match'!$A$2:$B$168,2,FALSE),"")</f>
        <v/>
      </c>
    </row>
    <row r="2371" spans="1:10">
      <c r="A2371">
        <v>2016</v>
      </c>
      <c r="B2371" t="s">
        <v>1429</v>
      </c>
      <c r="C2371" t="s">
        <v>1431</v>
      </c>
      <c r="D2371" t="s">
        <v>1433</v>
      </c>
      <c r="E2371" t="s">
        <v>785</v>
      </c>
      <c r="F2371" t="s">
        <v>785</v>
      </c>
      <c r="G2371" s="28">
        <v>228441</v>
      </c>
      <c r="H2371">
        <v>0</v>
      </c>
      <c r="I2371" s="29">
        <f t="shared" ref="I2371:I2434" si="37">SUM(G2371:H2371)</f>
        <v>228441</v>
      </c>
      <c r="J2371" t="str">
        <f>IFERROR(VLOOKUP(E2371,'LEAID Match'!$A$2:$B$168,2,FALSE),"")</f>
        <v/>
      </c>
    </row>
    <row r="2372" spans="1:10">
      <c r="A2372">
        <v>2017</v>
      </c>
      <c r="B2372" t="s">
        <v>1429</v>
      </c>
      <c r="C2372" t="s">
        <v>1431</v>
      </c>
      <c r="D2372" t="s">
        <v>1433</v>
      </c>
      <c r="E2372" t="s">
        <v>785</v>
      </c>
      <c r="F2372" t="s">
        <v>785</v>
      </c>
      <c r="G2372" s="28">
        <v>234622</v>
      </c>
      <c r="H2372">
        <v>0</v>
      </c>
      <c r="I2372" s="29">
        <f t="shared" si="37"/>
        <v>234622</v>
      </c>
      <c r="J2372" t="str">
        <f>IFERROR(VLOOKUP(E2372,'LEAID Match'!$A$2:$B$168,2,FALSE),"")</f>
        <v/>
      </c>
    </row>
    <row r="2373" spans="1:10">
      <c r="A2373" s="27">
        <v>2018</v>
      </c>
      <c r="B2373" t="s">
        <v>1429</v>
      </c>
      <c r="C2373" t="s">
        <v>1431</v>
      </c>
      <c r="D2373" t="s">
        <v>1433</v>
      </c>
      <c r="E2373" t="s">
        <v>785</v>
      </c>
      <c r="F2373" s="9" t="s">
        <v>785</v>
      </c>
      <c r="G2373" s="18">
        <v>226358</v>
      </c>
      <c r="H2373">
        <v>0</v>
      </c>
      <c r="I2373" s="29">
        <f t="shared" si="37"/>
        <v>226358</v>
      </c>
      <c r="J2373" t="str">
        <f>IFERROR(VLOOKUP(E2373,'LEAID Match'!$A$2:$B$168,2,FALSE),"")</f>
        <v/>
      </c>
    </row>
    <row r="2374" spans="1:10">
      <c r="A2374">
        <v>2019</v>
      </c>
      <c r="B2374" t="s">
        <v>1429</v>
      </c>
      <c r="C2374" t="s">
        <v>1431</v>
      </c>
      <c r="D2374" t="s">
        <v>1433</v>
      </c>
      <c r="E2374" t="s">
        <v>785</v>
      </c>
      <c r="F2374" s="9" t="s">
        <v>785</v>
      </c>
      <c r="G2374" s="18">
        <v>200562</v>
      </c>
      <c r="H2374">
        <v>0</v>
      </c>
      <c r="I2374" s="29">
        <f t="shared" si="37"/>
        <v>200562</v>
      </c>
      <c r="J2374" t="str">
        <f>IFERROR(VLOOKUP(E2374,'LEAID Match'!$A$2:$B$168,2,FALSE),"")</f>
        <v/>
      </c>
    </row>
    <row r="2375" spans="1:10">
      <c r="A2375">
        <v>2015</v>
      </c>
      <c r="B2375" t="s">
        <v>1429</v>
      </c>
      <c r="C2375" t="s">
        <v>1431</v>
      </c>
      <c r="D2375" t="s">
        <v>1433</v>
      </c>
      <c r="E2375" t="s">
        <v>135</v>
      </c>
      <c r="F2375" s="9" t="s">
        <v>1265</v>
      </c>
      <c r="G2375" s="18">
        <v>539150.02</v>
      </c>
      <c r="H2375">
        <v>0</v>
      </c>
      <c r="I2375" s="29">
        <f t="shared" si="37"/>
        <v>539150.02</v>
      </c>
      <c r="J2375">
        <f>IFERROR(VLOOKUP(E2375,'LEAID Match'!$A$2:$B$168,2,FALSE),"")</f>
        <v>3305730</v>
      </c>
    </row>
    <row r="2376" spans="1:10">
      <c r="A2376">
        <v>2016</v>
      </c>
      <c r="B2376" t="s">
        <v>1429</v>
      </c>
      <c r="C2376" t="s">
        <v>1431</v>
      </c>
      <c r="D2376" t="s">
        <v>1433</v>
      </c>
      <c r="E2376" t="s">
        <v>135</v>
      </c>
      <c r="F2376" t="s">
        <v>786</v>
      </c>
      <c r="G2376" s="28">
        <v>579551</v>
      </c>
      <c r="H2376">
        <v>0</v>
      </c>
      <c r="I2376" s="29">
        <f t="shared" si="37"/>
        <v>579551</v>
      </c>
      <c r="J2376">
        <f>IFERROR(VLOOKUP(E2376,'LEAID Match'!$A$2:$B$168,2,FALSE),"")</f>
        <v>3305730</v>
      </c>
    </row>
    <row r="2377" spans="1:10">
      <c r="A2377">
        <v>2017</v>
      </c>
      <c r="B2377" t="s">
        <v>1429</v>
      </c>
      <c r="C2377" t="s">
        <v>1431</v>
      </c>
      <c r="D2377" t="s">
        <v>1433</v>
      </c>
      <c r="E2377" t="s">
        <v>135</v>
      </c>
      <c r="F2377" t="s">
        <v>786</v>
      </c>
      <c r="G2377" s="28">
        <v>544995</v>
      </c>
      <c r="H2377">
        <v>0</v>
      </c>
      <c r="I2377" s="29">
        <f t="shared" si="37"/>
        <v>544995</v>
      </c>
      <c r="J2377">
        <f>IFERROR(VLOOKUP(E2377,'LEAID Match'!$A$2:$B$168,2,FALSE),"")</f>
        <v>3305730</v>
      </c>
    </row>
    <row r="2378" spans="1:10">
      <c r="A2378" s="27">
        <v>2018</v>
      </c>
      <c r="B2378" t="s">
        <v>1429</v>
      </c>
      <c r="C2378" t="s">
        <v>1431</v>
      </c>
      <c r="D2378" t="s">
        <v>1433</v>
      </c>
      <c r="E2378" t="s">
        <v>135</v>
      </c>
      <c r="F2378" s="9" t="s">
        <v>786</v>
      </c>
      <c r="G2378" s="18">
        <v>626470</v>
      </c>
      <c r="H2378">
        <v>0</v>
      </c>
      <c r="I2378" s="29">
        <f t="shared" si="37"/>
        <v>626470</v>
      </c>
      <c r="J2378">
        <f>IFERROR(VLOOKUP(E2378,'LEAID Match'!$A$2:$B$168,2,FALSE),"")</f>
        <v>3305730</v>
      </c>
    </row>
    <row r="2379" spans="1:10">
      <c r="A2379">
        <v>2019</v>
      </c>
      <c r="B2379" t="s">
        <v>1429</v>
      </c>
      <c r="C2379" t="s">
        <v>1431</v>
      </c>
      <c r="D2379" t="s">
        <v>1433</v>
      </c>
      <c r="E2379" t="s">
        <v>135</v>
      </c>
      <c r="F2379" s="9" t="s">
        <v>786</v>
      </c>
      <c r="G2379" s="18">
        <v>654660</v>
      </c>
      <c r="H2379">
        <v>0</v>
      </c>
      <c r="I2379" s="29">
        <f t="shared" si="37"/>
        <v>654660</v>
      </c>
      <c r="J2379">
        <f>IFERROR(VLOOKUP(E2379,'LEAID Match'!$A$2:$B$168,2,FALSE),"")</f>
        <v>3305730</v>
      </c>
    </row>
    <row r="2380" spans="1:10">
      <c r="A2380" s="27">
        <v>2020</v>
      </c>
      <c r="B2380" t="s">
        <v>1429</v>
      </c>
      <c r="C2380" t="s">
        <v>1431</v>
      </c>
      <c r="D2380" t="s">
        <v>1433</v>
      </c>
      <c r="E2380" t="s">
        <v>135</v>
      </c>
      <c r="F2380" s="9" t="s">
        <v>135</v>
      </c>
      <c r="G2380" s="18">
        <v>672368</v>
      </c>
      <c r="H2380">
        <v>0</v>
      </c>
      <c r="I2380" s="29">
        <f t="shared" si="37"/>
        <v>672368</v>
      </c>
      <c r="J2380">
        <f>IFERROR(VLOOKUP(E2380,'LEAID Match'!$A$2:$B$168,2,FALSE),"")</f>
        <v>3305730</v>
      </c>
    </row>
    <row r="2381" spans="1:10">
      <c r="A2381">
        <v>2021</v>
      </c>
      <c r="B2381" t="s">
        <v>1429</v>
      </c>
      <c r="C2381" t="s">
        <v>1431</v>
      </c>
      <c r="D2381" t="s">
        <v>1433</v>
      </c>
      <c r="E2381" t="s">
        <v>135</v>
      </c>
      <c r="F2381" s="9" t="s">
        <v>135</v>
      </c>
      <c r="G2381" s="18">
        <v>733117</v>
      </c>
      <c r="H2381">
        <v>0</v>
      </c>
      <c r="I2381" s="29">
        <f t="shared" si="37"/>
        <v>733117</v>
      </c>
      <c r="J2381">
        <f>IFERROR(VLOOKUP(E2381,'LEAID Match'!$A$2:$B$168,2,FALSE),"")</f>
        <v>3305730</v>
      </c>
    </row>
    <row r="2382" spans="1:10">
      <c r="A2382">
        <v>2022</v>
      </c>
      <c r="B2382" t="s">
        <v>1429</v>
      </c>
      <c r="C2382" t="s">
        <v>1431</v>
      </c>
      <c r="D2382" t="s">
        <v>1433</v>
      </c>
      <c r="E2382" t="s">
        <v>135</v>
      </c>
      <c r="F2382" s="9" t="s">
        <v>135</v>
      </c>
      <c r="G2382" s="18">
        <v>903370</v>
      </c>
      <c r="H2382">
        <v>0</v>
      </c>
      <c r="I2382" s="29">
        <f t="shared" si="37"/>
        <v>903370</v>
      </c>
      <c r="J2382">
        <f>IFERROR(VLOOKUP(E2382,'LEAID Match'!$A$2:$B$168,2,FALSE),"")</f>
        <v>3305730</v>
      </c>
    </row>
    <row r="2383" spans="1:10">
      <c r="A2383">
        <v>2023</v>
      </c>
      <c r="B2383" t="s">
        <v>1429</v>
      </c>
      <c r="C2383" t="s">
        <v>1431</v>
      </c>
      <c r="D2383" t="s">
        <v>1433</v>
      </c>
      <c r="E2383" t="s">
        <v>135</v>
      </c>
      <c r="F2383" t="s">
        <v>135</v>
      </c>
      <c r="G2383" s="28">
        <v>924121</v>
      </c>
      <c r="H2383">
        <v>0</v>
      </c>
      <c r="I2383" s="29">
        <f t="shared" si="37"/>
        <v>924121</v>
      </c>
      <c r="J2383">
        <f>IFERROR(VLOOKUP(E2383,'LEAID Match'!$A$2:$B$168,2,FALSE),"")</f>
        <v>3305730</v>
      </c>
    </row>
    <row r="2384" spans="1:10">
      <c r="A2384">
        <v>2015</v>
      </c>
      <c r="B2384" t="s">
        <v>1429</v>
      </c>
      <c r="C2384" t="s">
        <v>1431</v>
      </c>
      <c r="D2384" t="s">
        <v>1433</v>
      </c>
      <c r="E2384" t="s">
        <v>787</v>
      </c>
      <c r="F2384" s="9" t="s">
        <v>1266</v>
      </c>
      <c r="G2384" s="18">
        <v>77563.94</v>
      </c>
      <c r="H2384">
        <v>0</v>
      </c>
      <c r="I2384" s="29">
        <f t="shared" si="37"/>
        <v>77563.94</v>
      </c>
      <c r="J2384" t="str">
        <f>IFERROR(VLOOKUP(E2384,'LEAID Match'!$A$2:$B$168,2,FALSE),"")</f>
        <v/>
      </c>
    </row>
    <row r="2385" spans="1:10">
      <c r="A2385">
        <v>2016</v>
      </c>
      <c r="B2385" t="s">
        <v>1429</v>
      </c>
      <c r="C2385" t="s">
        <v>1431</v>
      </c>
      <c r="D2385" t="s">
        <v>1433</v>
      </c>
      <c r="E2385" t="s">
        <v>787</v>
      </c>
      <c r="F2385" t="s">
        <v>787</v>
      </c>
      <c r="G2385" s="28">
        <v>78802</v>
      </c>
      <c r="H2385">
        <v>0</v>
      </c>
      <c r="I2385" s="29">
        <f t="shared" si="37"/>
        <v>78802</v>
      </c>
      <c r="J2385" t="str">
        <f>IFERROR(VLOOKUP(E2385,'LEAID Match'!$A$2:$B$168,2,FALSE),"")</f>
        <v/>
      </c>
    </row>
    <row r="2386" spans="1:10">
      <c r="A2386">
        <v>2017</v>
      </c>
      <c r="B2386" t="s">
        <v>1429</v>
      </c>
      <c r="C2386" t="s">
        <v>1431</v>
      </c>
      <c r="D2386" t="s">
        <v>1433</v>
      </c>
      <c r="E2386" t="s">
        <v>787</v>
      </c>
      <c r="F2386" t="s">
        <v>787</v>
      </c>
      <c r="G2386" s="28">
        <v>93374</v>
      </c>
      <c r="H2386">
        <v>0</v>
      </c>
      <c r="I2386" s="29">
        <f t="shared" si="37"/>
        <v>93374</v>
      </c>
      <c r="J2386" t="str">
        <f>IFERROR(VLOOKUP(E2386,'LEAID Match'!$A$2:$B$168,2,FALSE),"")</f>
        <v/>
      </c>
    </row>
    <row r="2387" spans="1:10">
      <c r="A2387" s="27">
        <v>2018</v>
      </c>
      <c r="B2387" t="s">
        <v>1429</v>
      </c>
      <c r="C2387" t="s">
        <v>1431</v>
      </c>
      <c r="D2387" t="s">
        <v>1433</v>
      </c>
      <c r="E2387" t="s">
        <v>787</v>
      </c>
      <c r="F2387" s="9" t="s">
        <v>787</v>
      </c>
      <c r="G2387" s="18">
        <v>105151</v>
      </c>
      <c r="H2387">
        <v>0</v>
      </c>
      <c r="I2387" s="29">
        <f t="shared" si="37"/>
        <v>105151</v>
      </c>
      <c r="J2387" t="str">
        <f>IFERROR(VLOOKUP(E2387,'LEAID Match'!$A$2:$B$168,2,FALSE),"")</f>
        <v/>
      </c>
    </row>
    <row r="2388" spans="1:10">
      <c r="A2388">
        <v>2019</v>
      </c>
      <c r="B2388" t="s">
        <v>1429</v>
      </c>
      <c r="C2388" t="s">
        <v>1431</v>
      </c>
      <c r="D2388" t="s">
        <v>1433</v>
      </c>
      <c r="E2388" t="s">
        <v>787</v>
      </c>
      <c r="F2388" s="9" t="s">
        <v>787</v>
      </c>
      <c r="G2388" s="18">
        <v>106514</v>
      </c>
      <c r="H2388">
        <v>0</v>
      </c>
      <c r="I2388" s="29">
        <f t="shared" si="37"/>
        <v>106514</v>
      </c>
      <c r="J2388" t="str">
        <f>IFERROR(VLOOKUP(E2388,'LEAID Match'!$A$2:$B$168,2,FALSE),"")</f>
        <v/>
      </c>
    </row>
    <row r="2389" spans="1:10">
      <c r="A2389">
        <v>2015</v>
      </c>
      <c r="B2389" t="s">
        <v>1429</v>
      </c>
      <c r="C2389" t="s">
        <v>1431</v>
      </c>
      <c r="D2389" t="s">
        <v>1433</v>
      </c>
      <c r="E2389" t="s">
        <v>136</v>
      </c>
      <c r="F2389" s="9" t="s">
        <v>1267</v>
      </c>
      <c r="G2389" s="18">
        <v>227089.81</v>
      </c>
      <c r="H2389">
        <v>0</v>
      </c>
      <c r="I2389" s="29">
        <f t="shared" si="37"/>
        <v>227089.81</v>
      </c>
      <c r="J2389">
        <f>IFERROR(VLOOKUP(E2389,'LEAID Match'!$A$2:$B$168,2,FALSE),"")</f>
        <v>3305760</v>
      </c>
    </row>
    <row r="2390" spans="1:10">
      <c r="A2390">
        <v>2016</v>
      </c>
      <c r="B2390" t="s">
        <v>1429</v>
      </c>
      <c r="C2390" t="s">
        <v>1431</v>
      </c>
      <c r="D2390" t="s">
        <v>1433</v>
      </c>
      <c r="E2390" t="s">
        <v>136</v>
      </c>
      <c r="F2390" t="s">
        <v>788</v>
      </c>
      <c r="G2390" s="28">
        <v>232191</v>
      </c>
      <c r="H2390">
        <v>0</v>
      </c>
      <c r="I2390" s="29">
        <f t="shared" si="37"/>
        <v>232191</v>
      </c>
      <c r="J2390">
        <f>IFERROR(VLOOKUP(E2390,'LEAID Match'!$A$2:$B$168,2,FALSE),"")</f>
        <v>3305760</v>
      </c>
    </row>
    <row r="2391" spans="1:10">
      <c r="A2391">
        <v>2017</v>
      </c>
      <c r="B2391" t="s">
        <v>1429</v>
      </c>
      <c r="C2391" t="s">
        <v>1431</v>
      </c>
      <c r="D2391" t="s">
        <v>1433</v>
      </c>
      <c r="E2391" t="s">
        <v>136</v>
      </c>
      <c r="F2391" t="s">
        <v>788</v>
      </c>
      <c r="G2391" s="28">
        <v>223946</v>
      </c>
      <c r="H2391">
        <v>0</v>
      </c>
      <c r="I2391" s="29">
        <f t="shared" si="37"/>
        <v>223946</v>
      </c>
      <c r="J2391">
        <f>IFERROR(VLOOKUP(E2391,'LEAID Match'!$A$2:$B$168,2,FALSE),"")</f>
        <v>3305760</v>
      </c>
    </row>
    <row r="2392" spans="1:10">
      <c r="A2392" s="27">
        <v>2018</v>
      </c>
      <c r="B2392" t="s">
        <v>1429</v>
      </c>
      <c r="C2392" t="s">
        <v>1431</v>
      </c>
      <c r="D2392" t="s">
        <v>1433</v>
      </c>
      <c r="E2392" t="s">
        <v>136</v>
      </c>
      <c r="F2392" s="9" t="s">
        <v>788</v>
      </c>
      <c r="G2392" s="18">
        <v>284318</v>
      </c>
      <c r="H2392">
        <v>0</v>
      </c>
      <c r="I2392" s="29">
        <f t="shared" si="37"/>
        <v>284318</v>
      </c>
      <c r="J2392">
        <f>IFERROR(VLOOKUP(E2392,'LEAID Match'!$A$2:$B$168,2,FALSE),"")</f>
        <v>3305760</v>
      </c>
    </row>
    <row r="2393" spans="1:10">
      <c r="A2393">
        <v>2019</v>
      </c>
      <c r="B2393" t="s">
        <v>1429</v>
      </c>
      <c r="C2393" t="s">
        <v>1431</v>
      </c>
      <c r="D2393" t="s">
        <v>1433</v>
      </c>
      <c r="E2393" t="s">
        <v>136</v>
      </c>
      <c r="F2393" s="9" t="s">
        <v>788</v>
      </c>
      <c r="G2393" s="18">
        <v>299463</v>
      </c>
      <c r="H2393">
        <v>0</v>
      </c>
      <c r="I2393" s="29">
        <f t="shared" si="37"/>
        <v>299463</v>
      </c>
      <c r="J2393">
        <f>IFERROR(VLOOKUP(E2393,'LEAID Match'!$A$2:$B$168,2,FALSE),"")</f>
        <v>3305760</v>
      </c>
    </row>
    <row r="2394" spans="1:10">
      <c r="A2394" s="27">
        <v>2020</v>
      </c>
      <c r="B2394" t="s">
        <v>1429</v>
      </c>
      <c r="C2394" t="s">
        <v>1431</v>
      </c>
      <c r="D2394" t="s">
        <v>1433</v>
      </c>
      <c r="E2394" t="s">
        <v>136</v>
      </c>
      <c r="F2394" s="9" t="s">
        <v>136</v>
      </c>
      <c r="G2394" s="18">
        <v>326215</v>
      </c>
      <c r="H2394">
        <v>0</v>
      </c>
      <c r="I2394" s="29">
        <f t="shared" si="37"/>
        <v>326215</v>
      </c>
      <c r="J2394">
        <f>IFERROR(VLOOKUP(E2394,'LEAID Match'!$A$2:$B$168,2,FALSE),"")</f>
        <v>3305760</v>
      </c>
    </row>
    <row r="2395" spans="1:10">
      <c r="A2395">
        <v>2021</v>
      </c>
      <c r="B2395" t="s">
        <v>1429</v>
      </c>
      <c r="C2395" t="s">
        <v>1431</v>
      </c>
      <c r="D2395" t="s">
        <v>1433</v>
      </c>
      <c r="E2395" t="s">
        <v>136</v>
      </c>
      <c r="F2395" s="9" t="s">
        <v>136</v>
      </c>
      <c r="G2395" s="18">
        <v>358614</v>
      </c>
      <c r="H2395">
        <v>0</v>
      </c>
      <c r="I2395" s="29">
        <f t="shared" si="37"/>
        <v>358614</v>
      </c>
      <c r="J2395">
        <f>IFERROR(VLOOKUP(E2395,'LEAID Match'!$A$2:$B$168,2,FALSE),"")</f>
        <v>3305760</v>
      </c>
    </row>
    <row r="2396" spans="1:10">
      <c r="A2396">
        <v>2022</v>
      </c>
      <c r="B2396" t="s">
        <v>1429</v>
      </c>
      <c r="C2396" t="s">
        <v>1431</v>
      </c>
      <c r="D2396" t="s">
        <v>1433</v>
      </c>
      <c r="E2396" t="s">
        <v>136</v>
      </c>
      <c r="F2396" s="9" t="s">
        <v>136</v>
      </c>
      <c r="G2396" s="18">
        <v>419441</v>
      </c>
      <c r="H2396">
        <v>0</v>
      </c>
      <c r="I2396" s="29">
        <f t="shared" si="37"/>
        <v>419441</v>
      </c>
      <c r="J2396">
        <f>IFERROR(VLOOKUP(E2396,'LEAID Match'!$A$2:$B$168,2,FALSE),"")</f>
        <v>3305760</v>
      </c>
    </row>
    <row r="2397" spans="1:10">
      <c r="A2397">
        <v>2023</v>
      </c>
      <c r="B2397" t="s">
        <v>1429</v>
      </c>
      <c r="C2397" t="s">
        <v>1431</v>
      </c>
      <c r="D2397" t="s">
        <v>1433</v>
      </c>
      <c r="E2397" t="s">
        <v>136</v>
      </c>
      <c r="F2397" t="s">
        <v>136</v>
      </c>
      <c r="G2397" s="28">
        <v>441693</v>
      </c>
      <c r="H2397">
        <v>0</v>
      </c>
      <c r="I2397" s="29">
        <f t="shared" si="37"/>
        <v>441693</v>
      </c>
      <c r="J2397">
        <f>IFERROR(VLOOKUP(E2397,'LEAID Match'!$A$2:$B$168,2,FALSE),"")</f>
        <v>3305760</v>
      </c>
    </row>
    <row r="2398" spans="1:10">
      <c r="A2398">
        <v>2015</v>
      </c>
      <c r="B2398" t="s">
        <v>1429</v>
      </c>
      <c r="C2398" t="s">
        <v>1431</v>
      </c>
      <c r="D2398" t="s">
        <v>1433</v>
      </c>
      <c r="E2398" t="s">
        <v>789</v>
      </c>
      <c r="F2398" s="9" t="s">
        <v>1268</v>
      </c>
      <c r="G2398" s="18">
        <v>418549.76000000001</v>
      </c>
      <c r="H2398">
        <v>0</v>
      </c>
      <c r="I2398" s="29">
        <f t="shared" si="37"/>
        <v>418549.76000000001</v>
      </c>
      <c r="J2398" t="str">
        <f>IFERROR(VLOOKUP(E2398,'LEAID Match'!$A$2:$B$168,2,FALSE),"")</f>
        <v/>
      </c>
    </row>
    <row r="2399" spans="1:10">
      <c r="A2399">
        <v>2016</v>
      </c>
      <c r="B2399" t="s">
        <v>1429</v>
      </c>
      <c r="C2399" t="s">
        <v>1431</v>
      </c>
      <c r="D2399" t="s">
        <v>1433</v>
      </c>
      <c r="E2399" t="s">
        <v>789</v>
      </c>
      <c r="F2399" t="s">
        <v>789</v>
      </c>
      <c r="G2399" s="28">
        <v>470575</v>
      </c>
      <c r="H2399">
        <v>0</v>
      </c>
      <c r="I2399" s="29">
        <f t="shared" si="37"/>
        <v>470575</v>
      </c>
      <c r="J2399" t="str">
        <f>IFERROR(VLOOKUP(E2399,'LEAID Match'!$A$2:$B$168,2,FALSE),"")</f>
        <v/>
      </c>
    </row>
    <row r="2400" spans="1:10">
      <c r="A2400">
        <v>2017</v>
      </c>
      <c r="B2400" t="s">
        <v>1429</v>
      </c>
      <c r="C2400" t="s">
        <v>1431</v>
      </c>
      <c r="D2400" t="s">
        <v>1433</v>
      </c>
      <c r="E2400" t="s">
        <v>789</v>
      </c>
      <c r="F2400" t="s">
        <v>789</v>
      </c>
      <c r="G2400" s="28">
        <v>485747</v>
      </c>
      <c r="H2400">
        <v>0</v>
      </c>
      <c r="I2400" s="29">
        <f t="shared" si="37"/>
        <v>485747</v>
      </c>
      <c r="J2400" t="str">
        <f>IFERROR(VLOOKUP(E2400,'LEAID Match'!$A$2:$B$168,2,FALSE),"")</f>
        <v/>
      </c>
    </row>
    <row r="2401" spans="1:10">
      <c r="A2401" s="27">
        <v>2018</v>
      </c>
      <c r="B2401" t="s">
        <v>1429</v>
      </c>
      <c r="C2401" t="s">
        <v>1431</v>
      </c>
      <c r="D2401" t="s">
        <v>1433</v>
      </c>
      <c r="E2401" t="s">
        <v>789</v>
      </c>
      <c r="F2401" s="9" t="s">
        <v>789</v>
      </c>
      <c r="G2401" s="18">
        <v>544831</v>
      </c>
      <c r="H2401">
        <v>0</v>
      </c>
      <c r="I2401" s="29">
        <f t="shared" si="37"/>
        <v>544831</v>
      </c>
      <c r="J2401" t="str">
        <f>IFERROR(VLOOKUP(E2401,'LEAID Match'!$A$2:$B$168,2,FALSE),"")</f>
        <v/>
      </c>
    </row>
    <row r="2402" spans="1:10">
      <c r="A2402">
        <v>2019</v>
      </c>
      <c r="B2402" t="s">
        <v>1429</v>
      </c>
      <c r="C2402" t="s">
        <v>1431</v>
      </c>
      <c r="D2402" t="s">
        <v>1433</v>
      </c>
      <c r="E2402" t="s">
        <v>789</v>
      </c>
      <c r="F2402" s="9" t="s">
        <v>789</v>
      </c>
      <c r="G2402" s="18">
        <v>533430</v>
      </c>
      <c r="H2402">
        <v>0</v>
      </c>
      <c r="I2402" s="29">
        <f t="shared" si="37"/>
        <v>533430</v>
      </c>
      <c r="J2402" t="str">
        <f>IFERROR(VLOOKUP(E2402,'LEAID Match'!$A$2:$B$168,2,FALSE),"")</f>
        <v/>
      </c>
    </row>
    <row r="2403" spans="1:10">
      <c r="A2403">
        <v>2015</v>
      </c>
      <c r="B2403" t="s">
        <v>1429</v>
      </c>
      <c r="C2403" t="s">
        <v>1431</v>
      </c>
      <c r="D2403" t="s">
        <v>1433</v>
      </c>
      <c r="E2403" t="s">
        <v>137</v>
      </c>
      <c r="F2403" s="9" t="s">
        <v>1269</v>
      </c>
      <c r="G2403" s="18">
        <v>11511.45</v>
      </c>
      <c r="H2403">
        <v>0</v>
      </c>
      <c r="I2403" s="29">
        <f t="shared" si="37"/>
        <v>11511.45</v>
      </c>
      <c r="J2403" t="str">
        <f>IFERROR(VLOOKUP(E2403,'LEAID Match'!$A$2:$B$168,2,FALSE),"")</f>
        <v/>
      </c>
    </row>
    <row r="2404" spans="1:10">
      <c r="A2404">
        <v>2016</v>
      </c>
      <c r="B2404" t="s">
        <v>1429</v>
      </c>
      <c r="C2404" t="s">
        <v>1431</v>
      </c>
      <c r="D2404" t="s">
        <v>1433</v>
      </c>
      <c r="E2404" t="s">
        <v>137</v>
      </c>
      <c r="F2404" t="s">
        <v>790</v>
      </c>
      <c r="G2404" s="28">
        <v>12696</v>
      </c>
      <c r="H2404">
        <v>0</v>
      </c>
      <c r="I2404" s="29">
        <f t="shared" si="37"/>
        <v>12696</v>
      </c>
      <c r="J2404" t="str">
        <f>IFERROR(VLOOKUP(E2404,'LEAID Match'!$A$2:$B$168,2,FALSE),"")</f>
        <v/>
      </c>
    </row>
    <row r="2405" spans="1:10">
      <c r="A2405">
        <v>2017</v>
      </c>
      <c r="B2405" t="s">
        <v>1429</v>
      </c>
      <c r="C2405" t="s">
        <v>1431</v>
      </c>
      <c r="D2405" t="s">
        <v>1433</v>
      </c>
      <c r="E2405" t="s">
        <v>137</v>
      </c>
      <c r="F2405" t="s">
        <v>790</v>
      </c>
      <c r="G2405" s="28">
        <v>12825</v>
      </c>
      <c r="H2405">
        <v>0</v>
      </c>
      <c r="I2405" s="29">
        <f t="shared" si="37"/>
        <v>12825</v>
      </c>
      <c r="J2405" t="str">
        <f>IFERROR(VLOOKUP(E2405,'LEAID Match'!$A$2:$B$168,2,FALSE),"")</f>
        <v/>
      </c>
    </row>
    <row r="2406" spans="1:10">
      <c r="A2406" s="27">
        <v>2018</v>
      </c>
      <c r="B2406" t="s">
        <v>1429</v>
      </c>
      <c r="C2406" t="s">
        <v>1431</v>
      </c>
      <c r="D2406" t="s">
        <v>1433</v>
      </c>
      <c r="E2406" t="s">
        <v>137</v>
      </c>
      <c r="F2406" s="9" t="s">
        <v>790</v>
      </c>
      <c r="G2406" s="18">
        <v>15821</v>
      </c>
      <c r="H2406">
        <v>0</v>
      </c>
      <c r="I2406" s="29">
        <f t="shared" si="37"/>
        <v>15821</v>
      </c>
      <c r="J2406" t="str">
        <f>IFERROR(VLOOKUP(E2406,'LEAID Match'!$A$2:$B$168,2,FALSE),"")</f>
        <v/>
      </c>
    </row>
    <row r="2407" spans="1:10">
      <c r="A2407">
        <v>2019</v>
      </c>
      <c r="B2407" t="s">
        <v>1429</v>
      </c>
      <c r="C2407" t="s">
        <v>1431</v>
      </c>
      <c r="D2407" t="s">
        <v>1433</v>
      </c>
      <c r="E2407" t="s">
        <v>137</v>
      </c>
      <c r="F2407" s="9" t="s">
        <v>790</v>
      </c>
      <c r="G2407" s="18">
        <v>19569</v>
      </c>
      <c r="H2407">
        <v>0</v>
      </c>
      <c r="I2407" s="29">
        <f t="shared" si="37"/>
        <v>19569</v>
      </c>
      <c r="J2407" t="str">
        <f>IFERROR(VLOOKUP(E2407,'LEAID Match'!$A$2:$B$168,2,FALSE),"")</f>
        <v/>
      </c>
    </row>
    <row r="2408" spans="1:10">
      <c r="A2408" s="27">
        <v>2020</v>
      </c>
      <c r="B2408" t="s">
        <v>1429</v>
      </c>
      <c r="C2408" t="s">
        <v>1431</v>
      </c>
      <c r="D2408" t="s">
        <v>1433</v>
      </c>
      <c r="E2408" t="s">
        <v>137</v>
      </c>
      <c r="F2408" s="9" t="s">
        <v>137</v>
      </c>
      <c r="G2408" s="18">
        <v>19471</v>
      </c>
      <c r="H2408">
        <v>0</v>
      </c>
      <c r="I2408" s="29">
        <f t="shared" si="37"/>
        <v>19471</v>
      </c>
      <c r="J2408" t="str">
        <f>IFERROR(VLOOKUP(E2408,'LEAID Match'!$A$2:$B$168,2,FALSE),"")</f>
        <v/>
      </c>
    </row>
    <row r="2409" spans="1:10">
      <c r="A2409">
        <v>2021</v>
      </c>
      <c r="B2409" t="s">
        <v>1429</v>
      </c>
      <c r="C2409" t="s">
        <v>1431</v>
      </c>
      <c r="D2409" t="s">
        <v>1433</v>
      </c>
      <c r="E2409" t="s">
        <v>137</v>
      </c>
      <c r="F2409" s="9" t="s">
        <v>137</v>
      </c>
      <c r="G2409" s="18">
        <v>19831</v>
      </c>
      <c r="H2409">
        <v>0</v>
      </c>
      <c r="I2409" s="29">
        <f t="shared" si="37"/>
        <v>19831</v>
      </c>
      <c r="J2409" t="str">
        <f>IFERROR(VLOOKUP(E2409,'LEAID Match'!$A$2:$B$168,2,FALSE),"")</f>
        <v/>
      </c>
    </row>
    <row r="2410" spans="1:10">
      <c r="A2410">
        <v>2022</v>
      </c>
      <c r="B2410" t="s">
        <v>1429</v>
      </c>
      <c r="C2410" t="s">
        <v>1431</v>
      </c>
      <c r="D2410" t="s">
        <v>1433</v>
      </c>
      <c r="E2410" t="s">
        <v>137</v>
      </c>
      <c r="F2410" s="9" t="s">
        <v>137</v>
      </c>
      <c r="G2410" s="18">
        <v>23889</v>
      </c>
      <c r="H2410">
        <v>0</v>
      </c>
      <c r="I2410" s="29">
        <f t="shared" si="37"/>
        <v>23889</v>
      </c>
      <c r="J2410" t="str">
        <f>IFERROR(VLOOKUP(E2410,'LEAID Match'!$A$2:$B$168,2,FALSE),"")</f>
        <v/>
      </c>
    </row>
    <row r="2411" spans="1:10">
      <c r="A2411">
        <v>2023</v>
      </c>
      <c r="B2411" t="s">
        <v>1429</v>
      </c>
      <c r="C2411" t="s">
        <v>1431</v>
      </c>
      <c r="D2411" t="s">
        <v>1433</v>
      </c>
      <c r="E2411" t="s">
        <v>137</v>
      </c>
      <c r="F2411" t="s">
        <v>137</v>
      </c>
      <c r="G2411" s="28">
        <v>25928</v>
      </c>
      <c r="H2411">
        <v>0</v>
      </c>
      <c r="I2411" s="29">
        <f t="shared" si="37"/>
        <v>25928</v>
      </c>
      <c r="J2411" t="str">
        <f>IFERROR(VLOOKUP(E2411,'LEAID Match'!$A$2:$B$168,2,FALSE),"")</f>
        <v/>
      </c>
    </row>
    <row r="2412" spans="1:10">
      <c r="A2412">
        <v>2015</v>
      </c>
      <c r="B2412" t="s">
        <v>1429</v>
      </c>
      <c r="C2412" t="s">
        <v>1431</v>
      </c>
      <c r="D2412" t="s">
        <v>1433</v>
      </c>
      <c r="E2412" t="s">
        <v>791</v>
      </c>
      <c r="F2412" s="9" t="s">
        <v>1270</v>
      </c>
      <c r="G2412" s="18">
        <v>445046.98</v>
      </c>
      <c r="H2412">
        <v>0</v>
      </c>
      <c r="I2412" s="29">
        <f t="shared" si="37"/>
        <v>445046.98</v>
      </c>
      <c r="J2412" t="str">
        <f>IFERROR(VLOOKUP(E2412,'LEAID Match'!$A$2:$B$168,2,FALSE),"")</f>
        <v/>
      </c>
    </row>
    <row r="2413" spans="1:10">
      <c r="A2413">
        <v>2016</v>
      </c>
      <c r="B2413" t="s">
        <v>1429</v>
      </c>
      <c r="C2413" t="s">
        <v>1431</v>
      </c>
      <c r="D2413" t="s">
        <v>1433</v>
      </c>
      <c r="E2413" t="s">
        <v>791</v>
      </c>
      <c r="F2413" t="s">
        <v>791</v>
      </c>
      <c r="G2413" s="28">
        <v>507172</v>
      </c>
      <c r="H2413">
        <v>0</v>
      </c>
      <c r="I2413" s="29">
        <f t="shared" si="37"/>
        <v>507172</v>
      </c>
      <c r="J2413" t="str">
        <f>IFERROR(VLOOKUP(E2413,'LEAID Match'!$A$2:$B$168,2,FALSE),"")</f>
        <v/>
      </c>
    </row>
    <row r="2414" spans="1:10">
      <c r="A2414">
        <v>2017</v>
      </c>
      <c r="B2414" t="s">
        <v>1429</v>
      </c>
      <c r="C2414" t="s">
        <v>1431</v>
      </c>
      <c r="D2414" t="s">
        <v>1433</v>
      </c>
      <c r="E2414" t="s">
        <v>791</v>
      </c>
      <c r="F2414" t="s">
        <v>791</v>
      </c>
      <c r="G2414" s="28">
        <v>544327</v>
      </c>
      <c r="H2414">
        <v>0</v>
      </c>
      <c r="I2414" s="29">
        <f t="shared" si="37"/>
        <v>544327</v>
      </c>
      <c r="J2414" t="str">
        <f>IFERROR(VLOOKUP(E2414,'LEAID Match'!$A$2:$B$168,2,FALSE),"")</f>
        <v/>
      </c>
    </row>
    <row r="2415" spans="1:10">
      <c r="A2415" s="27">
        <v>2018</v>
      </c>
      <c r="B2415" t="s">
        <v>1429</v>
      </c>
      <c r="C2415" t="s">
        <v>1431</v>
      </c>
      <c r="D2415" t="s">
        <v>1433</v>
      </c>
      <c r="E2415" t="s">
        <v>791</v>
      </c>
      <c r="F2415" s="9" t="s">
        <v>791</v>
      </c>
      <c r="G2415" s="18">
        <v>595363</v>
      </c>
      <c r="H2415">
        <v>0</v>
      </c>
      <c r="I2415" s="29">
        <f t="shared" si="37"/>
        <v>595363</v>
      </c>
      <c r="J2415" t="str">
        <f>IFERROR(VLOOKUP(E2415,'LEAID Match'!$A$2:$B$168,2,FALSE),"")</f>
        <v/>
      </c>
    </row>
    <row r="2416" spans="1:10">
      <c r="A2416">
        <v>2019</v>
      </c>
      <c r="B2416" t="s">
        <v>1429</v>
      </c>
      <c r="C2416" t="s">
        <v>1431</v>
      </c>
      <c r="D2416" t="s">
        <v>1433</v>
      </c>
      <c r="E2416" t="s">
        <v>791</v>
      </c>
      <c r="F2416" s="9" t="s">
        <v>791</v>
      </c>
      <c r="G2416" s="18">
        <v>634926</v>
      </c>
      <c r="H2416">
        <v>0</v>
      </c>
      <c r="I2416" s="29">
        <f t="shared" si="37"/>
        <v>634926</v>
      </c>
      <c r="J2416" t="str">
        <f>IFERROR(VLOOKUP(E2416,'LEAID Match'!$A$2:$B$168,2,FALSE),"")</f>
        <v/>
      </c>
    </row>
    <row r="2417" spans="1:10">
      <c r="A2417">
        <v>2015</v>
      </c>
      <c r="B2417" t="s">
        <v>1429</v>
      </c>
      <c r="C2417" t="s">
        <v>1431</v>
      </c>
      <c r="D2417" t="s">
        <v>1433</v>
      </c>
      <c r="E2417" t="s">
        <v>138</v>
      </c>
      <c r="F2417" s="9" t="s">
        <v>1271</v>
      </c>
      <c r="G2417" s="18">
        <v>433260.69</v>
      </c>
      <c r="H2417">
        <v>0</v>
      </c>
      <c r="I2417" s="29">
        <f t="shared" si="37"/>
        <v>433260.69</v>
      </c>
      <c r="J2417">
        <f>IFERROR(VLOOKUP(E2417,'LEAID Match'!$A$2:$B$168,2,FALSE),"")</f>
        <v>3305790</v>
      </c>
    </row>
    <row r="2418" spans="1:10">
      <c r="A2418">
        <v>2016</v>
      </c>
      <c r="B2418" t="s">
        <v>1429</v>
      </c>
      <c r="C2418" t="s">
        <v>1431</v>
      </c>
      <c r="D2418" t="s">
        <v>1433</v>
      </c>
      <c r="E2418" t="s">
        <v>138</v>
      </c>
      <c r="F2418" t="s">
        <v>792</v>
      </c>
      <c r="G2418" s="28">
        <v>480087</v>
      </c>
      <c r="H2418">
        <v>0</v>
      </c>
      <c r="I2418" s="29">
        <f t="shared" si="37"/>
        <v>480087</v>
      </c>
      <c r="J2418">
        <f>IFERROR(VLOOKUP(E2418,'LEAID Match'!$A$2:$B$168,2,FALSE),"")</f>
        <v>3305790</v>
      </c>
    </row>
    <row r="2419" spans="1:10">
      <c r="A2419">
        <v>2017</v>
      </c>
      <c r="B2419" t="s">
        <v>1429</v>
      </c>
      <c r="C2419" t="s">
        <v>1431</v>
      </c>
      <c r="D2419" t="s">
        <v>1433</v>
      </c>
      <c r="E2419" t="s">
        <v>138</v>
      </c>
      <c r="F2419" t="s">
        <v>792</v>
      </c>
      <c r="G2419" s="28">
        <v>497095</v>
      </c>
      <c r="H2419">
        <v>0</v>
      </c>
      <c r="I2419" s="29">
        <f t="shared" si="37"/>
        <v>497095</v>
      </c>
      <c r="J2419">
        <f>IFERROR(VLOOKUP(E2419,'LEAID Match'!$A$2:$B$168,2,FALSE),"")</f>
        <v>3305790</v>
      </c>
    </row>
    <row r="2420" spans="1:10">
      <c r="A2420" s="27">
        <v>2018</v>
      </c>
      <c r="B2420" t="s">
        <v>1429</v>
      </c>
      <c r="C2420" t="s">
        <v>1431</v>
      </c>
      <c r="D2420" t="s">
        <v>1433</v>
      </c>
      <c r="E2420" t="s">
        <v>138</v>
      </c>
      <c r="F2420" s="9" t="s">
        <v>792</v>
      </c>
      <c r="G2420" s="18">
        <v>590068</v>
      </c>
      <c r="H2420">
        <v>0</v>
      </c>
      <c r="I2420" s="29">
        <f t="shared" si="37"/>
        <v>590068</v>
      </c>
      <c r="J2420">
        <f>IFERROR(VLOOKUP(E2420,'LEAID Match'!$A$2:$B$168,2,FALSE),"")</f>
        <v>3305790</v>
      </c>
    </row>
    <row r="2421" spans="1:10">
      <c r="A2421">
        <v>2019</v>
      </c>
      <c r="B2421" t="s">
        <v>1429</v>
      </c>
      <c r="C2421" t="s">
        <v>1431</v>
      </c>
      <c r="D2421" t="s">
        <v>1433</v>
      </c>
      <c r="E2421" t="s">
        <v>138</v>
      </c>
      <c r="F2421" s="9" t="s">
        <v>792</v>
      </c>
      <c r="G2421" s="18">
        <v>572721</v>
      </c>
      <c r="H2421">
        <v>0</v>
      </c>
      <c r="I2421" s="29">
        <f t="shared" si="37"/>
        <v>572721</v>
      </c>
      <c r="J2421">
        <f>IFERROR(VLOOKUP(E2421,'LEAID Match'!$A$2:$B$168,2,FALSE),"")</f>
        <v>3305790</v>
      </c>
    </row>
    <row r="2422" spans="1:10">
      <c r="A2422" s="27">
        <v>2020</v>
      </c>
      <c r="B2422" t="s">
        <v>1429</v>
      </c>
      <c r="C2422" t="s">
        <v>1431</v>
      </c>
      <c r="D2422" t="s">
        <v>1433</v>
      </c>
      <c r="E2422" t="s">
        <v>138</v>
      </c>
      <c r="F2422" s="9" t="s">
        <v>138</v>
      </c>
      <c r="G2422" s="18">
        <v>598401</v>
      </c>
      <c r="H2422">
        <v>0</v>
      </c>
      <c r="I2422" s="29">
        <f t="shared" si="37"/>
        <v>598401</v>
      </c>
      <c r="J2422">
        <f>IFERROR(VLOOKUP(E2422,'LEAID Match'!$A$2:$B$168,2,FALSE),"")</f>
        <v>3305790</v>
      </c>
    </row>
    <row r="2423" spans="1:10">
      <c r="A2423">
        <v>2021</v>
      </c>
      <c r="B2423" t="s">
        <v>1429</v>
      </c>
      <c r="C2423" t="s">
        <v>1431</v>
      </c>
      <c r="D2423" t="s">
        <v>1433</v>
      </c>
      <c r="E2423" t="s">
        <v>138</v>
      </c>
      <c r="F2423" s="9" t="s">
        <v>138</v>
      </c>
      <c r="G2423" s="18">
        <v>636943</v>
      </c>
      <c r="H2423">
        <v>0</v>
      </c>
      <c r="I2423" s="29">
        <f t="shared" si="37"/>
        <v>636943</v>
      </c>
      <c r="J2423">
        <f>IFERROR(VLOOKUP(E2423,'LEAID Match'!$A$2:$B$168,2,FALSE),"")</f>
        <v>3305790</v>
      </c>
    </row>
    <row r="2424" spans="1:10">
      <c r="A2424">
        <v>2022</v>
      </c>
      <c r="B2424" t="s">
        <v>1429</v>
      </c>
      <c r="C2424" t="s">
        <v>1431</v>
      </c>
      <c r="D2424" t="s">
        <v>1433</v>
      </c>
      <c r="E2424" t="s">
        <v>138</v>
      </c>
      <c r="F2424" s="9" t="s">
        <v>138</v>
      </c>
      <c r="G2424" s="18">
        <v>775551</v>
      </c>
      <c r="H2424">
        <v>0</v>
      </c>
      <c r="I2424" s="29">
        <f t="shared" si="37"/>
        <v>775551</v>
      </c>
      <c r="J2424">
        <f>IFERROR(VLOOKUP(E2424,'LEAID Match'!$A$2:$B$168,2,FALSE),"")</f>
        <v>3305790</v>
      </c>
    </row>
    <row r="2425" spans="1:10">
      <c r="A2425">
        <v>2023</v>
      </c>
      <c r="B2425" t="s">
        <v>1429</v>
      </c>
      <c r="C2425" t="s">
        <v>1431</v>
      </c>
      <c r="D2425" t="s">
        <v>1433</v>
      </c>
      <c r="E2425" t="s">
        <v>138</v>
      </c>
      <c r="F2425" t="s">
        <v>138</v>
      </c>
      <c r="G2425" s="28">
        <v>867879</v>
      </c>
      <c r="H2425">
        <v>0</v>
      </c>
      <c r="I2425" s="29">
        <f t="shared" si="37"/>
        <v>867879</v>
      </c>
      <c r="J2425">
        <f>IFERROR(VLOOKUP(E2425,'LEAID Match'!$A$2:$B$168,2,FALSE),"")</f>
        <v>3305790</v>
      </c>
    </row>
    <row r="2426" spans="1:10">
      <c r="A2426">
        <v>2015</v>
      </c>
      <c r="B2426" t="s">
        <v>1429</v>
      </c>
      <c r="C2426" t="s">
        <v>1431</v>
      </c>
      <c r="D2426" t="s">
        <v>1433</v>
      </c>
      <c r="E2426" t="s">
        <v>139</v>
      </c>
      <c r="F2426" s="9" t="s">
        <v>1272</v>
      </c>
      <c r="G2426" s="18">
        <v>39544.75</v>
      </c>
      <c r="H2426">
        <v>0</v>
      </c>
      <c r="I2426" s="29">
        <f t="shared" si="37"/>
        <v>39544.75</v>
      </c>
      <c r="J2426" t="str">
        <f>IFERROR(VLOOKUP(E2426,'LEAID Match'!$A$2:$B$168,2,FALSE),"")</f>
        <v/>
      </c>
    </row>
    <row r="2427" spans="1:10">
      <c r="A2427">
        <v>2016</v>
      </c>
      <c r="B2427" t="s">
        <v>1429</v>
      </c>
      <c r="C2427" t="s">
        <v>1431</v>
      </c>
      <c r="D2427" t="s">
        <v>1433</v>
      </c>
      <c r="E2427" t="s">
        <v>139</v>
      </c>
      <c r="F2427" t="s">
        <v>139</v>
      </c>
      <c r="G2427" s="28">
        <v>51982</v>
      </c>
      <c r="H2427">
        <v>0</v>
      </c>
      <c r="I2427" s="29">
        <f t="shared" si="37"/>
        <v>51982</v>
      </c>
      <c r="J2427" t="str">
        <f>IFERROR(VLOOKUP(E2427,'LEAID Match'!$A$2:$B$168,2,FALSE),"")</f>
        <v/>
      </c>
    </row>
    <row r="2428" spans="1:10">
      <c r="A2428">
        <v>2017</v>
      </c>
      <c r="B2428" t="s">
        <v>1429</v>
      </c>
      <c r="C2428" t="s">
        <v>1431</v>
      </c>
      <c r="D2428" t="s">
        <v>1433</v>
      </c>
      <c r="E2428" t="s">
        <v>139</v>
      </c>
      <c r="F2428" t="s">
        <v>139</v>
      </c>
      <c r="G2428" s="28">
        <v>59685</v>
      </c>
      <c r="H2428">
        <v>0</v>
      </c>
      <c r="I2428" s="29">
        <f t="shared" si="37"/>
        <v>59685</v>
      </c>
      <c r="J2428" t="str">
        <f>IFERROR(VLOOKUP(E2428,'LEAID Match'!$A$2:$B$168,2,FALSE),"")</f>
        <v/>
      </c>
    </row>
    <row r="2429" spans="1:10">
      <c r="A2429" s="27">
        <v>2018</v>
      </c>
      <c r="B2429" t="s">
        <v>1429</v>
      </c>
      <c r="C2429" t="s">
        <v>1431</v>
      </c>
      <c r="D2429" t="s">
        <v>1433</v>
      </c>
      <c r="E2429" t="s">
        <v>139</v>
      </c>
      <c r="F2429" s="9" t="s">
        <v>139</v>
      </c>
      <c r="G2429" s="18">
        <v>67807</v>
      </c>
      <c r="H2429">
        <v>0</v>
      </c>
      <c r="I2429" s="29">
        <f t="shared" si="37"/>
        <v>67807</v>
      </c>
      <c r="J2429" t="str">
        <f>IFERROR(VLOOKUP(E2429,'LEAID Match'!$A$2:$B$168,2,FALSE),"")</f>
        <v/>
      </c>
    </row>
    <row r="2430" spans="1:10">
      <c r="A2430">
        <v>2019</v>
      </c>
      <c r="B2430" t="s">
        <v>1429</v>
      </c>
      <c r="C2430" t="s">
        <v>1431</v>
      </c>
      <c r="D2430" t="s">
        <v>1433</v>
      </c>
      <c r="E2430" t="s">
        <v>139</v>
      </c>
      <c r="F2430" s="9" t="s">
        <v>139</v>
      </c>
      <c r="G2430" s="18">
        <v>72782</v>
      </c>
      <c r="H2430">
        <v>0</v>
      </c>
      <c r="I2430" s="29">
        <f t="shared" si="37"/>
        <v>72782</v>
      </c>
      <c r="J2430" t="str">
        <f>IFERROR(VLOOKUP(E2430,'LEAID Match'!$A$2:$B$168,2,FALSE),"")</f>
        <v/>
      </c>
    </row>
    <row r="2431" spans="1:10">
      <c r="A2431" s="27">
        <v>2020</v>
      </c>
      <c r="B2431" t="s">
        <v>1429</v>
      </c>
      <c r="C2431" t="s">
        <v>1431</v>
      </c>
      <c r="D2431" t="s">
        <v>1433</v>
      </c>
      <c r="E2431" t="s">
        <v>139</v>
      </c>
      <c r="F2431" s="9" t="s">
        <v>139</v>
      </c>
      <c r="G2431" s="18">
        <v>66898</v>
      </c>
      <c r="H2431">
        <v>0</v>
      </c>
      <c r="I2431" s="29">
        <f t="shared" si="37"/>
        <v>66898</v>
      </c>
      <c r="J2431" t="str">
        <f>IFERROR(VLOOKUP(E2431,'LEAID Match'!$A$2:$B$168,2,FALSE),"")</f>
        <v/>
      </c>
    </row>
    <row r="2432" spans="1:10">
      <c r="A2432">
        <v>2021</v>
      </c>
      <c r="B2432" t="s">
        <v>1429</v>
      </c>
      <c r="C2432" t="s">
        <v>1431</v>
      </c>
      <c r="D2432" t="s">
        <v>1433</v>
      </c>
      <c r="E2432" t="s">
        <v>139</v>
      </c>
      <c r="F2432" s="9" t="s">
        <v>139</v>
      </c>
      <c r="G2432" s="18">
        <v>52461</v>
      </c>
      <c r="H2432">
        <v>0</v>
      </c>
      <c r="I2432" s="29">
        <f t="shared" si="37"/>
        <v>52461</v>
      </c>
      <c r="J2432" t="str">
        <f>IFERROR(VLOOKUP(E2432,'LEAID Match'!$A$2:$B$168,2,FALSE),"")</f>
        <v/>
      </c>
    </row>
    <row r="2433" spans="1:10">
      <c r="A2433">
        <v>2022</v>
      </c>
      <c r="B2433" t="s">
        <v>1429</v>
      </c>
      <c r="C2433" t="s">
        <v>1431</v>
      </c>
      <c r="D2433" t="s">
        <v>1433</v>
      </c>
      <c r="E2433" t="s">
        <v>139</v>
      </c>
      <c r="F2433" s="9" t="s">
        <v>139</v>
      </c>
      <c r="G2433" s="18">
        <v>78565</v>
      </c>
      <c r="H2433">
        <v>0</v>
      </c>
      <c r="I2433" s="29">
        <f t="shared" si="37"/>
        <v>78565</v>
      </c>
      <c r="J2433" t="str">
        <f>IFERROR(VLOOKUP(E2433,'LEAID Match'!$A$2:$B$168,2,FALSE),"")</f>
        <v/>
      </c>
    </row>
    <row r="2434" spans="1:10">
      <c r="A2434">
        <v>2023</v>
      </c>
      <c r="B2434" t="s">
        <v>1429</v>
      </c>
      <c r="C2434" t="s">
        <v>1431</v>
      </c>
      <c r="D2434" t="s">
        <v>1433</v>
      </c>
      <c r="E2434" t="s">
        <v>139</v>
      </c>
      <c r="F2434" t="s">
        <v>139</v>
      </c>
      <c r="G2434" s="28">
        <v>95950</v>
      </c>
      <c r="H2434">
        <v>0</v>
      </c>
      <c r="I2434" s="29">
        <f t="shared" si="37"/>
        <v>95950</v>
      </c>
      <c r="J2434" t="str">
        <f>IFERROR(VLOOKUP(E2434,'LEAID Match'!$A$2:$B$168,2,FALSE),"")</f>
        <v/>
      </c>
    </row>
    <row r="2435" spans="1:10">
      <c r="A2435">
        <v>2015</v>
      </c>
      <c r="B2435" t="s">
        <v>1429</v>
      </c>
      <c r="C2435" t="s">
        <v>1431</v>
      </c>
      <c r="D2435" t="s">
        <v>1433</v>
      </c>
      <c r="E2435" t="s">
        <v>793</v>
      </c>
      <c r="F2435" s="9" t="s">
        <v>1273</v>
      </c>
      <c r="G2435" s="18">
        <v>3354186.94</v>
      </c>
      <c r="H2435">
        <v>0</v>
      </c>
      <c r="I2435" s="29">
        <f t="shared" ref="I2435:I2498" si="38">SUM(G2435:H2435)</f>
        <v>3354186.94</v>
      </c>
      <c r="J2435" t="str">
        <f>IFERROR(VLOOKUP(E2435,'LEAID Match'!$A$2:$B$168,2,FALSE),"")</f>
        <v/>
      </c>
    </row>
    <row r="2436" spans="1:10">
      <c r="A2436">
        <v>2016</v>
      </c>
      <c r="B2436" t="s">
        <v>1429</v>
      </c>
      <c r="C2436" t="s">
        <v>1431</v>
      </c>
      <c r="D2436" t="s">
        <v>1433</v>
      </c>
      <c r="E2436" t="s">
        <v>793</v>
      </c>
      <c r="F2436" t="s">
        <v>793</v>
      </c>
      <c r="G2436" s="28">
        <v>3569457</v>
      </c>
      <c r="H2436">
        <v>0</v>
      </c>
      <c r="I2436" s="29">
        <f t="shared" si="38"/>
        <v>3569457</v>
      </c>
      <c r="J2436" t="str">
        <f>IFERROR(VLOOKUP(E2436,'LEAID Match'!$A$2:$B$168,2,FALSE),"")</f>
        <v/>
      </c>
    </row>
    <row r="2437" spans="1:10">
      <c r="A2437">
        <v>2017</v>
      </c>
      <c r="B2437" t="s">
        <v>1429</v>
      </c>
      <c r="C2437" t="s">
        <v>1431</v>
      </c>
      <c r="D2437" t="s">
        <v>1433</v>
      </c>
      <c r="E2437" t="s">
        <v>793</v>
      </c>
      <c r="F2437" t="s">
        <v>793</v>
      </c>
      <c r="G2437" s="28">
        <v>3776439</v>
      </c>
      <c r="H2437">
        <v>0</v>
      </c>
      <c r="I2437" s="29">
        <f t="shared" si="38"/>
        <v>3776439</v>
      </c>
      <c r="J2437" t="str">
        <f>IFERROR(VLOOKUP(E2437,'LEAID Match'!$A$2:$B$168,2,FALSE),"")</f>
        <v/>
      </c>
    </row>
    <row r="2438" spans="1:10">
      <c r="A2438" s="27">
        <v>2018</v>
      </c>
      <c r="B2438" t="s">
        <v>1429</v>
      </c>
      <c r="C2438" t="s">
        <v>1431</v>
      </c>
      <c r="D2438" t="s">
        <v>1433</v>
      </c>
      <c r="E2438" t="s">
        <v>793</v>
      </c>
      <c r="F2438" s="9" t="s">
        <v>793</v>
      </c>
      <c r="G2438" s="18">
        <v>4252984</v>
      </c>
      <c r="H2438">
        <v>0</v>
      </c>
      <c r="I2438" s="29">
        <f t="shared" si="38"/>
        <v>4252984</v>
      </c>
      <c r="J2438" t="str">
        <f>IFERROR(VLOOKUP(E2438,'LEAID Match'!$A$2:$B$168,2,FALSE),"")</f>
        <v/>
      </c>
    </row>
    <row r="2439" spans="1:10">
      <c r="A2439">
        <v>2019</v>
      </c>
      <c r="B2439" t="s">
        <v>1429</v>
      </c>
      <c r="C2439" t="s">
        <v>1431</v>
      </c>
      <c r="D2439" t="s">
        <v>1433</v>
      </c>
      <c r="E2439" t="s">
        <v>793</v>
      </c>
      <c r="F2439" s="9" t="s">
        <v>793</v>
      </c>
      <c r="G2439" s="18">
        <v>4429192</v>
      </c>
      <c r="H2439">
        <v>0</v>
      </c>
      <c r="I2439" s="29">
        <f t="shared" si="38"/>
        <v>4429192</v>
      </c>
      <c r="J2439" t="str">
        <f>IFERROR(VLOOKUP(E2439,'LEAID Match'!$A$2:$B$168,2,FALSE),"")</f>
        <v/>
      </c>
    </row>
    <row r="2440" spans="1:10">
      <c r="A2440">
        <v>2015</v>
      </c>
      <c r="B2440" t="s">
        <v>1429</v>
      </c>
      <c r="C2440" t="s">
        <v>1431</v>
      </c>
      <c r="D2440" t="s">
        <v>1433</v>
      </c>
      <c r="E2440" t="s">
        <v>140</v>
      </c>
      <c r="F2440" s="9" t="s">
        <v>1274</v>
      </c>
      <c r="G2440" s="18">
        <v>152597.35</v>
      </c>
      <c r="H2440">
        <v>0</v>
      </c>
      <c r="I2440" s="29">
        <f t="shared" si="38"/>
        <v>152597.35</v>
      </c>
      <c r="J2440" t="str">
        <f>IFERROR(VLOOKUP(E2440,'LEAID Match'!$A$2:$B$168,2,FALSE),"")</f>
        <v/>
      </c>
    </row>
    <row r="2441" spans="1:10">
      <c r="A2441">
        <v>2016</v>
      </c>
      <c r="B2441" t="s">
        <v>1429</v>
      </c>
      <c r="C2441" t="s">
        <v>1431</v>
      </c>
      <c r="D2441" t="s">
        <v>1433</v>
      </c>
      <c r="E2441" t="s">
        <v>140</v>
      </c>
      <c r="F2441" t="s">
        <v>140</v>
      </c>
      <c r="G2441" s="28">
        <v>152265</v>
      </c>
      <c r="H2441">
        <v>0</v>
      </c>
      <c r="I2441" s="29">
        <f t="shared" si="38"/>
        <v>152265</v>
      </c>
      <c r="J2441" t="str">
        <f>IFERROR(VLOOKUP(E2441,'LEAID Match'!$A$2:$B$168,2,FALSE),"")</f>
        <v/>
      </c>
    </row>
    <row r="2442" spans="1:10">
      <c r="A2442">
        <v>2017</v>
      </c>
      <c r="B2442" t="s">
        <v>1429</v>
      </c>
      <c r="C2442" t="s">
        <v>1431</v>
      </c>
      <c r="D2442" t="s">
        <v>1433</v>
      </c>
      <c r="E2442" t="s">
        <v>140</v>
      </c>
      <c r="F2442" t="s">
        <v>140</v>
      </c>
      <c r="G2442" s="28">
        <v>148117</v>
      </c>
      <c r="H2442">
        <v>0</v>
      </c>
      <c r="I2442" s="29">
        <f t="shared" si="38"/>
        <v>148117</v>
      </c>
      <c r="J2442" t="str">
        <f>IFERROR(VLOOKUP(E2442,'LEAID Match'!$A$2:$B$168,2,FALSE),"")</f>
        <v/>
      </c>
    </row>
    <row r="2443" spans="1:10">
      <c r="A2443" s="27">
        <v>2018</v>
      </c>
      <c r="B2443" t="s">
        <v>1429</v>
      </c>
      <c r="C2443" t="s">
        <v>1431</v>
      </c>
      <c r="D2443" t="s">
        <v>1433</v>
      </c>
      <c r="E2443" t="s">
        <v>140</v>
      </c>
      <c r="F2443" s="9" t="s">
        <v>140</v>
      </c>
      <c r="G2443" s="18">
        <v>156389</v>
      </c>
      <c r="H2443">
        <v>0</v>
      </c>
      <c r="I2443" s="29">
        <f t="shared" si="38"/>
        <v>156389</v>
      </c>
      <c r="J2443" t="str">
        <f>IFERROR(VLOOKUP(E2443,'LEAID Match'!$A$2:$B$168,2,FALSE),"")</f>
        <v/>
      </c>
    </row>
    <row r="2444" spans="1:10">
      <c r="A2444">
        <v>2019</v>
      </c>
      <c r="B2444" t="s">
        <v>1429</v>
      </c>
      <c r="C2444" t="s">
        <v>1431</v>
      </c>
      <c r="D2444" t="s">
        <v>1433</v>
      </c>
      <c r="E2444" t="s">
        <v>140</v>
      </c>
      <c r="F2444" s="9" t="s">
        <v>140</v>
      </c>
      <c r="G2444" s="18">
        <v>168446</v>
      </c>
      <c r="H2444">
        <v>0</v>
      </c>
      <c r="I2444" s="29">
        <f t="shared" si="38"/>
        <v>168446</v>
      </c>
      <c r="J2444" t="str">
        <f>IFERROR(VLOOKUP(E2444,'LEAID Match'!$A$2:$B$168,2,FALSE),"")</f>
        <v/>
      </c>
    </row>
    <row r="2445" spans="1:10">
      <c r="A2445" s="27">
        <v>2020</v>
      </c>
      <c r="B2445" t="s">
        <v>1429</v>
      </c>
      <c r="C2445" t="s">
        <v>1431</v>
      </c>
      <c r="D2445" t="s">
        <v>1433</v>
      </c>
      <c r="E2445" t="s">
        <v>140</v>
      </c>
      <c r="F2445" s="9" t="s">
        <v>140</v>
      </c>
      <c r="G2445" s="18">
        <v>168882</v>
      </c>
      <c r="H2445">
        <v>0</v>
      </c>
      <c r="I2445" s="29">
        <f t="shared" si="38"/>
        <v>168882</v>
      </c>
      <c r="J2445" t="str">
        <f>IFERROR(VLOOKUP(E2445,'LEAID Match'!$A$2:$B$168,2,FALSE),"")</f>
        <v/>
      </c>
    </row>
    <row r="2446" spans="1:10">
      <c r="A2446">
        <v>2021</v>
      </c>
      <c r="B2446" t="s">
        <v>1429</v>
      </c>
      <c r="C2446" t="s">
        <v>1431</v>
      </c>
      <c r="D2446" t="s">
        <v>1433</v>
      </c>
      <c r="E2446" t="s">
        <v>140</v>
      </c>
      <c r="F2446" s="9" t="s">
        <v>140</v>
      </c>
      <c r="G2446" s="18">
        <v>170937</v>
      </c>
      <c r="H2446">
        <v>0</v>
      </c>
      <c r="I2446" s="29">
        <f t="shared" si="38"/>
        <v>170937</v>
      </c>
      <c r="J2446" t="str">
        <f>IFERROR(VLOOKUP(E2446,'LEAID Match'!$A$2:$B$168,2,FALSE),"")</f>
        <v/>
      </c>
    </row>
    <row r="2447" spans="1:10">
      <c r="A2447">
        <v>2022</v>
      </c>
      <c r="B2447" t="s">
        <v>1429</v>
      </c>
      <c r="C2447" t="s">
        <v>1431</v>
      </c>
      <c r="D2447" t="s">
        <v>1433</v>
      </c>
      <c r="E2447" t="s">
        <v>140</v>
      </c>
      <c r="F2447" s="9" t="s">
        <v>140</v>
      </c>
      <c r="G2447" s="18">
        <v>270981</v>
      </c>
      <c r="H2447">
        <v>0</v>
      </c>
      <c r="I2447" s="29">
        <f t="shared" si="38"/>
        <v>270981</v>
      </c>
      <c r="J2447" t="str">
        <f>IFERROR(VLOOKUP(E2447,'LEAID Match'!$A$2:$B$168,2,FALSE),"")</f>
        <v/>
      </c>
    </row>
    <row r="2448" spans="1:10">
      <c r="A2448">
        <v>2023</v>
      </c>
      <c r="B2448" t="s">
        <v>1429</v>
      </c>
      <c r="C2448" t="s">
        <v>1431</v>
      </c>
      <c r="D2448" t="s">
        <v>1433</v>
      </c>
      <c r="E2448" t="s">
        <v>140</v>
      </c>
      <c r="F2448" t="s">
        <v>140</v>
      </c>
      <c r="G2448" s="28">
        <v>317255</v>
      </c>
      <c r="H2448">
        <v>0</v>
      </c>
      <c r="I2448" s="29">
        <f t="shared" si="38"/>
        <v>317255</v>
      </c>
      <c r="J2448" t="str">
        <f>IFERROR(VLOOKUP(E2448,'LEAID Match'!$A$2:$B$168,2,FALSE),"")</f>
        <v/>
      </c>
    </row>
    <row r="2449" spans="1:10">
      <c r="A2449">
        <v>2015</v>
      </c>
      <c r="B2449" t="s">
        <v>1429</v>
      </c>
      <c r="C2449" t="s">
        <v>1431</v>
      </c>
      <c r="D2449" t="s">
        <v>1433</v>
      </c>
      <c r="E2449" t="s">
        <v>141</v>
      </c>
      <c r="F2449" s="9" t="s">
        <v>1275</v>
      </c>
      <c r="G2449" s="18">
        <v>2882824.67</v>
      </c>
      <c r="H2449">
        <v>0</v>
      </c>
      <c r="I2449" s="29">
        <f t="shared" si="38"/>
        <v>2882824.67</v>
      </c>
      <c r="J2449">
        <f>IFERROR(VLOOKUP(E2449,'LEAID Match'!$A$2:$B$168,2,FALSE),"")</f>
        <v>3305820</v>
      </c>
    </row>
    <row r="2450" spans="1:10">
      <c r="A2450">
        <v>2016</v>
      </c>
      <c r="B2450" t="s">
        <v>1429</v>
      </c>
      <c r="C2450" t="s">
        <v>1431</v>
      </c>
      <c r="D2450" t="s">
        <v>1433</v>
      </c>
      <c r="E2450" t="s">
        <v>141</v>
      </c>
      <c r="F2450" t="s">
        <v>794</v>
      </c>
      <c r="G2450" s="28">
        <v>3085860</v>
      </c>
      <c r="H2450">
        <v>0</v>
      </c>
      <c r="I2450" s="29">
        <f t="shared" si="38"/>
        <v>3085860</v>
      </c>
      <c r="J2450">
        <f>IFERROR(VLOOKUP(E2450,'LEAID Match'!$A$2:$B$168,2,FALSE),"")</f>
        <v>3305820</v>
      </c>
    </row>
    <row r="2451" spans="1:10">
      <c r="A2451">
        <v>2017</v>
      </c>
      <c r="B2451" t="s">
        <v>1429</v>
      </c>
      <c r="C2451" t="s">
        <v>1431</v>
      </c>
      <c r="D2451" t="s">
        <v>1433</v>
      </c>
      <c r="E2451" t="s">
        <v>141</v>
      </c>
      <c r="F2451" t="s">
        <v>794</v>
      </c>
      <c r="G2451" s="28">
        <v>3086295</v>
      </c>
      <c r="H2451">
        <v>0</v>
      </c>
      <c r="I2451" s="29">
        <f t="shared" si="38"/>
        <v>3086295</v>
      </c>
      <c r="J2451">
        <f>IFERROR(VLOOKUP(E2451,'LEAID Match'!$A$2:$B$168,2,FALSE),"")</f>
        <v>3305820</v>
      </c>
    </row>
    <row r="2452" spans="1:10">
      <c r="A2452" s="27">
        <v>2018</v>
      </c>
      <c r="B2452" t="s">
        <v>1429</v>
      </c>
      <c r="C2452" t="s">
        <v>1431</v>
      </c>
      <c r="D2452" t="s">
        <v>1433</v>
      </c>
      <c r="E2452" t="s">
        <v>141</v>
      </c>
      <c r="F2452" s="9" t="s">
        <v>794</v>
      </c>
      <c r="G2452" s="18">
        <v>3881056</v>
      </c>
      <c r="H2452">
        <v>0</v>
      </c>
      <c r="I2452" s="29">
        <f t="shared" si="38"/>
        <v>3881056</v>
      </c>
      <c r="J2452">
        <f>IFERROR(VLOOKUP(E2452,'LEAID Match'!$A$2:$B$168,2,FALSE),"")</f>
        <v>3305820</v>
      </c>
    </row>
    <row r="2453" spans="1:10">
      <c r="A2453">
        <v>2019</v>
      </c>
      <c r="B2453" t="s">
        <v>1429</v>
      </c>
      <c r="C2453" t="s">
        <v>1431</v>
      </c>
      <c r="D2453" t="s">
        <v>1433</v>
      </c>
      <c r="E2453" t="s">
        <v>141</v>
      </c>
      <c r="F2453" s="9" t="s">
        <v>794</v>
      </c>
      <c r="G2453" s="18">
        <v>4018169</v>
      </c>
      <c r="H2453">
        <v>0</v>
      </c>
      <c r="I2453" s="29">
        <f t="shared" si="38"/>
        <v>4018169</v>
      </c>
      <c r="J2453">
        <f>IFERROR(VLOOKUP(E2453,'LEAID Match'!$A$2:$B$168,2,FALSE),"")</f>
        <v>3305820</v>
      </c>
    </row>
    <row r="2454" spans="1:10">
      <c r="A2454" s="27">
        <v>2020</v>
      </c>
      <c r="B2454" t="s">
        <v>1429</v>
      </c>
      <c r="C2454" t="s">
        <v>1431</v>
      </c>
      <c r="D2454" t="s">
        <v>1433</v>
      </c>
      <c r="E2454" t="s">
        <v>141</v>
      </c>
      <c r="F2454" s="9" t="s">
        <v>141</v>
      </c>
      <c r="G2454" s="18">
        <v>4192556</v>
      </c>
      <c r="H2454">
        <v>0</v>
      </c>
      <c r="I2454" s="29">
        <f t="shared" si="38"/>
        <v>4192556</v>
      </c>
      <c r="J2454">
        <f>IFERROR(VLOOKUP(E2454,'LEAID Match'!$A$2:$B$168,2,FALSE),"")</f>
        <v>3305820</v>
      </c>
    </row>
    <row r="2455" spans="1:10">
      <c r="A2455">
        <v>2021</v>
      </c>
      <c r="B2455" t="s">
        <v>1429</v>
      </c>
      <c r="C2455" t="s">
        <v>1431</v>
      </c>
      <c r="D2455" t="s">
        <v>1433</v>
      </c>
      <c r="E2455" t="s">
        <v>141</v>
      </c>
      <c r="F2455" s="9" t="s">
        <v>141</v>
      </c>
      <c r="G2455" s="18">
        <v>4358410</v>
      </c>
      <c r="H2455">
        <v>0</v>
      </c>
      <c r="I2455" s="29">
        <f t="shared" si="38"/>
        <v>4358410</v>
      </c>
      <c r="J2455">
        <f>IFERROR(VLOOKUP(E2455,'LEAID Match'!$A$2:$B$168,2,FALSE),"")</f>
        <v>3305820</v>
      </c>
    </row>
    <row r="2456" spans="1:10">
      <c r="A2456">
        <v>2022</v>
      </c>
      <c r="B2456" t="s">
        <v>1429</v>
      </c>
      <c r="C2456" t="s">
        <v>1431</v>
      </c>
      <c r="D2456" t="s">
        <v>1433</v>
      </c>
      <c r="E2456" t="s">
        <v>141</v>
      </c>
      <c r="F2456" s="9" t="s">
        <v>141</v>
      </c>
      <c r="G2456" s="18">
        <v>5409872</v>
      </c>
      <c r="H2456">
        <v>0</v>
      </c>
      <c r="I2456" s="29">
        <f t="shared" si="38"/>
        <v>5409872</v>
      </c>
      <c r="J2456">
        <f>IFERROR(VLOOKUP(E2456,'LEAID Match'!$A$2:$B$168,2,FALSE),"")</f>
        <v>3305820</v>
      </c>
    </row>
    <row r="2457" spans="1:10">
      <c r="A2457">
        <v>2023</v>
      </c>
      <c r="B2457" t="s">
        <v>1429</v>
      </c>
      <c r="C2457" t="s">
        <v>1431</v>
      </c>
      <c r="D2457" t="s">
        <v>1433</v>
      </c>
      <c r="E2457" t="s">
        <v>141</v>
      </c>
      <c r="F2457" t="s">
        <v>141</v>
      </c>
      <c r="G2457" s="28">
        <v>5757207</v>
      </c>
      <c r="H2457">
        <v>0</v>
      </c>
      <c r="I2457" s="29">
        <f t="shared" si="38"/>
        <v>5757207</v>
      </c>
      <c r="J2457">
        <f>IFERROR(VLOOKUP(E2457,'LEAID Match'!$A$2:$B$168,2,FALSE),"")</f>
        <v>3305820</v>
      </c>
    </row>
    <row r="2458" spans="1:10">
      <c r="A2458">
        <v>2015</v>
      </c>
      <c r="B2458" t="s">
        <v>1429</v>
      </c>
      <c r="C2458" t="s">
        <v>1431</v>
      </c>
      <c r="D2458" t="s">
        <v>1433</v>
      </c>
      <c r="E2458" t="s">
        <v>481</v>
      </c>
      <c r="F2458" s="9" t="s">
        <v>1276</v>
      </c>
      <c r="G2458" s="18">
        <v>6366.65</v>
      </c>
      <c r="H2458">
        <v>0</v>
      </c>
      <c r="I2458" s="29">
        <f t="shared" si="38"/>
        <v>6366.65</v>
      </c>
      <c r="J2458" t="str">
        <f>IFERROR(VLOOKUP(E2458,'LEAID Match'!$A$2:$B$168,2,FALSE),"")</f>
        <v/>
      </c>
    </row>
    <row r="2459" spans="1:10">
      <c r="A2459">
        <v>2016</v>
      </c>
      <c r="B2459" t="s">
        <v>1429</v>
      </c>
      <c r="C2459" t="s">
        <v>1431</v>
      </c>
      <c r="D2459" t="s">
        <v>1433</v>
      </c>
      <c r="E2459" t="s">
        <v>481</v>
      </c>
      <c r="F2459" t="s">
        <v>481</v>
      </c>
      <c r="G2459" s="28">
        <v>6957</v>
      </c>
      <c r="H2459">
        <v>0</v>
      </c>
      <c r="I2459" s="29">
        <f t="shared" si="38"/>
        <v>6957</v>
      </c>
      <c r="J2459" t="str">
        <f>IFERROR(VLOOKUP(E2459,'LEAID Match'!$A$2:$B$168,2,FALSE),"")</f>
        <v/>
      </c>
    </row>
    <row r="2460" spans="1:10">
      <c r="A2460">
        <v>2017</v>
      </c>
      <c r="B2460" t="s">
        <v>1429</v>
      </c>
      <c r="C2460" t="s">
        <v>1431</v>
      </c>
      <c r="D2460" t="s">
        <v>1433</v>
      </c>
      <c r="E2460" t="s">
        <v>481</v>
      </c>
      <c r="F2460" t="s">
        <v>481</v>
      </c>
      <c r="G2460" s="28">
        <v>3476</v>
      </c>
      <c r="H2460">
        <v>0</v>
      </c>
      <c r="I2460" s="29">
        <f t="shared" si="38"/>
        <v>3476</v>
      </c>
      <c r="J2460" t="str">
        <f>IFERROR(VLOOKUP(E2460,'LEAID Match'!$A$2:$B$168,2,FALSE),"")</f>
        <v/>
      </c>
    </row>
    <row r="2461" spans="1:10">
      <c r="A2461" s="27">
        <v>2018</v>
      </c>
      <c r="B2461" t="s">
        <v>1429</v>
      </c>
      <c r="C2461" t="s">
        <v>1431</v>
      </c>
      <c r="D2461" t="s">
        <v>1433</v>
      </c>
      <c r="E2461" t="s">
        <v>481</v>
      </c>
      <c r="F2461" s="9" t="s">
        <v>481</v>
      </c>
      <c r="G2461" s="18"/>
      <c r="H2461">
        <v>0</v>
      </c>
      <c r="I2461" s="29">
        <f t="shared" si="38"/>
        <v>0</v>
      </c>
      <c r="J2461" t="str">
        <f>IFERROR(VLOOKUP(E2461,'LEAID Match'!$A$2:$B$168,2,FALSE),"")</f>
        <v/>
      </c>
    </row>
    <row r="2462" spans="1:10">
      <c r="A2462">
        <v>2019</v>
      </c>
      <c r="B2462" t="s">
        <v>1429</v>
      </c>
      <c r="C2462" t="s">
        <v>1431</v>
      </c>
      <c r="D2462" t="s">
        <v>1433</v>
      </c>
      <c r="E2462" t="s">
        <v>481</v>
      </c>
      <c r="F2462" s="9" t="s">
        <v>481</v>
      </c>
      <c r="G2462" s="18"/>
      <c r="H2462">
        <v>0</v>
      </c>
      <c r="I2462" s="29">
        <f t="shared" si="38"/>
        <v>0</v>
      </c>
      <c r="J2462" t="str">
        <f>IFERROR(VLOOKUP(E2462,'LEAID Match'!$A$2:$B$168,2,FALSE),"")</f>
        <v/>
      </c>
    </row>
    <row r="2463" spans="1:10">
      <c r="A2463" s="27">
        <v>2020</v>
      </c>
      <c r="B2463" t="s">
        <v>1429</v>
      </c>
      <c r="C2463" t="s">
        <v>1431</v>
      </c>
      <c r="D2463" t="s">
        <v>1433</v>
      </c>
      <c r="E2463" t="s">
        <v>481</v>
      </c>
      <c r="F2463" s="9" t="s">
        <v>481</v>
      </c>
      <c r="G2463" s="18"/>
      <c r="H2463">
        <v>0</v>
      </c>
      <c r="I2463" s="29">
        <f t="shared" si="38"/>
        <v>0</v>
      </c>
      <c r="J2463" t="str">
        <f>IFERROR(VLOOKUP(E2463,'LEAID Match'!$A$2:$B$168,2,FALSE),"")</f>
        <v/>
      </c>
    </row>
    <row r="2464" spans="1:10">
      <c r="A2464">
        <v>2021</v>
      </c>
      <c r="B2464" t="s">
        <v>1429</v>
      </c>
      <c r="C2464" t="s">
        <v>1431</v>
      </c>
      <c r="D2464" t="s">
        <v>1433</v>
      </c>
      <c r="E2464" t="s">
        <v>481</v>
      </c>
      <c r="F2464" s="9" t="s">
        <v>481</v>
      </c>
      <c r="G2464" s="18"/>
      <c r="H2464">
        <v>0</v>
      </c>
      <c r="I2464" s="29">
        <f t="shared" si="38"/>
        <v>0</v>
      </c>
      <c r="J2464" t="str">
        <f>IFERROR(VLOOKUP(E2464,'LEAID Match'!$A$2:$B$168,2,FALSE),"")</f>
        <v/>
      </c>
    </row>
    <row r="2465" spans="1:10">
      <c r="A2465">
        <v>2015</v>
      </c>
      <c r="B2465" t="s">
        <v>1429</v>
      </c>
      <c r="C2465" t="s">
        <v>1431</v>
      </c>
      <c r="D2465" t="s">
        <v>1433</v>
      </c>
      <c r="E2465" t="s">
        <v>142</v>
      </c>
      <c r="F2465" s="9" t="s">
        <v>1277</v>
      </c>
      <c r="G2465" s="18">
        <v>291853.25</v>
      </c>
      <c r="H2465">
        <v>0</v>
      </c>
      <c r="I2465" s="29">
        <f t="shared" si="38"/>
        <v>291853.25</v>
      </c>
      <c r="J2465">
        <f>IFERROR(VLOOKUP(E2465,'LEAID Match'!$A$2:$B$168,2,FALSE),"")</f>
        <v>3305830</v>
      </c>
    </row>
    <row r="2466" spans="1:10">
      <c r="A2466">
        <v>2016</v>
      </c>
      <c r="B2466" t="s">
        <v>1429</v>
      </c>
      <c r="C2466" t="s">
        <v>1431</v>
      </c>
      <c r="D2466" t="s">
        <v>1433</v>
      </c>
      <c r="E2466" t="s">
        <v>142</v>
      </c>
      <c r="F2466" t="s">
        <v>795</v>
      </c>
      <c r="G2466" s="28">
        <v>305547</v>
      </c>
      <c r="H2466">
        <v>0</v>
      </c>
      <c r="I2466" s="29">
        <f t="shared" si="38"/>
        <v>305547</v>
      </c>
      <c r="J2466">
        <f>IFERROR(VLOOKUP(E2466,'LEAID Match'!$A$2:$B$168,2,FALSE),"")</f>
        <v>3305830</v>
      </c>
    </row>
    <row r="2467" spans="1:10">
      <c r="A2467">
        <v>2017</v>
      </c>
      <c r="B2467" t="s">
        <v>1429</v>
      </c>
      <c r="C2467" t="s">
        <v>1431</v>
      </c>
      <c r="D2467" t="s">
        <v>1433</v>
      </c>
      <c r="E2467" t="s">
        <v>142</v>
      </c>
      <c r="F2467" t="s">
        <v>795</v>
      </c>
      <c r="G2467" s="28">
        <v>296912</v>
      </c>
      <c r="H2467">
        <v>0</v>
      </c>
      <c r="I2467" s="29">
        <f t="shared" si="38"/>
        <v>296912</v>
      </c>
      <c r="J2467">
        <f>IFERROR(VLOOKUP(E2467,'LEAID Match'!$A$2:$B$168,2,FALSE),"")</f>
        <v>3305830</v>
      </c>
    </row>
    <row r="2468" spans="1:10">
      <c r="A2468" s="27">
        <v>2018</v>
      </c>
      <c r="B2468" t="s">
        <v>1429</v>
      </c>
      <c r="C2468" t="s">
        <v>1431</v>
      </c>
      <c r="D2468" t="s">
        <v>1433</v>
      </c>
      <c r="E2468" t="s">
        <v>142</v>
      </c>
      <c r="F2468" s="9" t="s">
        <v>795</v>
      </c>
      <c r="G2468" s="18">
        <v>366132</v>
      </c>
      <c r="H2468">
        <v>0</v>
      </c>
      <c r="I2468" s="29">
        <f t="shared" si="38"/>
        <v>366132</v>
      </c>
      <c r="J2468">
        <f>IFERROR(VLOOKUP(E2468,'LEAID Match'!$A$2:$B$168,2,FALSE),"")</f>
        <v>3305830</v>
      </c>
    </row>
    <row r="2469" spans="1:10">
      <c r="A2469">
        <v>2019</v>
      </c>
      <c r="B2469" t="s">
        <v>1429</v>
      </c>
      <c r="C2469" t="s">
        <v>1431</v>
      </c>
      <c r="D2469" t="s">
        <v>1433</v>
      </c>
      <c r="E2469" t="s">
        <v>142</v>
      </c>
      <c r="F2469" s="9" t="s">
        <v>795</v>
      </c>
      <c r="G2469" s="18">
        <v>370650</v>
      </c>
      <c r="H2469">
        <v>0</v>
      </c>
      <c r="I2469" s="29">
        <f t="shared" si="38"/>
        <v>370650</v>
      </c>
      <c r="J2469">
        <f>IFERROR(VLOOKUP(E2469,'LEAID Match'!$A$2:$B$168,2,FALSE),"")</f>
        <v>3305830</v>
      </c>
    </row>
    <row r="2470" spans="1:10">
      <c r="A2470" s="27">
        <v>2020</v>
      </c>
      <c r="B2470" t="s">
        <v>1429</v>
      </c>
      <c r="C2470" t="s">
        <v>1431</v>
      </c>
      <c r="D2470" t="s">
        <v>1433</v>
      </c>
      <c r="E2470" t="s">
        <v>142</v>
      </c>
      <c r="F2470" s="9" t="s">
        <v>142</v>
      </c>
      <c r="G2470" s="18">
        <v>366313</v>
      </c>
      <c r="H2470">
        <v>0</v>
      </c>
      <c r="I2470" s="29">
        <f t="shared" si="38"/>
        <v>366313</v>
      </c>
      <c r="J2470">
        <f>IFERROR(VLOOKUP(E2470,'LEAID Match'!$A$2:$B$168,2,FALSE),"")</f>
        <v>3305830</v>
      </c>
    </row>
    <row r="2471" spans="1:10">
      <c r="A2471">
        <v>2021</v>
      </c>
      <c r="B2471" t="s">
        <v>1429</v>
      </c>
      <c r="C2471" t="s">
        <v>1431</v>
      </c>
      <c r="D2471" t="s">
        <v>1433</v>
      </c>
      <c r="E2471" t="s">
        <v>142</v>
      </c>
      <c r="F2471" s="9" t="s">
        <v>142</v>
      </c>
      <c r="G2471" s="18">
        <v>383134</v>
      </c>
      <c r="H2471">
        <v>0</v>
      </c>
      <c r="I2471" s="29">
        <f t="shared" si="38"/>
        <v>383134</v>
      </c>
      <c r="J2471">
        <f>IFERROR(VLOOKUP(E2471,'LEAID Match'!$A$2:$B$168,2,FALSE),"")</f>
        <v>3305830</v>
      </c>
    </row>
    <row r="2472" spans="1:10">
      <c r="A2472">
        <v>2022</v>
      </c>
      <c r="B2472" t="s">
        <v>1429</v>
      </c>
      <c r="C2472" t="s">
        <v>1431</v>
      </c>
      <c r="D2472" t="s">
        <v>1433</v>
      </c>
      <c r="E2472" t="s">
        <v>142</v>
      </c>
      <c r="F2472" s="9" t="s">
        <v>142</v>
      </c>
      <c r="G2472" s="18">
        <v>482319</v>
      </c>
      <c r="H2472">
        <v>0</v>
      </c>
      <c r="I2472" s="29">
        <f t="shared" si="38"/>
        <v>482319</v>
      </c>
      <c r="J2472">
        <f>IFERROR(VLOOKUP(E2472,'LEAID Match'!$A$2:$B$168,2,FALSE),"")</f>
        <v>3305830</v>
      </c>
    </row>
    <row r="2473" spans="1:10">
      <c r="A2473">
        <v>2023</v>
      </c>
      <c r="B2473" t="s">
        <v>1429</v>
      </c>
      <c r="C2473" t="s">
        <v>1431</v>
      </c>
      <c r="D2473" t="s">
        <v>1433</v>
      </c>
      <c r="E2473" t="s">
        <v>142</v>
      </c>
      <c r="F2473" t="s">
        <v>142</v>
      </c>
      <c r="G2473" s="28">
        <v>495328</v>
      </c>
      <c r="H2473">
        <v>0</v>
      </c>
      <c r="I2473" s="29">
        <f t="shared" si="38"/>
        <v>495328</v>
      </c>
      <c r="J2473">
        <f>IFERROR(VLOOKUP(E2473,'LEAID Match'!$A$2:$B$168,2,FALSE),"")</f>
        <v>3305830</v>
      </c>
    </row>
    <row r="2474" spans="1:10">
      <c r="A2474">
        <v>2015</v>
      </c>
      <c r="B2474" t="s">
        <v>1429</v>
      </c>
      <c r="C2474" t="s">
        <v>1431</v>
      </c>
      <c r="D2474" t="s">
        <v>1433</v>
      </c>
      <c r="E2474" t="s">
        <v>143</v>
      </c>
      <c r="F2474" s="9" t="s">
        <v>1278</v>
      </c>
      <c r="G2474" s="18">
        <v>419699.38</v>
      </c>
      <c r="H2474">
        <v>0</v>
      </c>
      <c r="I2474" s="29">
        <f t="shared" si="38"/>
        <v>419699.38</v>
      </c>
      <c r="J2474">
        <f>IFERROR(VLOOKUP(E2474,'LEAID Match'!$A$2:$B$168,2,FALSE),"")</f>
        <v>3300049</v>
      </c>
    </row>
    <row r="2475" spans="1:10">
      <c r="A2475">
        <v>2016</v>
      </c>
      <c r="B2475" t="s">
        <v>1429</v>
      </c>
      <c r="C2475" t="s">
        <v>1431</v>
      </c>
      <c r="D2475" t="s">
        <v>1433</v>
      </c>
      <c r="E2475" t="s">
        <v>143</v>
      </c>
      <c r="F2475" t="s">
        <v>143</v>
      </c>
      <c r="G2475" s="28">
        <v>502208</v>
      </c>
      <c r="H2475">
        <v>0</v>
      </c>
      <c r="I2475" s="29">
        <f t="shared" si="38"/>
        <v>502208</v>
      </c>
      <c r="J2475">
        <f>IFERROR(VLOOKUP(E2475,'LEAID Match'!$A$2:$B$168,2,FALSE),"")</f>
        <v>3300049</v>
      </c>
    </row>
    <row r="2476" spans="1:10">
      <c r="A2476">
        <v>2017</v>
      </c>
      <c r="B2476" t="s">
        <v>1429</v>
      </c>
      <c r="C2476" t="s">
        <v>1431</v>
      </c>
      <c r="D2476" t="s">
        <v>1433</v>
      </c>
      <c r="E2476" t="s">
        <v>143</v>
      </c>
      <c r="F2476" t="s">
        <v>143</v>
      </c>
      <c r="G2476" s="28">
        <v>496580</v>
      </c>
      <c r="H2476">
        <v>0</v>
      </c>
      <c r="I2476" s="29">
        <f t="shared" si="38"/>
        <v>496580</v>
      </c>
      <c r="J2476">
        <f>IFERROR(VLOOKUP(E2476,'LEAID Match'!$A$2:$B$168,2,FALSE),"")</f>
        <v>3300049</v>
      </c>
    </row>
    <row r="2477" spans="1:10">
      <c r="A2477" s="27">
        <v>2018</v>
      </c>
      <c r="B2477" t="s">
        <v>1429</v>
      </c>
      <c r="C2477" t="s">
        <v>1431</v>
      </c>
      <c r="D2477" t="s">
        <v>1433</v>
      </c>
      <c r="E2477" t="s">
        <v>143</v>
      </c>
      <c r="F2477" s="9" t="s">
        <v>143</v>
      </c>
      <c r="G2477" s="18">
        <v>602597</v>
      </c>
      <c r="H2477">
        <v>0</v>
      </c>
      <c r="I2477" s="29">
        <f t="shared" si="38"/>
        <v>602597</v>
      </c>
      <c r="J2477">
        <f>IFERROR(VLOOKUP(E2477,'LEAID Match'!$A$2:$B$168,2,FALSE),"")</f>
        <v>3300049</v>
      </c>
    </row>
    <row r="2478" spans="1:10">
      <c r="A2478">
        <v>2019</v>
      </c>
      <c r="B2478" t="s">
        <v>1429</v>
      </c>
      <c r="C2478" t="s">
        <v>1431</v>
      </c>
      <c r="D2478" t="s">
        <v>1433</v>
      </c>
      <c r="E2478" t="s">
        <v>143</v>
      </c>
      <c r="F2478" s="9" t="s">
        <v>143</v>
      </c>
      <c r="G2478" s="18">
        <v>622086</v>
      </c>
      <c r="H2478">
        <v>0</v>
      </c>
      <c r="I2478" s="29">
        <f t="shared" si="38"/>
        <v>622086</v>
      </c>
      <c r="J2478">
        <f>IFERROR(VLOOKUP(E2478,'LEAID Match'!$A$2:$B$168,2,FALSE),"")</f>
        <v>3300049</v>
      </c>
    </row>
    <row r="2479" spans="1:10">
      <c r="A2479" s="27">
        <v>2020</v>
      </c>
      <c r="B2479" t="s">
        <v>1429</v>
      </c>
      <c r="C2479" t="s">
        <v>1431</v>
      </c>
      <c r="D2479" t="s">
        <v>1433</v>
      </c>
      <c r="E2479" t="s">
        <v>143</v>
      </c>
      <c r="F2479" s="9" t="s">
        <v>143</v>
      </c>
      <c r="G2479" s="18">
        <v>654442</v>
      </c>
      <c r="H2479">
        <v>0</v>
      </c>
      <c r="I2479" s="29">
        <f t="shared" si="38"/>
        <v>654442</v>
      </c>
      <c r="J2479">
        <f>IFERROR(VLOOKUP(E2479,'LEAID Match'!$A$2:$B$168,2,FALSE),"")</f>
        <v>3300049</v>
      </c>
    </row>
    <row r="2480" spans="1:10">
      <c r="A2480">
        <v>2021</v>
      </c>
      <c r="B2480" t="s">
        <v>1429</v>
      </c>
      <c r="C2480" t="s">
        <v>1431</v>
      </c>
      <c r="D2480" t="s">
        <v>1433</v>
      </c>
      <c r="E2480" t="s">
        <v>143</v>
      </c>
      <c r="F2480" s="9" t="s">
        <v>143</v>
      </c>
      <c r="G2480" s="18">
        <v>655648</v>
      </c>
      <c r="H2480">
        <v>0</v>
      </c>
      <c r="I2480" s="29">
        <f t="shared" si="38"/>
        <v>655648</v>
      </c>
      <c r="J2480">
        <f>IFERROR(VLOOKUP(E2480,'LEAID Match'!$A$2:$B$168,2,FALSE),"")</f>
        <v>3300049</v>
      </c>
    </row>
    <row r="2481" spans="1:10">
      <c r="A2481">
        <v>2022</v>
      </c>
      <c r="B2481" t="s">
        <v>1429</v>
      </c>
      <c r="C2481" t="s">
        <v>1431</v>
      </c>
      <c r="D2481" t="s">
        <v>1433</v>
      </c>
      <c r="E2481" t="s">
        <v>143</v>
      </c>
      <c r="F2481" s="9" t="s">
        <v>143</v>
      </c>
      <c r="G2481" s="18">
        <v>895982</v>
      </c>
      <c r="H2481">
        <v>0</v>
      </c>
      <c r="I2481" s="29">
        <f t="shared" si="38"/>
        <v>895982</v>
      </c>
      <c r="J2481">
        <f>IFERROR(VLOOKUP(E2481,'LEAID Match'!$A$2:$B$168,2,FALSE),"")</f>
        <v>3300049</v>
      </c>
    </row>
    <row r="2482" spans="1:10">
      <c r="A2482">
        <v>2023</v>
      </c>
      <c r="B2482" t="s">
        <v>1429</v>
      </c>
      <c r="C2482" t="s">
        <v>1431</v>
      </c>
      <c r="D2482" t="s">
        <v>1433</v>
      </c>
      <c r="E2482" t="s">
        <v>143</v>
      </c>
      <c r="F2482" t="s">
        <v>143</v>
      </c>
      <c r="G2482" s="28">
        <v>1029445</v>
      </c>
      <c r="H2482">
        <v>0</v>
      </c>
      <c r="I2482" s="29">
        <f t="shared" si="38"/>
        <v>1029445</v>
      </c>
      <c r="J2482">
        <f>IFERROR(VLOOKUP(E2482,'LEAID Match'!$A$2:$B$168,2,FALSE),"")</f>
        <v>3300049</v>
      </c>
    </row>
    <row r="2483" spans="1:10">
      <c r="A2483">
        <v>2015</v>
      </c>
      <c r="B2483" t="s">
        <v>1429</v>
      </c>
      <c r="C2483" t="s">
        <v>1431</v>
      </c>
      <c r="D2483" t="s">
        <v>1433</v>
      </c>
      <c r="E2483" t="s">
        <v>796</v>
      </c>
      <c r="F2483" s="9" t="s">
        <v>1279</v>
      </c>
      <c r="G2483" s="18">
        <v>447836.95</v>
      </c>
      <c r="H2483">
        <v>0</v>
      </c>
      <c r="I2483" s="29">
        <f t="shared" si="38"/>
        <v>447836.95</v>
      </c>
      <c r="J2483" t="str">
        <f>IFERROR(VLOOKUP(E2483,'LEAID Match'!$A$2:$B$168,2,FALSE),"")</f>
        <v/>
      </c>
    </row>
    <row r="2484" spans="1:10">
      <c r="A2484">
        <v>2016</v>
      </c>
      <c r="B2484" t="s">
        <v>1429</v>
      </c>
      <c r="C2484" t="s">
        <v>1431</v>
      </c>
      <c r="D2484" t="s">
        <v>1433</v>
      </c>
      <c r="E2484" t="s">
        <v>796</v>
      </c>
      <c r="F2484" t="s">
        <v>796</v>
      </c>
      <c r="G2484" s="28">
        <v>488654</v>
      </c>
      <c r="H2484">
        <v>0</v>
      </c>
      <c r="I2484" s="29">
        <f t="shared" si="38"/>
        <v>488654</v>
      </c>
      <c r="J2484" t="str">
        <f>IFERROR(VLOOKUP(E2484,'LEAID Match'!$A$2:$B$168,2,FALSE),"")</f>
        <v/>
      </c>
    </row>
    <row r="2485" spans="1:10">
      <c r="A2485">
        <v>2017</v>
      </c>
      <c r="B2485" t="s">
        <v>1429</v>
      </c>
      <c r="C2485" t="s">
        <v>1431</v>
      </c>
      <c r="D2485" t="s">
        <v>1433</v>
      </c>
      <c r="E2485" t="s">
        <v>796</v>
      </c>
      <c r="F2485" t="s">
        <v>796</v>
      </c>
      <c r="G2485" s="28">
        <v>488134</v>
      </c>
      <c r="H2485">
        <v>0</v>
      </c>
      <c r="I2485" s="29">
        <f t="shared" si="38"/>
        <v>488134</v>
      </c>
      <c r="J2485" t="str">
        <f>IFERROR(VLOOKUP(E2485,'LEAID Match'!$A$2:$B$168,2,FALSE),"")</f>
        <v/>
      </c>
    </row>
    <row r="2486" spans="1:10">
      <c r="A2486" s="27">
        <v>2018</v>
      </c>
      <c r="B2486" t="s">
        <v>1429</v>
      </c>
      <c r="C2486" t="s">
        <v>1431</v>
      </c>
      <c r="D2486" t="s">
        <v>1433</v>
      </c>
      <c r="E2486" t="s">
        <v>796</v>
      </c>
      <c r="F2486" s="9" t="s">
        <v>796</v>
      </c>
      <c r="G2486" s="18">
        <v>541028</v>
      </c>
      <c r="H2486">
        <v>0</v>
      </c>
      <c r="I2486" s="29">
        <f t="shared" si="38"/>
        <v>541028</v>
      </c>
      <c r="J2486" t="str">
        <f>IFERROR(VLOOKUP(E2486,'LEAID Match'!$A$2:$B$168,2,FALSE),"")</f>
        <v/>
      </c>
    </row>
    <row r="2487" spans="1:10">
      <c r="A2487">
        <v>2019</v>
      </c>
      <c r="B2487" t="s">
        <v>1429</v>
      </c>
      <c r="C2487" t="s">
        <v>1431</v>
      </c>
      <c r="D2487" t="s">
        <v>1433</v>
      </c>
      <c r="E2487" t="s">
        <v>796</v>
      </c>
      <c r="F2487" s="9" t="s">
        <v>796</v>
      </c>
      <c r="G2487" s="18">
        <v>566415</v>
      </c>
      <c r="H2487">
        <v>0</v>
      </c>
      <c r="I2487" s="29">
        <f t="shared" si="38"/>
        <v>566415</v>
      </c>
      <c r="J2487" t="str">
        <f>IFERROR(VLOOKUP(E2487,'LEAID Match'!$A$2:$B$168,2,FALSE),"")</f>
        <v/>
      </c>
    </row>
    <row r="2488" spans="1:10">
      <c r="A2488">
        <v>2015</v>
      </c>
      <c r="B2488" t="s">
        <v>1429</v>
      </c>
      <c r="C2488" t="s">
        <v>1431</v>
      </c>
      <c r="D2488" t="s">
        <v>1433</v>
      </c>
      <c r="E2488" t="s">
        <v>144</v>
      </c>
      <c r="F2488" s="9" t="s">
        <v>1280</v>
      </c>
      <c r="G2488" s="18">
        <v>1072037.03</v>
      </c>
      <c r="H2488">
        <v>0</v>
      </c>
      <c r="I2488" s="29">
        <f t="shared" si="38"/>
        <v>1072037.03</v>
      </c>
      <c r="J2488">
        <f>IFERROR(VLOOKUP(E2488,'LEAID Match'!$A$2:$B$168,2,FALSE),"")</f>
        <v>3305880</v>
      </c>
    </row>
    <row r="2489" spans="1:10">
      <c r="A2489">
        <v>2016</v>
      </c>
      <c r="B2489" t="s">
        <v>1429</v>
      </c>
      <c r="C2489" t="s">
        <v>1431</v>
      </c>
      <c r="D2489" t="s">
        <v>1433</v>
      </c>
      <c r="E2489" t="s">
        <v>144</v>
      </c>
      <c r="F2489" t="s">
        <v>797</v>
      </c>
      <c r="G2489" s="28">
        <v>1115295</v>
      </c>
      <c r="H2489">
        <v>0</v>
      </c>
      <c r="I2489" s="29">
        <f t="shared" si="38"/>
        <v>1115295</v>
      </c>
      <c r="J2489">
        <f>IFERROR(VLOOKUP(E2489,'LEAID Match'!$A$2:$B$168,2,FALSE),"")</f>
        <v>3305880</v>
      </c>
    </row>
    <row r="2490" spans="1:10">
      <c r="A2490">
        <v>2017</v>
      </c>
      <c r="B2490" t="s">
        <v>1429</v>
      </c>
      <c r="C2490" t="s">
        <v>1431</v>
      </c>
      <c r="D2490" t="s">
        <v>1433</v>
      </c>
      <c r="E2490" t="s">
        <v>144</v>
      </c>
      <c r="F2490" t="s">
        <v>797</v>
      </c>
      <c r="G2490" s="28">
        <v>1144122</v>
      </c>
      <c r="H2490">
        <v>0</v>
      </c>
      <c r="I2490" s="29">
        <f t="shared" si="38"/>
        <v>1144122</v>
      </c>
      <c r="J2490">
        <f>IFERROR(VLOOKUP(E2490,'LEAID Match'!$A$2:$B$168,2,FALSE),"")</f>
        <v>3305880</v>
      </c>
    </row>
    <row r="2491" spans="1:10">
      <c r="A2491" s="27">
        <v>2018</v>
      </c>
      <c r="B2491" t="s">
        <v>1429</v>
      </c>
      <c r="C2491" t="s">
        <v>1431</v>
      </c>
      <c r="D2491" t="s">
        <v>1433</v>
      </c>
      <c r="E2491" t="s">
        <v>144</v>
      </c>
      <c r="F2491" s="9" t="s">
        <v>797</v>
      </c>
      <c r="G2491" s="18">
        <v>1386877</v>
      </c>
      <c r="H2491">
        <v>0</v>
      </c>
      <c r="I2491" s="29">
        <f t="shared" si="38"/>
        <v>1386877</v>
      </c>
      <c r="J2491">
        <f>IFERROR(VLOOKUP(E2491,'LEAID Match'!$A$2:$B$168,2,FALSE),"")</f>
        <v>3305880</v>
      </c>
    </row>
    <row r="2492" spans="1:10">
      <c r="A2492">
        <v>2019</v>
      </c>
      <c r="B2492" t="s">
        <v>1429</v>
      </c>
      <c r="C2492" t="s">
        <v>1431</v>
      </c>
      <c r="D2492" t="s">
        <v>1433</v>
      </c>
      <c r="E2492" t="s">
        <v>144</v>
      </c>
      <c r="F2492" s="9" t="s">
        <v>797</v>
      </c>
      <c r="G2492" s="18">
        <v>1426418</v>
      </c>
      <c r="H2492">
        <v>0</v>
      </c>
      <c r="I2492" s="29">
        <f t="shared" si="38"/>
        <v>1426418</v>
      </c>
      <c r="J2492">
        <f>IFERROR(VLOOKUP(E2492,'LEAID Match'!$A$2:$B$168,2,FALSE),"")</f>
        <v>3305880</v>
      </c>
    </row>
    <row r="2493" spans="1:10">
      <c r="A2493" s="27">
        <v>2020</v>
      </c>
      <c r="B2493" t="s">
        <v>1429</v>
      </c>
      <c r="C2493" t="s">
        <v>1431</v>
      </c>
      <c r="D2493" t="s">
        <v>1433</v>
      </c>
      <c r="E2493" t="s">
        <v>144</v>
      </c>
      <c r="F2493" s="9" t="s">
        <v>144</v>
      </c>
      <c r="G2493" s="18">
        <v>1427927</v>
      </c>
      <c r="H2493">
        <v>0</v>
      </c>
      <c r="I2493" s="29">
        <f t="shared" si="38"/>
        <v>1427927</v>
      </c>
      <c r="J2493">
        <f>IFERROR(VLOOKUP(E2493,'LEAID Match'!$A$2:$B$168,2,FALSE),"")</f>
        <v>3305880</v>
      </c>
    </row>
    <row r="2494" spans="1:10">
      <c r="A2494">
        <v>2021</v>
      </c>
      <c r="B2494" t="s">
        <v>1429</v>
      </c>
      <c r="C2494" t="s">
        <v>1431</v>
      </c>
      <c r="D2494" t="s">
        <v>1433</v>
      </c>
      <c r="E2494" t="s">
        <v>144</v>
      </c>
      <c r="F2494" s="9" t="s">
        <v>144</v>
      </c>
      <c r="G2494" s="18">
        <v>1523139</v>
      </c>
      <c r="H2494">
        <v>0</v>
      </c>
      <c r="I2494" s="29">
        <f t="shared" si="38"/>
        <v>1523139</v>
      </c>
      <c r="J2494">
        <f>IFERROR(VLOOKUP(E2494,'LEAID Match'!$A$2:$B$168,2,FALSE),"")</f>
        <v>3305880</v>
      </c>
    </row>
    <row r="2495" spans="1:10">
      <c r="A2495">
        <v>2022</v>
      </c>
      <c r="B2495" t="s">
        <v>1429</v>
      </c>
      <c r="C2495" t="s">
        <v>1431</v>
      </c>
      <c r="D2495" t="s">
        <v>1433</v>
      </c>
      <c r="E2495" t="s">
        <v>144</v>
      </c>
      <c r="F2495" s="9" t="s">
        <v>144</v>
      </c>
      <c r="G2495" s="18">
        <v>1826720</v>
      </c>
      <c r="H2495">
        <v>0</v>
      </c>
      <c r="I2495" s="29">
        <f t="shared" si="38"/>
        <v>1826720</v>
      </c>
      <c r="J2495">
        <f>IFERROR(VLOOKUP(E2495,'LEAID Match'!$A$2:$B$168,2,FALSE),"")</f>
        <v>3305880</v>
      </c>
    </row>
    <row r="2496" spans="1:10">
      <c r="A2496">
        <v>2023</v>
      </c>
      <c r="B2496" t="s">
        <v>1429</v>
      </c>
      <c r="C2496" t="s">
        <v>1431</v>
      </c>
      <c r="D2496" t="s">
        <v>1433</v>
      </c>
      <c r="E2496" t="s">
        <v>144</v>
      </c>
      <c r="F2496" t="s">
        <v>144</v>
      </c>
      <c r="G2496" s="28">
        <v>1990988</v>
      </c>
      <c r="H2496">
        <v>0</v>
      </c>
      <c r="I2496" s="29">
        <f t="shared" si="38"/>
        <v>1990988</v>
      </c>
      <c r="J2496">
        <f>IFERROR(VLOOKUP(E2496,'LEAID Match'!$A$2:$B$168,2,FALSE),"")</f>
        <v>3305880</v>
      </c>
    </row>
    <row r="2497" spans="1:10">
      <c r="A2497" s="27">
        <v>2018</v>
      </c>
      <c r="B2497" t="s">
        <v>1429</v>
      </c>
      <c r="C2497" t="s">
        <v>1431</v>
      </c>
      <c r="D2497" t="s">
        <v>1433</v>
      </c>
      <c r="E2497" t="s">
        <v>482</v>
      </c>
      <c r="F2497" s="9" t="s">
        <v>482</v>
      </c>
      <c r="G2497" s="18">
        <v>1809</v>
      </c>
      <c r="H2497">
        <v>0</v>
      </c>
      <c r="I2497" s="29">
        <f t="shared" si="38"/>
        <v>1809</v>
      </c>
      <c r="J2497" t="str">
        <f>IFERROR(VLOOKUP(E2497,'LEAID Match'!$A$2:$B$168,2,FALSE),"")</f>
        <v/>
      </c>
    </row>
    <row r="2498" spans="1:10">
      <c r="A2498">
        <v>2019</v>
      </c>
      <c r="B2498" t="s">
        <v>1429</v>
      </c>
      <c r="C2498" t="s">
        <v>1431</v>
      </c>
      <c r="D2498" t="s">
        <v>1433</v>
      </c>
      <c r="E2498" t="s">
        <v>482</v>
      </c>
      <c r="F2498" s="9" t="s">
        <v>482</v>
      </c>
      <c r="G2498" s="18"/>
      <c r="H2498">
        <v>0</v>
      </c>
      <c r="I2498" s="29">
        <f t="shared" si="38"/>
        <v>0</v>
      </c>
      <c r="J2498" t="str">
        <f>IFERROR(VLOOKUP(E2498,'LEAID Match'!$A$2:$B$168,2,FALSE),"")</f>
        <v/>
      </c>
    </row>
    <row r="2499" spans="1:10">
      <c r="A2499" s="27">
        <v>2020</v>
      </c>
      <c r="B2499" t="s">
        <v>1429</v>
      </c>
      <c r="C2499" t="s">
        <v>1431</v>
      </c>
      <c r="D2499" t="s">
        <v>1433</v>
      </c>
      <c r="E2499" t="s">
        <v>482</v>
      </c>
      <c r="F2499" s="9" t="s">
        <v>482</v>
      </c>
      <c r="G2499" s="18"/>
      <c r="H2499">
        <v>0</v>
      </c>
      <c r="I2499" s="29">
        <f t="shared" ref="I2499:I2562" si="39">SUM(G2499:H2499)</f>
        <v>0</v>
      </c>
      <c r="J2499" t="str">
        <f>IFERROR(VLOOKUP(E2499,'LEAID Match'!$A$2:$B$168,2,FALSE),"")</f>
        <v/>
      </c>
    </row>
    <row r="2500" spans="1:10">
      <c r="A2500">
        <v>2021</v>
      </c>
      <c r="B2500" t="s">
        <v>1429</v>
      </c>
      <c r="C2500" t="s">
        <v>1431</v>
      </c>
      <c r="D2500" t="s">
        <v>1433</v>
      </c>
      <c r="E2500" t="s">
        <v>482</v>
      </c>
      <c r="F2500" s="9" t="s">
        <v>482</v>
      </c>
      <c r="G2500" s="18"/>
      <c r="H2500">
        <v>0</v>
      </c>
      <c r="I2500" s="29">
        <f t="shared" si="39"/>
        <v>0</v>
      </c>
      <c r="J2500" t="str">
        <f>IFERROR(VLOOKUP(E2500,'LEAID Match'!$A$2:$B$168,2,FALSE),"")</f>
        <v/>
      </c>
    </row>
    <row r="2501" spans="1:10">
      <c r="A2501">
        <v>2015</v>
      </c>
      <c r="B2501" t="s">
        <v>1429</v>
      </c>
      <c r="C2501" t="s">
        <v>1431</v>
      </c>
      <c r="D2501" t="s">
        <v>1433</v>
      </c>
      <c r="E2501" t="s">
        <v>798</v>
      </c>
      <c r="F2501" s="9" t="s">
        <v>1281</v>
      </c>
      <c r="G2501" s="18">
        <v>175350.43</v>
      </c>
      <c r="H2501">
        <v>0</v>
      </c>
      <c r="I2501" s="29">
        <f t="shared" si="39"/>
        <v>175350.43</v>
      </c>
      <c r="J2501" t="str">
        <f>IFERROR(VLOOKUP(E2501,'LEAID Match'!$A$2:$B$168,2,FALSE),"")</f>
        <v/>
      </c>
    </row>
    <row r="2502" spans="1:10">
      <c r="A2502">
        <v>2016</v>
      </c>
      <c r="B2502" t="s">
        <v>1429</v>
      </c>
      <c r="C2502" t="s">
        <v>1431</v>
      </c>
      <c r="D2502" t="s">
        <v>1433</v>
      </c>
      <c r="E2502" t="s">
        <v>798</v>
      </c>
      <c r="F2502" t="s">
        <v>798</v>
      </c>
      <c r="G2502" s="28">
        <v>211013</v>
      </c>
      <c r="H2502">
        <v>0</v>
      </c>
      <c r="I2502" s="29">
        <f t="shared" si="39"/>
        <v>211013</v>
      </c>
      <c r="J2502" t="str">
        <f>IFERROR(VLOOKUP(E2502,'LEAID Match'!$A$2:$B$168,2,FALSE),"")</f>
        <v/>
      </c>
    </row>
    <row r="2503" spans="1:10">
      <c r="A2503">
        <v>2017</v>
      </c>
      <c r="B2503" t="s">
        <v>1429</v>
      </c>
      <c r="C2503" t="s">
        <v>1431</v>
      </c>
      <c r="D2503" t="s">
        <v>1433</v>
      </c>
      <c r="E2503" t="s">
        <v>798</v>
      </c>
      <c r="F2503" t="s">
        <v>798</v>
      </c>
      <c r="G2503" s="28">
        <v>205669</v>
      </c>
      <c r="H2503">
        <v>0</v>
      </c>
      <c r="I2503" s="29">
        <f t="shared" si="39"/>
        <v>205669</v>
      </c>
      <c r="J2503" t="str">
        <f>IFERROR(VLOOKUP(E2503,'LEAID Match'!$A$2:$B$168,2,FALSE),"")</f>
        <v/>
      </c>
    </row>
    <row r="2504" spans="1:10">
      <c r="A2504" s="27">
        <v>2018</v>
      </c>
      <c r="B2504" t="s">
        <v>1429</v>
      </c>
      <c r="C2504" t="s">
        <v>1431</v>
      </c>
      <c r="D2504" t="s">
        <v>1433</v>
      </c>
      <c r="E2504" t="s">
        <v>798</v>
      </c>
      <c r="F2504" s="9" t="s">
        <v>798</v>
      </c>
      <c r="G2504" s="18">
        <v>224334</v>
      </c>
      <c r="H2504">
        <v>0</v>
      </c>
      <c r="I2504" s="29">
        <f t="shared" si="39"/>
        <v>224334</v>
      </c>
      <c r="J2504" t="str">
        <f>IFERROR(VLOOKUP(E2504,'LEAID Match'!$A$2:$B$168,2,FALSE),"")</f>
        <v/>
      </c>
    </row>
    <row r="2505" spans="1:10">
      <c r="A2505">
        <v>2019</v>
      </c>
      <c r="B2505" t="s">
        <v>1429</v>
      </c>
      <c r="C2505" t="s">
        <v>1431</v>
      </c>
      <c r="D2505" t="s">
        <v>1433</v>
      </c>
      <c r="E2505" t="s">
        <v>798</v>
      </c>
      <c r="F2505" s="9" t="s">
        <v>798</v>
      </c>
      <c r="G2505" s="18">
        <v>235409</v>
      </c>
      <c r="H2505">
        <v>0</v>
      </c>
      <c r="I2505" s="29">
        <f t="shared" si="39"/>
        <v>235409</v>
      </c>
      <c r="J2505" t="str">
        <f>IFERROR(VLOOKUP(E2505,'LEAID Match'!$A$2:$B$168,2,FALSE),"")</f>
        <v/>
      </c>
    </row>
    <row r="2506" spans="1:10">
      <c r="A2506">
        <v>2015</v>
      </c>
      <c r="B2506" t="s">
        <v>1429</v>
      </c>
      <c r="C2506" t="s">
        <v>1431</v>
      </c>
      <c r="D2506" t="s">
        <v>1433</v>
      </c>
      <c r="E2506" t="s">
        <v>145</v>
      </c>
      <c r="F2506" s="9" t="s">
        <v>1282</v>
      </c>
      <c r="G2506" s="18">
        <v>133447.41</v>
      </c>
      <c r="H2506">
        <v>0</v>
      </c>
      <c r="I2506" s="29">
        <f t="shared" si="39"/>
        <v>133447.41</v>
      </c>
      <c r="J2506">
        <f>IFERROR(VLOOKUP(E2506,'LEAID Match'!$A$2:$B$168,2,FALSE),"")</f>
        <v>0</v>
      </c>
    </row>
    <row r="2507" spans="1:10">
      <c r="A2507">
        <v>2016</v>
      </c>
      <c r="B2507" t="s">
        <v>1429</v>
      </c>
      <c r="C2507" t="s">
        <v>1431</v>
      </c>
      <c r="D2507" t="s">
        <v>1433</v>
      </c>
      <c r="E2507" t="s">
        <v>145</v>
      </c>
      <c r="F2507" t="s">
        <v>799</v>
      </c>
      <c r="G2507" s="28">
        <v>126081</v>
      </c>
      <c r="H2507">
        <v>0</v>
      </c>
      <c r="I2507" s="29">
        <f t="shared" si="39"/>
        <v>126081</v>
      </c>
      <c r="J2507">
        <f>IFERROR(VLOOKUP(E2507,'LEAID Match'!$A$2:$B$168,2,FALSE),"")</f>
        <v>0</v>
      </c>
    </row>
    <row r="2508" spans="1:10">
      <c r="A2508">
        <v>2017</v>
      </c>
      <c r="B2508" t="s">
        <v>1429</v>
      </c>
      <c r="C2508" t="s">
        <v>1431</v>
      </c>
      <c r="D2508" t="s">
        <v>1433</v>
      </c>
      <c r="E2508" t="s">
        <v>145</v>
      </c>
      <c r="F2508" t="s">
        <v>799</v>
      </c>
      <c r="G2508" s="28">
        <v>92897</v>
      </c>
      <c r="H2508">
        <v>0</v>
      </c>
      <c r="I2508" s="29">
        <f t="shared" si="39"/>
        <v>92897</v>
      </c>
      <c r="J2508">
        <f>IFERROR(VLOOKUP(E2508,'LEAID Match'!$A$2:$B$168,2,FALSE),"")</f>
        <v>0</v>
      </c>
    </row>
    <row r="2509" spans="1:10">
      <c r="A2509" s="27">
        <v>2018</v>
      </c>
      <c r="B2509" t="s">
        <v>1429</v>
      </c>
      <c r="C2509" t="s">
        <v>1431</v>
      </c>
      <c r="D2509" t="s">
        <v>1433</v>
      </c>
      <c r="E2509" t="s">
        <v>145</v>
      </c>
      <c r="F2509" s="9" t="s">
        <v>799</v>
      </c>
      <c r="G2509" s="18">
        <v>119247</v>
      </c>
      <c r="H2509">
        <v>0</v>
      </c>
      <c r="I2509" s="29">
        <f t="shared" si="39"/>
        <v>119247</v>
      </c>
      <c r="J2509">
        <f>IFERROR(VLOOKUP(E2509,'LEAID Match'!$A$2:$B$168,2,FALSE),"")</f>
        <v>0</v>
      </c>
    </row>
    <row r="2510" spans="1:10">
      <c r="A2510">
        <v>2019</v>
      </c>
      <c r="B2510" t="s">
        <v>1429</v>
      </c>
      <c r="C2510" t="s">
        <v>1431</v>
      </c>
      <c r="D2510" t="s">
        <v>1433</v>
      </c>
      <c r="E2510" t="s">
        <v>145</v>
      </c>
      <c r="F2510" s="9" t="s">
        <v>799</v>
      </c>
      <c r="G2510" s="18">
        <v>185278</v>
      </c>
      <c r="H2510">
        <v>0</v>
      </c>
      <c r="I2510" s="29">
        <f t="shared" si="39"/>
        <v>185278</v>
      </c>
      <c r="J2510">
        <f>IFERROR(VLOOKUP(E2510,'LEAID Match'!$A$2:$B$168,2,FALSE),"")</f>
        <v>0</v>
      </c>
    </row>
    <row r="2511" spans="1:10">
      <c r="A2511" s="27">
        <v>2020</v>
      </c>
      <c r="B2511" t="s">
        <v>1429</v>
      </c>
      <c r="C2511" t="s">
        <v>1431</v>
      </c>
      <c r="D2511" t="s">
        <v>1433</v>
      </c>
      <c r="E2511" t="s">
        <v>145</v>
      </c>
      <c r="F2511" s="9" t="s">
        <v>145</v>
      </c>
      <c r="G2511" s="18">
        <v>181280</v>
      </c>
      <c r="H2511">
        <v>0</v>
      </c>
      <c r="I2511" s="29">
        <f t="shared" si="39"/>
        <v>181280</v>
      </c>
      <c r="J2511">
        <f>IFERROR(VLOOKUP(E2511,'LEAID Match'!$A$2:$B$168,2,FALSE),"")</f>
        <v>0</v>
      </c>
    </row>
    <row r="2512" spans="1:10">
      <c r="A2512">
        <v>2021</v>
      </c>
      <c r="B2512" t="s">
        <v>1429</v>
      </c>
      <c r="C2512" t="s">
        <v>1431</v>
      </c>
      <c r="D2512" t="s">
        <v>1433</v>
      </c>
      <c r="E2512" t="s">
        <v>145</v>
      </c>
      <c r="F2512" s="9" t="s">
        <v>145</v>
      </c>
      <c r="G2512" s="18">
        <v>170306</v>
      </c>
      <c r="H2512">
        <v>0</v>
      </c>
      <c r="I2512" s="29">
        <f t="shared" si="39"/>
        <v>170306</v>
      </c>
      <c r="J2512">
        <f>IFERROR(VLOOKUP(E2512,'LEAID Match'!$A$2:$B$168,2,FALSE),"")</f>
        <v>0</v>
      </c>
    </row>
    <row r="2513" spans="1:10">
      <c r="A2513">
        <v>2022</v>
      </c>
      <c r="B2513" t="s">
        <v>1429</v>
      </c>
      <c r="C2513" t="s">
        <v>1431</v>
      </c>
      <c r="D2513" t="s">
        <v>1433</v>
      </c>
      <c r="E2513" t="s">
        <v>145</v>
      </c>
      <c r="F2513" s="9" t="s">
        <v>145</v>
      </c>
      <c r="G2513" s="18">
        <v>251391</v>
      </c>
      <c r="H2513">
        <v>0</v>
      </c>
      <c r="I2513" s="29">
        <f t="shared" si="39"/>
        <v>251391</v>
      </c>
      <c r="J2513">
        <f>IFERROR(VLOOKUP(E2513,'LEAID Match'!$A$2:$B$168,2,FALSE),"")</f>
        <v>0</v>
      </c>
    </row>
    <row r="2514" spans="1:10">
      <c r="A2514">
        <v>2023</v>
      </c>
      <c r="B2514" t="s">
        <v>1429</v>
      </c>
      <c r="C2514" t="s">
        <v>1431</v>
      </c>
      <c r="D2514" t="s">
        <v>1433</v>
      </c>
      <c r="E2514" t="s">
        <v>145</v>
      </c>
      <c r="F2514" t="s">
        <v>145</v>
      </c>
      <c r="G2514" s="28">
        <v>221432</v>
      </c>
      <c r="H2514">
        <v>0</v>
      </c>
      <c r="I2514" s="29">
        <f t="shared" si="39"/>
        <v>221432</v>
      </c>
      <c r="J2514">
        <f>IFERROR(VLOOKUP(E2514,'LEAID Match'!$A$2:$B$168,2,FALSE),"")</f>
        <v>0</v>
      </c>
    </row>
    <row r="2515" spans="1:10">
      <c r="A2515">
        <v>2015</v>
      </c>
      <c r="B2515" t="s">
        <v>1429</v>
      </c>
      <c r="C2515" t="s">
        <v>1431</v>
      </c>
      <c r="D2515" t="s">
        <v>1433</v>
      </c>
      <c r="E2515" t="s">
        <v>800</v>
      </c>
      <c r="F2515" s="9" t="s">
        <v>1283</v>
      </c>
      <c r="G2515" s="18">
        <v>1976072.5</v>
      </c>
      <c r="H2515">
        <v>0</v>
      </c>
      <c r="I2515" s="29">
        <f t="shared" si="39"/>
        <v>1976072.5</v>
      </c>
      <c r="J2515" t="str">
        <f>IFERROR(VLOOKUP(E2515,'LEAID Match'!$A$2:$B$168,2,FALSE),"")</f>
        <v/>
      </c>
    </row>
    <row r="2516" spans="1:10">
      <c r="A2516">
        <v>2016</v>
      </c>
      <c r="B2516" t="s">
        <v>1429</v>
      </c>
      <c r="C2516" t="s">
        <v>1431</v>
      </c>
      <c r="D2516" t="s">
        <v>1433</v>
      </c>
      <c r="E2516" t="s">
        <v>800</v>
      </c>
      <c r="F2516" t="s">
        <v>800</v>
      </c>
      <c r="G2516" s="28">
        <v>2237925</v>
      </c>
      <c r="H2516">
        <v>0</v>
      </c>
      <c r="I2516" s="29">
        <f t="shared" si="39"/>
        <v>2237925</v>
      </c>
      <c r="J2516" t="str">
        <f>IFERROR(VLOOKUP(E2516,'LEAID Match'!$A$2:$B$168,2,FALSE),"")</f>
        <v/>
      </c>
    </row>
    <row r="2517" spans="1:10">
      <c r="A2517">
        <v>2017</v>
      </c>
      <c r="B2517" t="s">
        <v>1429</v>
      </c>
      <c r="C2517" t="s">
        <v>1431</v>
      </c>
      <c r="D2517" t="s">
        <v>1433</v>
      </c>
      <c r="E2517" t="s">
        <v>800</v>
      </c>
      <c r="F2517" t="s">
        <v>800</v>
      </c>
      <c r="G2517" s="28">
        <v>2206428</v>
      </c>
      <c r="H2517">
        <v>0</v>
      </c>
      <c r="I2517" s="29">
        <f t="shared" si="39"/>
        <v>2206428</v>
      </c>
      <c r="J2517" t="str">
        <f>IFERROR(VLOOKUP(E2517,'LEAID Match'!$A$2:$B$168,2,FALSE),"")</f>
        <v/>
      </c>
    </row>
    <row r="2518" spans="1:10">
      <c r="A2518" s="27">
        <v>2018</v>
      </c>
      <c r="B2518" t="s">
        <v>1429</v>
      </c>
      <c r="C2518" t="s">
        <v>1431</v>
      </c>
      <c r="D2518" t="s">
        <v>1433</v>
      </c>
      <c r="E2518" t="s">
        <v>800</v>
      </c>
      <c r="F2518" s="9" t="s">
        <v>800</v>
      </c>
      <c r="G2518" s="18">
        <v>2479438</v>
      </c>
      <c r="H2518">
        <v>0</v>
      </c>
      <c r="I2518" s="29">
        <f t="shared" si="39"/>
        <v>2479438</v>
      </c>
      <c r="J2518" t="str">
        <f>IFERROR(VLOOKUP(E2518,'LEAID Match'!$A$2:$B$168,2,FALSE),"")</f>
        <v/>
      </c>
    </row>
    <row r="2519" spans="1:10">
      <c r="A2519">
        <v>2019</v>
      </c>
      <c r="B2519" t="s">
        <v>1429</v>
      </c>
      <c r="C2519" t="s">
        <v>1431</v>
      </c>
      <c r="D2519" t="s">
        <v>1433</v>
      </c>
      <c r="E2519" t="s">
        <v>800</v>
      </c>
      <c r="F2519" s="9" t="s">
        <v>800</v>
      </c>
      <c r="G2519" s="18">
        <v>2486859</v>
      </c>
      <c r="H2519">
        <v>0</v>
      </c>
      <c r="I2519" s="29">
        <f t="shared" si="39"/>
        <v>2486859</v>
      </c>
      <c r="J2519" t="str">
        <f>IFERROR(VLOOKUP(E2519,'LEAID Match'!$A$2:$B$168,2,FALSE),"")</f>
        <v/>
      </c>
    </row>
    <row r="2520" spans="1:10">
      <c r="A2520" s="27">
        <v>2020</v>
      </c>
      <c r="B2520" t="s">
        <v>1429</v>
      </c>
      <c r="C2520" t="s">
        <v>1431</v>
      </c>
      <c r="D2520" t="s">
        <v>1433</v>
      </c>
      <c r="E2520" t="s">
        <v>146</v>
      </c>
      <c r="F2520" s="9" t="s">
        <v>146</v>
      </c>
      <c r="G2520" s="18">
        <v>4768386</v>
      </c>
      <c r="H2520">
        <v>0</v>
      </c>
      <c r="I2520" s="29">
        <f t="shared" si="39"/>
        <v>4768386</v>
      </c>
      <c r="J2520">
        <f>IFERROR(VLOOKUP(E2520,'LEAID Match'!$A$2:$B$168,2,FALSE),"")</f>
        <v>3305940</v>
      </c>
    </row>
    <row r="2521" spans="1:10">
      <c r="A2521">
        <v>2021</v>
      </c>
      <c r="B2521" t="s">
        <v>1429</v>
      </c>
      <c r="C2521" t="s">
        <v>1431</v>
      </c>
      <c r="D2521" t="s">
        <v>1433</v>
      </c>
      <c r="E2521" t="s">
        <v>146</v>
      </c>
      <c r="F2521" s="9" t="s">
        <v>146</v>
      </c>
      <c r="G2521" s="18">
        <v>4721353</v>
      </c>
      <c r="H2521">
        <v>0</v>
      </c>
      <c r="I2521" s="29">
        <f t="shared" si="39"/>
        <v>4721353</v>
      </c>
      <c r="J2521">
        <f>IFERROR(VLOOKUP(E2521,'LEAID Match'!$A$2:$B$168,2,FALSE),"")</f>
        <v>3305940</v>
      </c>
    </row>
    <row r="2522" spans="1:10">
      <c r="A2522">
        <v>2022</v>
      </c>
      <c r="B2522" t="s">
        <v>1429</v>
      </c>
      <c r="C2522" t="s">
        <v>1431</v>
      </c>
      <c r="D2522" t="s">
        <v>1433</v>
      </c>
      <c r="E2522" t="s">
        <v>146</v>
      </c>
      <c r="F2522" s="9" t="s">
        <v>146</v>
      </c>
      <c r="G2522" s="18">
        <v>5992274</v>
      </c>
      <c r="H2522">
        <v>0</v>
      </c>
      <c r="I2522" s="29">
        <f t="shared" si="39"/>
        <v>5992274</v>
      </c>
      <c r="J2522">
        <f>IFERROR(VLOOKUP(E2522,'LEAID Match'!$A$2:$B$168,2,FALSE),"")</f>
        <v>3305940</v>
      </c>
    </row>
    <row r="2523" spans="1:10">
      <c r="A2523">
        <v>2023</v>
      </c>
      <c r="B2523" t="s">
        <v>1429</v>
      </c>
      <c r="C2523" t="s">
        <v>1431</v>
      </c>
      <c r="D2523" t="s">
        <v>1433</v>
      </c>
      <c r="E2523" t="s">
        <v>146</v>
      </c>
      <c r="F2523" t="s">
        <v>146</v>
      </c>
      <c r="G2523" s="28">
        <v>5979168</v>
      </c>
      <c r="H2523">
        <v>0</v>
      </c>
      <c r="I2523" s="29">
        <f t="shared" si="39"/>
        <v>5979168</v>
      </c>
      <c r="J2523">
        <f>IFERROR(VLOOKUP(E2523,'LEAID Match'!$A$2:$B$168,2,FALSE),"")</f>
        <v>3305940</v>
      </c>
    </row>
    <row r="2524" spans="1:10">
      <c r="A2524" s="27">
        <v>2020</v>
      </c>
      <c r="B2524" t="s">
        <v>1429</v>
      </c>
      <c r="C2524" t="s">
        <v>1431</v>
      </c>
      <c r="D2524" t="s">
        <v>1433</v>
      </c>
      <c r="E2524" t="s">
        <v>147</v>
      </c>
      <c r="F2524" s="9" t="s">
        <v>147</v>
      </c>
      <c r="G2524" s="18">
        <v>3140969</v>
      </c>
      <c r="H2524">
        <v>0</v>
      </c>
      <c r="I2524" s="29">
        <f t="shared" si="39"/>
        <v>3140969</v>
      </c>
      <c r="J2524" t="str">
        <f>IFERROR(VLOOKUP(E2524,'LEAID Match'!$A$2:$B$168,2,FALSE),"")</f>
        <v/>
      </c>
    </row>
    <row r="2525" spans="1:10">
      <c r="A2525">
        <v>2021</v>
      </c>
      <c r="B2525" t="s">
        <v>1429</v>
      </c>
      <c r="C2525" t="s">
        <v>1431</v>
      </c>
      <c r="D2525" t="s">
        <v>1433</v>
      </c>
      <c r="E2525" t="s">
        <v>147</v>
      </c>
      <c r="F2525" s="9" t="s">
        <v>147</v>
      </c>
      <c r="G2525" s="18">
        <v>3094715</v>
      </c>
      <c r="H2525">
        <v>0</v>
      </c>
      <c r="I2525" s="29">
        <f t="shared" si="39"/>
        <v>3094715</v>
      </c>
      <c r="J2525" t="str">
        <f>IFERROR(VLOOKUP(E2525,'LEAID Match'!$A$2:$B$168,2,FALSE),"")</f>
        <v/>
      </c>
    </row>
    <row r="2526" spans="1:10">
      <c r="A2526">
        <v>2022</v>
      </c>
      <c r="B2526" t="s">
        <v>1429</v>
      </c>
      <c r="C2526" t="s">
        <v>1431</v>
      </c>
      <c r="D2526" t="s">
        <v>1433</v>
      </c>
      <c r="E2526" t="s">
        <v>147</v>
      </c>
      <c r="F2526" s="9" t="s">
        <v>147</v>
      </c>
      <c r="G2526" s="18">
        <v>4189154</v>
      </c>
      <c r="H2526">
        <v>0</v>
      </c>
      <c r="I2526" s="29">
        <f t="shared" si="39"/>
        <v>4189154</v>
      </c>
      <c r="J2526" t="str">
        <f>IFERROR(VLOOKUP(E2526,'LEAID Match'!$A$2:$B$168,2,FALSE),"")</f>
        <v/>
      </c>
    </row>
    <row r="2527" spans="1:10">
      <c r="A2527">
        <v>2023</v>
      </c>
      <c r="B2527" t="s">
        <v>1429</v>
      </c>
      <c r="C2527" t="s">
        <v>1431</v>
      </c>
      <c r="D2527" t="s">
        <v>1433</v>
      </c>
      <c r="E2527" t="s">
        <v>147</v>
      </c>
      <c r="F2527" t="s">
        <v>147</v>
      </c>
      <c r="G2527" s="28">
        <v>4518741</v>
      </c>
      <c r="H2527">
        <v>0</v>
      </c>
      <c r="I2527" s="29">
        <f t="shared" si="39"/>
        <v>4518741</v>
      </c>
      <c r="J2527" t="str">
        <f>IFERROR(VLOOKUP(E2527,'LEAID Match'!$A$2:$B$168,2,FALSE),"")</f>
        <v/>
      </c>
    </row>
    <row r="2528" spans="1:10">
      <c r="A2528">
        <v>2015</v>
      </c>
      <c r="B2528" t="s">
        <v>1429</v>
      </c>
      <c r="C2528" t="s">
        <v>1431</v>
      </c>
      <c r="D2528" t="s">
        <v>1433</v>
      </c>
      <c r="E2528" t="s">
        <v>801</v>
      </c>
      <c r="F2528" s="9" t="s">
        <v>1284</v>
      </c>
      <c r="G2528" s="18">
        <v>2915840.93</v>
      </c>
      <c r="H2528">
        <v>0</v>
      </c>
      <c r="I2528" s="29">
        <f t="shared" si="39"/>
        <v>2915840.93</v>
      </c>
      <c r="J2528" t="str">
        <f>IFERROR(VLOOKUP(E2528,'LEAID Match'!$A$2:$B$168,2,FALSE),"")</f>
        <v/>
      </c>
    </row>
    <row r="2529" spans="1:10">
      <c r="A2529">
        <v>2016</v>
      </c>
      <c r="B2529" t="s">
        <v>1429</v>
      </c>
      <c r="C2529" t="s">
        <v>1431</v>
      </c>
      <c r="D2529" t="s">
        <v>1433</v>
      </c>
      <c r="E2529" t="s">
        <v>801</v>
      </c>
      <c r="F2529" t="s">
        <v>801</v>
      </c>
      <c r="G2529" s="28">
        <v>3206322</v>
      </c>
      <c r="H2529">
        <v>0</v>
      </c>
      <c r="I2529" s="29">
        <f t="shared" si="39"/>
        <v>3206322</v>
      </c>
      <c r="J2529" t="str">
        <f>IFERROR(VLOOKUP(E2529,'LEAID Match'!$A$2:$B$168,2,FALSE),"")</f>
        <v/>
      </c>
    </row>
    <row r="2530" spans="1:10">
      <c r="A2530">
        <v>2017</v>
      </c>
      <c r="B2530" t="s">
        <v>1429</v>
      </c>
      <c r="C2530" t="s">
        <v>1431</v>
      </c>
      <c r="D2530" t="s">
        <v>1433</v>
      </c>
      <c r="E2530" t="s">
        <v>801</v>
      </c>
      <c r="F2530" t="s">
        <v>801</v>
      </c>
      <c r="G2530" s="28">
        <v>2989878</v>
      </c>
      <c r="H2530">
        <v>0</v>
      </c>
      <c r="I2530" s="29">
        <f t="shared" si="39"/>
        <v>2989878</v>
      </c>
      <c r="J2530" t="str">
        <f>IFERROR(VLOOKUP(E2530,'LEAID Match'!$A$2:$B$168,2,FALSE),"")</f>
        <v/>
      </c>
    </row>
    <row r="2531" spans="1:10">
      <c r="A2531" s="27">
        <v>2018</v>
      </c>
      <c r="B2531" t="s">
        <v>1429</v>
      </c>
      <c r="C2531" t="s">
        <v>1431</v>
      </c>
      <c r="D2531" t="s">
        <v>1433</v>
      </c>
      <c r="E2531" t="s">
        <v>801</v>
      </c>
      <c r="F2531" s="9" t="s">
        <v>801</v>
      </c>
      <c r="G2531" s="18">
        <v>3160639</v>
      </c>
      <c r="H2531">
        <v>0</v>
      </c>
      <c r="I2531" s="29">
        <f t="shared" si="39"/>
        <v>3160639</v>
      </c>
      <c r="J2531" t="str">
        <f>IFERROR(VLOOKUP(E2531,'LEAID Match'!$A$2:$B$168,2,FALSE),"")</f>
        <v/>
      </c>
    </row>
    <row r="2532" spans="1:10">
      <c r="A2532">
        <v>2019</v>
      </c>
      <c r="B2532" t="s">
        <v>1429</v>
      </c>
      <c r="C2532" t="s">
        <v>1431</v>
      </c>
      <c r="D2532" t="s">
        <v>1433</v>
      </c>
      <c r="E2532" t="s">
        <v>801</v>
      </c>
      <c r="F2532" s="9" t="s">
        <v>801</v>
      </c>
      <c r="G2532" s="18">
        <v>3212756</v>
      </c>
      <c r="H2532">
        <v>0</v>
      </c>
      <c r="I2532" s="29">
        <f t="shared" si="39"/>
        <v>3212756</v>
      </c>
      <c r="J2532" t="str">
        <f>IFERROR(VLOOKUP(E2532,'LEAID Match'!$A$2:$B$168,2,FALSE),"")</f>
        <v/>
      </c>
    </row>
    <row r="2533" spans="1:10">
      <c r="A2533">
        <v>2015</v>
      </c>
      <c r="B2533" t="s">
        <v>1429</v>
      </c>
      <c r="C2533" t="s">
        <v>1431</v>
      </c>
      <c r="D2533" t="s">
        <v>1433</v>
      </c>
      <c r="E2533" t="s">
        <v>148</v>
      </c>
      <c r="F2533" s="9" t="s">
        <v>1285</v>
      </c>
      <c r="G2533" s="18">
        <v>29513.26</v>
      </c>
      <c r="H2533">
        <v>0</v>
      </c>
      <c r="I2533" s="29">
        <f t="shared" si="39"/>
        <v>29513.26</v>
      </c>
      <c r="J2533" t="str">
        <f>IFERROR(VLOOKUP(E2533,'LEAID Match'!$A$2:$B$168,2,FALSE),"")</f>
        <v/>
      </c>
    </row>
    <row r="2534" spans="1:10">
      <c r="A2534">
        <v>2016</v>
      </c>
      <c r="B2534" t="s">
        <v>1429</v>
      </c>
      <c r="C2534" t="s">
        <v>1431</v>
      </c>
      <c r="D2534" t="s">
        <v>1433</v>
      </c>
      <c r="E2534" t="s">
        <v>148</v>
      </c>
      <c r="F2534" t="s">
        <v>802</v>
      </c>
      <c r="G2534" s="28">
        <v>32339</v>
      </c>
      <c r="H2534">
        <v>0</v>
      </c>
      <c r="I2534" s="29">
        <f t="shared" si="39"/>
        <v>32339</v>
      </c>
      <c r="J2534" t="str">
        <f>IFERROR(VLOOKUP(E2534,'LEAID Match'!$A$2:$B$168,2,FALSE),"")</f>
        <v/>
      </c>
    </row>
    <row r="2535" spans="1:10">
      <c r="A2535">
        <v>2017</v>
      </c>
      <c r="B2535" t="s">
        <v>1429</v>
      </c>
      <c r="C2535" t="s">
        <v>1431</v>
      </c>
      <c r="D2535" t="s">
        <v>1433</v>
      </c>
      <c r="E2535" t="s">
        <v>148</v>
      </c>
      <c r="F2535" t="s">
        <v>802</v>
      </c>
      <c r="G2535" s="28">
        <v>35835</v>
      </c>
      <c r="H2535">
        <v>0</v>
      </c>
      <c r="I2535" s="29">
        <f t="shared" si="39"/>
        <v>35835</v>
      </c>
      <c r="J2535" t="str">
        <f>IFERROR(VLOOKUP(E2535,'LEAID Match'!$A$2:$B$168,2,FALSE),"")</f>
        <v/>
      </c>
    </row>
    <row r="2536" spans="1:10">
      <c r="A2536" s="27">
        <v>2018</v>
      </c>
      <c r="B2536" t="s">
        <v>1429</v>
      </c>
      <c r="C2536" t="s">
        <v>1431</v>
      </c>
      <c r="D2536" t="s">
        <v>1433</v>
      </c>
      <c r="E2536" t="s">
        <v>148</v>
      </c>
      <c r="F2536" s="9" t="s">
        <v>802</v>
      </c>
      <c r="G2536" s="18">
        <v>39088</v>
      </c>
      <c r="H2536">
        <v>0</v>
      </c>
      <c r="I2536" s="29">
        <f t="shared" si="39"/>
        <v>39088</v>
      </c>
      <c r="J2536" t="str">
        <f>IFERROR(VLOOKUP(E2536,'LEAID Match'!$A$2:$B$168,2,FALSE),"")</f>
        <v/>
      </c>
    </row>
    <row r="2537" spans="1:10">
      <c r="A2537">
        <v>2019</v>
      </c>
      <c r="B2537" t="s">
        <v>1429</v>
      </c>
      <c r="C2537" t="s">
        <v>1431</v>
      </c>
      <c r="D2537" t="s">
        <v>1433</v>
      </c>
      <c r="E2537" t="s">
        <v>148</v>
      </c>
      <c r="F2537" s="9" t="s">
        <v>802</v>
      </c>
      <c r="G2537" s="18">
        <v>37603</v>
      </c>
      <c r="H2537">
        <v>0</v>
      </c>
      <c r="I2537" s="29">
        <f t="shared" si="39"/>
        <v>37603</v>
      </c>
      <c r="J2537" t="str">
        <f>IFERROR(VLOOKUP(E2537,'LEAID Match'!$A$2:$B$168,2,FALSE),"")</f>
        <v/>
      </c>
    </row>
    <row r="2538" spans="1:10">
      <c r="A2538" s="27">
        <v>2020</v>
      </c>
      <c r="B2538" t="s">
        <v>1429</v>
      </c>
      <c r="C2538" t="s">
        <v>1431</v>
      </c>
      <c r="D2538" t="s">
        <v>1433</v>
      </c>
      <c r="E2538" t="s">
        <v>148</v>
      </c>
      <c r="F2538" s="9" t="s">
        <v>148</v>
      </c>
      <c r="G2538" s="18">
        <v>38690</v>
      </c>
      <c r="H2538">
        <v>0</v>
      </c>
      <c r="I2538" s="29">
        <f t="shared" si="39"/>
        <v>38690</v>
      </c>
      <c r="J2538" t="str">
        <f>IFERROR(VLOOKUP(E2538,'LEAID Match'!$A$2:$B$168,2,FALSE),"")</f>
        <v/>
      </c>
    </row>
    <row r="2539" spans="1:10">
      <c r="A2539">
        <v>2021</v>
      </c>
      <c r="B2539" t="s">
        <v>1429</v>
      </c>
      <c r="C2539" t="s">
        <v>1431</v>
      </c>
      <c r="D2539" t="s">
        <v>1433</v>
      </c>
      <c r="E2539" t="s">
        <v>148</v>
      </c>
      <c r="F2539" s="9" t="s">
        <v>148</v>
      </c>
      <c r="G2539" s="18">
        <v>42456</v>
      </c>
      <c r="H2539">
        <v>0</v>
      </c>
      <c r="I2539" s="29">
        <f t="shared" si="39"/>
        <v>42456</v>
      </c>
      <c r="J2539" t="str">
        <f>IFERROR(VLOOKUP(E2539,'LEAID Match'!$A$2:$B$168,2,FALSE),"")</f>
        <v/>
      </c>
    </row>
    <row r="2540" spans="1:10">
      <c r="A2540">
        <v>2022</v>
      </c>
      <c r="B2540" t="s">
        <v>1429</v>
      </c>
      <c r="C2540" t="s">
        <v>1431</v>
      </c>
      <c r="D2540" t="s">
        <v>1433</v>
      </c>
      <c r="E2540" t="s">
        <v>148</v>
      </c>
      <c r="F2540" s="9" t="s">
        <v>148</v>
      </c>
      <c r="G2540" s="18">
        <v>56343</v>
      </c>
      <c r="H2540">
        <v>0</v>
      </c>
      <c r="I2540" s="29">
        <f t="shared" si="39"/>
        <v>56343</v>
      </c>
      <c r="J2540" t="str">
        <f>IFERROR(VLOOKUP(E2540,'LEAID Match'!$A$2:$B$168,2,FALSE),"")</f>
        <v/>
      </c>
    </row>
    <row r="2541" spans="1:10">
      <c r="A2541">
        <v>2023</v>
      </c>
      <c r="B2541" t="s">
        <v>1429</v>
      </c>
      <c r="C2541" t="s">
        <v>1431</v>
      </c>
      <c r="D2541" t="s">
        <v>1433</v>
      </c>
      <c r="E2541" t="s">
        <v>148</v>
      </c>
      <c r="F2541" t="s">
        <v>148</v>
      </c>
      <c r="G2541" s="28">
        <v>60994</v>
      </c>
      <c r="H2541">
        <v>0</v>
      </c>
      <c r="I2541" s="29">
        <f t="shared" si="39"/>
        <v>60994</v>
      </c>
      <c r="J2541" t="str">
        <f>IFERROR(VLOOKUP(E2541,'LEAID Match'!$A$2:$B$168,2,FALSE),"")</f>
        <v/>
      </c>
    </row>
    <row r="2542" spans="1:10">
      <c r="A2542">
        <v>2015</v>
      </c>
      <c r="B2542" t="s">
        <v>1429</v>
      </c>
      <c r="C2542" t="s">
        <v>1431</v>
      </c>
      <c r="D2542" t="s">
        <v>1433</v>
      </c>
      <c r="E2542" t="s">
        <v>803</v>
      </c>
      <c r="F2542" s="9" t="s">
        <v>1286</v>
      </c>
      <c r="G2542" s="18">
        <v>37822.35</v>
      </c>
      <c r="H2542">
        <v>0</v>
      </c>
      <c r="I2542" s="29">
        <f t="shared" si="39"/>
        <v>37822.35</v>
      </c>
      <c r="J2542" t="str">
        <f>IFERROR(VLOOKUP(E2542,'LEAID Match'!$A$2:$B$168,2,FALSE),"")</f>
        <v/>
      </c>
    </row>
    <row r="2543" spans="1:10">
      <c r="A2543">
        <v>2016</v>
      </c>
      <c r="B2543" t="s">
        <v>1429</v>
      </c>
      <c r="C2543" t="s">
        <v>1431</v>
      </c>
      <c r="D2543" t="s">
        <v>1433</v>
      </c>
      <c r="E2543" t="s">
        <v>803</v>
      </c>
      <c r="F2543" t="s">
        <v>803</v>
      </c>
      <c r="G2543" s="28">
        <v>49316</v>
      </c>
      <c r="H2543">
        <v>0</v>
      </c>
      <c r="I2543" s="29">
        <f t="shared" si="39"/>
        <v>49316</v>
      </c>
      <c r="J2543" t="str">
        <f>IFERROR(VLOOKUP(E2543,'LEAID Match'!$A$2:$B$168,2,FALSE),"")</f>
        <v/>
      </c>
    </row>
    <row r="2544" spans="1:10">
      <c r="A2544">
        <v>2017</v>
      </c>
      <c r="B2544" t="s">
        <v>1429</v>
      </c>
      <c r="C2544" t="s">
        <v>1431</v>
      </c>
      <c r="D2544" t="s">
        <v>1433</v>
      </c>
      <c r="E2544" t="s">
        <v>803</v>
      </c>
      <c r="F2544" t="s">
        <v>803</v>
      </c>
      <c r="G2544" s="28">
        <v>53419</v>
      </c>
      <c r="H2544">
        <v>0</v>
      </c>
      <c r="I2544" s="29">
        <f t="shared" si="39"/>
        <v>53419</v>
      </c>
      <c r="J2544" t="str">
        <f>IFERROR(VLOOKUP(E2544,'LEAID Match'!$A$2:$B$168,2,FALSE),"")</f>
        <v/>
      </c>
    </row>
    <row r="2545" spans="1:10">
      <c r="A2545" s="27">
        <v>2018</v>
      </c>
      <c r="B2545" t="s">
        <v>1429</v>
      </c>
      <c r="C2545" t="s">
        <v>1431</v>
      </c>
      <c r="D2545" t="s">
        <v>1433</v>
      </c>
      <c r="E2545" t="s">
        <v>803</v>
      </c>
      <c r="F2545" s="9" t="s">
        <v>803</v>
      </c>
      <c r="G2545" s="18">
        <v>74353</v>
      </c>
      <c r="H2545">
        <v>0</v>
      </c>
      <c r="I2545" s="29">
        <f t="shared" si="39"/>
        <v>74353</v>
      </c>
      <c r="J2545" t="str">
        <f>IFERROR(VLOOKUP(E2545,'LEAID Match'!$A$2:$B$168,2,FALSE),"")</f>
        <v/>
      </c>
    </row>
    <row r="2546" spans="1:10">
      <c r="A2546">
        <v>2019</v>
      </c>
      <c r="B2546" t="s">
        <v>1429</v>
      </c>
      <c r="C2546" t="s">
        <v>1431</v>
      </c>
      <c r="D2546" t="s">
        <v>1433</v>
      </c>
      <c r="E2546" t="s">
        <v>803</v>
      </c>
      <c r="F2546" s="9" t="s">
        <v>803</v>
      </c>
      <c r="G2546" s="18">
        <v>70121</v>
      </c>
      <c r="H2546">
        <v>0</v>
      </c>
      <c r="I2546" s="29">
        <f t="shared" si="39"/>
        <v>70121</v>
      </c>
      <c r="J2546" t="str">
        <f>IFERROR(VLOOKUP(E2546,'LEAID Match'!$A$2:$B$168,2,FALSE),"")</f>
        <v/>
      </c>
    </row>
    <row r="2547" spans="1:10">
      <c r="A2547">
        <v>2015</v>
      </c>
      <c r="B2547" t="s">
        <v>1429</v>
      </c>
      <c r="C2547" t="s">
        <v>1431</v>
      </c>
      <c r="D2547" t="s">
        <v>1433</v>
      </c>
      <c r="E2547" t="s">
        <v>149</v>
      </c>
      <c r="F2547" s="9" t="s">
        <v>1287</v>
      </c>
      <c r="G2547" s="18">
        <v>164736.69</v>
      </c>
      <c r="H2547">
        <v>0</v>
      </c>
      <c r="I2547" s="29">
        <f t="shared" si="39"/>
        <v>164736.69</v>
      </c>
      <c r="J2547">
        <f>IFERROR(VLOOKUP(E2547,'LEAID Match'!$A$2:$B$168,2,FALSE),"")</f>
        <v>3305970</v>
      </c>
    </row>
    <row r="2548" spans="1:10">
      <c r="A2548">
        <v>2016</v>
      </c>
      <c r="B2548" t="s">
        <v>1429</v>
      </c>
      <c r="C2548" t="s">
        <v>1431</v>
      </c>
      <c r="D2548" t="s">
        <v>1433</v>
      </c>
      <c r="E2548" t="s">
        <v>149</v>
      </c>
      <c r="F2548" t="s">
        <v>804</v>
      </c>
      <c r="G2548" s="28">
        <v>171371</v>
      </c>
      <c r="H2548">
        <v>0</v>
      </c>
      <c r="I2548" s="29">
        <f t="shared" si="39"/>
        <v>171371</v>
      </c>
      <c r="J2548">
        <f>IFERROR(VLOOKUP(E2548,'LEAID Match'!$A$2:$B$168,2,FALSE),"")</f>
        <v>3305970</v>
      </c>
    </row>
    <row r="2549" spans="1:10">
      <c r="A2549">
        <v>2017</v>
      </c>
      <c r="B2549" t="s">
        <v>1429</v>
      </c>
      <c r="C2549" t="s">
        <v>1431</v>
      </c>
      <c r="D2549" t="s">
        <v>1433</v>
      </c>
      <c r="E2549" t="s">
        <v>149</v>
      </c>
      <c r="F2549" t="s">
        <v>804</v>
      </c>
      <c r="G2549" s="28">
        <v>155225</v>
      </c>
      <c r="H2549">
        <v>0</v>
      </c>
      <c r="I2549" s="29">
        <f t="shared" si="39"/>
        <v>155225</v>
      </c>
      <c r="J2549">
        <f>IFERROR(VLOOKUP(E2549,'LEAID Match'!$A$2:$B$168,2,FALSE),"")</f>
        <v>3305970</v>
      </c>
    </row>
    <row r="2550" spans="1:10">
      <c r="A2550" s="27">
        <v>2018</v>
      </c>
      <c r="B2550" t="s">
        <v>1429</v>
      </c>
      <c r="C2550" t="s">
        <v>1431</v>
      </c>
      <c r="D2550" t="s">
        <v>1433</v>
      </c>
      <c r="E2550" t="s">
        <v>149</v>
      </c>
      <c r="F2550" s="9" t="s">
        <v>804</v>
      </c>
      <c r="G2550" s="18">
        <v>188176</v>
      </c>
      <c r="H2550">
        <v>0</v>
      </c>
      <c r="I2550" s="29">
        <f t="shared" si="39"/>
        <v>188176</v>
      </c>
      <c r="J2550">
        <f>IFERROR(VLOOKUP(E2550,'LEAID Match'!$A$2:$B$168,2,FALSE),"")</f>
        <v>3305970</v>
      </c>
    </row>
    <row r="2551" spans="1:10">
      <c r="A2551">
        <v>2019</v>
      </c>
      <c r="B2551" t="s">
        <v>1429</v>
      </c>
      <c r="C2551" t="s">
        <v>1431</v>
      </c>
      <c r="D2551" t="s">
        <v>1433</v>
      </c>
      <c r="E2551" t="s">
        <v>149</v>
      </c>
      <c r="F2551" s="9" t="s">
        <v>804</v>
      </c>
      <c r="G2551" s="18">
        <v>197361</v>
      </c>
      <c r="H2551">
        <v>0</v>
      </c>
      <c r="I2551" s="29">
        <f t="shared" si="39"/>
        <v>197361</v>
      </c>
      <c r="J2551">
        <f>IFERROR(VLOOKUP(E2551,'LEAID Match'!$A$2:$B$168,2,FALSE),"")</f>
        <v>3305970</v>
      </c>
    </row>
    <row r="2552" spans="1:10">
      <c r="A2552" s="27">
        <v>2020</v>
      </c>
      <c r="B2552" t="s">
        <v>1429</v>
      </c>
      <c r="C2552" t="s">
        <v>1431</v>
      </c>
      <c r="D2552" t="s">
        <v>1433</v>
      </c>
      <c r="E2552" t="s">
        <v>149</v>
      </c>
      <c r="F2552" s="9" t="s">
        <v>149</v>
      </c>
      <c r="G2552" s="18">
        <v>218401</v>
      </c>
      <c r="H2552">
        <v>0</v>
      </c>
      <c r="I2552" s="29">
        <f t="shared" si="39"/>
        <v>218401</v>
      </c>
      <c r="J2552">
        <f>IFERROR(VLOOKUP(E2552,'LEAID Match'!$A$2:$B$168,2,FALSE),"")</f>
        <v>3305970</v>
      </c>
    </row>
    <row r="2553" spans="1:10">
      <c r="A2553">
        <v>2021</v>
      </c>
      <c r="B2553" t="s">
        <v>1429</v>
      </c>
      <c r="C2553" t="s">
        <v>1431</v>
      </c>
      <c r="D2553" t="s">
        <v>1433</v>
      </c>
      <c r="E2553" t="s">
        <v>149</v>
      </c>
      <c r="F2553" s="9" t="s">
        <v>149</v>
      </c>
      <c r="G2553" s="18">
        <v>222881</v>
      </c>
      <c r="H2553">
        <v>0</v>
      </c>
      <c r="I2553" s="29">
        <f t="shared" si="39"/>
        <v>222881</v>
      </c>
      <c r="J2553">
        <f>IFERROR(VLOOKUP(E2553,'LEAID Match'!$A$2:$B$168,2,FALSE),"")</f>
        <v>3305970</v>
      </c>
    </row>
    <row r="2554" spans="1:10">
      <c r="A2554">
        <v>2022</v>
      </c>
      <c r="B2554" t="s">
        <v>1429</v>
      </c>
      <c r="C2554" t="s">
        <v>1431</v>
      </c>
      <c r="D2554" t="s">
        <v>1433</v>
      </c>
      <c r="E2554" t="s">
        <v>149</v>
      </c>
      <c r="F2554" s="9" t="s">
        <v>149</v>
      </c>
      <c r="G2554" s="18">
        <v>266501</v>
      </c>
      <c r="H2554">
        <v>0</v>
      </c>
      <c r="I2554" s="29">
        <f t="shared" si="39"/>
        <v>266501</v>
      </c>
      <c r="J2554">
        <f>IFERROR(VLOOKUP(E2554,'LEAID Match'!$A$2:$B$168,2,FALSE),"")</f>
        <v>3305970</v>
      </c>
    </row>
    <row r="2555" spans="1:10">
      <c r="A2555">
        <v>2023</v>
      </c>
      <c r="B2555" t="s">
        <v>1429</v>
      </c>
      <c r="C2555" t="s">
        <v>1431</v>
      </c>
      <c r="D2555" t="s">
        <v>1433</v>
      </c>
      <c r="E2555" t="s">
        <v>149</v>
      </c>
      <c r="F2555" t="s">
        <v>149</v>
      </c>
      <c r="G2555" s="28">
        <v>256049</v>
      </c>
      <c r="H2555">
        <v>0</v>
      </c>
      <c r="I2555" s="29">
        <f t="shared" si="39"/>
        <v>256049</v>
      </c>
      <c r="J2555">
        <f>IFERROR(VLOOKUP(E2555,'LEAID Match'!$A$2:$B$168,2,FALSE),"")</f>
        <v>3305970</v>
      </c>
    </row>
    <row r="2556" spans="1:10">
      <c r="A2556">
        <v>2015</v>
      </c>
      <c r="B2556" t="s">
        <v>1429</v>
      </c>
      <c r="C2556" t="s">
        <v>1431</v>
      </c>
      <c r="D2556" t="s">
        <v>1433</v>
      </c>
      <c r="E2556" t="s">
        <v>805</v>
      </c>
      <c r="F2556" s="9" t="s">
        <v>1288</v>
      </c>
      <c r="G2556" s="18">
        <v>34749.67</v>
      </c>
      <c r="H2556">
        <v>0</v>
      </c>
      <c r="I2556" s="29">
        <f t="shared" si="39"/>
        <v>34749.67</v>
      </c>
      <c r="J2556" t="str">
        <f>IFERROR(VLOOKUP(E2556,'LEAID Match'!$A$2:$B$168,2,FALSE),"")</f>
        <v/>
      </c>
    </row>
    <row r="2557" spans="1:10">
      <c r="A2557">
        <v>2016</v>
      </c>
      <c r="B2557" t="s">
        <v>1429</v>
      </c>
      <c r="C2557" t="s">
        <v>1431</v>
      </c>
      <c r="D2557" t="s">
        <v>1433</v>
      </c>
      <c r="E2557" t="s">
        <v>805</v>
      </c>
      <c r="F2557" t="s">
        <v>805</v>
      </c>
      <c r="G2557" s="28">
        <v>38183</v>
      </c>
      <c r="H2557">
        <v>0</v>
      </c>
      <c r="I2557" s="29">
        <f t="shared" si="39"/>
        <v>38183</v>
      </c>
      <c r="J2557" t="str">
        <f>IFERROR(VLOOKUP(E2557,'LEAID Match'!$A$2:$B$168,2,FALSE),"")</f>
        <v/>
      </c>
    </row>
    <row r="2558" spans="1:10">
      <c r="A2558">
        <v>2017</v>
      </c>
      <c r="B2558" t="s">
        <v>1429</v>
      </c>
      <c r="C2558" t="s">
        <v>1431</v>
      </c>
      <c r="D2558" t="s">
        <v>1433</v>
      </c>
      <c r="E2558" t="s">
        <v>805</v>
      </c>
      <c r="F2558" t="s">
        <v>805</v>
      </c>
      <c r="G2558" s="28">
        <v>42619</v>
      </c>
      <c r="H2558">
        <v>0</v>
      </c>
      <c r="I2558" s="29">
        <f t="shared" si="39"/>
        <v>42619</v>
      </c>
      <c r="J2558" t="str">
        <f>IFERROR(VLOOKUP(E2558,'LEAID Match'!$A$2:$B$168,2,FALSE),"")</f>
        <v/>
      </c>
    </row>
    <row r="2559" spans="1:10">
      <c r="A2559" s="27">
        <v>2018</v>
      </c>
      <c r="B2559" t="s">
        <v>1429</v>
      </c>
      <c r="C2559" t="s">
        <v>1431</v>
      </c>
      <c r="D2559" t="s">
        <v>1433</v>
      </c>
      <c r="E2559" t="s">
        <v>805</v>
      </c>
      <c r="F2559" s="9" t="s">
        <v>805</v>
      </c>
      <c r="G2559" s="18">
        <v>45407</v>
      </c>
      <c r="H2559">
        <v>0</v>
      </c>
      <c r="I2559" s="29">
        <f t="shared" si="39"/>
        <v>45407</v>
      </c>
      <c r="J2559" t="str">
        <f>IFERROR(VLOOKUP(E2559,'LEAID Match'!$A$2:$B$168,2,FALSE),"")</f>
        <v/>
      </c>
    </row>
    <row r="2560" spans="1:10">
      <c r="A2560">
        <v>2019</v>
      </c>
      <c r="B2560" t="s">
        <v>1429</v>
      </c>
      <c r="C2560" t="s">
        <v>1431</v>
      </c>
      <c r="D2560" t="s">
        <v>1433</v>
      </c>
      <c r="E2560" t="s">
        <v>805</v>
      </c>
      <c r="F2560" s="9" t="s">
        <v>805</v>
      </c>
      <c r="G2560" s="18">
        <v>43835</v>
      </c>
      <c r="H2560">
        <v>0</v>
      </c>
      <c r="I2560" s="29">
        <f t="shared" si="39"/>
        <v>43835</v>
      </c>
      <c r="J2560" t="str">
        <f>IFERROR(VLOOKUP(E2560,'LEAID Match'!$A$2:$B$168,2,FALSE),"")</f>
        <v/>
      </c>
    </row>
    <row r="2561" spans="1:10">
      <c r="A2561">
        <v>2015</v>
      </c>
      <c r="B2561" t="s">
        <v>1429</v>
      </c>
      <c r="C2561" t="s">
        <v>1431</v>
      </c>
      <c r="D2561" t="s">
        <v>1433</v>
      </c>
      <c r="E2561" t="s">
        <v>150</v>
      </c>
      <c r="F2561" s="9" t="s">
        <v>1289</v>
      </c>
      <c r="G2561" s="18">
        <v>68066.28</v>
      </c>
      <c r="H2561">
        <v>0</v>
      </c>
      <c r="I2561" s="29">
        <f t="shared" si="39"/>
        <v>68066.28</v>
      </c>
      <c r="J2561">
        <f>IFERROR(VLOOKUP(E2561,'LEAID Match'!$A$2:$B$168,2,FALSE),"")</f>
        <v>3306000</v>
      </c>
    </row>
    <row r="2562" spans="1:10">
      <c r="A2562">
        <v>2016</v>
      </c>
      <c r="B2562" t="s">
        <v>1429</v>
      </c>
      <c r="C2562" t="s">
        <v>1431</v>
      </c>
      <c r="D2562" t="s">
        <v>1433</v>
      </c>
      <c r="E2562" t="s">
        <v>150</v>
      </c>
      <c r="F2562" t="s">
        <v>806</v>
      </c>
      <c r="G2562" s="28">
        <v>115590</v>
      </c>
      <c r="H2562">
        <v>0</v>
      </c>
      <c r="I2562" s="29">
        <f t="shared" si="39"/>
        <v>115590</v>
      </c>
      <c r="J2562">
        <f>IFERROR(VLOOKUP(E2562,'LEAID Match'!$A$2:$B$168,2,FALSE),"")</f>
        <v>3306000</v>
      </c>
    </row>
    <row r="2563" spans="1:10">
      <c r="A2563">
        <v>2017</v>
      </c>
      <c r="B2563" t="s">
        <v>1429</v>
      </c>
      <c r="C2563" t="s">
        <v>1431</v>
      </c>
      <c r="D2563" t="s">
        <v>1433</v>
      </c>
      <c r="E2563" t="s">
        <v>150</v>
      </c>
      <c r="F2563" t="s">
        <v>806</v>
      </c>
      <c r="G2563" s="28">
        <v>132855</v>
      </c>
      <c r="H2563">
        <v>0</v>
      </c>
      <c r="I2563" s="29">
        <f t="shared" ref="I2563:I2626" si="40">SUM(G2563:H2563)</f>
        <v>132855</v>
      </c>
      <c r="J2563">
        <f>IFERROR(VLOOKUP(E2563,'LEAID Match'!$A$2:$B$168,2,FALSE),"")</f>
        <v>3306000</v>
      </c>
    </row>
    <row r="2564" spans="1:10">
      <c r="A2564" s="27">
        <v>2018</v>
      </c>
      <c r="B2564" t="s">
        <v>1429</v>
      </c>
      <c r="C2564" t="s">
        <v>1431</v>
      </c>
      <c r="D2564" t="s">
        <v>1433</v>
      </c>
      <c r="E2564" t="s">
        <v>150</v>
      </c>
      <c r="F2564" s="9" t="s">
        <v>806</v>
      </c>
      <c r="G2564" s="18">
        <v>171048</v>
      </c>
      <c r="H2564">
        <v>0</v>
      </c>
      <c r="I2564" s="29">
        <f t="shared" si="40"/>
        <v>171048</v>
      </c>
      <c r="J2564">
        <f>IFERROR(VLOOKUP(E2564,'LEAID Match'!$A$2:$B$168,2,FALSE),"")</f>
        <v>3306000</v>
      </c>
    </row>
    <row r="2565" spans="1:10">
      <c r="A2565">
        <v>2019</v>
      </c>
      <c r="B2565" t="s">
        <v>1429</v>
      </c>
      <c r="C2565" t="s">
        <v>1431</v>
      </c>
      <c r="D2565" t="s">
        <v>1433</v>
      </c>
      <c r="E2565" t="s">
        <v>150</v>
      </c>
      <c r="F2565" s="9" t="s">
        <v>806</v>
      </c>
      <c r="G2565" s="18">
        <v>191043</v>
      </c>
      <c r="H2565">
        <v>0</v>
      </c>
      <c r="I2565" s="29">
        <f t="shared" si="40"/>
        <v>191043</v>
      </c>
      <c r="J2565">
        <f>IFERROR(VLOOKUP(E2565,'LEAID Match'!$A$2:$B$168,2,FALSE),"")</f>
        <v>3306000</v>
      </c>
    </row>
    <row r="2566" spans="1:10">
      <c r="A2566" s="27">
        <v>2020</v>
      </c>
      <c r="B2566" t="s">
        <v>1429</v>
      </c>
      <c r="C2566" t="s">
        <v>1431</v>
      </c>
      <c r="D2566" t="s">
        <v>1433</v>
      </c>
      <c r="E2566" t="s">
        <v>150</v>
      </c>
      <c r="F2566" s="9" t="s">
        <v>150</v>
      </c>
      <c r="G2566" s="18">
        <v>195058</v>
      </c>
      <c r="H2566">
        <v>0</v>
      </c>
      <c r="I2566" s="29">
        <f t="shared" si="40"/>
        <v>195058</v>
      </c>
      <c r="J2566">
        <f>IFERROR(VLOOKUP(E2566,'LEAID Match'!$A$2:$B$168,2,FALSE),"")</f>
        <v>3306000</v>
      </c>
    </row>
    <row r="2567" spans="1:10">
      <c r="A2567">
        <v>2021</v>
      </c>
      <c r="B2567" t="s">
        <v>1429</v>
      </c>
      <c r="C2567" t="s">
        <v>1431</v>
      </c>
      <c r="D2567" t="s">
        <v>1433</v>
      </c>
      <c r="E2567" t="s">
        <v>150</v>
      </c>
      <c r="F2567" s="9" t="s">
        <v>150</v>
      </c>
      <c r="G2567" s="18">
        <v>190442</v>
      </c>
      <c r="H2567">
        <v>0</v>
      </c>
      <c r="I2567" s="29">
        <f t="shared" si="40"/>
        <v>190442</v>
      </c>
      <c r="J2567">
        <f>IFERROR(VLOOKUP(E2567,'LEAID Match'!$A$2:$B$168,2,FALSE),"")</f>
        <v>3306000</v>
      </c>
    </row>
    <row r="2568" spans="1:10">
      <c r="A2568">
        <v>2022</v>
      </c>
      <c r="B2568" t="s">
        <v>1429</v>
      </c>
      <c r="C2568" t="s">
        <v>1431</v>
      </c>
      <c r="D2568" t="s">
        <v>1433</v>
      </c>
      <c r="E2568" t="s">
        <v>150</v>
      </c>
      <c r="F2568" s="9" t="s">
        <v>150</v>
      </c>
      <c r="G2568" s="18">
        <v>225240</v>
      </c>
      <c r="H2568">
        <v>0</v>
      </c>
      <c r="I2568" s="29">
        <f t="shared" si="40"/>
        <v>225240</v>
      </c>
      <c r="J2568">
        <f>IFERROR(VLOOKUP(E2568,'LEAID Match'!$A$2:$B$168,2,FALSE),"")</f>
        <v>3306000</v>
      </c>
    </row>
    <row r="2569" spans="1:10">
      <c r="A2569">
        <v>2023</v>
      </c>
      <c r="B2569" t="s">
        <v>1429</v>
      </c>
      <c r="C2569" t="s">
        <v>1431</v>
      </c>
      <c r="D2569" t="s">
        <v>1433</v>
      </c>
      <c r="E2569" t="s">
        <v>150</v>
      </c>
      <c r="F2569" t="s">
        <v>150</v>
      </c>
      <c r="G2569" s="28">
        <v>243811</v>
      </c>
      <c r="H2569">
        <v>0</v>
      </c>
      <c r="I2569" s="29">
        <f t="shared" si="40"/>
        <v>243811</v>
      </c>
      <c r="J2569">
        <f>IFERROR(VLOOKUP(E2569,'LEAID Match'!$A$2:$B$168,2,FALSE),"")</f>
        <v>3306000</v>
      </c>
    </row>
    <row r="2570" spans="1:10">
      <c r="A2570">
        <v>2015</v>
      </c>
      <c r="B2570" t="s">
        <v>1429</v>
      </c>
      <c r="C2570" t="s">
        <v>1431</v>
      </c>
      <c r="D2570" t="s">
        <v>1433</v>
      </c>
      <c r="E2570" t="s">
        <v>807</v>
      </c>
      <c r="F2570" s="9" t="s">
        <v>1290</v>
      </c>
      <c r="G2570" s="18">
        <v>479507.51</v>
      </c>
      <c r="H2570">
        <v>0</v>
      </c>
      <c r="I2570" s="29">
        <f t="shared" si="40"/>
        <v>479507.51</v>
      </c>
      <c r="J2570" t="str">
        <f>IFERROR(VLOOKUP(E2570,'LEAID Match'!$A$2:$B$168,2,FALSE),"")</f>
        <v/>
      </c>
    </row>
    <row r="2571" spans="1:10">
      <c r="A2571">
        <v>2016</v>
      </c>
      <c r="B2571" t="s">
        <v>1429</v>
      </c>
      <c r="C2571" t="s">
        <v>1431</v>
      </c>
      <c r="D2571" t="s">
        <v>1433</v>
      </c>
      <c r="E2571" t="s">
        <v>807</v>
      </c>
      <c r="F2571" t="s">
        <v>807</v>
      </c>
      <c r="G2571" s="28">
        <v>496346</v>
      </c>
      <c r="H2571">
        <v>0</v>
      </c>
      <c r="I2571" s="29">
        <f t="shared" si="40"/>
        <v>496346</v>
      </c>
      <c r="J2571" t="str">
        <f>IFERROR(VLOOKUP(E2571,'LEAID Match'!$A$2:$B$168,2,FALSE),"")</f>
        <v/>
      </c>
    </row>
    <row r="2572" spans="1:10">
      <c r="A2572">
        <v>2017</v>
      </c>
      <c r="B2572" t="s">
        <v>1429</v>
      </c>
      <c r="C2572" t="s">
        <v>1431</v>
      </c>
      <c r="D2572" t="s">
        <v>1433</v>
      </c>
      <c r="E2572" t="s">
        <v>807</v>
      </c>
      <c r="F2572" t="s">
        <v>807</v>
      </c>
      <c r="G2572" s="28">
        <v>500339</v>
      </c>
      <c r="H2572">
        <v>0</v>
      </c>
      <c r="I2572" s="29">
        <f t="shared" si="40"/>
        <v>500339</v>
      </c>
      <c r="J2572" t="str">
        <f>IFERROR(VLOOKUP(E2572,'LEAID Match'!$A$2:$B$168,2,FALSE),"")</f>
        <v/>
      </c>
    </row>
    <row r="2573" spans="1:10">
      <c r="A2573" s="27">
        <v>2018</v>
      </c>
      <c r="B2573" t="s">
        <v>1429</v>
      </c>
      <c r="C2573" t="s">
        <v>1431</v>
      </c>
      <c r="D2573" t="s">
        <v>1433</v>
      </c>
      <c r="E2573" t="s">
        <v>807</v>
      </c>
      <c r="F2573" s="9" t="s">
        <v>807</v>
      </c>
      <c r="G2573" s="18">
        <v>611335</v>
      </c>
      <c r="H2573">
        <v>0</v>
      </c>
      <c r="I2573" s="29">
        <f t="shared" si="40"/>
        <v>611335</v>
      </c>
      <c r="J2573" t="str">
        <f>IFERROR(VLOOKUP(E2573,'LEAID Match'!$A$2:$B$168,2,FALSE),"")</f>
        <v/>
      </c>
    </row>
    <row r="2574" spans="1:10">
      <c r="A2574">
        <v>2019</v>
      </c>
      <c r="B2574" t="s">
        <v>1429</v>
      </c>
      <c r="C2574" t="s">
        <v>1431</v>
      </c>
      <c r="D2574" t="s">
        <v>1433</v>
      </c>
      <c r="E2574" t="s">
        <v>807</v>
      </c>
      <c r="F2574" s="9" t="s">
        <v>807</v>
      </c>
      <c r="G2574" s="18">
        <v>586685</v>
      </c>
      <c r="H2574">
        <v>0</v>
      </c>
      <c r="I2574" s="29">
        <f t="shared" si="40"/>
        <v>586685</v>
      </c>
      <c r="J2574" t="str">
        <f>IFERROR(VLOOKUP(E2574,'LEAID Match'!$A$2:$B$168,2,FALSE),"")</f>
        <v/>
      </c>
    </row>
    <row r="2575" spans="1:10">
      <c r="A2575">
        <v>2015</v>
      </c>
      <c r="B2575" t="s">
        <v>1429</v>
      </c>
      <c r="C2575" t="s">
        <v>1431</v>
      </c>
      <c r="D2575" t="s">
        <v>1433</v>
      </c>
      <c r="E2575" t="s">
        <v>151</v>
      </c>
      <c r="F2575" s="9" t="s">
        <v>1291</v>
      </c>
      <c r="G2575" s="18">
        <v>535836.30000000005</v>
      </c>
      <c r="H2575">
        <v>0</v>
      </c>
      <c r="I2575" s="29">
        <f t="shared" si="40"/>
        <v>535836.30000000005</v>
      </c>
      <c r="J2575">
        <f>IFERROR(VLOOKUP(E2575,'LEAID Match'!$A$2:$B$168,2,FALSE),"")</f>
        <v>3306030</v>
      </c>
    </row>
    <row r="2576" spans="1:10">
      <c r="A2576">
        <v>2016</v>
      </c>
      <c r="B2576" t="s">
        <v>1429</v>
      </c>
      <c r="C2576" t="s">
        <v>1431</v>
      </c>
      <c r="D2576" t="s">
        <v>1433</v>
      </c>
      <c r="E2576" t="s">
        <v>151</v>
      </c>
      <c r="F2576" t="s">
        <v>808</v>
      </c>
      <c r="G2576" s="28">
        <v>562456</v>
      </c>
      <c r="H2576">
        <v>0</v>
      </c>
      <c r="I2576" s="29">
        <f t="shared" si="40"/>
        <v>562456</v>
      </c>
      <c r="J2576">
        <f>IFERROR(VLOOKUP(E2576,'LEAID Match'!$A$2:$B$168,2,FALSE),"")</f>
        <v>3306030</v>
      </c>
    </row>
    <row r="2577" spans="1:10">
      <c r="A2577">
        <v>2017</v>
      </c>
      <c r="B2577" t="s">
        <v>1429</v>
      </c>
      <c r="C2577" t="s">
        <v>1431</v>
      </c>
      <c r="D2577" t="s">
        <v>1433</v>
      </c>
      <c r="E2577" t="s">
        <v>151</v>
      </c>
      <c r="F2577" t="s">
        <v>808</v>
      </c>
      <c r="G2577" s="28">
        <v>541731</v>
      </c>
      <c r="H2577">
        <v>0</v>
      </c>
      <c r="I2577" s="29">
        <f t="shared" si="40"/>
        <v>541731</v>
      </c>
      <c r="J2577">
        <f>IFERROR(VLOOKUP(E2577,'LEAID Match'!$A$2:$B$168,2,FALSE),"")</f>
        <v>3306030</v>
      </c>
    </row>
    <row r="2578" spans="1:10">
      <c r="A2578" s="27">
        <v>2018</v>
      </c>
      <c r="B2578" t="s">
        <v>1429</v>
      </c>
      <c r="C2578" t="s">
        <v>1431</v>
      </c>
      <c r="D2578" t="s">
        <v>1433</v>
      </c>
      <c r="E2578" t="s">
        <v>151</v>
      </c>
      <c r="F2578" s="9" t="s">
        <v>808</v>
      </c>
      <c r="G2578" s="18">
        <v>723769</v>
      </c>
      <c r="H2578">
        <v>0</v>
      </c>
      <c r="I2578" s="29">
        <f t="shared" si="40"/>
        <v>723769</v>
      </c>
      <c r="J2578">
        <f>IFERROR(VLOOKUP(E2578,'LEAID Match'!$A$2:$B$168,2,FALSE),"")</f>
        <v>3306030</v>
      </c>
    </row>
    <row r="2579" spans="1:10">
      <c r="A2579">
        <v>2019</v>
      </c>
      <c r="B2579" t="s">
        <v>1429</v>
      </c>
      <c r="C2579" t="s">
        <v>1431</v>
      </c>
      <c r="D2579" t="s">
        <v>1433</v>
      </c>
      <c r="E2579" t="s">
        <v>151</v>
      </c>
      <c r="F2579" s="9" t="s">
        <v>808</v>
      </c>
      <c r="G2579" s="18">
        <v>730739</v>
      </c>
      <c r="H2579">
        <v>0</v>
      </c>
      <c r="I2579" s="29">
        <f t="shared" si="40"/>
        <v>730739</v>
      </c>
      <c r="J2579">
        <f>IFERROR(VLOOKUP(E2579,'LEAID Match'!$A$2:$B$168,2,FALSE),"")</f>
        <v>3306030</v>
      </c>
    </row>
    <row r="2580" spans="1:10">
      <c r="A2580" s="27">
        <v>2020</v>
      </c>
      <c r="B2580" t="s">
        <v>1429</v>
      </c>
      <c r="C2580" t="s">
        <v>1431</v>
      </c>
      <c r="D2580" t="s">
        <v>1433</v>
      </c>
      <c r="E2580" t="s">
        <v>151</v>
      </c>
      <c r="F2580" s="9" t="s">
        <v>151</v>
      </c>
      <c r="G2580" s="18">
        <v>758801</v>
      </c>
      <c r="H2580">
        <v>0</v>
      </c>
      <c r="I2580" s="29">
        <f t="shared" si="40"/>
        <v>758801</v>
      </c>
      <c r="J2580">
        <f>IFERROR(VLOOKUP(E2580,'LEAID Match'!$A$2:$B$168,2,FALSE),"")</f>
        <v>3306030</v>
      </c>
    </row>
    <row r="2581" spans="1:10">
      <c r="A2581">
        <v>2021</v>
      </c>
      <c r="B2581" t="s">
        <v>1429</v>
      </c>
      <c r="C2581" t="s">
        <v>1431</v>
      </c>
      <c r="D2581" t="s">
        <v>1433</v>
      </c>
      <c r="E2581" t="s">
        <v>151</v>
      </c>
      <c r="F2581" s="9" t="s">
        <v>151</v>
      </c>
      <c r="G2581" s="18">
        <v>817784</v>
      </c>
      <c r="H2581">
        <v>0</v>
      </c>
      <c r="I2581" s="29">
        <f t="shared" si="40"/>
        <v>817784</v>
      </c>
      <c r="J2581">
        <f>IFERROR(VLOOKUP(E2581,'LEAID Match'!$A$2:$B$168,2,FALSE),"")</f>
        <v>3306030</v>
      </c>
    </row>
    <row r="2582" spans="1:10">
      <c r="A2582">
        <v>2022</v>
      </c>
      <c r="B2582" t="s">
        <v>1429</v>
      </c>
      <c r="C2582" t="s">
        <v>1431</v>
      </c>
      <c r="D2582" t="s">
        <v>1433</v>
      </c>
      <c r="E2582" t="s">
        <v>151</v>
      </c>
      <c r="F2582" s="9" t="s">
        <v>151</v>
      </c>
      <c r="G2582" s="18">
        <v>869623</v>
      </c>
      <c r="H2582">
        <v>0</v>
      </c>
      <c r="I2582" s="29">
        <f t="shared" si="40"/>
        <v>869623</v>
      </c>
      <c r="J2582">
        <f>IFERROR(VLOOKUP(E2582,'LEAID Match'!$A$2:$B$168,2,FALSE),"")</f>
        <v>3306030</v>
      </c>
    </row>
    <row r="2583" spans="1:10">
      <c r="A2583">
        <v>2023</v>
      </c>
      <c r="B2583" t="s">
        <v>1429</v>
      </c>
      <c r="C2583" t="s">
        <v>1431</v>
      </c>
      <c r="D2583" t="s">
        <v>1433</v>
      </c>
      <c r="E2583" t="s">
        <v>151</v>
      </c>
      <c r="F2583" t="s">
        <v>151</v>
      </c>
      <c r="G2583" s="28">
        <v>992977</v>
      </c>
      <c r="H2583">
        <v>0</v>
      </c>
      <c r="I2583" s="29">
        <f t="shared" si="40"/>
        <v>992977</v>
      </c>
      <c r="J2583">
        <f>IFERROR(VLOOKUP(E2583,'LEAID Match'!$A$2:$B$168,2,FALSE),"")</f>
        <v>3306030</v>
      </c>
    </row>
    <row r="2584" spans="1:10">
      <c r="A2584">
        <v>2015</v>
      </c>
      <c r="B2584" t="s">
        <v>1429</v>
      </c>
      <c r="C2584" t="s">
        <v>1431</v>
      </c>
      <c r="D2584" t="s">
        <v>1433</v>
      </c>
      <c r="E2584" t="s">
        <v>152</v>
      </c>
      <c r="F2584" s="9" t="s">
        <v>1292</v>
      </c>
      <c r="G2584" s="18">
        <v>22606.46</v>
      </c>
      <c r="H2584">
        <v>0</v>
      </c>
      <c r="I2584" s="29">
        <f t="shared" si="40"/>
        <v>22606.46</v>
      </c>
      <c r="J2584" t="str">
        <f>IFERROR(VLOOKUP(E2584,'LEAID Match'!$A$2:$B$168,2,FALSE),"")</f>
        <v/>
      </c>
    </row>
    <row r="2585" spans="1:10">
      <c r="A2585">
        <v>2016</v>
      </c>
      <c r="B2585" t="s">
        <v>1429</v>
      </c>
      <c r="C2585" t="s">
        <v>1431</v>
      </c>
      <c r="D2585" t="s">
        <v>1433</v>
      </c>
      <c r="E2585" t="s">
        <v>152</v>
      </c>
      <c r="F2585" t="s">
        <v>809</v>
      </c>
      <c r="G2585" s="28">
        <v>20181</v>
      </c>
      <c r="H2585">
        <v>0</v>
      </c>
      <c r="I2585" s="29">
        <f t="shared" si="40"/>
        <v>20181</v>
      </c>
      <c r="J2585" t="str">
        <f>IFERROR(VLOOKUP(E2585,'LEAID Match'!$A$2:$B$168,2,FALSE),"")</f>
        <v/>
      </c>
    </row>
    <row r="2586" spans="1:10">
      <c r="A2586">
        <v>2017</v>
      </c>
      <c r="B2586" t="s">
        <v>1429</v>
      </c>
      <c r="C2586" t="s">
        <v>1431</v>
      </c>
      <c r="D2586" t="s">
        <v>1433</v>
      </c>
      <c r="E2586" t="s">
        <v>152</v>
      </c>
      <c r="F2586" t="s">
        <v>809</v>
      </c>
      <c r="G2586" s="28">
        <v>25014</v>
      </c>
      <c r="H2586">
        <v>0</v>
      </c>
      <c r="I2586" s="29">
        <f t="shared" si="40"/>
        <v>25014</v>
      </c>
      <c r="J2586" t="str">
        <f>IFERROR(VLOOKUP(E2586,'LEAID Match'!$A$2:$B$168,2,FALSE),"")</f>
        <v/>
      </c>
    </row>
    <row r="2587" spans="1:10">
      <c r="A2587" s="27">
        <v>2018</v>
      </c>
      <c r="B2587" t="s">
        <v>1429</v>
      </c>
      <c r="C2587" t="s">
        <v>1431</v>
      </c>
      <c r="D2587" t="s">
        <v>1433</v>
      </c>
      <c r="E2587" t="s">
        <v>152</v>
      </c>
      <c r="F2587" s="9" t="s">
        <v>809</v>
      </c>
      <c r="G2587" s="18">
        <v>27849</v>
      </c>
      <c r="H2587">
        <v>0</v>
      </c>
      <c r="I2587" s="29">
        <f t="shared" si="40"/>
        <v>27849</v>
      </c>
      <c r="J2587" t="str">
        <f>IFERROR(VLOOKUP(E2587,'LEAID Match'!$A$2:$B$168,2,FALSE),"")</f>
        <v/>
      </c>
    </row>
    <row r="2588" spans="1:10">
      <c r="A2588">
        <v>2019</v>
      </c>
      <c r="B2588" t="s">
        <v>1429</v>
      </c>
      <c r="C2588" t="s">
        <v>1431</v>
      </c>
      <c r="D2588" t="s">
        <v>1433</v>
      </c>
      <c r="E2588" t="s">
        <v>152</v>
      </c>
      <c r="F2588" s="9" t="s">
        <v>809</v>
      </c>
      <c r="G2588" s="18">
        <v>26762</v>
      </c>
      <c r="H2588">
        <v>0</v>
      </c>
      <c r="I2588" s="29">
        <f t="shared" si="40"/>
        <v>26762</v>
      </c>
      <c r="J2588" t="str">
        <f>IFERROR(VLOOKUP(E2588,'LEAID Match'!$A$2:$B$168,2,FALSE),"")</f>
        <v/>
      </c>
    </row>
    <row r="2589" spans="1:10">
      <c r="A2589" s="27">
        <v>2020</v>
      </c>
      <c r="B2589" t="s">
        <v>1429</v>
      </c>
      <c r="C2589" t="s">
        <v>1431</v>
      </c>
      <c r="D2589" t="s">
        <v>1433</v>
      </c>
      <c r="E2589" t="s">
        <v>152</v>
      </c>
      <c r="F2589" s="9" t="s">
        <v>152</v>
      </c>
      <c r="G2589" s="18">
        <v>26568</v>
      </c>
      <c r="H2589">
        <v>0</v>
      </c>
      <c r="I2589" s="29">
        <f t="shared" si="40"/>
        <v>26568</v>
      </c>
      <c r="J2589" t="str">
        <f>IFERROR(VLOOKUP(E2589,'LEAID Match'!$A$2:$B$168,2,FALSE),"")</f>
        <v/>
      </c>
    </row>
    <row r="2590" spans="1:10">
      <c r="A2590">
        <v>2021</v>
      </c>
      <c r="B2590" t="s">
        <v>1429</v>
      </c>
      <c r="C2590" t="s">
        <v>1431</v>
      </c>
      <c r="D2590" t="s">
        <v>1433</v>
      </c>
      <c r="E2590" t="s">
        <v>152</v>
      </c>
      <c r="F2590" s="9" t="s">
        <v>152</v>
      </c>
      <c r="G2590" s="18">
        <v>28468</v>
      </c>
      <c r="H2590">
        <v>0</v>
      </c>
      <c r="I2590" s="29">
        <f t="shared" si="40"/>
        <v>28468</v>
      </c>
      <c r="J2590" t="str">
        <f>IFERROR(VLOOKUP(E2590,'LEAID Match'!$A$2:$B$168,2,FALSE),"")</f>
        <v/>
      </c>
    </row>
    <row r="2591" spans="1:10">
      <c r="A2591">
        <v>2022</v>
      </c>
      <c r="B2591" t="s">
        <v>1429</v>
      </c>
      <c r="C2591" t="s">
        <v>1431</v>
      </c>
      <c r="D2591" t="s">
        <v>1433</v>
      </c>
      <c r="E2591" t="s">
        <v>152</v>
      </c>
      <c r="F2591" s="9" t="s">
        <v>152</v>
      </c>
      <c r="G2591" s="18">
        <v>34985</v>
      </c>
      <c r="H2591">
        <v>0</v>
      </c>
      <c r="I2591" s="29">
        <f t="shared" si="40"/>
        <v>34985</v>
      </c>
      <c r="J2591" t="str">
        <f>IFERROR(VLOOKUP(E2591,'LEAID Match'!$A$2:$B$168,2,FALSE),"")</f>
        <v/>
      </c>
    </row>
    <row r="2592" spans="1:10">
      <c r="A2592">
        <v>2023</v>
      </c>
      <c r="B2592" t="s">
        <v>1429</v>
      </c>
      <c r="C2592" t="s">
        <v>1431</v>
      </c>
      <c r="D2592" t="s">
        <v>1433</v>
      </c>
      <c r="E2592" t="s">
        <v>152</v>
      </c>
      <c r="F2592" t="s">
        <v>152</v>
      </c>
      <c r="G2592" s="28">
        <v>40950</v>
      </c>
      <c r="H2592">
        <v>0</v>
      </c>
      <c r="I2592" s="29">
        <f t="shared" si="40"/>
        <v>40950</v>
      </c>
      <c r="J2592" t="str">
        <f>IFERROR(VLOOKUP(E2592,'LEAID Match'!$A$2:$B$168,2,FALSE),"")</f>
        <v/>
      </c>
    </row>
    <row r="2593" spans="1:10">
      <c r="A2593">
        <v>2015</v>
      </c>
      <c r="B2593" t="s">
        <v>1429</v>
      </c>
      <c r="C2593" t="s">
        <v>1431</v>
      </c>
      <c r="D2593" t="s">
        <v>1433</v>
      </c>
      <c r="E2593" t="s">
        <v>810</v>
      </c>
      <c r="F2593" s="9" t="s">
        <v>1293</v>
      </c>
      <c r="G2593" s="18">
        <v>3369754.63</v>
      </c>
      <c r="H2593">
        <v>0</v>
      </c>
      <c r="I2593" s="29">
        <f t="shared" si="40"/>
        <v>3369754.63</v>
      </c>
      <c r="J2593" t="str">
        <f>IFERROR(VLOOKUP(E2593,'LEAID Match'!$A$2:$B$168,2,FALSE),"")</f>
        <v/>
      </c>
    </row>
    <row r="2594" spans="1:10">
      <c r="A2594">
        <v>2016</v>
      </c>
      <c r="B2594" t="s">
        <v>1429</v>
      </c>
      <c r="C2594" t="s">
        <v>1431</v>
      </c>
      <c r="D2594" t="s">
        <v>1433</v>
      </c>
      <c r="E2594" t="s">
        <v>810</v>
      </c>
      <c r="F2594" t="s">
        <v>810</v>
      </c>
      <c r="G2594" s="28">
        <v>3556439</v>
      </c>
      <c r="H2594">
        <v>0</v>
      </c>
      <c r="I2594" s="29">
        <f t="shared" si="40"/>
        <v>3556439</v>
      </c>
      <c r="J2594" t="str">
        <f>IFERROR(VLOOKUP(E2594,'LEAID Match'!$A$2:$B$168,2,FALSE),"")</f>
        <v/>
      </c>
    </row>
    <row r="2595" spans="1:10">
      <c r="A2595">
        <v>2017</v>
      </c>
      <c r="B2595" t="s">
        <v>1429</v>
      </c>
      <c r="C2595" t="s">
        <v>1431</v>
      </c>
      <c r="D2595" t="s">
        <v>1433</v>
      </c>
      <c r="E2595" t="s">
        <v>810</v>
      </c>
      <c r="F2595" t="s">
        <v>810</v>
      </c>
      <c r="G2595" s="28">
        <v>3566426</v>
      </c>
      <c r="H2595">
        <v>0</v>
      </c>
      <c r="I2595" s="29">
        <f t="shared" si="40"/>
        <v>3566426</v>
      </c>
      <c r="J2595" t="str">
        <f>IFERROR(VLOOKUP(E2595,'LEAID Match'!$A$2:$B$168,2,FALSE),"")</f>
        <v/>
      </c>
    </row>
    <row r="2596" spans="1:10">
      <c r="A2596" s="27">
        <v>2018</v>
      </c>
      <c r="B2596" t="s">
        <v>1429</v>
      </c>
      <c r="C2596" t="s">
        <v>1431</v>
      </c>
      <c r="D2596" t="s">
        <v>1433</v>
      </c>
      <c r="E2596" t="s">
        <v>810</v>
      </c>
      <c r="F2596" s="9" t="s">
        <v>810</v>
      </c>
      <c r="G2596" s="18">
        <v>4106124</v>
      </c>
      <c r="H2596">
        <v>0</v>
      </c>
      <c r="I2596" s="29">
        <f t="shared" si="40"/>
        <v>4106124</v>
      </c>
      <c r="J2596" t="str">
        <f>IFERROR(VLOOKUP(E2596,'LEAID Match'!$A$2:$B$168,2,FALSE),"")</f>
        <v/>
      </c>
    </row>
    <row r="2597" spans="1:10">
      <c r="A2597">
        <v>2019</v>
      </c>
      <c r="B2597" t="s">
        <v>1429</v>
      </c>
      <c r="C2597" t="s">
        <v>1431</v>
      </c>
      <c r="D2597" t="s">
        <v>1433</v>
      </c>
      <c r="E2597" t="s">
        <v>810</v>
      </c>
      <c r="F2597" s="9" t="s">
        <v>810</v>
      </c>
      <c r="G2597" s="18">
        <v>4267740</v>
      </c>
      <c r="H2597">
        <v>0</v>
      </c>
      <c r="I2597" s="29">
        <f t="shared" si="40"/>
        <v>4267740</v>
      </c>
      <c r="J2597" t="str">
        <f>IFERROR(VLOOKUP(E2597,'LEAID Match'!$A$2:$B$168,2,FALSE),"")</f>
        <v/>
      </c>
    </row>
    <row r="2598" spans="1:10">
      <c r="A2598">
        <v>2015</v>
      </c>
      <c r="B2598" t="s">
        <v>1429</v>
      </c>
      <c r="C2598" t="s">
        <v>1431</v>
      </c>
      <c r="D2598" t="s">
        <v>1433</v>
      </c>
      <c r="E2598" t="s">
        <v>153</v>
      </c>
      <c r="F2598" s="9" t="s">
        <v>1294</v>
      </c>
      <c r="G2598" s="18">
        <v>28047.99</v>
      </c>
      <c r="H2598">
        <v>0</v>
      </c>
      <c r="I2598" s="29">
        <f t="shared" si="40"/>
        <v>28047.99</v>
      </c>
      <c r="J2598" t="str">
        <f>IFERROR(VLOOKUP(E2598,'LEAID Match'!$A$2:$B$168,2,FALSE),"")</f>
        <v/>
      </c>
    </row>
    <row r="2599" spans="1:10">
      <c r="A2599">
        <v>2016</v>
      </c>
      <c r="B2599" t="s">
        <v>1429</v>
      </c>
      <c r="C2599" t="s">
        <v>1431</v>
      </c>
      <c r="D2599" t="s">
        <v>1433</v>
      </c>
      <c r="E2599" t="s">
        <v>153</v>
      </c>
      <c r="F2599" t="s">
        <v>811</v>
      </c>
      <c r="G2599" s="28">
        <v>29533</v>
      </c>
      <c r="H2599">
        <v>0</v>
      </c>
      <c r="I2599" s="29">
        <f t="shared" si="40"/>
        <v>29533</v>
      </c>
      <c r="J2599" t="str">
        <f>IFERROR(VLOOKUP(E2599,'LEAID Match'!$A$2:$B$168,2,FALSE),"")</f>
        <v/>
      </c>
    </row>
    <row r="2600" spans="1:10">
      <c r="A2600">
        <v>2017</v>
      </c>
      <c r="B2600" t="s">
        <v>1429</v>
      </c>
      <c r="C2600" t="s">
        <v>1431</v>
      </c>
      <c r="D2600" t="s">
        <v>1433</v>
      </c>
      <c r="E2600" t="s">
        <v>153</v>
      </c>
      <c r="F2600" t="s">
        <v>811</v>
      </c>
      <c r="G2600" s="28">
        <v>30622</v>
      </c>
      <c r="H2600">
        <v>0</v>
      </c>
      <c r="I2600" s="29">
        <f t="shared" si="40"/>
        <v>30622</v>
      </c>
      <c r="J2600" t="str">
        <f>IFERROR(VLOOKUP(E2600,'LEAID Match'!$A$2:$B$168,2,FALSE),"")</f>
        <v/>
      </c>
    </row>
    <row r="2601" spans="1:10">
      <c r="A2601" s="27">
        <v>2018</v>
      </c>
      <c r="B2601" t="s">
        <v>1429</v>
      </c>
      <c r="C2601" t="s">
        <v>1431</v>
      </c>
      <c r="D2601" t="s">
        <v>1433</v>
      </c>
      <c r="E2601" t="s">
        <v>153</v>
      </c>
      <c r="F2601" s="9" t="s">
        <v>811</v>
      </c>
      <c r="G2601" s="18">
        <v>39071</v>
      </c>
      <c r="H2601">
        <v>0</v>
      </c>
      <c r="I2601" s="29">
        <f t="shared" si="40"/>
        <v>39071</v>
      </c>
      <c r="J2601" t="str">
        <f>IFERROR(VLOOKUP(E2601,'LEAID Match'!$A$2:$B$168,2,FALSE),"")</f>
        <v/>
      </c>
    </row>
    <row r="2602" spans="1:10">
      <c r="A2602">
        <v>2019</v>
      </c>
      <c r="B2602" t="s">
        <v>1429</v>
      </c>
      <c r="C2602" t="s">
        <v>1431</v>
      </c>
      <c r="D2602" t="s">
        <v>1433</v>
      </c>
      <c r="E2602" t="s">
        <v>153</v>
      </c>
      <c r="F2602" s="9" t="s">
        <v>811</v>
      </c>
      <c r="G2602" s="18">
        <v>38641</v>
      </c>
      <c r="H2602">
        <v>0</v>
      </c>
      <c r="I2602" s="29">
        <f t="shared" si="40"/>
        <v>38641</v>
      </c>
      <c r="J2602" t="str">
        <f>IFERROR(VLOOKUP(E2602,'LEAID Match'!$A$2:$B$168,2,FALSE),"")</f>
        <v/>
      </c>
    </row>
    <row r="2603" spans="1:10">
      <c r="A2603" s="27">
        <v>2020</v>
      </c>
      <c r="B2603" t="s">
        <v>1429</v>
      </c>
      <c r="C2603" t="s">
        <v>1431</v>
      </c>
      <c r="D2603" t="s">
        <v>1433</v>
      </c>
      <c r="E2603" t="s">
        <v>153</v>
      </c>
      <c r="F2603" s="9" t="s">
        <v>153</v>
      </c>
      <c r="G2603" s="18">
        <v>36027</v>
      </c>
      <c r="H2603">
        <v>0</v>
      </c>
      <c r="I2603" s="29">
        <f t="shared" si="40"/>
        <v>36027</v>
      </c>
      <c r="J2603" t="str">
        <f>IFERROR(VLOOKUP(E2603,'LEAID Match'!$A$2:$B$168,2,FALSE),"")</f>
        <v/>
      </c>
    </row>
    <row r="2604" spans="1:10">
      <c r="A2604">
        <v>2021</v>
      </c>
      <c r="B2604" t="s">
        <v>1429</v>
      </c>
      <c r="C2604" t="s">
        <v>1431</v>
      </c>
      <c r="D2604" t="s">
        <v>1433</v>
      </c>
      <c r="E2604" t="s">
        <v>153</v>
      </c>
      <c r="F2604" s="9" t="s">
        <v>153</v>
      </c>
      <c r="G2604" s="18">
        <v>37333</v>
      </c>
      <c r="H2604">
        <v>0</v>
      </c>
      <c r="I2604" s="29">
        <f t="shared" si="40"/>
        <v>37333</v>
      </c>
      <c r="J2604" t="str">
        <f>IFERROR(VLOOKUP(E2604,'LEAID Match'!$A$2:$B$168,2,FALSE),"")</f>
        <v/>
      </c>
    </row>
    <row r="2605" spans="1:10">
      <c r="A2605">
        <v>2022</v>
      </c>
      <c r="B2605" t="s">
        <v>1429</v>
      </c>
      <c r="C2605" t="s">
        <v>1431</v>
      </c>
      <c r="D2605" t="s">
        <v>1433</v>
      </c>
      <c r="E2605" t="s">
        <v>153</v>
      </c>
      <c r="F2605" s="9" t="s">
        <v>153</v>
      </c>
      <c r="G2605" s="18">
        <v>49173</v>
      </c>
      <c r="H2605">
        <v>0</v>
      </c>
      <c r="I2605" s="29">
        <f t="shared" si="40"/>
        <v>49173</v>
      </c>
      <c r="J2605" t="str">
        <f>IFERROR(VLOOKUP(E2605,'LEAID Match'!$A$2:$B$168,2,FALSE),"")</f>
        <v/>
      </c>
    </row>
    <row r="2606" spans="1:10">
      <c r="A2606">
        <v>2023</v>
      </c>
      <c r="B2606" t="s">
        <v>1429</v>
      </c>
      <c r="C2606" t="s">
        <v>1431</v>
      </c>
      <c r="D2606" t="s">
        <v>1433</v>
      </c>
      <c r="E2606" t="s">
        <v>153</v>
      </c>
      <c r="F2606" t="s">
        <v>153</v>
      </c>
      <c r="G2606" s="28">
        <v>52901</v>
      </c>
      <c r="H2606">
        <v>0</v>
      </c>
      <c r="I2606" s="29">
        <f t="shared" si="40"/>
        <v>52901</v>
      </c>
      <c r="J2606" t="str">
        <f>IFERROR(VLOOKUP(E2606,'LEAID Match'!$A$2:$B$168,2,FALSE),"")</f>
        <v/>
      </c>
    </row>
    <row r="2607" spans="1:10">
      <c r="A2607">
        <v>2015</v>
      </c>
      <c r="B2607" t="s">
        <v>1429</v>
      </c>
      <c r="C2607" t="s">
        <v>1431</v>
      </c>
      <c r="D2607" t="s">
        <v>1433</v>
      </c>
      <c r="E2607" t="s">
        <v>154</v>
      </c>
      <c r="F2607" s="9" t="s">
        <v>1295</v>
      </c>
      <c r="G2607" s="18">
        <v>3319336.31</v>
      </c>
      <c r="H2607">
        <v>0</v>
      </c>
      <c r="I2607" s="29">
        <f t="shared" si="40"/>
        <v>3319336.31</v>
      </c>
      <c r="J2607">
        <f>IFERROR(VLOOKUP(E2607,'LEAID Match'!$A$2:$B$168,2,FALSE),"")</f>
        <v>3306060</v>
      </c>
    </row>
    <row r="2608" spans="1:10">
      <c r="A2608">
        <v>2016</v>
      </c>
      <c r="B2608" t="s">
        <v>1429</v>
      </c>
      <c r="C2608" t="s">
        <v>1431</v>
      </c>
      <c r="D2608" t="s">
        <v>1433</v>
      </c>
      <c r="E2608" t="s">
        <v>154</v>
      </c>
      <c r="F2608" t="s">
        <v>812</v>
      </c>
      <c r="G2608" s="28">
        <v>3518241</v>
      </c>
      <c r="H2608">
        <v>0</v>
      </c>
      <c r="I2608" s="29">
        <f t="shared" si="40"/>
        <v>3518241</v>
      </c>
      <c r="J2608">
        <f>IFERROR(VLOOKUP(E2608,'LEAID Match'!$A$2:$B$168,2,FALSE),"")</f>
        <v>3306060</v>
      </c>
    </row>
    <row r="2609" spans="1:10">
      <c r="A2609">
        <v>2017</v>
      </c>
      <c r="B2609" t="s">
        <v>1429</v>
      </c>
      <c r="C2609" t="s">
        <v>1431</v>
      </c>
      <c r="D2609" t="s">
        <v>1433</v>
      </c>
      <c r="E2609" t="s">
        <v>154</v>
      </c>
      <c r="F2609" t="s">
        <v>812</v>
      </c>
      <c r="G2609" s="28">
        <v>3583613</v>
      </c>
      <c r="H2609">
        <v>0</v>
      </c>
      <c r="I2609" s="29">
        <f t="shared" si="40"/>
        <v>3583613</v>
      </c>
      <c r="J2609">
        <f>IFERROR(VLOOKUP(E2609,'LEAID Match'!$A$2:$B$168,2,FALSE),"")</f>
        <v>3306060</v>
      </c>
    </row>
    <row r="2610" spans="1:10">
      <c r="A2610" s="27">
        <v>2018</v>
      </c>
      <c r="B2610" t="s">
        <v>1429</v>
      </c>
      <c r="C2610" t="s">
        <v>1431</v>
      </c>
      <c r="D2610" t="s">
        <v>1433</v>
      </c>
      <c r="E2610" t="s">
        <v>154</v>
      </c>
      <c r="F2610" s="9" t="s">
        <v>812</v>
      </c>
      <c r="G2610" s="18">
        <v>4398198</v>
      </c>
      <c r="H2610">
        <v>0</v>
      </c>
      <c r="I2610" s="29">
        <f t="shared" si="40"/>
        <v>4398198</v>
      </c>
      <c r="J2610">
        <f>IFERROR(VLOOKUP(E2610,'LEAID Match'!$A$2:$B$168,2,FALSE),"")</f>
        <v>3306060</v>
      </c>
    </row>
    <row r="2611" spans="1:10">
      <c r="A2611">
        <v>2019</v>
      </c>
      <c r="B2611" t="s">
        <v>1429</v>
      </c>
      <c r="C2611" t="s">
        <v>1431</v>
      </c>
      <c r="D2611" t="s">
        <v>1433</v>
      </c>
      <c r="E2611" t="s">
        <v>154</v>
      </c>
      <c r="F2611" s="9" t="s">
        <v>812</v>
      </c>
      <c r="G2611" s="18">
        <v>4495178</v>
      </c>
      <c r="H2611">
        <v>0</v>
      </c>
      <c r="I2611" s="29">
        <f t="shared" si="40"/>
        <v>4495178</v>
      </c>
      <c r="J2611">
        <f>IFERROR(VLOOKUP(E2611,'LEAID Match'!$A$2:$B$168,2,FALSE),"")</f>
        <v>3306060</v>
      </c>
    </row>
    <row r="2612" spans="1:10">
      <c r="A2612" s="27">
        <v>2020</v>
      </c>
      <c r="B2612" t="s">
        <v>1429</v>
      </c>
      <c r="C2612" t="s">
        <v>1431</v>
      </c>
      <c r="D2612" t="s">
        <v>1433</v>
      </c>
      <c r="E2612" t="s">
        <v>154</v>
      </c>
      <c r="F2612" s="9" t="s">
        <v>154</v>
      </c>
      <c r="G2612" s="18">
        <v>4739041</v>
      </c>
      <c r="H2612">
        <v>0</v>
      </c>
      <c r="I2612" s="29">
        <f t="shared" si="40"/>
        <v>4739041</v>
      </c>
      <c r="J2612">
        <f>IFERROR(VLOOKUP(E2612,'LEAID Match'!$A$2:$B$168,2,FALSE),"")</f>
        <v>3306060</v>
      </c>
    </row>
    <row r="2613" spans="1:10">
      <c r="A2613">
        <v>2021</v>
      </c>
      <c r="B2613" t="s">
        <v>1429</v>
      </c>
      <c r="C2613" t="s">
        <v>1431</v>
      </c>
      <c r="D2613" t="s">
        <v>1433</v>
      </c>
      <c r="E2613" t="s">
        <v>154</v>
      </c>
      <c r="F2613" s="9" t="s">
        <v>154</v>
      </c>
      <c r="G2613" s="18">
        <v>4916748</v>
      </c>
      <c r="H2613">
        <v>0</v>
      </c>
      <c r="I2613" s="29">
        <f t="shared" si="40"/>
        <v>4916748</v>
      </c>
      <c r="J2613">
        <f>IFERROR(VLOOKUP(E2613,'LEAID Match'!$A$2:$B$168,2,FALSE),"")</f>
        <v>3306060</v>
      </c>
    </row>
    <row r="2614" spans="1:10">
      <c r="A2614">
        <v>2022</v>
      </c>
      <c r="B2614" t="s">
        <v>1429</v>
      </c>
      <c r="C2614" t="s">
        <v>1431</v>
      </c>
      <c r="D2614" t="s">
        <v>1433</v>
      </c>
      <c r="E2614" t="s">
        <v>154</v>
      </c>
      <c r="F2614" s="9" t="s">
        <v>154</v>
      </c>
      <c r="G2614" s="18">
        <v>6139638</v>
      </c>
      <c r="H2614">
        <v>0</v>
      </c>
      <c r="I2614" s="29">
        <f t="shared" si="40"/>
        <v>6139638</v>
      </c>
      <c r="J2614">
        <f>IFERROR(VLOOKUP(E2614,'LEAID Match'!$A$2:$B$168,2,FALSE),"")</f>
        <v>3306060</v>
      </c>
    </row>
    <row r="2615" spans="1:10">
      <c r="A2615">
        <v>2023</v>
      </c>
      <c r="B2615" t="s">
        <v>1429</v>
      </c>
      <c r="C2615" t="s">
        <v>1431</v>
      </c>
      <c r="D2615" t="s">
        <v>1433</v>
      </c>
      <c r="E2615" t="s">
        <v>154</v>
      </c>
      <c r="F2615" t="s">
        <v>154</v>
      </c>
      <c r="G2615" s="28">
        <v>6323986</v>
      </c>
      <c r="H2615">
        <v>0</v>
      </c>
      <c r="I2615" s="29">
        <f t="shared" si="40"/>
        <v>6323986</v>
      </c>
      <c r="J2615">
        <f>IFERROR(VLOOKUP(E2615,'LEAID Match'!$A$2:$B$168,2,FALSE),"")</f>
        <v>3306060</v>
      </c>
    </row>
    <row r="2616" spans="1:10">
      <c r="A2616">
        <v>2015</v>
      </c>
      <c r="B2616" t="s">
        <v>1429</v>
      </c>
      <c r="C2616" t="s">
        <v>1431</v>
      </c>
      <c r="D2616" t="s">
        <v>1433</v>
      </c>
      <c r="E2616" t="s">
        <v>813</v>
      </c>
      <c r="F2616" s="9" t="s">
        <v>1296</v>
      </c>
      <c r="G2616" s="18">
        <v>4844.93</v>
      </c>
      <c r="H2616">
        <v>0</v>
      </c>
      <c r="I2616" s="29">
        <f t="shared" si="40"/>
        <v>4844.93</v>
      </c>
      <c r="J2616" t="str">
        <f>IFERROR(VLOOKUP(E2616,'LEAID Match'!$A$2:$B$168,2,FALSE),"")</f>
        <v/>
      </c>
    </row>
    <row r="2617" spans="1:10">
      <c r="A2617">
        <v>2016</v>
      </c>
      <c r="B2617" t="s">
        <v>1429</v>
      </c>
      <c r="C2617" t="s">
        <v>1431</v>
      </c>
      <c r="D2617" t="s">
        <v>1433</v>
      </c>
      <c r="E2617" t="s">
        <v>813</v>
      </c>
      <c r="F2617" t="s">
        <v>813</v>
      </c>
      <c r="G2617" s="28">
        <v>5340</v>
      </c>
      <c r="H2617">
        <v>0</v>
      </c>
      <c r="I2617" s="29">
        <f t="shared" si="40"/>
        <v>5340</v>
      </c>
      <c r="J2617" t="str">
        <f>IFERROR(VLOOKUP(E2617,'LEAID Match'!$A$2:$B$168,2,FALSE),"")</f>
        <v/>
      </c>
    </row>
    <row r="2618" spans="1:10">
      <c r="A2618">
        <v>2017</v>
      </c>
      <c r="B2618" t="s">
        <v>1429</v>
      </c>
      <c r="C2618" t="s">
        <v>1431</v>
      </c>
      <c r="D2618" t="s">
        <v>1433</v>
      </c>
      <c r="E2618" t="s">
        <v>813</v>
      </c>
      <c r="F2618" t="s">
        <v>813</v>
      </c>
      <c r="G2618" s="28">
        <v>5460</v>
      </c>
      <c r="H2618">
        <v>0</v>
      </c>
      <c r="I2618" s="29">
        <f t="shared" si="40"/>
        <v>5460</v>
      </c>
      <c r="J2618" t="str">
        <f>IFERROR(VLOOKUP(E2618,'LEAID Match'!$A$2:$B$168,2,FALSE),"")</f>
        <v/>
      </c>
    </row>
    <row r="2619" spans="1:10">
      <c r="A2619" s="27">
        <v>2018</v>
      </c>
      <c r="B2619" t="s">
        <v>1429</v>
      </c>
      <c r="C2619" t="s">
        <v>1431</v>
      </c>
      <c r="D2619" t="s">
        <v>1433</v>
      </c>
      <c r="E2619" t="s">
        <v>813</v>
      </c>
      <c r="F2619" s="9" t="s">
        <v>813</v>
      </c>
      <c r="G2619" s="18">
        <v>5535</v>
      </c>
      <c r="H2619">
        <v>0</v>
      </c>
      <c r="I2619" s="29">
        <f t="shared" si="40"/>
        <v>5535</v>
      </c>
      <c r="J2619" t="str">
        <f>IFERROR(VLOOKUP(E2619,'LEAID Match'!$A$2:$B$168,2,FALSE),"")</f>
        <v/>
      </c>
    </row>
    <row r="2620" spans="1:10">
      <c r="A2620">
        <v>2019</v>
      </c>
      <c r="B2620" t="s">
        <v>1429</v>
      </c>
      <c r="C2620" t="s">
        <v>1431</v>
      </c>
      <c r="D2620" t="s">
        <v>1433</v>
      </c>
      <c r="E2620" t="s">
        <v>813</v>
      </c>
      <c r="F2620" s="9" t="s">
        <v>813</v>
      </c>
      <c r="G2620" s="18">
        <v>5588</v>
      </c>
      <c r="H2620">
        <v>0</v>
      </c>
      <c r="I2620" s="29">
        <f t="shared" si="40"/>
        <v>5588</v>
      </c>
      <c r="J2620" t="str">
        <f>IFERROR(VLOOKUP(E2620,'LEAID Match'!$A$2:$B$168,2,FALSE),"")</f>
        <v/>
      </c>
    </row>
    <row r="2621" spans="1:10">
      <c r="A2621">
        <v>2015</v>
      </c>
      <c r="B2621" t="s">
        <v>1429</v>
      </c>
      <c r="C2621" t="s">
        <v>1431</v>
      </c>
      <c r="D2621" t="s">
        <v>1433</v>
      </c>
      <c r="E2621" t="s">
        <v>155</v>
      </c>
      <c r="F2621" s="9" t="s">
        <v>1297</v>
      </c>
      <c r="G2621" s="18">
        <v>1731139.44</v>
      </c>
      <c r="H2621">
        <v>0</v>
      </c>
      <c r="I2621" s="29">
        <f t="shared" si="40"/>
        <v>1731139.44</v>
      </c>
      <c r="J2621">
        <f>IFERROR(VLOOKUP(E2621,'LEAID Match'!$A$2:$B$168,2,FALSE),"")</f>
        <v>3306080</v>
      </c>
    </row>
    <row r="2622" spans="1:10">
      <c r="A2622">
        <v>2016</v>
      </c>
      <c r="B2622" t="s">
        <v>1429</v>
      </c>
      <c r="C2622" t="s">
        <v>1431</v>
      </c>
      <c r="D2622" t="s">
        <v>1433</v>
      </c>
      <c r="E2622" t="s">
        <v>155</v>
      </c>
      <c r="F2622" t="s">
        <v>814</v>
      </c>
      <c r="G2622" s="28">
        <v>1873424</v>
      </c>
      <c r="H2622">
        <v>0</v>
      </c>
      <c r="I2622" s="29">
        <f t="shared" si="40"/>
        <v>1873424</v>
      </c>
      <c r="J2622">
        <f>IFERROR(VLOOKUP(E2622,'LEAID Match'!$A$2:$B$168,2,FALSE),"")</f>
        <v>3306080</v>
      </c>
    </row>
    <row r="2623" spans="1:10">
      <c r="A2623">
        <v>2017</v>
      </c>
      <c r="B2623" t="s">
        <v>1429</v>
      </c>
      <c r="C2623" t="s">
        <v>1431</v>
      </c>
      <c r="D2623" t="s">
        <v>1433</v>
      </c>
      <c r="E2623" t="s">
        <v>155</v>
      </c>
      <c r="F2623" t="s">
        <v>814</v>
      </c>
      <c r="G2623" s="28">
        <v>1835350</v>
      </c>
      <c r="H2623">
        <v>0</v>
      </c>
      <c r="I2623" s="29">
        <f t="shared" si="40"/>
        <v>1835350</v>
      </c>
      <c r="J2623">
        <f>IFERROR(VLOOKUP(E2623,'LEAID Match'!$A$2:$B$168,2,FALSE),"")</f>
        <v>3306080</v>
      </c>
    </row>
    <row r="2624" spans="1:10">
      <c r="A2624" s="27">
        <v>2018</v>
      </c>
      <c r="B2624" t="s">
        <v>1429</v>
      </c>
      <c r="C2624" t="s">
        <v>1431</v>
      </c>
      <c r="D2624" t="s">
        <v>1433</v>
      </c>
      <c r="E2624" t="s">
        <v>155</v>
      </c>
      <c r="F2624" s="9" t="s">
        <v>814</v>
      </c>
      <c r="G2624" s="18">
        <v>2188899</v>
      </c>
      <c r="H2624">
        <v>0</v>
      </c>
      <c r="I2624" s="29">
        <f t="shared" si="40"/>
        <v>2188899</v>
      </c>
      <c r="J2624">
        <f>IFERROR(VLOOKUP(E2624,'LEAID Match'!$A$2:$B$168,2,FALSE),"")</f>
        <v>3306080</v>
      </c>
    </row>
    <row r="2625" spans="1:10">
      <c r="A2625">
        <v>2019</v>
      </c>
      <c r="B2625" t="s">
        <v>1429</v>
      </c>
      <c r="C2625" t="s">
        <v>1431</v>
      </c>
      <c r="D2625" t="s">
        <v>1433</v>
      </c>
      <c r="E2625" t="s">
        <v>155</v>
      </c>
      <c r="F2625" s="9" t="s">
        <v>814</v>
      </c>
      <c r="G2625" s="18">
        <v>2220873</v>
      </c>
      <c r="H2625">
        <v>0</v>
      </c>
      <c r="I2625" s="29">
        <f t="shared" si="40"/>
        <v>2220873</v>
      </c>
      <c r="J2625">
        <f>IFERROR(VLOOKUP(E2625,'LEAID Match'!$A$2:$B$168,2,FALSE),"")</f>
        <v>3306080</v>
      </c>
    </row>
    <row r="2626" spans="1:10">
      <c r="A2626" s="27">
        <v>2020</v>
      </c>
      <c r="B2626" t="s">
        <v>1429</v>
      </c>
      <c r="C2626" t="s">
        <v>1431</v>
      </c>
      <c r="D2626" t="s">
        <v>1433</v>
      </c>
      <c r="E2626" t="s">
        <v>155</v>
      </c>
      <c r="F2626" s="9" t="s">
        <v>155</v>
      </c>
      <c r="G2626" s="18">
        <v>2336587</v>
      </c>
      <c r="H2626">
        <v>0</v>
      </c>
      <c r="I2626" s="29">
        <f t="shared" si="40"/>
        <v>2336587</v>
      </c>
      <c r="J2626">
        <f>IFERROR(VLOOKUP(E2626,'LEAID Match'!$A$2:$B$168,2,FALSE),"")</f>
        <v>3306080</v>
      </c>
    </row>
    <row r="2627" spans="1:10">
      <c r="A2627">
        <v>2021</v>
      </c>
      <c r="B2627" t="s">
        <v>1429</v>
      </c>
      <c r="C2627" t="s">
        <v>1431</v>
      </c>
      <c r="D2627" t="s">
        <v>1433</v>
      </c>
      <c r="E2627" t="s">
        <v>155</v>
      </c>
      <c r="F2627" s="9" t="s">
        <v>155</v>
      </c>
      <c r="G2627" s="18">
        <v>2274252</v>
      </c>
      <c r="H2627">
        <v>0</v>
      </c>
      <c r="I2627" s="29">
        <f t="shared" ref="I2627:I2690" si="41">SUM(G2627:H2627)</f>
        <v>2274252</v>
      </c>
      <c r="J2627">
        <f>IFERROR(VLOOKUP(E2627,'LEAID Match'!$A$2:$B$168,2,FALSE),"")</f>
        <v>3306080</v>
      </c>
    </row>
    <row r="2628" spans="1:10">
      <c r="A2628">
        <v>2022</v>
      </c>
      <c r="B2628" t="s">
        <v>1429</v>
      </c>
      <c r="C2628" t="s">
        <v>1431</v>
      </c>
      <c r="D2628" t="s">
        <v>1433</v>
      </c>
      <c r="E2628" t="s">
        <v>155</v>
      </c>
      <c r="F2628" s="9" t="s">
        <v>155</v>
      </c>
      <c r="G2628" s="18">
        <v>2784889</v>
      </c>
      <c r="H2628">
        <v>0</v>
      </c>
      <c r="I2628" s="29">
        <f t="shared" si="41"/>
        <v>2784889</v>
      </c>
      <c r="J2628">
        <f>IFERROR(VLOOKUP(E2628,'LEAID Match'!$A$2:$B$168,2,FALSE),"")</f>
        <v>3306080</v>
      </c>
    </row>
    <row r="2629" spans="1:10">
      <c r="A2629">
        <v>2023</v>
      </c>
      <c r="B2629" t="s">
        <v>1429</v>
      </c>
      <c r="C2629" t="s">
        <v>1431</v>
      </c>
      <c r="D2629" t="s">
        <v>1433</v>
      </c>
      <c r="E2629" t="s">
        <v>155</v>
      </c>
      <c r="F2629" t="s">
        <v>155</v>
      </c>
      <c r="G2629" s="28">
        <v>2948045</v>
      </c>
      <c r="H2629">
        <v>0</v>
      </c>
      <c r="I2629" s="29">
        <f t="shared" si="41"/>
        <v>2948045</v>
      </c>
      <c r="J2629">
        <f>IFERROR(VLOOKUP(E2629,'LEAID Match'!$A$2:$B$168,2,FALSE),"")</f>
        <v>3306080</v>
      </c>
    </row>
    <row r="2630" spans="1:10">
      <c r="A2630">
        <v>2015</v>
      </c>
      <c r="B2630" t="s">
        <v>1429</v>
      </c>
      <c r="C2630" t="s">
        <v>1431</v>
      </c>
      <c r="D2630" t="s">
        <v>1433</v>
      </c>
      <c r="E2630" t="s">
        <v>815</v>
      </c>
      <c r="F2630" s="9" t="s">
        <v>1298</v>
      </c>
      <c r="G2630" s="18">
        <v>131890.89000000001</v>
      </c>
      <c r="H2630">
        <v>0</v>
      </c>
      <c r="I2630" s="29">
        <f t="shared" si="41"/>
        <v>131890.89000000001</v>
      </c>
      <c r="J2630" t="str">
        <f>IFERROR(VLOOKUP(E2630,'LEAID Match'!$A$2:$B$168,2,FALSE),"")</f>
        <v/>
      </c>
    </row>
    <row r="2631" spans="1:10">
      <c r="A2631">
        <v>2016</v>
      </c>
      <c r="B2631" t="s">
        <v>1429</v>
      </c>
      <c r="C2631" t="s">
        <v>1431</v>
      </c>
      <c r="D2631" t="s">
        <v>1433</v>
      </c>
      <c r="E2631" t="s">
        <v>815</v>
      </c>
      <c r="F2631" t="s">
        <v>815</v>
      </c>
      <c r="G2631" s="28">
        <v>142782</v>
      </c>
      <c r="H2631">
        <v>0</v>
      </c>
      <c r="I2631" s="29">
        <f t="shared" si="41"/>
        <v>142782</v>
      </c>
      <c r="J2631" t="str">
        <f>IFERROR(VLOOKUP(E2631,'LEAID Match'!$A$2:$B$168,2,FALSE),"")</f>
        <v/>
      </c>
    </row>
    <row r="2632" spans="1:10">
      <c r="A2632">
        <v>2017</v>
      </c>
      <c r="B2632" t="s">
        <v>1429</v>
      </c>
      <c r="C2632" t="s">
        <v>1431</v>
      </c>
      <c r="D2632" t="s">
        <v>1433</v>
      </c>
      <c r="E2632" t="s">
        <v>815</v>
      </c>
      <c r="F2632" t="s">
        <v>815</v>
      </c>
      <c r="G2632" s="28">
        <v>139717</v>
      </c>
      <c r="H2632">
        <v>0</v>
      </c>
      <c r="I2632" s="29">
        <f t="shared" si="41"/>
        <v>139717</v>
      </c>
      <c r="J2632" t="str">
        <f>IFERROR(VLOOKUP(E2632,'LEAID Match'!$A$2:$B$168,2,FALSE),"")</f>
        <v/>
      </c>
    </row>
    <row r="2633" spans="1:10">
      <c r="A2633" s="27">
        <v>2018</v>
      </c>
      <c r="B2633" t="s">
        <v>1429</v>
      </c>
      <c r="C2633" t="s">
        <v>1431</v>
      </c>
      <c r="D2633" t="s">
        <v>1433</v>
      </c>
      <c r="E2633" t="s">
        <v>815</v>
      </c>
      <c r="F2633" s="9" t="s">
        <v>815</v>
      </c>
      <c r="G2633" s="18">
        <v>180512</v>
      </c>
      <c r="H2633">
        <v>0</v>
      </c>
      <c r="I2633" s="29">
        <f t="shared" si="41"/>
        <v>180512</v>
      </c>
      <c r="J2633" t="str">
        <f>IFERROR(VLOOKUP(E2633,'LEAID Match'!$A$2:$B$168,2,FALSE),"")</f>
        <v/>
      </c>
    </row>
    <row r="2634" spans="1:10">
      <c r="A2634">
        <v>2019</v>
      </c>
      <c r="B2634" t="s">
        <v>1429</v>
      </c>
      <c r="C2634" t="s">
        <v>1431</v>
      </c>
      <c r="D2634" t="s">
        <v>1433</v>
      </c>
      <c r="E2634" t="s">
        <v>815</v>
      </c>
      <c r="F2634" s="9" t="s">
        <v>815</v>
      </c>
      <c r="G2634" s="18">
        <v>187078</v>
      </c>
      <c r="H2634">
        <v>0</v>
      </c>
      <c r="I2634" s="29">
        <f t="shared" si="41"/>
        <v>187078</v>
      </c>
      <c r="J2634" t="str">
        <f>IFERROR(VLOOKUP(E2634,'LEAID Match'!$A$2:$B$168,2,FALSE),"")</f>
        <v/>
      </c>
    </row>
    <row r="2635" spans="1:10">
      <c r="A2635">
        <v>2015</v>
      </c>
      <c r="B2635" t="s">
        <v>1429</v>
      </c>
      <c r="C2635" t="s">
        <v>1431</v>
      </c>
      <c r="D2635" t="s">
        <v>1433</v>
      </c>
      <c r="E2635" t="s">
        <v>156</v>
      </c>
      <c r="F2635" s="9" t="s">
        <v>1299</v>
      </c>
      <c r="G2635" s="18">
        <v>6814.69</v>
      </c>
      <c r="H2635">
        <v>0</v>
      </c>
      <c r="I2635" s="29">
        <f t="shared" si="41"/>
        <v>6814.69</v>
      </c>
      <c r="J2635" t="str">
        <f>IFERROR(VLOOKUP(E2635,'LEAID Match'!$A$2:$B$168,2,FALSE),"")</f>
        <v/>
      </c>
    </row>
    <row r="2636" spans="1:10">
      <c r="A2636">
        <v>2016</v>
      </c>
      <c r="B2636" t="s">
        <v>1429</v>
      </c>
      <c r="C2636" t="s">
        <v>1431</v>
      </c>
      <c r="D2636" t="s">
        <v>1433</v>
      </c>
      <c r="E2636" t="s">
        <v>156</v>
      </c>
      <c r="F2636" t="s">
        <v>156</v>
      </c>
      <c r="G2636" s="28">
        <v>7399</v>
      </c>
      <c r="H2636">
        <v>0</v>
      </c>
      <c r="I2636" s="29">
        <f t="shared" si="41"/>
        <v>7399</v>
      </c>
      <c r="J2636" t="str">
        <f>IFERROR(VLOOKUP(E2636,'LEAID Match'!$A$2:$B$168,2,FALSE),"")</f>
        <v/>
      </c>
    </row>
    <row r="2637" spans="1:10">
      <c r="A2637">
        <v>2017</v>
      </c>
      <c r="B2637" t="s">
        <v>1429</v>
      </c>
      <c r="C2637" t="s">
        <v>1431</v>
      </c>
      <c r="D2637" t="s">
        <v>1433</v>
      </c>
      <c r="E2637" t="s">
        <v>156</v>
      </c>
      <c r="F2637" t="s">
        <v>156</v>
      </c>
      <c r="G2637" s="28">
        <v>7262</v>
      </c>
      <c r="H2637">
        <v>0</v>
      </c>
      <c r="I2637" s="29">
        <f t="shared" si="41"/>
        <v>7262</v>
      </c>
      <c r="J2637" t="str">
        <f>IFERROR(VLOOKUP(E2637,'LEAID Match'!$A$2:$B$168,2,FALSE),"")</f>
        <v/>
      </c>
    </row>
    <row r="2638" spans="1:10">
      <c r="A2638" s="27">
        <v>2018</v>
      </c>
      <c r="B2638" t="s">
        <v>1429</v>
      </c>
      <c r="C2638" t="s">
        <v>1431</v>
      </c>
      <c r="D2638" t="s">
        <v>1433</v>
      </c>
      <c r="E2638" t="s">
        <v>156</v>
      </c>
      <c r="F2638" s="9" t="s">
        <v>156</v>
      </c>
      <c r="G2638" s="18">
        <v>7643</v>
      </c>
      <c r="H2638">
        <v>0</v>
      </c>
      <c r="I2638" s="29">
        <f t="shared" si="41"/>
        <v>7643</v>
      </c>
      <c r="J2638" t="str">
        <f>IFERROR(VLOOKUP(E2638,'LEAID Match'!$A$2:$B$168,2,FALSE),"")</f>
        <v/>
      </c>
    </row>
    <row r="2639" spans="1:10">
      <c r="A2639">
        <v>2019</v>
      </c>
      <c r="B2639" t="s">
        <v>1429</v>
      </c>
      <c r="C2639" t="s">
        <v>1431</v>
      </c>
      <c r="D2639" t="s">
        <v>1433</v>
      </c>
      <c r="E2639" t="s">
        <v>156</v>
      </c>
      <c r="F2639" s="9" t="s">
        <v>156</v>
      </c>
      <c r="G2639" s="18">
        <v>8057</v>
      </c>
      <c r="H2639">
        <v>0</v>
      </c>
      <c r="I2639" s="29">
        <f t="shared" si="41"/>
        <v>8057</v>
      </c>
      <c r="J2639" t="str">
        <f>IFERROR(VLOOKUP(E2639,'LEAID Match'!$A$2:$B$168,2,FALSE),"")</f>
        <v/>
      </c>
    </row>
    <row r="2640" spans="1:10">
      <c r="A2640" s="27">
        <v>2020</v>
      </c>
      <c r="B2640" t="s">
        <v>1429</v>
      </c>
      <c r="C2640" t="s">
        <v>1431</v>
      </c>
      <c r="D2640" t="s">
        <v>1433</v>
      </c>
      <c r="E2640" t="s">
        <v>156</v>
      </c>
      <c r="F2640" s="9" t="s">
        <v>156</v>
      </c>
      <c r="G2640" s="18">
        <v>8566</v>
      </c>
      <c r="H2640">
        <v>0</v>
      </c>
      <c r="I2640" s="29">
        <f t="shared" si="41"/>
        <v>8566</v>
      </c>
      <c r="J2640" t="str">
        <f>IFERROR(VLOOKUP(E2640,'LEAID Match'!$A$2:$B$168,2,FALSE),"")</f>
        <v/>
      </c>
    </row>
    <row r="2641" spans="1:10">
      <c r="A2641">
        <v>2021</v>
      </c>
      <c r="B2641" t="s">
        <v>1429</v>
      </c>
      <c r="C2641" t="s">
        <v>1431</v>
      </c>
      <c r="D2641" t="s">
        <v>1433</v>
      </c>
      <c r="E2641" t="s">
        <v>156</v>
      </c>
      <c r="F2641" s="9" t="s">
        <v>156</v>
      </c>
      <c r="G2641" s="18">
        <v>9196</v>
      </c>
      <c r="H2641">
        <v>0</v>
      </c>
      <c r="I2641" s="29">
        <f t="shared" si="41"/>
        <v>9196</v>
      </c>
      <c r="J2641" t="str">
        <f>IFERROR(VLOOKUP(E2641,'LEAID Match'!$A$2:$B$168,2,FALSE),"")</f>
        <v/>
      </c>
    </row>
    <row r="2642" spans="1:10">
      <c r="A2642">
        <v>2022</v>
      </c>
      <c r="B2642" t="s">
        <v>1429</v>
      </c>
      <c r="C2642" t="s">
        <v>1431</v>
      </c>
      <c r="D2642" t="s">
        <v>1433</v>
      </c>
      <c r="E2642" t="s">
        <v>156</v>
      </c>
      <c r="F2642" s="9" t="s">
        <v>156</v>
      </c>
      <c r="G2642" s="18">
        <v>10894</v>
      </c>
      <c r="H2642">
        <v>0</v>
      </c>
      <c r="I2642" s="29">
        <f t="shared" si="41"/>
        <v>10894</v>
      </c>
      <c r="J2642" t="str">
        <f>IFERROR(VLOOKUP(E2642,'LEAID Match'!$A$2:$B$168,2,FALSE),"")</f>
        <v/>
      </c>
    </row>
    <row r="2643" spans="1:10">
      <c r="A2643">
        <v>2023</v>
      </c>
      <c r="B2643" t="s">
        <v>1429</v>
      </c>
      <c r="C2643" t="s">
        <v>1431</v>
      </c>
      <c r="D2643" t="s">
        <v>1433</v>
      </c>
      <c r="E2643" t="s">
        <v>156</v>
      </c>
      <c r="F2643" t="s">
        <v>156</v>
      </c>
      <c r="G2643" s="28">
        <v>12428</v>
      </c>
      <c r="H2643">
        <v>0</v>
      </c>
      <c r="I2643" s="29">
        <f t="shared" si="41"/>
        <v>12428</v>
      </c>
      <c r="J2643" t="str">
        <f>IFERROR(VLOOKUP(E2643,'LEAID Match'!$A$2:$B$168,2,FALSE),"")</f>
        <v/>
      </c>
    </row>
    <row r="2644" spans="1:10">
      <c r="A2644">
        <v>2015</v>
      </c>
      <c r="B2644" t="s">
        <v>1429</v>
      </c>
      <c r="C2644" t="s">
        <v>1431</v>
      </c>
      <c r="D2644" t="s">
        <v>1433</v>
      </c>
      <c r="E2644" t="s">
        <v>816</v>
      </c>
      <c r="F2644" s="9" t="s">
        <v>1300</v>
      </c>
      <c r="G2644" s="18">
        <v>147879.51</v>
      </c>
      <c r="H2644">
        <v>0</v>
      </c>
      <c r="I2644" s="29">
        <f t="shared" si="41"/>
        <v>147879.51</v>
      </c>
      <c r="J2644" t="str">
        <f>IFERROR(VLOOKUP(E2644,'LEAID Match'!$A$2:$B$168,2,FALSE),"")</f>
        <v/>
      </c>
    </row>
    <row r="2645" spans="1:10">
      <c r="A2645">
        <v>2016</v>
      </c>
      <c r="B2645" t="s">
        <v>1429</v>
      </c>
      <c r="C2645" t="s">
        <v>1431</v>
      </c>
      <c r="D2645" t="s">
        <v>1433</v>
      </c>
      <c r="E2645" t="s">
        <v>816</v>
      </c>
      <c r="F2645" t="s">
        <v>816</v>
      </c>
      <c r="G2645" s="28">
        <v>160910</v>
      </c>
      <c r="H2645">
        <v>0</v>
      </c>
      <c r="I2645" s="29">
        <f t="shared" si="41"/>
        <v>160910</v>
      </c>
      <c r="J2645" t="str">
        <f>IFERROR(VLOOKUP(E2645,'LEAID Match'!$A$2:$B$168,2,FALSE),"")</f>
        <v/>
      </c>
    </row>
    <row r="2646" spans="1:10">
      <c r="A2646">
        <v>2017</v>
      </c>
      <c r="B2646" t="s">
        <v>1429</v>
      </c>
      <c r="C2646" t="s">
        <v>1431</v>
      </c>
      <c r="D2646" t="s">
        <v>1433</v>
      </c>
      <c r="E2646" t="s">
        <v>816</v>
      </c>
      <c r="F2646" t="s">
        <v>816</v>
      </c>
      <c r="G2646" s="28">
        <v>177297</v>
      </c>
      <c r="H2646">
        <v>0</v>
      </c>
      <c r="I2646" s="29">
        <f t="shared" si="41"/>
        <v>177297</v>
      </c>
      <c r="J2646" t="str">
        <f>IFERROR(VLOOKUP(E2646,'LEAID Match'!$A$2:$B$168,2,FALSE),"")</f>
        <v/>
      </c>
    </row>
    <row r="2647" spans="1:10">
      <c r="A2647" s="27">
        <v>2018</v>
      </c>
      <c r="B2647" t="s">
        <v>1429</v>
      </c>
      <c r="C2647" t="s">
        <v>1431</v>
      </c>
      <c r="D2647" t="s">
        <v>1433</v>
      </c>
      <c r="E2647" t="s">
        <v>816</v>
      </c>
      <c r="F2647" s="9" t="s">
        <v>816</v>
      </c>
      <c r="G2647" s="18">
        <v>199617</v>
      </c>
      <c r="H2647">
        <v>0</v>
      </c>
      <c r="I2647" s="29">
        <f t="shared" si="41"/>
        <v>199617</v>
      </c>
      <c r="J2647" t="str">
        <f>IFERROR(VLOOKUP(E2647,'LEAID Match'!$A$2:$B$168,2,FALSE),"")</f>
        <v/>
      </c>
    </row>
    <row r="2648" spans="1:10">
      <c r="A2648">
        <v>2019</v>
      </c>
      <c r="B2648" t="s">
        <v>1429</v>
      </c>
      <c r="C2648" t="s">
        <v>1431</v>
      </c>
      <c r="D2648" t="s">
        <v>1433</v>
      </c>
      <c r="E2648" t="s">
        <v>816</v>
      </c>
      <c r="F2648" s="9" t="s">
        <v>816</v>
      </c>
      <c r="G2648" s="18">
        <v>208529</v>
      </c>
      <c r="H2648">
        <v>0</v>
      </c>
      <c r="I2648" s="29">
        <f t="shared" si="41"/>
        <v>208529</v>
      </c>
      <c r="J2648" t="str">
        <f>IFERROR(VLOOKUP(E2648,'LEAID Match'!$A$2:$B$168,2,FALSE),"")</f>
        <v/>
      </c>
    </row>
    <row r="2649" spans="1:10">
      <c r="A2649">
        <v>2015</v>
      </c>
      <c r="B2649" t="s">
        <v>1429</v>
      </c>
      <c r="C2649" t="s">
        <v>1431</v>
      </c>
      <c r="D2649" t="s">
        <v>1433</v>
      </c>
      <c r="E2649" t="s">
        <v>157</v>
      </c>
      <c r="F2649" s="9" t="s">
        <v>1301</v>
      </c>
      <c r="G2649" s="18">
        <v>5504.62</v>
      </c>
      <c r="H2649">
        <v>0</v>
      </c>
      <c r="I2649" s="29">
        <f t="shared" si="41"/>
        <v>5504.62</v>
      </c>
      <c r="J2649" t="str">
        <f>IFERROR(VLOOKUP(E2649,'LEAID Match'!$A$2:$B$168,2,FALSE),"")</f>
        <v/>
      </c>
    </row>
    <row r="2650" spans="1:10">
      <c r="A2650">
        <v>2016</v>
      </c>
      <c r="B2650" t="s">
        <v>1429</v>
      </c>
      <c r="C2650" t="s">
        <v>1431</v>
      </c>
      <c r="D2650" t="s">
        <v>1433</v>
      </c>
      <c r="E2650" t="s">
        <v>157</v>
      </c>
      <c r="F2650" t="s">
        <v>157</v>
      </c>
      <c r="G2650" s="28">
        <v>5613</v>
      </c>
      <c r="H2650">
        <v>0</v>
      </c>
      <c r="I2650" s="29">
        <f t="shared" si="41"/>
        <v>5613</v>
      </c>
      <c r="J2650" t="str">
        <f>IFERROR(VLOOKUP(E2650,'LEAID Match'!$A$2:$B$168,2,FALSE),"")</f>
        <v/>
      </c>
    </row>
    <row r="2651" spans="1:10">
      <c r="A2651">
        <v>2017</v>
      </c>
      <c r="B2651" t="s">
        <v>1429</v>
      </c>
      <c r="C2651" t="s">
        <v>1431</v>
      </c>
      <c r="D2651" t="s">
        <v>1433</v>
      </c>
      <c r="E2651" t="s">
        <v>157</v>
      </c>
      <c r="F2651" t="s">
        <v>157</v>
      </c>
      <c r="G2651" s="28">
        <v>4358</v>
      </c>
      <c r="H2651">
        <v>0</v>
      </c>
      <c r="I2651" s="29">
        <f t="shared" si="41"/>
        <v>4358</v>
      </c>
      <c r="J2651" t="str">
        <f>IFERROR(VLOOKUP(E2651,'LEAID Match'!$A$2:$B$168,2,FALSE),"")</f>
        <v/>
      </c>
    </row>
    <row r="2652" spans="1:10">
      <c r="A2652" s="27">
        <v>2018</v>
      </c>
      <c r="B2652" t="s">
        <v>1429</v>
      </c>
      <c r="C2652" t="s">
        <v>1431</v>
      </c>
      <c r="D2652" t="s">
        <v>1433</v>
      </c>
      <c r="E2652" t="s">
        <v>157</v>
      </c>
      <c r="F2652" s="9" t="s">
        <v>157</v>
      </c>
      <c r="G2652" s="18">
        <v>6488</v>
      </c>
      <c r="H2652">
        <v>0</v>
      </c>
      <c r="I2652" s="29">
        <f t="shared" si="41"/>
        <v>6488</v>
      </c>
      <c r="J2652" t="str">
        <f>IFERROR(VLOOKUP(E2652,'LEAID Match'!$A$2:$B$168,2,FALSE),"")</f>
        <v/>
      </c>
    </row>
    <row r="2653" spans="1:10">
      <c r="A2653">
        <v>2019</v>
      </c>
      <c r="B2653" t="s">
        <v>1429</v>
      </c>
      <c r="C2653" t="s">
        <v>1431</v>
      </c>
      <c r="D2653" t="s">
        <v>1433</v>
      </c>
      <c r="E2653" t="s">
        <v>157</v>
      </c>
      <c r="F2653" s="9" t="s">
        <v>157</v>
      </c>
      <c r="G2653" s="18">
        <v>7448</v>
      </c>
      <c r="H2653">
        <v>0</v>
      </c>
      <c r="I2653" s="29">
        <f t="shared" si="41"/>
        <v>7448</v>
      </c>
      <c r="J2653" t="str">
        <f>IFERROR(VLOOKUP(E2653,'LEAID Match'!$A$2:$B$168,2,FALSE),"")</f>
        <v/>
      </c>
    </row>
    <row r="2654" spans="1:10">
      <c r="A2654" s="27">
        <v>2020</v>
      </c>
      <c r="B2654" t="s">
        <v>1429</v>
      </c>
      <c r="C2654" t="s">
        <v>1431</v>
      </c>
      <c r="D2654" t="s">
        <v>1433</v>
      </c>
      <c r="E2654" t="s">
        <v>157</v>
      </c>
      <c r="F2654" s="9" t="s">
        <v>157</v>
      </c>
      <c r="G2654" s="18">
        <v>11089</v>
      </c>
      <c r="H2654">
        <v>0</v>
      </c>
      <c r="I2654" s="29">
        <f t="shared" si="41"/>
        <v>11089</v>
      </c>
      <c r="J2654" t="str">
        <f>IFERROR(VLOOKUP(E2654,'LEAID Match'!$A$2:$B$168,2,FALSE),"")</f>
        <v/>
      </c>
    </row>
    <row r="2655" spans="1:10">
      <c r="A2655">
        <v>2021</v>
      </c>
      <c r="B2655" t="s">
        <v>1429</v>
      </c>
      <c r="C2655" t="s">
        <v>1431</v>
      </c>
      <c r="D2655" t="s">
        <v>1433</v>
      </c>
      <c r="E2655" t="s">
        <v>157</v>
      </c>
      <c r="F2655" s="9" t="s">
        <v>157</v>
      </c>
      <c r="G2655" s="18">
        <v>10026</v>
      </c>
      <c r="H2655">
        <v>0</v>
      </c>
      <c r="I2655" s="29">
        <f t="shared" si="41"/>
        <v>10026</v>
      </c>
      <c r="J2655" t="str">
        <f>IFERROR(VLOOKUP(E2655,'LEAID Match'!$A$2:$B$168,2,FALSE),"")</f>
        <v/>
      </c>
    </row>
    <row r="2656" spans="1:10">
      <c r="A2656">
        <v>2022</v>
      </c>
      <c r="B2656" t="s">
        <v>1429</v>
      </c>
      <c r="C2656" t="s">
        <v>1431</v>
      </c>
      <c r="D2656" t="s">
        <v>1433</v>
      </c>
      <c r="E2656" t="s">
        <v>157</v>
      </c>
      <c r="F2656" s="9" t="s">
        <v>157</v>
      </c>
      <c r="G2656" s="18">
        <v>14095</v>
      </c>
      <c r="H2656">
        <v>0</v>
      </c>
      <c r="I2656" s="29">
        <f t="shared" si="41"/>
        <v>14095</v>
      </c>
      <c r="J2656" t="str">
        <f>IFERROR(VLOOKUP(E2656,'LEAID Match'!$A$2:$B$168,2,FALSE),"")</f>
        <v/>
      </c>
    </row>
    <row r="2657" spans="1:10">
      <c r="A2657">
        <v>2023</v>
      </c>
      <c r="B2657" t="s">
        <v>1429</v>
      </c>
      <c r="C2657" t="s">
        <v>1431</v>
      </c>
      <c r="D2657" t="s">
        <v>1433</v>
      </c>
      <c r="E2657" t="s">
        <v>157</v>
      </c>
      <c r="F2657" t="s">
        <v>157</v>
      </c>
      <c r="G2657" s="28">
        <v>14275</v>
      </c>
      <c r="H2657">
        <v>0</v>
      </c>
      <c r="I2657" s="29">
        <f t="shared" si="41"/>
        <v>14275</v>
      </c>
      <c r="J2657" t="str">
        <f>IFERROR(VLOOKUP(E2657,'LEAID Match'!$A$2:$B$168,2,FALSE),"")</f>
        <v/>
      </c>
    </row>
    <row r="2658" spans="1:10">
      <c r="A2658">
        <v>2015</v>
      </c>
      <c r="B2658" t="s">
        <v>1429</v>
      </c>
      <c r="C2658" t="s">
        <v>1431</v>
      </c>
      <c r="D2658" t="s">
        <v>1433</v>
      </c>
      <c r="E2658" t="s">
        <v>942</v>
      </c>
      <c r="F2658" s="9" t="s">
        <v>1302</v>
      </c>
      <c r="G2658" s="18">
        <v>26673.47</v>
      </c>
      <c r="H2658">
        <v>0</v>
      </c>
      <c r="I2658" s="29">
        <f t="shared" si="41"/>
        <v>26673.47</v>
      </c>
      <c r="J2658" t="str">
        <f>IFERROR(VLOOKUP(E2658,'LEAID Match'!$A$2:$B$168,2,FALSE),"")</f>
        <v/>
      </c>
    </row>
    <row r="2659" spans="1:10">
      <c r="A2659">
        <v>2016</v>
      </c>
      <c r="B2659" t="s">
        <v>1429</v>
      </c>
      <c r="C2659" t="s">
        <v>1431</v>
      </c>
      <c r="D2659" t="s">
        <v>1433</v>
      </c>
      <c r="E2659" t="s">
        <v>942</v>
      </c>
      <c r="F2659" t="s">
        <v>942</v>
      </c>
      <c r="G2659" s="28">
        <v>27955</v>
      </c>
      <c r="H2659">
        <v>0</v>
      </c>
      <c r="I2659" s="29">
        <f t="shared" si="41"/>
        <v>27955</v>
      </c>
      <c r="J2659" t="str">
        <f>IFERROR(VLOOKUP(E2659,'LEAID Match'!$A$2:$B$168,2,FALSE),"")</f>
        <v/>
      </c>
    </row>
    <row r="2660" spans="1:10">
      <c r="A2660">
        <v>2017</v>
      </c>
      <c r="B2660" t="s">
        <v>1429</v>
      </c>
      <c r="C2660" t="s">
        <v>1431</v>
      </c>
      <c r="D2660" t="s">
        <v>1433</v>
      </c>
      <c r="E2660" t="s">
        <v>942</v>
      </c>
      <c r="F2660" t="s">
        <v>942</v>
      </c>
      <c r="G2660" s="28">
        <v>28062</v>
      </c>
      <c r="H2660">
        <v>0</v>
      </c>
      <c r="I2660" s="29">
        <f t="shared" si="41"/>
        <v>28062</v>
      </c>
      <c r="J2660" t="str">
        <f>IFERROR(VLOOKUP(E2660,'LEAID Match'!$A$2:$B$168,2,FALSE),"")</f>
        <v/>
      </c>
    </row>
    <row r="2661" spans="1:10">
      <c r="A2661" s="27">
        <v>2018</v>
      </c>
      <c r="B2661" t="s">
        <v>1429</v>
      </c>
      <c r="C2661" t="s">
        <v>1431</v>
      </c>
      <c r="D2661" t="s">
        <v>1433</v>
      </c>
      <c r="E2661" t="s">
        <v>942</v>
      </c>
      <c r="F2661" s="9" t="s">
        <v>817</v>
      </c>
      <c r="G2661" s="18">
        <v>36447</v>
      </c>
      <c r="H2661">
        <v>0</v>
      </c>
      <c r="I2661" s="29">
        <f t="shared" si="41"/>
        <v>36447</v>
      </c>
      <c r="J2661" t="str">
        <f>IFERROR(VLOOKUP(E2661,'LEAID Match'!$A$2:$B$168,2,FALSE),"")</f>
        <v/>
      </c>
    </row>
    <row r="2662" spans="1:10">
      <c r="A2662">
        <v>2019</v>
      </c>
      <c r="B2662" t="s">
        <v>1429</v>
      </c>
      <c r="C2662" t="s">
        <v>1431</v>
      </c>
      <c r="D2662" t="s">
        <v>1433</v>
      </c>
      <c r="E2662" t="s">
        <v>942</v>
      </c>
      <c r="F2662" s="9" t="s">
        <v>817</v>
      </c>
      <c r="G2662" s="18">
        <v>48734</v>
      </c>
      <c r="H2662">
        <v>0</v>
      </c>
      <c r="I2662" s="29">
        <f t="shared" si="41"/>
        <v>48734</v>
      </c>
      <c r="J2662" t="str">
        <f>IFERROR(VLOOKUP(E2662,'LEAID Match'!$A$2:$B$168,2,FALSE),"")</f>
        <v/>
      </c>
    </row>
    <row r="2663" spans="1:10">
      <c r="A2663">
        <v>2015</v>
      </c>
      <c r="B2663" t="s">
        <v>1429</v>
      </c>
      <c r="C2663" t="s">
        <v>1431</v>
      </c>
      <c r="D2663" t="s">
        <v>1433</v>
      </c>
      <c r="E2663" t="s">
        <v>158</v>
      </c>
      <c r="F2663" s="9" t="s">
        <v>1303</v>
      </c>
      <c r="G2663" s="18">
        <v>57636.77</v>
      </c>
      <c r="H2663">
        <v>0</v>
      </c>
      <c r="I2663" s="29">
        <f t="shared" si="41"/>
        <v>57636.77</v>
      </c>
      <c r="J2663" t="str">
        <f>IFERROR(VLOOKUP(E2663,'LEAID Match'!$A$2:$B$168,2,FALSE),"")</f>
        <v/>
      </c>
    </row>
    <row r="2664" spans="1:10">
      <c r="A2664">
        <v>2016</v>
      </c>
      <c r="B2664" t="s">
        <v>1429</v>
      </c>
      <c r="C2664" t="s">
        <v>1431</v>
      </c>
      <c r="D2664" t="s">
        <v>1433</v>
      </c>
      <c r="E2664" t="s">
        <v>158</v>
      </c>
      <c r="F2664" t="s">
        <v>818</v>
      </c>
      <c r="G2664" s="28">
        <v>60439</v>
      </c>
      <c r="H2664">
        <v>0</v>
      </c>
      <c r="I2664" s="29">
        <f t="shared" si="41"/>
        <v>60439</v>
      </c>
      <c r="J2664" t="str">
        <f>IFERROR(VLOOKUP(E2664,'LEAID Match'!$A$2:$B$168,2,FALSE),"")</f>
        <v/>
      </c>
    </row>
    <row r="2665" spans="1:10">
      <c r="A2665">
        <v>2017</v>
      </c>
      <c r="B2665" t="s">
        <v>1429</v>
      </c>
      <c r="C2665" t="s">
        <v>1431</v>
      </c>
      <c r="D2665" t="s">
        <v>1433</v>
      </c>
      <c r="E2665" t="s">
        <v>158</v>
      </c>
      <c r="F2665" t="s">
        <v>818</v>
      </c>
      <c r="G2665" s="28">
        <v>62864</v>
      </c>
      <c r="H2665">
        <v>0</v>
      </c>
      <c r="I2665" s="29">
        <f t="shared" si="41"/>
        <v>62864</v>
      </c>
      <c r="J2665" t="str">
        <f>IFERROR(VLOOKUP(E2665,'LEAID Match'!$A$2:$B$168,2,FALSE),"")</f>
        <v/>
      </c>
    </row>
    <row r="2666" spans="1:10">
      <c r="A2666" s="27">
        <v>2018</v>
      </c>
      <c r="B2666" t="s">
        <v>1429</v>
      </c>
      <c r="C2666" t="s">
        <v>1431</v>
      </c>
      <c r="D2666" t="s">
        <v>1433</v>
      </c>
      <c r="E2666" t="s">
        <v>158</v>
      </c>
      <c r="F2666" s="9" t="s">
        <v>818</v>
      </c>
      <c r="G2666" s="18">
        <v>66765</v>
      </c>
      <c r="H2666">
        <v>0</v>
      </c>
      <c r="I2666" s="29">
        <f t="shared" si="41"/>
        <v>66765</v>
      </c>
      <c r="J2666" t="str">
        <f>IFERROR(VLOOKUP(E2666,'LEAID Match'!$A$2:$B$168,2,FALSE),"")</f>
        <v/>
      </c>
    </row>
    <row r="2667" spans="1:10">
      <c r="A2667">
        <v>2019</v>
      </c>
      <c r="B2667" t="s">
        <v>1429</v>
      </c>
      <c r="C2667" t="s">
        <v>1431</v>
      </c>
      <c r="D2667" t="s">
        <v>1433</v>
      </c>
      <c r="E2667" t="s">
        <v>158</v>
      </c>
      <c r="F2667" s="9" t="s">
        <v>818</v>
      </c>
      <c r="G2667" s="18">
        <v>77412</v>
      </c>
      <c r="H2667">
        <v>0</v>
      </c>
      <c r="I2667" s="29">
        <f t="shared" si="41"/>
        <v>77412</v>
      </c>
      <c r="J2667" t="str">
        <f>IFERROR(VLOOKUP(E2667,'LEAID Match'!$A$2:$B$168,2,FALSE),"")</f>
        <v/>
      </c>
    </row>
    <row r="2668" spans="1:10">
      <c r="A2668" s="27">
        <v>2020</v>
      </c>
      <c r="B2668" t="s">
        <v>1429</v>
      </c>
      <c r="C2668" t="s">
        <v>1431</v>
      </c>
      <c r="D2668" t="s">
        <v>1433</v>
      </c>
      <c r="E2668" t="s">
        <v>158</v>
      </c>
      <c r="F2668" s="9" t="s">
        <v>158</v>
      </c>
      <c r="G2668" s="18">
        <v>72074</v>
      </c>
      <c r="H2668">
        <v>0</v>
      </c>
      <c r="I2668" s="29">
        <f t="shared" si="41"/>
        <v>72074</v>
      </c>
      <c r="J2668" t="str">
        <f>IFERROR(VLOOKUP(E2668,'LEAID Match'!$A$2:$B$168,2,FALSE),"")</f>
        <v/>
      </c>
    </row>
    <row r="2669" spans="1:10">
      <c r="A2669">
        <v>2021</v>
      </c>
      <c r="B2669" t="s">
        <v>1429</v>
      </c>
      <c r="C2669" t="s">
        <v>1431</v>
      </c>
      <c r="D2669" t="s">
        <v>1433</v>
      </c>
      <c r="E2669" t="s">
        <v>158</v>
      </c>
      <c r="F2669" s="9" t="s">
        <v>158</v>
      </c>
      <c r="G2669" s="18">
        <v>75137</v>
      </c>
      <c r="H2669">
        <v>0</v>
      </c>
      <c r="I2669" s="29">
        <f t="shared" si="41"/>
        <v>75137</v>
      </c>
      <c r="J2669" t="str">
        <f>IFERROR(VLOOKUP(E2669,'LEAID Match'!$A$2:$B$168,2,FALSE),"")</f>
        <v/>
      </c>
    </row>
    <row r="2670" spans="1:10">
      <c r="A2670">
        <v>2022</v>
      </c>
      <c r="B2670" t="s">
        <v>1429</v>
      </c>
      <c r="C2670" t="s">
        <v>1431</v>
      </c>
      <c r="D2670" t="s">
        <v>1433</v>
      </c>
      <c r="E2670" t="s">
        <v>158</v>
      </c>
      <c r="F2670" s="9" t="s">
        <v>158</v>
      </c>
      <c r="G2670" s="18">
        <v>97109</v>
      </c>
      <c r="H2670">
        <v>0</v>
      </c>
      <c r="I2670" s="29">
        <f t="shared" si="41"/>
        <v>97109</v>
      </c>
      <c r="J2670" t="str">
        <f>IFERROR(VLOOKUP(E2670,'LEAID Match'!$A$2:$B$168,2,FALSE),"")</f>
        <v/>
      </c>
    </row>
    <row r="2671" spans="1:10">
      <c r="A2671">
        <v>2023</v>
      </c>
      <c r="B2671" t="s">
        <v>1429</v>
      </c>
      <c r="C2671" t="s">
        <v>1431</v>
      </c>
      <c r="D2671" t="s">
        <v>1433</v>
      </c>
      <c r="E2671" t="s">
        <v>158</v>
      </c>
      <c r="F2671" t="s">
        <v>158</v>
      </c>
      <c r="G2671" s="28">
        <v>106375</v>
      </c>
      <c r="H2671">
        <v>0</v>
      </c>
      <c r="I2671" s="29">
        <f t="shared" si="41"/>
        <v>106375</v>
      </c>
      <c r="J2671" t="str">
        <f>IFERROR(VLOOKUP(E2671,'LEAID Match'!$A$2:$B$168,2,FALSE),"")</f>
        <v/>
      </c>
    </row>
    <row r="2672" spans="1:10">
      <c r="A2672">
        <v>2015</v>
      </c>
      <c r="B2672" t="s">
        <v>1429</v>
      </c>
      <c r="C2672" t="s">
        <v>1431</v>
      </c>
      <c r="D2672" t="s">
        <v>1433</v>
      </c>
      <c r="E2672" t="s">
        <v>159</v>
      </c>
      <c r="F2672" s="9" t="s">
        <v>1304</v>
      </c>
      <c r="G2672" s="18">
        <v>1050669.28</v>
      </c>
      <c r="H2672">
        <v>0</v>
      </c>
      <c r="I2672" s="29">
        <f t="shared" si="41"/>
        <v>1050669.28</v>
      </c>
      <c r="J2672" t="str">
        <f>IFERROR(VLOOKUP(E2672,'LEAID Match'!$A$2:$B$168,2,FALSE),"")</f>
        <v/>
      </c>
    </row>
    <row r="2673" spans="1:10">
      <c r="A2673">
        <v>2016</v>
      </c>
      <c r="B2673" t="s">
        <v>1429</v>
      </c>
      <c r="C2673" t="s">
        <v>1431</v>
      </c>
      <c r="D2673" t="s">
        <v>1433</v>
      </c>
      <c r="E2673" t="s">
        <v>159</v>
      </c>
      <c r="F2673" t="s">
        <v>819</v>
      </c>
      <c r="G2673" s="28">
        <v>1099406</v>
      </c>
      <c r="H2673">
        <v>0</v>
      </c>
      <c r="I2673" s="29">
        <f t="shared" si="41"/>
        <v>1099406</v>
      </c>
      <c r="J2673" t="str">
        <f>IFERROR(VLOOKUP(E2673,'LEAID Match'!$A$2:$B$168,2,FALSE),"")</f>
        <v/>
      </c>
    </row>
    <row r="2674" spans="1:10">
      <c r="A2674">
        <v>2017</v>
      </c>
      <c r="B2674" t="s">
        <v>1429</v>
      </c>
      <c r="C2674" t="s">
        <v>1431</v>
      </c>
      <c r="D2674" t="s">
        <v>1433</v>
      </c>
      <c r="E2674" t="s">
        <v>159</v>
      </c>
      <c r="F2674" t="s">
        <v>819</v>
      </c>
      <c r="G2674" s="28">
        <v>1083512</v>
      </c>
      <c r="H2674">
        <v>0</v>
      </c>
      <c r="I2674" s="29">
        <f t="shared" si="41"/>
        <v>1083512</v>
      </c>
      <c r="J2674" t="str">
        <f>IFERROR(VLOOKUP(E2674,'LEAID Match'!$A$2:$B$168,2,FALSE),"")</f>
        <v/>
      </c>
    </row>
    <row r="2675" spans="1:10">
      <c r="A2675" s="27">
        <v>2018</v>
      </c>
      <c r="B2675" t="s">
        <v>1429</v>
      </c>
      <c r="C2675" t="s">
        <v>1431</v>
      </c>
      <c r="D2675" t="s">
        <v>1433</v>
      </c>
      <c r="E2675" t="s">
        <v>159</v>
      </c>
      <c r="F2675" s="9" t="s">
        <v>819</v>
      </c>
      <c r="G2675" s="18">
        <v>1343106</v>
      </c>
      <c r="H2675">
        <v>0</v>
      </c>
      <c r="I2675" s="29">
        <f t="shared" si="41"/>
        <v>1343106</v>
      </c>
      <c r="J2675" t="str">
        <f>IFERROR(VLOOKUP(E2675,'LEAID Match'!$A$2:$B$168,2,FALSE),"")</f>
        <v/>
      </c>
    </row>
    <row r="2676" spans="1:10">
      <c r="A2676">
        <v>2019</v>
      </c>
      <c r="B2676" t="s">
        <v>1429</v>
      </c>
      <c r="C2676" t="s">
        <v>1431</v>
      </c>
      <c r="D2676" t="s">
        <v>1433</v>
      </c>
      <c r="E2676" t="s">
        <v>159</v>
      </c>
      <c r="F2676" s="9" t="s">
        <v>819</v>
      </c>
      <c r="G2676" s="18">
        <v>1338046</v>
      </c>
      <c r="H2676">
        <v>0</v>
      </c>
      <c r="I2676" s="29">
        <f t="shared" si="41"/>
        <v>1338046</v>
      </c>
      <c r="J2676" t="str">
        <f>IFERROR(VLOOKUP(E2676,'LEAID Match'!$A$2:$B$168,2,FALSE),"")</f>
        <v/>
      </c>
    </row>
    <row r="2677" spans="1:10">
      <c r="A2677" s="27">
        <v>2020</v>
      </c>
      <c r="B2677" t="s">
        <v>1429</v>
      </c>
      <c r="C2677" t="s">
        <v>1431</v>
      </c>
      <c r="D2677" t="s">
        <v>1433</v>
      </c>
      <c r="E2677" t="s">
        <v>159</v>
      </c>
      <c r="F2677" s="9" t="s">
        <v>159</v>
      </c>
      <c r="G2677" s="18">
        <v>1322478</v>
      </c>
      <c r="H2677">
        <v>0</v>
      </c>
      <c r="I2677" s="29">
        <f t="shared" si="41"/>
        <v>1322478</v>
      </c>
      <c r="J2677" t="str">
        <f>IFERROR(VLOOKUP(E2677,'LEAID Match'!$A$2:$B$168,2,FALSE),"")</f>
        <v/>
      </c>
    </row>
    <row r="2678" spans="1:10">
      <c r="A2678">
        <v>2021</v>
      </c>
      <c r="B2678" t="s">
        <v>1429</v>
      </c>
      <c r="C2678" t="s">
        <v>1431</v>
      </c>
      <c r="D2678" t="s">
        <v>1433</v>
      </c>
      <c r="E2678" t="s">
        <v>159</v>
      </c>
      <c r="F2678" s="9" t="s">
        <v>159</v>
      </c>
      <c r="G2678" s="18">
        <v>1471823</v>
      </c>
      <c r="H2678">
        <v>0</v>
      </c>
      <c r="I2678" s="29">
        <f t="shared" si="41"/>
        <v>1471823</v>
      </c>
      <c r="J2678" t="str">
        <f>IFERROR(VLOOKUP(E2678,'LEAID Match'!$A$2:$B$168,2,FALSE),"")</f>
        <v/>
      </c>
    </row>
    <row r="2679" spans="1:10">
      <c r="A2679">
        <v>2022</v>
      </c>
      <c r="B2679" t="s">
        <v>1429</v>
      </c>
      <c r="C2679" t="s">
        <v>1431</v>
      </c>
      <c r="D2679" t="s">
        <v>1433</v>
      </c>
      <c r="E2679" t="s">
        <v>159</v>
      </c>
      <c r="F2679" s="9" t="s">
        <v>159</v>
      </c>
      <c r="G2679" s="18">
        <v>1848060</v>
      </c>
      <c r="H2679">
        <v>0</v>
      </c>
      <c r="I2679" s="29">
        <f t="shared" si="41"/>
        <v>1848060</v>
      </c>
      <c r="J2679" t="str">
        <f>IFERROR(VLOOKUP(E2679,'LEAID Match'!$A$2:$B$168,2,FALSE),"")</f>
        <v/>
      </c>
    </row>
    <row r="2680" spans="1:10">
      <c r="A2680">
        <v>2023</v>
      </c>
      <c r="B2680" t="s">
        <v>1429</v>
      </c>
      <c r="C2680" t="s">
        <v>1431</v>
      </c>
      <c r="D2680" t="s">
        <v>1433</v>
      </c>
      <c r="E2680" t="s">
        <v>159</v>
      </c>
      <c r="F2680" t="s">
        <v>159</v>
      </c>
      <c r="G2680" s="28">
        <v>1880661</v>
      </c>
      <c r="H2680">
        <v>0</v>
      </c>
      <c r="I2680" s="29">
        <f t="shared" si="41"/>
        <v>1880661</v>
      </c>
      <c r="J2680" t="str">
        <f>IFERROR(VLOOKUP(E2680,'LEAID Match'!$A$2:$B$168,2,FALSE),"")</f>
        <v/>
      </c>
    </row>
    <row r="2681" spans="1:10">
      <c r="A2681">
        <v>2015</v>
      </c>
      <c r="B2681" t="s">
        <v>1429</v>
      </c>
      <c r="C2681" t="s">
        <v>1431</v>
      </c>
      <c r="D2681" t="s">
        <v>1433</v>
      </c>
      <c r="E2681" t="s">
        <v>160</v>
      </c>
      <c r="F2681" s="9" t="s">
        <v>1305</v>
      </c>
      <c r="G2681" s="18">
        <v>82439.31</v>
      </c>
      <c r="H2681">
        <v>0</v>
      </c>
      <c r="I2681" s="29">
        <f t="shared" si="41"/>
        <v>82439.31</v>
      </c>
      <c r="J2681" t="str">
        <f>IFERROR(VLOOKUP(E2681,'LEAID Match'!$A$2:$B$168,2,FALSE),"")</f>
        <v/>
      </c>
    </row>
    <row r="2682" spans="1:10">
      <c r="A2682">
        <v>2016</v>
      </c>
      <c r="B2682" t="s">
        <v>1429</v>
      </c>
      <c r="C2682" t="s">
        <v>1431</v>
      </c>
      <c r="D2682" t="s">
        <v>1433</v>
      </c>
      <c r="E2682" t="s">
        <v>160</v>
      </c>
      <c r="F2682" t="s">
        <v>820</v>
      </c>
      <c r="G2682" s="28">
        <v>93768</v>
      </c>
      <c r="H2682">
        <v>0</v>
      </c>
      <c r="I2682" s="29">
        <f t="shared" si="41"/>
        <v>93768</v>
      </c>
      <c r="J2682" t="str">
        <f>IFERROR(VLOOKUP(E2682,'LEAID Match'!$A$2:$B$168,2,FALSE),"")</f>
        <v/>
      </c>
    </row>
    <row r="2683" spans="1:10">
      <c r="A2683">
        <v>2017</v>
      </c>
      <c r="B2683" t="s">
        <v>1429</v>
      </c>
      <c r="C2683" t="s">
        <v>1431</v>
      </c>
      <c r="D2683" t="s">
        <v>1433</v>
      </c>
      <c r="E2683" t="s">
        <v>160</v>
      </c>
      <c r="F2683" t="s">
        <v>820</v>
      </c>
      <c r="G2683" s="28">
        <v>99036</v>
      </c>
      <c r="H2683">
        <v>0</v>
      </c>
      <c r="I2683" s="29">
        <f t="shared" si="41"/>
        <v>99036</v>
      </c>
      <c r="J2683" t="str">
        <f>IFERROR(VLOOKUP(E2683,'LEAID Match'!$A$2:$B$168,2,FALSE),"")</f>
        <v/>
      </c>
    </row>
    <row r="2684" spans="1:10">
      <c r="A2684" s="27">
        <v>2018</v>
      </c>
      <c r="B2684" t="s">
        <v>1429</v>
      </c>
      <c r="C2684" t="s">
        <v>1431</v>
      </c>
      <c r="D2684" t="s">
        <v>1433</v>
      </c>
      <c r="E2684" t="s">
        <v>160</v>
      </c>
      <c r="F2684" s="9" t="s">
        <v>820</v>
      </c>
      <c r="G2684" s="18">
        <v>100021</v>
      </c>
      <c r="H2684">
        <v>0</v>
      </c>
      <c r="I2684" s="29">
        <f t="shared" si="41"/>
        <v>100021</v>
      </c>
      <c r="J2684" t="str">
        <f>IFERROR(VLOOKUP(E2684,'LEAID Match'!$A$2:$B$168,2,FALSE),"")</f>
        <v/>
      </c>
    </row>
    <row r="2685" spans="1:10">
      <c r="A2685">
        <v>2019</v>
      </c>
      <c r="B2685" t="s">
        <v>1429</v>
      </c>
      <c r="C2685" t="s">
        <v>1431</v>
      </c>
      <c r="D2685" t="s">
        <v>1433</v>
      </c>
      <c r="E2685" t="s">
        <v>160</v>
      </c>
      <c r="F2685" s="9" t="s">
        <v>820</v>
      </c>
      <c r="G2685" s="18">
        <v>84818</v>
      </c>
      <c r="H2685">
        <v>0</v>
      </c>
      <c r="I2685" s="29">
        <f t="shared" si="41"/>
        <v>84818</v>
      </c>
      <c r="J2685" t="str">
        <f>IFERROR(VLOOKUP(E2685,'LEAID Match'!$A$2:$B$168,2,FALSE),"")</f>
        <v/>
      </c>
    </row>
    <row r="2686" spans="1:10">
      <c r="A2686" s="27">
        <v>2020</v>
      </c>
      <c r="B2686" t="s">
        <v>1429</v>
      </c>
      <c r="C2686" t="s">
        <v>1431</v>
      </c>
      <c r="D2686" t="s">
        <v>1433</v>
      </c>
      <c r="E2686" t="s">
        <v>160</v>
      </c>
      <c r="F2686" s="9" t="s">
        <v>160</v>
      </c>
      <c r="G2686" s="18">
        <v>96740</v>
      </c>
      <c r="H2686">
        <v>0</v>
      </c>
      <c r="I2686" s="29">
        <f t="shared" si="41"/>
        <v>96740</v>
      </c>
      <c r="J2686" t="str">
        <f>IFERROR(VLOOKUP(E2686,'LEAID Match'!$A$2:$B$168,2,FALSE),"")</f>
        <v/>
      </c>
    </row>
    <row r="2687" spans="1:10">
      <c r="A2687">
        <v>2021</v>
      </c>
      <c r="B2687" t="s">
        <v>1429</v>
      </c>
      <c r="C2687" t="s">
        <v>1431</v>
      </c>
      <c r="D2687" t="s">
        <v>1433</v>
      </c>
      <c r="E2687" t="s">
        <v>160</v>
      </c>
      <c r="F2687" s="9" t="s">
        <v>160</v>
      </c>
      <c r="G2687" s="18">
        <v>106643</v>
      </c>
      <c r="H2687">
        <v>0</v>
      </c>
      <c r="I2687" s="29">
        <f t="shared" si="41"/>
        <v>106643</v>
      </c>
      <c r="J2687" t="str">
        <f>IFERROR(VLOOKUP(E2687,'LEAID Match'!$A$2:$B$168,2,FALSE),"")</f>
        <v/>
      </c>
    </row>
    <row r="2688" spans="1:10">
      <c r="A2688">
        <v>2022</v>
      </c>
      <c r="B2688" t="s">
        <v>1429</v>
      </c>
      <c r="C2688" t="s">
        <v>1431</v>
      </c>
      <c r="D2688" t="s">
        <v>1433</v>
      </c>
      <c r="E2688" t="s">
        <v>160</v>
      </c>
      <c r="F2688" s="9" t="s">
        <v>160</v>
      </c>
      <c r="G2688" s="18">
        <v>134483</v>
      </c>
      <c r="H2688">
        <v>0</v>
      </c>
      <c r="I2688" s="29">
        <f t="shared" si="41"/>
        <v>134483</v>
      </c>
      <c r="J2688" t="str">
        <f>IFERROR(VLOOKUP(E2688,'LEAID Match'!$A$2:$B$168,2,FALSE),"")</f>
        <v/>
      </c>
    </row>
    <row r="2689" spans="1:10">
      <c r="A2689">
        <v>2023</v>
      </c>
      <c r="B2689" t="s">
        <v>1429</v>
      </c>
      <c r="C2689" t="s">
        <v>1431</v>
      </c>
      <c r="D2689" t="s">
        <v>1433</v>
      </c>
      <c r="E2689" t="s">
        <v>160</v>
      </c>
      <c r="F2689" t="s">
        <v>160</v>
      </c>
      <c r="G2689" s="28">
        <v>130963</v>
      </c>
      <c r="H2689">
        <v>0</v>
      </c>
      <c r="I2689" s="29">
        <f t="shared" si="41"/>
        <v>130963</v>
      </c>
      <c r="J2689" t="str">
        <f>IFERROR(VLOOKUP(E2689,'LEAID Match'!$A$2:$B$168,2,FALSE),"")</f>
        <v/>
      </c>
    </row>
    <row r="2690" spans="1:10">
      <c r="A2690">
        <v>2015</v>
      </c>
      <c r="B2690" t="s">
        <v>1429</v>
      </c>
      <c r="C2690" t="s">
        <v>1431</v>
      </c>
      <c r="D2690" t="s">
        <v>1433</v>
      </c>
      <c r="E2690" t="s">
        <v>161</v>
      </c>
      <c r="F2690" s="9" t="s">
        <v>1306</v>
      </c>
      <c r="G2690" s="18">
        <v>35785.01</v>
      </c>
      <c r="H2690">
        <v>0</v>
      </c>
      <c r="I2690" s="29">
        <f t="shared" si="41"/>
        <v>35785.01</v>
      </c>
      <c r="J2690" t="str">
        <f>IFERROR(VLOOKUP(E2690,'LEAID Match'!$A$2:$B$168,2,FALSE),"")</f>
        <v/>
      </c>
    </row>
    <row r="2691" spans="1:10">
      <c r="A2691">
        <v>2016</v>
      </c>
      <c r="B2691" t="s">
        <v>1429</v>
      </c>
      <c r="C2691" t="s">
        <v>1431</v>
      </c>
      <c r="D2691" t="s">
        <v>1433</v>
      </c>
      <c r="E2691" t="s">
        <v>161</v>
      </c>
      <c r="F2691" t="s">
        <v>821</v>
      </c>
      <c r="G2691" s="28">
        <v>46201</v>
      </c>
      <c r="H2691">
        <v>0</v>
      </c>
      <c r="I2691" s="29">
        <f t="shared" ref="I2691:I2754" si="42">SUM(G2691:H2691)</f>
        <v>46201</v>
      </c>
      <c r="J2691" t="str">
        <f>IFERROR(VLOOKUP(E2691,'LEAID Match'!$A$2:$B$168,2,FALSE),"")</f>
        <v/>
      </c>
    </row>
    <row r="2692" spans="1:10">
      <c r="A2692">
        <v>2017</v>
      </c>
      <c r="B2692" t="s">
        <v>1429</v>
      </c>
      <c r="C2692" t="s">
        <v>1431</v>
      </c>
      <c r="D2692" t="s">
        <v>1433</v>
      </c>
      <c r="E2692" t="s">
        <v>161</v>
      </c>
      <c r="F2692" t="s">
        <v>821</v>
      </c>
      <c r="G2692" s="28">
        <v>54319</v>
      </c>
      <c r="H2692">
        <v>0</v>
      </c>
      <c r="I2692" s="29">
        <f t="shared" si="42"/>
        <v>54319</v>
      </c>
      <c r="J2692" t="str">
        <f>IFERROR(VLOOKUP(E2692,'LEAID Match'!$A$2:$B$168,2,FALSE),"")</f>
        <v/>
      </c>
    </row>
    <row r="2693" spans="1:10">
      <c r="A2693" s="27">
        <v>2018</v>
      </c>
      <c r="B2693" t="s">
        <v>1429</v>
      </c>
      <c r="C2693" t="s">
        <v>1431</v>
      </c>
      <c r="D2693" t="s">
        <v>1433</v>
      </c>
      <c r="E2693" t="s">
        <v>161</v>
      </c>
      <c r="F2693" s="9" t="s">
        <v>821</v>
      </c>
      <c r="G2693" s="18">
        <v>59438</v>
      </c>
      <c r="H2693">
        <v>0</v>
      </c>
      <c r="I2693" s="29">
        <f t="shared" si="42"/>
        <v>59438</v>
      </c>
      <c r="J2693" t="str">
        <f>IFERROR(VLOOKUP(E2693,'LEAID Match'!$A$2:$B$168,2,FALSE),"")</f>
        <v/>
      </c>
    </row>
    <row r="2694" spans="1:10">
      <c r="A2694">
        <v>2019</v>
      </c>
      <c r="B2694" t="s">
        <v>1429</v>
      </c>
      <c r="C2694" t="s">
        <v>1431</v>
      </c>
      <c r="D2694" t="s">
        <v>1433</v>
      </c>
      <c r="E2694" t="s">
        <v>161</v>
      </c>
      <c r="F2694" s="9" t="s">
        <v>821</v>
      </c>
      <c r="G2694" s="18">
        <v>69351</v>
      </c>
      <c r="H2694">
        <v>0</v>
      </c>
      <c r="I2694" s="29">
        <f t="shared" si="42"/>
        <v>69351</v>
      </c>
      <c r="J2694" t="str">
        <f>IFERROR(VLOOKUP(E2694,'LEAID Match'!$A$2:$B$168,2,FALSE),"")</f>
        <v/>
      </c>
    </row>
    <row r="2695" spans="1:10">
      <c r="A2695" s="27">
        <v>2020</v>
      </c>
      <c r="B2695" t="s">
        <v>1429</v>
      </c>
      <c r="C2695" t="s">
        <v>1431</v>
      </c>
      <c r="D2695" t="s">
        <v>1433</v>
      </c>
      <c r="E2695" t="s">
        <v>161</v>
      </c>
      <c r="F2695" s="9" t="s">
        <v>161</v>
      </c>
      <c r="G2695" s="18">
        <v>58423</v>
      </c>
      <c r="H2695">
        <v>0</v>
      </c>
      <c r="I2695" s="29">
        <f t="shared" si="42"/>
        <v>58423</v>
      </c>
      <c r="J2695" t="str">
        <f>IFERROR(VLOOKUP(E2695,'LEAID Match'!$A$2:$B$168,2,FALSE),"")</f>
        <v/>
      </c>
    </row>
    <row r="2696" spans="1:10">
      <c r="A2696">
        <v>2021</v>
      </c>
      <c r="B2696" t="s">
        <v>1429</v>
      </c>
      <c r="C2696" t="s">
        <v>1431</v>
      </c>
      <c r="D2696" t="s">
        <v>1433</v>
      </c>
      <c r="E2696" t="s">
        <v>161</v>
      </c>
      <c r="F2696" s="9" t="s">
        <v>161</v>
      </c>
      <c r="G2696" s="18">
        <v>72064</v>
      </c>
      <c r="H2696">
        <v>0</v>
      </c>
      <c r="I2696" s="29">
        <f t="shared" si="42"/>
        <v>72064</v>
      </c>
      <c r="J2696" t="str">
        <f>IFERROR(VLOOKUP(E2696,'LEAID Match'!$A$2:$B$168,2,FALSE),"")</f>
        <v/>
      </c>
    </row>
    <row r="2697" spans="1:10">
      <c r="A2697">
        <v>2022</v>
      </c>
      <c r="B2697" t="s">
        <v>1429</v>
      </c>
      <c r="C2697" t="s">
        <v>1431</v>
      </c>
      <c r="D2697" t="s">
        <v>1433</v>
      </c>
      <c r="E2697" t="s">
        <v>161</v>
      </c>
      <c r="F2697" s="9" t="s">
        <v>161</v>
      </c>
      <c r="G2697" s="18">
        <v>101630</v>
      </c>
      <c r="H2697">
        <v>0</v>
      </c>
      <c r="I2697" s="29">
        <f t="shared" si="42"/>
        <v>101630</v>
      </c>
      <c r="J2697" t="str">
        <f>IFERROR(VLOOKUP(E2697,'LEAID Match'!$A$2:$B$168,2,FALSE),"")</f>
        <v/>
      </c>
    </row>
    <row r="2698" spans="1:10">
      <c r="A2698">
        <v>2023</v>
      </c>
      <c r="B2698" t="s">
        <v>1429</v>
      </c>
      <c r="C2698" t="s">
        <v>1431</v>
      </c>
      <c r="D2698" t="s">
        <v>1433</v>
      </c>
      <c r="E2698" t="s">
        <v>161</v>
      </c>
      <c r="F2698" t="s">
        <v>161</v>
      </c>
      <c r="G2698" s="28">
        <v>107548</v>
      </c>
      <c r="H2698">
        <v>0</v>
      </c>
      <c r="I2698" s="29">
        <f t="shared" si="42"/>
        <v>107548</v>
      </c>
      <c r="J2698" t="str">
        <f>IFERROR(VLOOKUP(E2698,'LEAID Match'!$A$2:$B$168,2,FALSE),"")</f>
        <v/>
      </c>
    </row>
    <row r="2699" spans="1:10">
      <c r="A2699">
        <v>2015</v>
      </c>
      <c r="B2699" t="s">
        <v>1429</v>
      </c>
      <c r="C2699" t="s">
        <v>1431</v>
      </c>
      <c r="D2699" t="s">
        <v>1433</v>
      </c>
      <c r="E2699" t="s">
        <v>162</v>
      </c>
      <c r="F2699" s="9" t="s">
        <v>1307</v>
      </c>
      <c r="G2699" s="18">
        <v>67253.570000000007</v>
      </c>
      <c r="H2699">
        <v>0</v>
      </c>
      <c r="I2699" s="29">
        <f t="shared" si="42"/>
        <v>67253.570000000007</v>
      </c>
      <c r="J2699" t="str">
        <f>IFERROR(VLOOKUP(E2699,'LEAID Match'!$A$2:$B$168,2,FALSE),"")</f>
        <v/>
      </c>
    </row>
    <row r="2700" spans="1:10">
      <c r="A2700">
        <v>2016</v>
      </c>
      <c r="B2700" t="s">
        <v>1429</v>
      </c>
      <c r="C2700" t="s">
        <v>1431</v>
      </c>
      <c r="D2700" t="s">
        <v>1433</v>
      </c>
      <c r="E2700" t="s">
        <v>162</v>
      </c>
      <c r="F2700" t="s">
        <v>822</v>
      </c>
      <c r="G2700" s="28">
        <v>81818</v>
      </c>
      <c r="H2700">
        <v>0</v>
      </c>
      <c r="I2700" s="29">
        <f t="shared" si="42"/>
        <v>81818</v>
      </c>
      <c r="J2700" t="str">
        <f>IFERROR(VLOOKUP(E2700,'LEAID Match'!$A$2:$B$168,2,FALSE),"")</f>
        <v/>
      </c>
    </row>
    <row r="2701" spans="1:10">
      <c r="A2701">
        <v>2017</v>
      </c>
      <c r="B2701" t="s">
        <v>1429</v>
      </c>
      <c r="C2701" t="s">
        <v>1431</v>
      </c>
      <c r="D2701" t="s">
        <v>1433</v>
      </c>
      <c r="E2701" t="s">
        <v>162</v>
      </c>
      <c r="F2701" t="s">
        <v>822</v>
      </c>
      <c r="G2701" s="28">
        <v>85167</v>
      </c>
      <c r="H2701">
        <v>0</v>
      </c>
      <c r="I2701" s="29">
        <f t="shared" si="42"/>
        <v>85167</v>
      </c>
      <c r="J2701" t="str">
        <f>IFERROR(VLOOKUP(E2701,'LEAID Match'!$A$2:$B$168,2,FALSE),"")</f>
        <v/>
      </c>
    </row>
    <row r="2702" spans="1:10">
      <c r="A2702" s="27">
        <v>2018</v>
      </c>
      <c r="B2702" t="s">
        <v>1429</v>
      </c>
      <c r="C2702" t="s">
        <v>1431</v>
      </c>
      <c r="D2702" t="s">
        <v>1433</v>
      </c>
      <c r="E2702" t="s">
        <v>162</v>
      </c>
      <c r="F2702" s="9" t="s">
        <v>822</v>
      </c>
      <c r="G2702" s="18">
        <v>93607</v>
      </c>
      <c r="H2702">
        <v>0</v>
      </c>
      <c r="I2702" s="29">
        <f t="shared" si="42"/>
        <v>93607</v>
      </c>
      <c r="J2702" t="str">
        <f>IFERROR(VLOOKUP(E2702,'LEAID Match'!$A$2:$B$168,2,FALSE),"")</f>
        <v/>
      </c>
    </row>
    <row r="2703" spans="1:10">
      <c r="A2703">
        <v>2019</v>
      </c>
      <c r="B2703" t="s">
        <v>1429</v>
      </c>
      <c r="C2703" t="s">
        <v>1431</v>
      </c>
      <c r="D2703" t="s">
        <v>1433</v>
      </c>
      <c r="E2703" t="s">
        <v>162</v>
      </c>
      <c r="F2703" s="9" t="s">
        <v>822</v>
      </c>
      <c r="G2703" s="18">
        <v>101809</v>
      </c>
      <c r="H2703">
        <v>0</v>
      </c>
      <c r="I2703" s="29">
        <f t="shared" si="42"/>
        <v>101809</v>
      </c>
      <c r="J2703" t="str">
        <f>IFERROR(VLOOKUP(E2703,'LEAID Match'!$A$2:$B$168,2,FALSE),"")</f>
        <v/>
      </c>
    </row>
    <row r="2704" spans="1:10">
      <c r="A2704" s="27">
        <v>2020</v>
      </c>
      <c r="B2704" t="s">
        <v>1429</v>
      </c>
      <c r="C2704" t="s">
        <v>1431</v>
      </c>
      <c r="D2704" t="s">
        <v>1433</v>
      </c>
      <c r="E2704" t="s">
        <v>162</v>
      </c>
      <c r="F2704" s="9" t="s">
        <v>162</v>
      </c>
      <c r="G2704" s="18">
        <v>100696</v>
      </c>
      <c r="H2704">
        <v>0</v>
      </c>
      <c r="I2704" s="29">
        <f t="shared" si="42"/>
        <v>100696</v>
      </c>
      <c r="J2704" t="str">
        <f>IFERROR(VLOOKUP(E2704,'LEAID Match'!$A$2:$B$168,2,FALSE),"")</f>
        <v/>
      </c>
    </row>
    <row r="2705" spans="1:10">
      <c r="A2705">
        <v>2021</v>
      </c>
      <c r="B2705" t="s">
        <v>1429</v>
      </c>
      <c r="C2705" t="s">
        <v>1431</v>
      </c>
      <c r="D2705" t="s">
        <v>1433</v>
      </c>
      <c r="E2705" t="s">
        <v>162</v>
      </c>
      <c r="F2705" s="9" t="s">
        <v>162</v>
      </c>
      <c r="G2705" s="18">
        <v>108152</v>
      </c>
      <c r="H2705">
        <v>0</v>
      </c>
      <c r="I2705" s="29">
        <f t="shared" si="42"/>
        <v>108152</v>
      </c>
      <c r="J2705" t="str">
        <f>IFERROR(VLOOKUP(E2705,'LEAID Match'!$A$2:$B$168,2,FALSE),"")</f>
        <v/>
      </c>
    </row>
    <row r="2706" spans="1:10">
      <c r="A2706">
        <v>2022</v>
      </c>
      <c r="B2706" t="s">
        <v>1429</v>
      </c>
      <c r="C2706" t="s">
        <v>1431</v>
      </c>
      <c r="D2706" t="s">
        <v>1433</v>
      </c>
      <c r="E2706" t="s">
        <v>162</v>
      </c>
      <c r="F2706" s="9" t="s">
        <v>162</v>
      </c>
      <c r="G2706" s="18">
        <v>146281</v>
      </c>
      <c r="H2706">
        <v>0</v>
      </c>
      <c r="I2706" s="29">
        <f t="shared" si="42"/>
        <v>146281</v>
      </c>
      <c r="J2706" t="str">
        <f>IFERROR(VLOOKUP(E2706,'LEAID Match'!$A$2:$B$168,2,FALSE),"")</f>
        <v/>
      </c>
    </row>
    <row r="2707" spans="1:10">
      <c r="A2707">
        <v>2023</v>
      </c>
      <c r="B2707" t="s">
        <v>1429</v>
      </c>
      <c r="C2707" t="s">
        <v>1431</v>
      </c>
      <c r="D2707" t="s">
        <v>1433</v>
      </c>
      <c r="E2707" t="s">
        <v>162</v>
      </c>
      <c r="F2707" t="s">
        <v>162</v>
      </c>
      <c r="G2707" s="28">
        <v>145624</v>
      </c>
      <c r="H2707">
        <v>0</v>
      </c>
      <c r="I2707" s="29">
        <f t="shared" si="42"/>
        <v>145624</v>
      </c>
      <c r="J2707" t="str">
        <f>IFERROR(VLOOKUP(E2707,'LEAID Match'!$A$2:$B$168,2,FALSE),"")</f>
        <v/>
      </c>
    </row>
    <row r="2708" spans="1:10">
      <c r="A2708">
        <v>2015</v>
      </c>
      <c r="B2708" t="s">
        <v>1429</v>
      </c>
      <c r="C2708" t="s">
        <v>1431</v>
      </c>
      <c r="D2708" t="s">
        <v>1433</v>
      </c>
      <c r="E2708" t="s">
        <v>823</v>
      </c>
      <c r="F2708" s="9" t="s">
        <v>1308</v>
      </c>
      <c r="G2708" s="18">
        <v>3032077.58</v>
      </c>
      <c r="H2708">
        <v>0</v>
      </c>
      <c r="I2708" s="29">
        <f t="shared" si="42"/>
        <v>3032077.58</v>
      </c>
      <c r="J2708">
        <f>IFERROR(VLOOKUP(E2708,'LEAID Match'!$A$2:$B$168,2,FALSE),"")</f>
        <v>3302610</v>
      </c>
    </row>
    <row r="2709" spans="1:10">
      <c r="A2709">
        <v>2016</v>
      </c>
      <c r="B2709" t="s">
        <v>1429</v>
      </c>
      <c r="C2709" t="s">
        <v>1431</v>
      </c>
      <c r="D2709" t="s">
        <v>1433</v>
      </c>
      <c r="E2709" t="s">
        <v>823</v>
      </c>
      <c r="F2709" t="s">
        <v>823</v>
      </c>
      <c r="G2709" s="28">
        <v>3122035</v>
      </c>
      <c r="H2709">
        <v>0</v>
      </c>
      <c r="I2709" s="29">
        <f t="shared" si="42"/>
        <v>3122035</v>
      </c>
      <c r="J2709">
        <f>IFERROR(VLOOKUP(E2709,'LEAID Match'!$A$2:$B$168,2,FALSE),"")</f>
        <v>3302610</v>
      </c>
    </row>
    <row r="2710" spans="1:10">
      <c r="A2710">
        <v>2017</v>
      </c>
      <c r="B2710" t="s">
        <v>1429</v>
      </c>
      <c r="C2710" t="s">
        <v>1431</v>
      </c>
      <c r="D2710" t="s">
        <v>1433</v>
      </c>
      <c r="E2710" t="s">
        <v>823</v>
      </c>
      <c r="F2710" t="s">
        <v>823</v>
      </c>
      <c r="G2710" s="28">
        <v>3205246</v>
      </c>
      <c r="H2710">
        <v>0</v>
      </c>
      <c r="I2710" s="29">
        <f t="shared" si="42"/>
        <v>3205246</v>
      </c>
      <c r="J2710">
        <f>IFERROR(VLOOKUP(E2710,'LEAID Match'!$A$2:$B$168,2,FALSE),"")</f>
        <v>3302610</v>
      </c>
    </row>
    <row r="2711" spans="1:10">
      <c r="A2711" s="27">
        <v>2018</v>
      </c>
      <c r="B2711" t="s">
        <v>1429</v>
      </c>
      <c r="C2711" t="s">
        <v>1431</v>
      </c>
      <c r="D2711" t="s">
        <v>1433</v>
      </c>
      <c r="E2711" t="s">
        <v>823</v>
      </c>
      <c r="F2711" s="9" t="s">
        <v>823</v>
      </c>
      <c r="G2711" s="18">
        <v>3970942</v>
      </c>
      <c r="H2711">
        <v>0</v>
      </c>
      <c r="I2711" s="29">
        <f t="shared" si="42"/>
        <v>3970942</v>
      </c>
      <c r="J2711">
        <f>IFERROR(VLOOKUP(E2711,'LEAID Match'!$A$2:$B$168,2,FALSE),"")</f>
        <v>3302610</v>
      </c>
    </row>
    <row r="2712" spans="1:10">
      <c r="A2712">
        <v>2019</v>
      </c>
      <c r="B2712" t="s">
        <v>1429</v>
      </c>
      <c r="C2712" t="s">
        <v>1431</v>
      </c>
      <c r="D2712" t="s">
        <v>1433</v>
      </c>
      <c r="E2712" t="s">
        <v>823</v>
      </c>
      <c r="F2712" s="9" t="s">
        <v>823</v>
      </c>
      <c r="G2712" s="18">
        <v>3915069</v>
      </c>
      <c r="H2712">
        <v>0</v>
      </c>
      <c r="I2712" s="29">
        <f t="shared" si="42"/>
        <v>3915069</v>
      </c>
      <c r="J2712">
        <f>IFERROR(VLOOKUP(E2712,'LEAID Match'!$A$2:$B$168,2,FALSE),"")</f>
        <v>3302610</v>
      </c>
    </row>
    <row r="2713" spans="1:10">
      <c r="A2713">
        <v>2015</v>
      </c>
      <c r="B2713" t="s">
        <v>1429</v>
      </c>
      <c r="C2713" t="s">
        <v>1431</v>
      </c>
      <c r="D2713" t="s">
        <v>1433</v>
      </c>
      <c r="E2713" t="s">
        <v>163</v>
      </c>
      <c r="F2713" s="9" t="s">
        <v>1309</v>
      </c>
      <c r="G2713" s="18">
        <v>38661.82</v>
      </c>
      <c r="H2713">
        <v>0</v>
      </c>
      <c r="I2713" s="29">
        <f t="shared" si="42"/>
        <v>38661.82</v>
      </c>
      <c r="J2713" t="str">
        <f>IFERROR(VLOOKUP(E2713,'LEAID Match'!$A$2:$B$168,2,FALSE),"")</f>
        <v/>
      </c>
    </row>
    <row r="2714" spans="1:10">
      <c r="A2714">
        <v>2016</v>
      </c>
      <c r="B2714" t="s">
        <v>1429</v>
      </c>
      <c r="C2714" t="s">
        <v>1431</v>
      </c>
      <c r="D2714" t="s">
        <v>1433</v>
      </c>
      <c r="E2714" t="s">
        <v>163</v>
      </c>
      <c r="F2714" t="s">
        <v>824</v>
      </c>
      <c r="G2714" s="28">
        <v>44873</v>
      </c>
      <c r="H2714">
        <v>0</v>
      </c>
      <c r="I2714" s="29">
        <f t="shared" si="42"/>
        <v>44873</v>
      </c>
      <c r="J2714" t="str">
        <f>IFERROR(VLOOKUP(E2714,'LEAID Match'!$A$2:$B$168,2,FALSE),"")</f>
        <v/>
      </c>
    </row>
    <row r="2715" spans="1:10">
      <c r="A2715">
        <v>2017</v>
      </c>
      <c r="B2715" t="s">
        <v>1429</v>
      </c>
      <c r="C2715" t="s">
        <v>1431</v>
      </c>
      <c r="D2715" t="s">
        <v>1433</v>
      </c>
      <c r="E2715" t="s">
        <v>163</v>
      </c>
      <c r="F2715" t="s">
        <v>824</v>
      </c>
      <c r="G2715" s="28">
        <v>38723</v>
      </c>
      <c r="H2715">
        <v>0</v>
      </c>
      <c r="I2715" s="29">
        <f t="shared" si="42"/>
        <v>38723</v>
      </c>
      <c r="J2715" t="str">
        <f>IFERROR(VLOOKUP(E2715,'LEAID Match'!$A$2:$B$168,2,FALSE),"")</f>
        <v/>
      </c>
    </row>
    <row r="2716" spans="1:10">
      <c r="A2716" s="27">
        <v>2018</v>
      </c>
      <c r="B2716" t="s">
        <v>1429</v>
      </c>
      <c r="C2716" t="s">
        <v>1431</v>
      </c>
      <c r="D2716" t="s">
        <v>1433</v>
      </c>
      <c r="E2716" t="s">
        <v>163</v>
      </c>
      <c r="F2716" s="9" t="s">
        <v>824</v>
      </c>
      <c r="G2716" s="18">
        <v>50153</v>
      </c>
      <c r="H2716">
        <v>0</v>
      </c>
      <c r="I2716" s="29">
        <f t="shared" si="42"/>
        <v>50153</v>
      </c>
      <c r="J2716" t="str">
        <f>IFERROR(VLOOKUP(E2716,'LEAID Match'!$A$2:$B$168,2,FALSE),"")</f>
        <v/>
      </c>
    </row>
    <row r="2717" spans="1:10">
      <c r="A2717">
        <v>2019</v>
      </c>
      <c r="B2717" t="s">
        <v>1429</v>
      </c>
      <c r="C2717" t="s">
        <v>1431</v>
      </c>
      <c r="D2717" t="s">
        <v>1433</v>
      </c>
      <c r="E2717" t="s">
        <v>163</v>
      </c>
      <c r="F2717" s="9" t="s">
        <v>824</v>
      </c>
      <c r="G2717" s="18">
        <v>42643</v>
      </c>
      <c r="H2717">
        <v>0</v>
      </c>
      <c r="I2717" s="29">
        <f t="shared" si="42"/>
        <v>42643</v>
      </c>
      <c r="J2717" t="str">
        <f>IFERROR(VLOOKUP(E2717,'LEAID Match'!$A$2:$B$168,2,FALSE),"")</f>
        <v/>
      </c>
    </row>
    <row r="2718" spans="1:10">
      <c r="A2718" s="27">
        <v>2020</v>
      </c>
      <c r="B2718" t="s">
        <v>1429</v>
      </c>
      <c r="C2718" t="s">
        <v>1431</v>
      </c>
      <c r="D2718" t="s">
        <v>1433</v>
      </c>
      <c r="E2718" t="s">
        <v>163</v>
      </c>
      <c r="F2718" s="9" t="s">
        <v>163</v>
      </c>
      <c r="G2718" s="18">
        <v>57698</v>
      </c>
      <c r="H2718">
        <v>0</v>
      </c>
      <c r="I2718" s="29">
        <f t="shared" si="42"/>
        <v>57698</v>
      </c>
      <c r="J2718" t="str">
        <f>IFERROR(VLOOKUP(E2718,'LEAID Match'!$A$2:$B$168,2,FALSE),"")</f>
        <v/>
      </c>
    </row>
    <row r="2719" spans="1:10">
      <c r="A2719">
        <v>2021</v>
      </c>
      <c r="B2719" t="s">
        <v>1429</v>
      </c>
      <c r="C2719" t="s">
        <v>1431</v>
      </c>
      <c r="D2719" t="s">
        <v>1433</v>
      </c>
      <c r="E2719" t="s">
        <v>163</v>
      </c>
      <c r="F2719" s="9" t="s">
        <v>163</v>
      </c>
      <c r="G2719" s="18">
        <v>44811</v>
      </c>
      <c r="H2719">
        <v>0</v>
      </c>
      <c r="I2719" s="29">
        <f t="shared" si="42"/>
        <v>44811</v>
      </c>
      <c r="J2719" t="str">
        <f>IFERROR(VLOOKUP(E2719,'LEAID Match'!$A$2:$B$168,2,FALSE),"")</f>
        <v/>
      </c>
    </row>
    <row r="2720" spans="1:10">
      <c r="A2720">
        <v>2022</v>
      </c>
      <c r="B2720" t="s">
        <v>1429</v>
      </c>
      <c r="C2720" t="s">
        <v>1431</v>
      </c>
      <c r="D2720" t="s">
        <v>1433</v>
      </c>
      <c r="E2720" t="s">
        <v>163</v>
      </c>
      <c r="F2720" s="9" t="s">
        <v>163</v>
      </c>
      <c r="G2720" s="18">
        <v>65786</v>
      </c>
      <c r="H2720">
        <v>0</v>
      </c>
      <c r="I2720" s="29">
        <f t="shared" si="42"/>
        <v>65786</v>
      </c>
      <c r="J2720" t="str">
        <f>IFERROR(VLOOKUP(E2720,'LEAID Match'!$A$2:$B$168,2,FALSE),"")</f>
        <v/>
      </c>
    </row>
    <row r="2721" spans="1:10">
      <c r="A2721">
        <v>2023</v>
      </c>
      <c r="B2721" t="s">
        <v>1429</v>
      </c>
      <c r="C2721" t="s">
        <v>1431</v>
      </c>
      <c r="D2721" t="s">
        <v>1433</v>
      </c>
      <c r="E2721" t="s">
        <v>163</v>
      </c>
      <c r="F2721" t="s">
        <v>163</v>
      </c>
      <c r="G2721" s="28">
        <v>75500</v>
      </c>
      <c r="H2721">
        <v>0</v>
      </c>
      <c r="I2721" s="29">
        <f t="shared" si="42"/>
        <v>75500</v>
      </c>
      <c r="J2721" t="str">
        <f>IFERROR(VLOOKUP(E2721,'LEAID Match'!$A$2:$B$168,2,FALSE),"")</f>
        <v/>
      </c>
    </row>
    <row r="2722" spans="1:10">
      <c r="A2722">
        <v>2015</v>
      </c>
      <c r="B2722" t="s">
        <v>1429</v>
      </c>
      <c r="C2722" t="s">
        <v>1431</v>
      </c>
      <c r="D2722" t="s">
        <v>1433</v>
      </c>
      <c r="E2722" t="s">
        <v>164</v>
      </c>
      <c r="F2722" s="9" t="s">
        <v>1310</v>
      </c>
      <c r="G2722" s="18">
        <v>57614.59</v>
      </c>
      <c r="H2722">
        <v>0</v>
      </c>
      <c r="I2722" s="29">
        <f t="shared" si="42"/>
        <v>57614.59</v>
      </c>
      <c r="J2722" t="str">
        <f>IFERROR(VLOOKUP(E2722,'LEAID Match'!$A$2:$B$168,2,FALSE),"")</f>
        <v/>
      </c>
    </row>
    <row r="2723" spans="1:10">
      <c r="A2723">
        <v>2016</v>
      </c>
      <c r="B2723" t="s">
        <v>1429</v>
      </c>
      <c r="C2723" t="s">
        <v>1431</v>
      </c>
      <c r="D2723" t="s">
        <v>1433</v>
      </c>
      <c r="E2723" t="s">
        <v>164</v>
      </c>
      <c r="F2723" t="s">
        <v>825</v>
      </c>
      <c r="G2723" s="28">
        <v>62038</v>
      </c>
      <c r="H2723">
        <v>0</v>
      </c>
      <c r="I2723" s="29">
        <f t="shared" si="42"/>
        <v>62038</v>
      </c>
      <c r="J2723" t="str">
        <f>IFERROR(VLOOKUP(E2723,'LEAID Match'!$A$2:$B$168,2,FALSE),"")</f>
        <v/>
      </c>
    </row>
    <row r="2724" spans="1:10">
      <c r="A2724">
        <v>2017</v>
      </c>
      <c r="B2724" t="s">
        <v>1429</v>
      </c>
      <c r="C2724" t="s">
        <v>1431</v>
      </c>
      <c r="D2724" t="s">
        <v>1433</v>
      </c>
      <c r="E2724" t="s">
        <v>164</v>
      </c>
      <c r="F2724" t="s">
        <v>825</v>
      </c>
      <c r="G2724" s="28">
        <v>66981</v>
      </c>
      <c r="H2724">
        <v>0</v>
      </c>
      <c r="I2724" s="29">
        <f t="shared" si="42"/>
        <v>66981</v>
      </c>
      <c r="J2724" t="str">
        <f>IFERROR(VLOOKUP(E2724,'LEAID Match'!$A$2:$B$168,2,FALSE),"")</f>
        <v/>
      </c>
    </row>
    <row r="2725" spans="1:10">
      <c r="A2725" s="27">
        <v>2018</v>
      </c>
      <c r="B2725" t="s">
        <v>1429</v>
      </c>
      <c r="C2725" t="s">
        <v>1431</v>
      </c>
      <c r="D2725" t="s">
        <v>1433</v>
      </c>
      <c r="E2725" t="s">
        <v>164</v>
      </c>
      <c r="F2725" s="9" t="s">
        <v>825</v>
      </c>
      <c r="G2725" s="18">
        <v>72678</v>
      </c>
      <c r="H2725">
        <v>0</v>
      </c>
      <c r="I2725" s="29">
        <f t="shared" si="42"/>
        <v>72678</v>
      </c>
      <c r="J2725" t="str">
        <f>IFERROR(VLOOKUP(E2725,'LEAID Match'!$A$2:$B$168,2,FALSE),"")</f>
        <v/>
      </c>
    </row>
    <row r="2726" spans="1:10">
      <c r="A2726">
        <v>2019</v>
      </c>
      <c r="B2726" t="s">
        <v>1429</v>
      </c>
      <c r="C2726" t="s">
        <v>1431</v>
      </c>
      <c r="D2726" t="s">
        <v>1433</v>
      </c>
      <c r="E2726" t="s">
        <v>164</v>
      </c>
      <c r="F2726" s="9" t="s">
        <v>825</v>
      </c>
      <c r="G2726" s="18">
        <v>80331</v>
      </c>
      <c r="H2726">
        <v>0</v>
      </c>
      <c r="I2726" s="29">
        <f t="shared" si="42"/>
        <v>80331</v>
      </c>
      <c r="J2726" t="str">
        <f>IFERROR(VLOOKUP(E2726,'LEAID Match'!$A$2:$B$168,2,FALSE),"")</f>
        <v/>
      </c>
    </row>
    <row r="2727" spans="1:10">
      <c r="A2727" s="27">
        <v>2020</v>
      </c>
      <c r="B2727" t="s">
        <v>1429</v>
      </c>
      <c r="C2727" t="s">
        <v>1431</v>
      </c>
      <c r="D2727" t="s">
        <v>1433</v>
      </c>
      <c r="E2727" t="s">
        <v>164</v>
      </c>
      <c r="F2727" s="9" t="s">
        <v>164</v>
      </c>
      <c r="G2727" s="18">
        <v>76637</v>
      </c>
      <c r="H2727">
        <v>0</v>
      </c>
      <c r="I2727" s="29">
        <f t="shared" si="42"/>
        <v>76637</v>
      </c>
      <c r="J2727" t="str">
        <f>IFERROR(VLOOKUP(E2727,'LEAID Match'!$A$2:$B$168,2,FALSE),"")</f>
        <v/>
      </c>
    </row>
    <row r="2728" spans="1:10">
      <c r="A2728">
        <v>2021</v>
      </c>
      <c r="B2728" t="s">
        <v>1429</v>
      </c>
      <c r="C2728" t="s">
        <v>1431</v>
      </c>
      <c r="D2728" t="s">
        <v>1433</v>
      </c>
      <c r="E2728" t="s">
        <v>164</v>
      </c>
      <c r="F2728" s="9" t="s">
        <v>164</v>
      </c>
      <c r="G2728" s="18">
        <v>81268</v>
      </c>
      <c r="H2728">
        <v>0</v>
      </c>
      <c r="I2728" s="29">
        <f t="shared" si="42"/>
        <v>81268</v>
      </c>
      <c r="J2728" t="str">
        <f>IFERROR(VLOOKUP(E2728,'LEAID Match'!$A$2:$B$168,2,FALSE),"")</f>
        <v/>
      </c>
    </row>
    <row r="2729" spans="1:10">
      <c r="A2729">
        <v>2022</v>
      </c>
      <c r="B2729" t="s">
        <v>1429</v>
      </c>
      <c r="C2729" t="s">
        <v>1431</v>
      </c>
      <c r="D2729" t="s">
        <v>1433</v>
      </c>
      <c r="E2729" t="s">
        <v>164</v>
      </c>
      <c r="F2729" s="9" t="s">
        <v>164</v>
      </c>
      <c r="G2729" s="18">
        <v>99566</v>
      </c>
      <c r="H2729">
        <v>0</v>
      </c>
      <c r="I2729" s="29">
        <f t="shared" si="42"/>
        <v>99566</v>
      </c>
      <c r="J2729" t="str">
        <f>IFERROR(VLOOKUP(E2729,'LEAID Match'!$A$2:$B$168,2,FALSE),"")</f>
        <v/>
      </c>
    </row>
    <row r="2730" spans="1:10">
      <c r="A2730">
        <v>2023</v>
      </c>
      <c r="B2730" t="s">
        <v>1429</v>
      </c>
      <c r="C2730" t="s">
        <v>1431</v>
      </c>
      <c r="D2730" t="s">
        <v>1433</v>
      </c>
      <c r="E2730" t="s">
        <v>164</v>
      </c>
      <c r="F2730" t="s">
        <v>164</v>
      </c>
      <c r="G2730" s="28">
        <v>101457</v>
      </c>
      <c r="H2730">
        <v>0</v>
      </c>
      <c r="I2730" s="29">
        <f t="shared" si="42"/>
        <v>101457</v>
      </c>
      <c r="J2730" t="str">
        <f>IFERROR(VLOOKUP(E2730,'LEAID Match'!$A$2:$B$168,2,FALSE),"")</f>
        <v/>
      </c>
    </row>
    <row r="2731" spans="1:10">
      <c r="A2731">
        <v>2015</v>
      </c>
      <c r="B2731" t="s">
        <v>1429</v>
      </c>
      <c r="C2731" t="s">
        <v>1431</v>
      </c>
      <c r="D2731" t="s">
        <v>1433</v>
      </c>
      <c r="E2731" t="s">
        <v>165</v>
      </c>
      <c r="F2731" s="9" t="s">
        <v>1311</v>
      </c>
      <c r="G2731" s="18">
        <v>184031.92</v>
      </c>
      <c r="H2731">
        <v>0</v>
      </c>
      <c r="I2731" s="29">
        <f t="shared" si="42"/>
        <v>184031.92</v>
      </c>
      <c r="J2731" t="str">
        <f>IFERROR(VLOOKUP(E2731,'LEAID Match'!$A$2:$B$168,2,FALSE),"")</f>
        <v/>
      </c>
    </row>
    <row r="2732" spans="1:10">
      <c r="A2732">
        <v>2016</v>
      </c>
      <c r="B2732" t="s">
        <v>1429</v>
      </c>
      <c r="C2732" t="s">
        <v>1431</v>
      </c>
      <c r="D2732" t="s">
        <v>1433</v>
      </c>
      <c r="E2732" t="s">
        <v>165</v>
      </c>
      <c r="F2732" t="s">
        <v>826</v>
      </c>
      <c r="G2732" s="28">
        <v>170459</v>
      </c>
      <c r="H2732">
        <v>0</v>
      </c>
      <c r="I2732" s="29">
        <f t="shared" si="42"/>
        <v>170459</v>
      </c>
      <c r="J2732" t="str">
        <f>IFERROR(VLOOKUP(E2732,'LEAID Match'!$A$2:$B$168,2,FALSE),"")</f>
        <v/>
      </c>
    </row>
    <row r="2733" spans="1:10">
      <c r="A2733">
        <v>2017</v>
      </c>
      <c r="B2733" t="s">
        <v>1429</v>
      </c>
      <c r="C2733" t="s">
        <v>1431</v>
      </c>
      <c r="D2733" t="s">
        <v>1433</v>
      </c>
      <c r="E2733" t="s">
        <v>165</v>
      </c>
      <c r="F2733" t="s">
        <v>826</v>
      </c>
      <c r="G2733" s="28">
        <v>159318</v>
      </c>
      <c r="H2733">
        <v>0</v>
      </c>
      <c r="I2733" s="29">
        <f t="shared" si="42"/>
        <v>159318</v>
      </c>
      <c r="J2733" t="str">
        <f>IFERROR(VLOOKUP(E2733,'LEAID Match'!$A$2:$B$168,2,FALSE),"")</f>
        <v/>
      </c>
    </row>
    <row r="2734" spans="1:10">
      <c r="A2734" s="27">
        <v>2018</v>
      </c>
      <c r="B2734" t="s">
        <v>1429</v>
      </c>
      <c r="C2734" t="s">
        <v>1431</v>
      </c>
      <c r="D2734" t="s">
        <v>1433</v>
      </c>
      <c r="E2734" t="s">
        <v>165</v>
      </c>
      <c r="F2734" s="9" t="s">
        <v>826</v>
      </c>
      <c r="G2734" s="18">
        <v>163756</v>
      </c>
      <c r="H2734">
        <v>0</v>
      </c>
      <c r="I2734" s="29">
        <f t="shared" si="42"/>
        <v>163756</v>
      </c>
      <c r="J2734" t="str">
        <f>IFERROR(VLOOKUP(E2734,'LEAID Match'!$A$2:$B$168,2,FALSE),"")</f>
        <v/>
      </c>
    </row>
    <row r="2735" spans="1:10">
      <c r="A2735">
        <v>2019</v>
      </c>
      <c r="B2735" t="s">
        <v>1429</v>
      </c>
      <c r="C2735" t="s">
        <v>1431</v>
      </c>
      <c r="D2735" t="s">
        <v>1433</v>
      </c>
      <c r="E2735" t="s">
        <v>165</v>
      </c>
      <c r="F2735" s="9" t="s">
        <v>826</v>
      </c>
      <c r="G2735" s="18">
        <v>189974</v>
      </c>
      <c r="H2735">
        <v>0</v>
      </c>
      <c r="I2735" s="29">
        <f t="shared" si="42"/>
        <v>189974</v>
      </c>
      <c r="J2735" t="str">
        <f>IFERROR(VLOOKUP(E2735,'LEAID Match'!$A$2:$B$168,2,FALSE),"")</f>
        <v/>
      </c>
    </row>
    <row r="2736" spans="1:10">
      <c r="A2736" s="27">
        <v>2020</v>
      </c>
      <c r="B2736" t="s">
        <v>1429</v>
      </c>
      <c r="C2736" t="s">
        <v>1431</v>
      </c>
      <c r="D2736" t="s">
        <v>1433</v>
      </c>
      <c r="E2736" t="s">
        <v>165</v>
      </c>
      <c r="F2736" s="9" t="s">
        <v>165</v>
      </c>
      <c r="G2736" s="18">
        <v>215972</v>
      </c>
      <c r="H2736">
        <v>0</v>
      </c>
      <c r="I2736" s="29">
        <f t="shared" si="42"/>
        <v>215972</v>
      </c>
      <c r="J2736" t="str">
        <f>IFERROR(VLOOKUP(E2736,'LEAID Match'!$A$2:$B$168,2,FALSE),"")</f>
        <v/>
      </c>
    </row>
    <row r="2737" spans="1:10">
      <c r="A2737">
        <v>2021</v>
      </c>
      <c r="B2737" t="s">
        <v>1429</v>
      </c>
      <c r="C2737" t="s">
        <v>1431</v>
      </c>
      <c r="D2737" t="s">
        <v>1433</v>
      </c>
      <c r="E2737" t="s">
        <v>165</v>
      </c>
      <c r="F2737" s="9" t="s">
        <v>165</v>
      </c>
      <c r="G2737" s="18">
        <v>205921</v>
      </c>
      <c r="H2737">
        <v>0</v>
      </c>
      <c r="I2737" s="29">
        <f t="shared" si="42"/>
        <v>205921</v>
      </c>
      <c r="J2737" t="str">
        <f>IFERROR(VLOOKUP(E2737,'LEAID Match'!$A$2:$B$168,2,FALSE),"")</f>
        <v/>
      </c>
    </row>
    <row r="2738" spans="1:10">
      <c r="A2738">
        <v>2022</v>
      </c>
      <c r="B2738" t="s">
        <v>1429</v>
      </c>
      <c r="C2738" t="s">
        <v>1431</v>
      </c>
      <c r="D2738" t="s">
        <v>1433</v>
      </c>
      <c r="E2738" t="s">
        <v>165</v>
      </c>
      <c r="F2738" s="9" t="s">
        <v>165</v>
      </c>
      <c r="G2738" s="18">
        <v>271947</v>
      </c>
      <c r="H2738">
        <v>0</v>
      </c>
      <c r="I2738" s="29">
        <f t="shared" si="42"/>
        <v>271947</v>
      </c>
      <c r="J2738" t="str">
        <f>IFERROR(VLOOKUP(E2738,'LEAID Match'!$A$2:$B$168,2,FALSE),"")</f>
        <v/>
      </c>
    </row>
    <row r="2739" spans="1:10">
      <c r="A2739">
        <v>2023</v>
      </c>
      <c r="B2739" t="s">
        <v>1429</v>
      </c>
      <c r="C2739" t="s">
        <v>1431</v>
      </c>
      <c r="D2739" t="s">
        <v>1433</v>
      </c>
      <c r="E2739" t="s">
        <v>165</v>
      </c>
      <c r="F2739" t="s">
        <v>165</v>
      </c>
      <c r="G2739" s="28">
        <v>264237</v>
      </c>
      <c r="H2739">
        <v>0</v>
      </c>
      <c r="I2739" s="29">
        <f t="shared" si="42"/>
        <v>264237</v>
      </c>
      <c r="J2739" t="str">
        <f>IFERROR(VLOOKUP(E2739,'LEAID Match'!$A$2:$B$168,2,FALSE),"")</f>
        <v/>
      </c>
    </row>
    <row r="2740" spans="1:10">
      <c r="A2740">
        <v>2015</v>
      </c>
      <c r="B2740" t="s">
        <v>1429</v>
      </c>
      <c r="C2740" t="s">
        <v>1431</v>
      </c>
      <c r="D2740" t="s">
        <v>1433</v>
      </c>
      <c r="E2740" t="s">
        <v>483</v>
      </c>
      <c r="F2740" s="9" t="s">
        <v>1312</v>
      </c>
      <c r="G2740" s="18">
        <v>113466.2</v>
      </c>
      <c r="H2740">
        <v>0</v>
      </c>
      <c r="I2740" s="29">
        <f t="shared" si="42"/>
        <v>113466.2</v>
      </c>
      <c r="J2740" t="str">
        <f>IFERROR(VLOOKUP(E2740,'LEAID Match'!$A$2:$B$168,2,FALSE),"")</f>
        <v/>
      </c>
    </row>
    <row r="2741" spans="1:10">
      <c r="A2741">
        <v>2016</v>
      </c>
      <c r="B2741" t="s">
        <v>1429</v>
      </c>
      <c r="C2741" t="s">
        <v>1431</v>
      </c>
      <c r="D2741" t="s">
        <v>1433</v>
      </c>
      <c r="E2741" t="s">
        <v>483</v>
      </c>
      <c r="F2741" t="s">
        <v>827</v>
      </c>
      <c r="G2741" s="28">
        <v>130058</v>
      </c>
      <c r="H2741">
        <v>0</v>
      </c>
      <c r="I2741" s="29">
        <f t="shared" si="42"/>
        <v>130058</v>
      </c>
      <c r="J2741" t="str">
        <f>IFERROR(VLOOKUP(E2741,'LEAID Match'!$A$2:$B$168,2,FALSE),"")</f>
        <v/>
      </c>
    </row>
    <row r="2742" spans="1:10">
      <c r="A2742">
        <v>2017</v>
      </c>
      <c r="B2742" t="s">
        <v>1429</v>
      </c>
      <c r="C2742" t="s">
        <v>1431</v>
      </c>
      <c r="D2742" t="s">
        <v>1433</v>
      </c>
      <c r="E2742" t="s">
        <v>483</v>
      </c>
      <c r="F2742" t="s">
        <v>827</v>
      </c>
      <c r="G2742" s="28">
        <v>133638</v>
      </c>
      <c r="H2742">
        <v>0</v>
      </c>
      <c r="I2742" s="29">
        <f t="shared" si="42"/>
        <v>133638</v>
      </c>
      <c r="J2742" t="str">
        <f>IFERROR(VLOOKUP(E2742,'LEAID Match'!$A$2:$B$168,2,FALSE),"")</f>
        <v/>
      </c>
    </row>
    <row r="2743" spans="1:10">
      <c r="A2743" s="27">
        <v>2018</v>
      </c>
      <c r="B2743" t="s">
        <v>1429</v>
      </c>
      <c r="C2743" t="s">
        <v>1431</v>
      </c>
      <c r="D2743" t="s">
        <v>1433</v>
      </c>
      <c r="E2743" t="s">
        <v>483</v>
      </c>
      <c r="F2743" s="9" t="s">
        <v>827</v>
      </c>
      <c r="G2743" s="18">
        <v>75023</v>
      </c>
      <c r="H2743">
        <v>0</v>
      </c>
      <c r="I2743" s="29">
        <f t="shared" si="42"/>
        <v>75023</v>
      </c>
      <c r="J2743" t="str">
        <f>IFERROR(VLOOKUP(E2743,'LEAID Match'!$A$2:$B$168,2,FALSE),"")</f>
        <v/>
      </c>
    </row>
    <row r="2744" spans="1:10">
      <c r="A2744">
        <v>2019</v>
      </c>
      <c r="B2744" t="s">
        <v>1429</v>
      </c>
      <c r="C2744" t="s">
        <v>1431</v>
      </c>
      <c r="D2744" t="s">
        <v>1433</v>
      </c>
      <c r="E2744" t="s">
        <v>483</v>
      </c>
      <c r="F2744" s="9" t="s">
        <v>827</v>
      </c>
      <c r="G2744" s="18"/>
      <c r="H2744">
        <v>0</v>
      </c>
      <c r="I2744" s="29">
        <f t="shared" si="42"/>
        <v>0</v>
      </c>
      <c r="J2744" t="str">
        <f>IFERROR(VLOOKUP(E2744,'LEAID Match'!$A$2:$B$168,2,FALSE),"")</f>
        <v/>
      </c>
    </row>
    <row r="2745" spans="1:10">
      <c r="A2745" s="27">
        <v>2020</v>
      </c>
      <c r="B2745" t="s">
        <v>1429</v>
      </c>
      <c r="C2745" t="s">
        <v>1431</v>
      </c>
      <c r="D2745" t="s">
        <v>1433</v>
      </c>
      <c r="E2745" t="s">
        <v>483</v>
      </c>
      <c r="F2745" s="9" t="s">
        <v>483</v>
      </c>
      <c r="G2745" s="18"/>
      <c r="H2745">
        <v>0</v>
      </c>
      <c r="I2745" s="29">
        <f t="shared" si="42"/>
        <v>0</v>
      </c>
      <c r="J2745" t="str">
        <f>IFERROR(VLOOKUP(E2745,'LEAID Match'!$A$2:$B$168,2,FALSE),"")</f>
        <v/>
      </c>
    </row>
    <row r="2746" spans="1:10">
      <c r="A2746">
        <v>2021</v>
      </c>
      <c r="B2746" t="s">
        <v>1429</v>
      </c>
      <c r="C2746" t="s">
        <v>1431</v>
      </c>
      <c r="D2746" t="s">
        <v>1433</v>
      </c>
      <c r="E2746" t="s">
        <v>483</v>
      </c>
      <c r="F2746" s="9" t="s">
        <v>483</v>
      </c>
      <c r="G2746" s="18"/>
      <c r="H2746">
        <v>0</v>
      </c>
      <c r="I2746" s="29">
        <f t="shared" si="42"/>
        <v>0</v>
      </c>
      <c r="J2746" t="str">
        <f>IFERROR(VLOOKUP(E2746,'LEAID Match'!$A$2:$B$168,2,FALSE),"")</f>
        <v/>
      </c>
    </row>
    <row r="2747" spans="1:10">
      <c r="A2747">
        <v>2015</v>
      </c>
      <c r="B2747" t="s">
        <v>1429</v>
      </c>
      <c r="C2747" t="s">
        <v>1431</v>
      </c>
      <c r="D2747" t="s">
        <v>1433</v>
      </c>
      <c r="E2747" t="s">
        <v>166</v>
      </c>
      <c r="F2747" s="9" t="s">
        <v>1313</v>
      </c>
      <c r="G2747" s="18">
        <v>92168.81</v>
      </c>
      <c r="H2747">
        <v>0</v>
      </c>
      <c r="I2747" s="29">
        <f t="shared" si="42"/>
        <v>92168.81</v>
      </c>
      <c r="J2747" t="str">
        <f>IFERROR(VLOOKUP(E2747,'LEAID Match'!$A$2:$B$168,2,FALSE),"")</f>
        <v/>
      </c>
    </row>
    <row r="2748" spans="1:10">
      <c r="A2748">
        <v>2016</v>
      </c>
      <c r="B2748" t="s">
        <v>1429</v>
      </c>
      <c r="C2748" t="s">
        <v>1431</v>
      </c>
      <c r="D2748" t="s">
        <v>1433</v>
      </c>
      <c r="E2748" t="s">
        <v>166</v>
      </c>
      <c r="F2748" t="s">
        <v>828</v>
      </c>
      <c r="G2748" s="28">
        <v>100472</v>
      </c>
      <c r="H2748">
        <v>0</v>
      </c>
      <c r="I2748" s="29">
        <f t="shared" si="42"/>
        <v>100472</v>
      </c>
      <c r="J2748" t="str">
        <f>IFERROR(VLOOKUP(E2748,'LEAID Match'!$A$2:$B$168,2,FALSE),"")</f>
        <v/>
      </c>
    </row>
    <row r="2749" spans="1:10">
      <c r="A2749">
        <v>2017</v>
      </c>
      <c r="B2749" t="s">
        <v>1429</v>
      </c>
      <c r="C2749" t="s">
        <v>1431</v>
      </c>
      <c r="D2749" t="s">
        <v>1433</v>
      </c>
      <c r="E2749" t="s">
        <v>166</v>
      </c>
      <c r="F2749" t="s">
        <v>828</v>
      </c>
      <c r="G2749" s="28">
        <v>124763</v>
      </c>
      <c r="H2749">
        <v>0</v>
      </c>
      <c r="I2749" s="29">
        <f t="shared" si="42"/>
        <v>124763</v>
      </c>
      <c r="J2749" t="str">
        <f>IFERROR(VLOOKUP(E2749,'LEAID Match'!$A$2:$B$168,2,FALSE),"")</f>
        <v/>
      </c>
    </row>
    <row r="2750" spans="1:10">
      <c r="A2750" s="27">
        <v>2018</v>
      </c>
      <c r="B2750" t="s">
        <v>1429</v>
      </c>
      <c r="C2750" t="s">
        <v>1431</v>
      </c>
      <c r="D2750" t="s">
        <v>1433</v>
      </c>
      <c r="E2750" t="s">
        <v>166</v>
      </c>
      <c r="F2750" s="9" t="s">
        <v>828</v>
      </c>
      <c r="G2750" s="18">
        <v>137164</v>
      </c>
      <c r="H2750">
        <v>0</v>
      </c>
      <c r="I2750" s="29">
        <f t="shared" si="42"/>
        <v>137164</v>
      </c>
      <c r="J2750" t="str">
        <f>IFERROR(VLOOKUP(E2750,'LEAID Match'!$A$2:$B$168,2,FALSE),"")</f>
        <v/>
      </c>
    </row>
    <row r="2751" spans="1:10">
      <c r="A2751">
        <v>2019</v>
      </c>
      <c r="B2751" t="s">
        <v>1429</v>
      </c>
      <c r="C2751" t="s">
        <v>1431</v>
      </c>
      <c r="D2751" t="s">
        <v>1433</v>
      </c>
      <c r="E2751" t="s">
        <v>166</v>
      </c>
      <c r="F2751" s="9" t="s">
        <v>828</v>
      </c>
      <c r="G2751" s="18">
        <v>135362</v>
      </c>
      <c r="H2751">
        <v>0</v>
      </c>
      <c r="I2751" s="29">
        <f t="shared" si="42"/>
        <v>135362</v>
      </c>
      <c r="J2751" t="str">
        <f>IFERROR(VLOOKUP(E2751,'LEAID Match'!$A$2:$B$168,2,FALSE),"")</f>
        <v/>
      </c>
    </row>
    <row r="2752" spans="1:10">
      <c r="A2752" s="27">
        <v>2020</v>
      </c>
      <c r="B2752" t="s">
        <v>1429</v>
      </c>
      <c r="C2752" t="s">
        <v>1431</v>
      </c>
      <c r="D2752" t="s">
        <v>1433</v>
      </c>
      <c r="E2752" t="s">
        <v>166</v>
      </c>
      <c r="F2752" s="9" t="s">
        <v>166</v>
      </c>
      <c r="G2752" s="18">
        <v>140354</v>
      </c>
      <c r="H2752">
        <v>0</v>
      </c>
      <c r="I2752" s="29">
        <f t="shared" si="42"/>
        <v>140354</v>
      </c>
      <c r="J2752" t="str">
        <f>IFERROR(VLOOKUP(E2752,'LEAID Match'!$A$2:$B$168,2,FALSE),"")</f>
        <v/>
      </c>
    </row>
    <row r="2753" spans="1:10">
      <c r="A2753">
        <v>2021</v>
      </c>
      <c r="B2753" t="s">
        <v>1429</v>
      </c>
      <c r="C2753" t="s">
        <v>1431</v>
      </c>
      <c r="D2753" t="s">
        <v>1433</v>
      </c>
      <c r="E2753" t="s">
        <v>166</v>
      </c>
      <c r="F2753" s="9" t="s">
        <v>166</v>
      </c>
      <c r="G2753" s="18">
        <v>149698</v>
      </c>
      <c r="H2753">
        <v>0</v>
      </c>
      <c r="I2753" s="29">
        <f t="shared" si="42"/>
        <v>149698</v>
      </c>
      <c r="J2753" t="str">
        <f>IFERROR(VLOOKUP(E2753,'LEAID Match'!$A$2:$B$168,2,FALSE),"")</f>
        <v/>
      </c>
    </row>
    <row r="2754" spans="1:10">
      <c r="A2754">
        <v>2022</v>
      </c>
      <c r="B2754" t="s">
        <v>1429</v>
      </c>
      <c r="C2754" t="s">
        <v>1431</v>
      </c>
      <c r="D2754" t="s">
        <v>1433</v>
      </c>
      <c r="E2754" t="s">
        <v>166</v>
      </c>
      <c r="F2754" s="9" t="s">
        <v>166</v>
      </c>
      <c r="G2754" s="18">
        <v>193881</v>
      </c>
      <c r="H2754">
        <v>0</v>
      </c>
      <c r="I2754" s="29">
        <f t="shared" si="42"/>
        <v>193881</v>
      </c>
      <c r="J2754" t="str">
        <f>IFERROR(VLOOKUP(E2754,'LEAID Match'!$A$2:$B$168,2,FALSE),"")</f>
        <v/>
      </c>
    </row>
    <row r="2755" spans="1:10">
      <c r="A2755">
        <v>2023</v>
      </c>
      <c r="B2755" t="s">
        <v>1429</v>
      </c>
      <c r="C2755" t="s">
        <v>1431</v>
      </c>
      <c r="D2755" t="s">
        <v>1433</v>
      </c>
      <c r="E2755" t="s">
        <v>166</v>
      </c>
      <c r="F2755" t="s">
        <v>166</v>
      </c>
      <c r="G2755" s="28">
        <v>210068</v>
      </c>
      <c r="H2755">
        <v>0</v>
      </c>
      <c r="I2755" s="29">
        <f t="shared" ref="I2755:I2818" si="43">SUM(G2755:H2755)</f>
        <v>210068</v>
      </c>
      <c r="J2755" t="str">
        <f>IFERROR(VLOOKUP(E2755,'LEAID Match'!$A$2:$B$168,2,FALSE),"")</f>
        <v/>
      </c>
    </row>
    <row r="2756" spans="1:10">
      <c r="A2756">
        <v>2015</v>
      </c>
      <c r="B2756" t="s">
        <v>1429</v>
      </c>
      <c r="C2756" t="s">
        <v>1431</v>
      </c>
      <c r="D2756" t="s">
        <v>1433</v>
      </c>
      <c r="E2756" t="s">
        <v>167</v>
      </c>
      <c r="F2756" s="9" t="s">
        <v>1314</v>
      </c>
      <c r="G2756" s="18">
        <v>45669.43</v>
      </c>
      <c r="H2756">
        <v>0</v>
      </c>
      <c r="I2756" s="29">
        <f t="shared" si="43"/>
        <v>45669.43</v>
      </c>
      <c r="J2756" t="str">
        <f>IFERROR(VLOOKUP(E2756,'LEAID Match'!$A$2:$B$168,2,FALSE),"")</f>
        <v/>
      </c>
    </row>
    <row r="2757" spans="1:10">
      <c r="A2757">
        <v>2016</v>
      </c>
      <c r="B2757" t="s">
        <v>1429</v>
      </c>
      <c r="C2757" t="s">
        <v>1431</v>
      </c>
      <c r="D2757" t="s">
        <v>1433</v>
      </c>
      <c r="E2757" t="s">
        <v>167</v>
      </c>
      <c r="F2757" t="s">
        <v>829</v>
      </c>
      <c r="G2757" s="28">
        <v>45315</v>
      </c>
      <c r="H2757">
        <v>0</v>
      </c>
      <c r="I2757" s="29">
        <f t="shared" si="43"/>
        <v>45315</v>
      </c>
      <c r="J2757" t="str">
        <f>IFERROR(VLOOKUP(E2757,'LEAID Match'!$A$2:$B$168,2,FALSE),"")</f>
        <v/>
      </c>
    </row>
    <row r="2758" spans="1:10">
      <c r="A2758">
        <v>2017</v>
      </c>
      <c r="B2758" t="s">
        <v>1429</v>
      </c>
      <c r="C2758" t="s">
        <v>1431</v>
      </c>
      <c r="D2758" t="s">
        <v>1433</v>
      </c>
      <c r="E2758" t="s">
        <v>167</v>
      </c>
      <c r="F2758" t="s">
        <v>829</v>
      </c>
      <c r="G2758" s="28">
        <v>47513</v>
      </c>
      <c r="H2758">
        <v>0</v>
      </c>
      <c r="I2758" s="29">
        <f t="shared" si="43"/>
        <v>47513</v>
      </c>
      <c r="J2758" t="str">
        <f>IFERROR(VLOOKUP(E2758,'LEAID Match'!$A$2:$B$168,2,FALSE),"")</f>
        <v/>
      </c>
    </row>
    <row r="2759" spans="1:10">
      <c r="A2759" s="27">
        <v>2018</v>
      </c>
      <c r="B2759" t="s">
        <v>1429</v>
      </c>
      <c r="C2759" t="s">
        <v>1431</v>
      </c>
      <c r="D2759" t="s">
        <v>1433</v>
      </c>
      <c r="E2759" t="s">
        <v>167</v>
      </c>
      <c r="F2759" s="9" t="s">
        <v>829</v>
      </c>
      <c r="G2759" s="18">
        <v>50985</v>
      </c>
      <c r="H2759">
        <v>0</v>
      </c>
      <c r="I2759" s="29">
        <f t="shared" si="43"/>
        <v>50985</v>
      </c>
      <c r="J2759" t="str">
        <f>IFERROR(VLOOKUP(E2759,'LEAID Match'!$A$2:$B$168,2,FALSE),"")</f>
        <v/>
      </c>
    </row>
    <row r="2760" spans="1:10">
      <c r="A2760">
        <v>2019</v>
      </c>
      <c r="B2760" t="s">
        <v>1429</v>
      </c>
      <c r="C2760" t="s">
        <v>1431</v>
      </c>
      <c r="D2760" t="s">
        <v>1433</v>
      </c>
      <c r="E2760" t="s">
        <v>167</v>
      </c>
      <c r="F2760" s="9" t="s">
        <v>829</v>
      </c>
      <c r="G2760" s="18">
        <v>53501</v>
      </c>
      <c r="H2760">
        <v>0</v>
      </c>
      <c r="I2760" s="29">
        <f t="shared" si="43"/>
        <v>53501</v>
      </c>
      <c r="J2760" t="str">
        <f>IFERROR(VLOOKUP(E2760,'LEAID Match'!$A$2:$B$168,2,FALSE),"")</f>
        <v/>
      </c>
    </row>
    <row r="2761" spans="1:10">
      <c r="A2761" s="27">
        <v>2020</v>
      </c>
      <c r="B2761" t="s">
        <v>1429</v>
      </c>
      <c r="C2761" t="s">
        <v>1431</v>
      </c>
      <c r="D2761" t="s">
        <v>1433</v>
      </c>
      <c r="E2761" t="s">
        <v>167</v>
      </c>
      <c r="F2761" s="9" t="s">
        <v>167</v>
      </c>
      <c r="G2761" s="18">
        <v>52772</v>
      </c>
      <c r="H2761">
        <v>0</v>
      </c>
      <c r="I2761" s="29">
        <f t="shared" si="43"/>
        <v>52772</v>
      </c>
      <c r="J2761" t="str">
        <f>IFERROR(VLOOKUP(E2761,'LEAID Match'!$A$2:$B$168,2,FALSE),"")</f>
        <v/>
      </c>
    </row>
    <row r="2762" spans="1:10">
      <c r="A2762">
        <v>2021</v>
      </c>
      <c r="B2762" t="s">
        <v>1429</v>
      </c>
      <c r="C2762" t="s">
        <v>1431</v>
      </c>
      <c r="D2762" t="s">
        <v>1433</v>
      </c>
      <c r="E2762" t="s">
        <v>167</v>
      </c>
      <c r="F2762" s="9" t="s">
        <v>167</v>
      </c>
      <c r="G2762" s="18">
        <v>57998</v>
      </c>
      <c r="H2762">
        <v>0</v>
      </c>
      <c r="I2762" s="29">
        <f t="shared" si="43"/>
        <v>57998</v>
      </c>
      <c r="J2762" t="str">
        <f>IFERROR(VLOOKUP(E2762,'LEAID Match'!$A$2:$B$168,2,FALSE),"")</f>
        <v/>
      </c>
    </row>
    <row r="2763" spans="1:10">
      <c r="A2763">
        <v>2022</v>
      </c>
      <c r="B2763" t="s">
        <v>1429</v>
      </c>
      <c r="C2763" t="s">
        <v>1431</v>
      </c>
      <c r="D2763" t="s">
        <v>1433</v>
      </c>
      <c r="E2763" t="s">
        <v>167</v>
      </c>
      <c r="F2763" s="9" t="s">
        <v>167</v>
      </c>
      <c r="G2763" s="18">
        <v>71446</v>
      </c>
      <c r="H2763">
        <v>0</v>
      </c>
      <c r="I2763" s="29">
        <f t="shared" si="43"/>
        <v>71446</v>
      </c>
      <c r="J2763" t="str">
        <f>IFERROR(VLOOKUP(E2763,'LEAID Match'!$A$2:$B$168,2,FALSE),"")</f>
        <v/>
      </c>
    </row>
    <row r="2764" spans="1:10">
      <c r="A2764">
        <v>2023</v>
      </c>
      <c r="B2764" t="s">
        <v>1429</v>
      </c>
      <c r="C2764" t="s">
        <v>1431</v>
      </c>
      <c r="D2764" t="s">
        <v>1433</v>
      </c>
      <c r="E2764" t="s">
        <v>167</v>
      </c>
      <c r="F2764" t="s">
        <v>167</v>
      </c>
      <c r="G2764" s="28">
        <v>81939</v>
      </c>
      <c r="H2764">
        <v>0</v>
      </c>
      <c r="I2764" s="29">
        <f t="shared" si="43"/>
        <v>81939</v>
      </c>
      <c r="J2764" t="str">
        <f>IFERROR(VLOOKUP(E2764,'LEAID Match'!$A$2:$B$168,2,FALSE),"")</f>
        <v/>
      </c>
    </row>
    <row r="2765" spans="1:10">
      <c r="A2765">
        <v>2015</v>
      </c>
      <c r="B2765" t="s">
        <v>1429</v>
      </c>
      <c r="C2765" t="s">
        <v>1431</v>
      </c>
      <c r="D2765" t="s">
        <v>1433</v>
      </c>
      <c r="E2765" t="s">
        <v>168</v>
      </c>
      <c r="F2765" s="9" t="s">
        <v>1315</v>
      </c>
      <c r="G2765" s="18">
        <v>83823.25</v>
      </c>
      <c r="H2765">
        <v>0</v>
      </c>
      <c r="I2765" s="29">
        <f t="shared" si="43"/>
        <v>83823.25</v>
      </c>
      <c r="J2765" t="str">
        <f>IFERROR(VLOOKUP(E2765,'LEAID Match'!$A$2:$B$168,2,FALSE),"")</f>
        <v/>
      </c>
    </row>
    <row r="2766" spans="1:10">
      <c r="A2766">
        <v>2016</v>
      </c>
      <c r="B2766" t="s">
        <v>1429</v>
      </c>
      <c r="C2766" t="s">
        <v>1431</v>
      </c>
      <c r="D2766" t="s">
        <v>1433</v>
      </c>
      <c r="E2766" t="s">
        <v>168</v>
      </c>
      <c r="F2766" t="s">
        <v>830</v>
      </c>
      <c r="G2766" s="28">
        <v>86232</v>
      </c>
      <c r="H2766">
        <v>0</v>
      </c>
      <c r="I2766" s="29">
        <f t="shared" si="43"/>
        <v>86232</v>
      </c>
      <c r="J2766" t="str">
        <f>IFERROR(VLOOKUP(E2766,'LEAID Match'!$A$2:$B$168,2,FALSE),"")</f>
        <v/>
      </c>
    </row>
    <row r="2767" spans="1:10">
      <c r="A2767">
        <v>2017</v>
      </c>
      <c r="B2767" t="s">
        <v>1429</v>
      </c>
      <c r="C2767" t="s">
        <v>1431</v>
      </c>
      <c r="D2767" t="s">
        <v>1433</v>
      </c>
      <c r="E2767" t="s">
        <v>168</v>
      </c>
      <c r="F2767" t="s">
        <v>830</v>
      </c>
      <c r="G2767" s="28">
        <v>82735</v>
      </c>
      <c r="H2767">
        <v>0</v>
      </c>
      <c r="I2767" s="29">
        <f t="shared" si="43"/>
        <v>82735</v>
      </c>
      <c r="J2767" t="str">
        <f>IFERROR(VLOOKUP(E2767,'LEAID Match'!$A$2:$B$168,2,FALSE),"")</f>
        <v/>
      </c>
    </row>
    <row r="2768" spans="1:10">
      <c r="A2768" s="27">
        <v>2018</v>
      </c>
      <c r="B2768" t="s">
        <v>1429</v>
      </c>
      <c r="C2768" t="s">
        <v>1431</v>
      </c>
      <c r="D2768" t="s">
        <v>1433</v>
      </c>
      <c r="E2768" t="s">
        <v>168</v>
      </c>
      <c r="F2768" s="9" t="s">
        <v>830</v>
      </c>
      <c r="G2768" s="18">
        <v>95169</v>
      </c>
      <c r="H2768">
        <v>0</v>
      </c>
      <c r="I2768" s="29">
        <f t="shared" si="43"/>
        <v>95169</v>
      </c>
      <c r="J2768" t="str">
        <f>IFERROR(VLOOKUP(E2768,'LEAID Match'!$A$2:$B$168,2,FALSE),"")</f>
        <v/>
      </c>
    </row>
    <row r="2769" spans="1:10">
      <c r="A2769">
        <v>2019</v>
      </c>
      <c r="B2769" t="s">
        <v>1429</v>
      </c>
      <c r="C2769" t="s">
        <v>1431</v>
      </c>
      <c r="D2769" t="s">
        <v>1433</v>
      </c>
      <c r="E2769" t="s">
        <v>168</v>
      </c>
      <c r="F2769" s="9" t="s">
        <v>830</v>
      </c>
      <c r="G2769" s="18">
        <v>99383</v>
      </c>
      <c r="H2769">
        <v>0</v>
      </c>
      <c r="I2769" s="29">
        <f t="shared" si="43"/>
        <v>99383</v>
      </c>
      <c r="J2769" t="str">
        <f>IFERROR(VLOOKUP(E2769,'LEAID Match'!$A$2:$B$168,2,FALSE),"")</f>
        <v/>
      </c>
    </row>
    <row r="2770" spans="1:10">
      <c r="A2770" s="27">
        <v>2020</v>
      </c>
      <c r="B2770" t="s">
        <v>1429</v>
      </c>
      <c r="C2770" t="s">
        <v>1431</v>
      </c>
      <c r="D2770" t="s">
        <v>1433</v>
      </c>
      <c r="E2770" t="s">
        <v>168</v>
      </c>
      <c r="F2770" s="9" t="s">
        <v>168</v>
      </c>
      <c r="G2770" s="18">
        <v>136688</v>
      </c>
      <c r="H2770">
        <v>0</v>
      </c>
      <c r="I2770" s="29">
        <f t="shared" si="43"/>
        <v>136688</v>
      </c>
      <c r="J2770" t="str">
        <f>IFERROR(VLOOKUP(E2770,'LEAID Match'!$A$2:$B$168,2,FALSE),"")</f>
        <v/>
      </c>
    </row>
    <row r="2771" spans="1:10">
      <c r="A2771">
        <v>2021</v>
      </c>
      <c r="B2771" t="s">
        <v>1429</v>
      </c>
      <c r="C2771" t="s">
        <v>1431</v>
      </c>
      <c r="D2771" t="s">
        <v>1433</v>
      </c>
      <c r="E2771" t="s">
        <v>168</v>
      </c>
      <c r="F2771" s="9" t="s">
        <v>168</v>
      </c>
      <c r="G2771" s="18">
        <v>145660</v>
      </c>
      <c r="H2771">
        <v>0</v>
      </c>
      <c r="I2771" s="29">
        <f t="shared" si="43"/>
        <v>145660</v>
      </c>
      <c r="J2771" t="str">
        <f>IFERROR(VLOOKUP(E2771,'LEAID Match'!$A$2:$B$168,2,FALSE),"")</f>
        <v/>
      </c>
    </row>
    <row r="2772" spans="1:10">
      <c r="A2772">
        <v>2022</v>
      </c>
      <c r="B2772" t="s">
        <v>1429</v>
      </c>
      <c r="C2772" t="s">
        <v>1431</v>
      </c>
      <c r="D2772" t="s">
        <v>1433</v>
      </c>
      <c r="E2772" t="s">
        <v>168</v>
      </c>
      <c r="F2772" s="9" t="s">
        <v>168</v>
      </c>
      <c r="G2772" s="18">
        <v>187724</v>
      </c>
      <c r="H2772">
        <v>0</v>
      </c>
      <c r="I2772" s="29">
        <f t="shared" si="43"/>
        <v>187724</v>
      </c>
      <c r="J2772" t="str">
        <f>IFERROR(VLOOKUP(E2772,'LEAID Match'!$A$2:$B$168,2,FALSE),"")</f>
        <v/>
      </c>
    </row>
    <row r="2773" spans="1:10">
      <c r="A2773">
        <v>2023</v>
      </c>
      <c r="B2773" t="s">
        <v>1429</v>
      </c>
      <c r="C2773" t="s">
        <v>1431</v>
      </c>
      <c r="D2773" t="s">
        <v>1433</v>
      </c>
      <c r="E2773" t="s">
        <v>168</v>
      </c>
      <c r="F2773" t="s">
        <v>168</v>
      </c>
      <c r="G2773" s="28">
        <v>188384</v>
      </c>
      <c r="H2773">
        <v>0</v>
      </c>
      <c r="I2773" s="29">
        <f t="shared" si="43"/>
        <v>188384</v>
      </c>
      <c r="J2773" t="str">
        <f>IFERROR(VLOOKUP(E2773,'LEAID Match'!$A$2:$B$168,2,FALSE),"")</f>
        <v/>
      </c>
    </row>
    <row r="2774" spans="1:10">
      <c r="A2774">
        <v>2015</v>
      </c>
      <c r="B2774" t="s">
        <v>1429</v>
      </c>
      <c r="C2774" t="s">
        <v>1431</v>
      </c>
      <c r="D2774" t="s">
        <v>1433</v>
      </c>
      <c r="E2774" t="s">
        <v>169</v>
      </c>
      <c r="F2774" s="9" t="s">
        <v>1316</v>
      </c>
      <c r="G2774" s="18">
        <v>119304.16</v>
      </c>
      <c r="H2774">
        <v>0</v>
      </c>
      <c r="I2774" s="29">
        <f t="shared" si="43"/>
        <v>119304.16</v>
      </c>
      <c r="J2774" t="str">
        <f>IFERROR(VLOOKUP(E2774,'LEAID Match'!$A$2:$B$168,2,FALSE),"")</f>
        <v/>
      </c>
    </row>
    <row r="2775" spans="1:10">
      <c r="A2775">
        <v>2016</v>
      </c>
      <c r="B2775" t="s">
        <v>1429</v>
      </c>
      <c r="C2775" t="s">
        <v>1431</v>
      </c>
      <c r="D2775" t="s">
        <v>1433</v>
      </c>
      <c r="E2775" t="s">
        <v>169</v>
      </c>
      <c r="F2775" t="s">
        <v>831</v>
      </c>
      <c r="G2775" s="28">
        <v>149401</v>
      </c>
      <c r="H2775">
        <v>0</v>
      </c>
      <c r="I2775" s="29">
        <f t="shared" si="43"/>
        <v>149401</v>
      </c>
      <c r="J2775" t="str">
        <f>IFERROR(VLOOKUP(E2775,'LEAID Match'!$A$2:$B$168,2,FALSE),"")</f>
        <v/>
      </c>
    </row>
    <row r="2776" spans="1:10">
      <c r="A2776">
        <v>2017</v>
      </c>
      <c r="B2776" t="s">
        <v>1429</v>
      </c>
      <c r="C2776" t="s">
        <v>1431</v>
      </c>
      <c r="D2776" t="s">
        <v>1433</v>
      </c>
      <c r="E2776" t="s">
        <v>169</v>
      </c>
      <c r="F2776" t="s">
        <v>831</v>
      </c>
      <c r="G2776" s="28">
        <v>153968</v>
      </c>
      <c r="H2776">
        <v>0</v>
      </c>
      <c r="I2776" s="29">
        <f t="shared" si="43"/>
        <v>153968</v>
      </c>
      <c r="J2776" t="str">
        <f>IFERROR(VLOOKUP(E2776,'LEAID Match'!$A$2:$B$168,2,FALSE),"")</f>
        <v/>
      </c>
    </row>
    <row r="2777" spans="1:10">
      <c r="A2777" s="27">
        <v>2018</v>
      </c>
      <c r="B2777" t="s">
        <v>1429</v>
      </c>
      <c r="C2777" t="s">
        <v>1431</v>
      </c>
      <c r="D2777" t="s">
        <v>1433</v>
      </c>
      <c r="E2777" t="s">
        <v>169</v>
      </c>
      <c r="F2777" s="9" t="s">
        <v>831</v>
      </c>
      <c r="G2777" s="18">
        <v>179622</v>
      </c>
      <c r="H2777">
        <v>0</v>
      </c>
      <c r="I2777" s="29">
        <f t="shared" si="43"/>
        <v>179622</v>
      </c>
      <c r="J2777" t="str">
        <f>IFERROR(VLOOKUP(E2777,'LEAID Match'!$A$2:$B$168,2,FALSE),"")</f>
        <v/>
      </c>
    </row>
    <row r="2778" spans="1:10">
      <c r="A2778">
        <v>2019</v>
      </c>
      <c r="B2778" t="s">
        <v>1429</v>
      </c>
      <c r="C2778" t="s">
        <v>1431</v>
      </c>
      <c r="D2778" t="s">
        <v>1433</v>
      </c>
      <c r="E2778" t="s">
        <v>169</v>
      </c>
      <c r="F2778" s="9" t="s">
        <v>831</v>
      </c>
      <c r="G2778" s="18">
        <v>173157</v>
      </c>
      <c r="H2778">
        <v>0</v>
      </c>
      <c r="I2778" s="29">
        <f t="shared" si="43"/>
        <v>173157</v>
      </c>
      <c r="J2778" t="str">
        <f>IFERROR(VLOOKUP(E2778,'LEAID Match'!$A$2:$B$168,2,FALSE),"")</f>
        <v/>
      </c>
    </row>
    <row r="2779" spans="1:10">
      <c r="A2779" s="27">
        <v>2020</v>
      </c>
      <c r="B2779" t="s">
        <v>1429</v>
      </c>
      <c r="C2779" t="s">
        <v>1431</v>
      </c>
      <c r="D2779" t="s">
        <v>1433</v>
      </c>
      <c r="E2779" t="s">
        <v>169</v>
      </c>
      <c r="F2779" s="9" t="s">
        <v>169</v>
      </c>
      <c r="G2779" s="18">
        <v>182602</v>
      </c>
      <c r="H2779">
        <v>0</v>
      </c>
      <c r="I2779" s="29">
        <f t="shared" si="43"/>
        <v>182602</v>
      </c>
      <c r="J2779" t="str">
        <f>IFERROR(VLOOKUP(E2779,'LEAID Match'!$A$2:$B$168,2,FALSE),"")</f>
        <v/>
      </c>
    </row>
    <row r="2780" spans="1:10">
      <c r="A2780">
        <v>2021</v>
      </c>
      <c r="B2780" t="s">
        <v>1429</v>
      </c>
      <c r="C2780" t="s">
        <v>1431</v>
      </c>
      <c r="D2780" t="s">
        <v>1433</v>
      </c>
      <c r="E2780" t="s">
        <v>169</v>
      </c>
      <c r="F2780" s="9" t="s">
        <v>169</v>
      </c>
      <c r="G2780" s="18">
        <v>204409</v>
      </c>
      <c r="H2780">
        <v>0</v>
      </c>
      <c r="I2780" s="29">
        <f t="shared" si="43"/>
        <v>204409</v>
      </c>
      <c r="J2780" t="str">
        <f>IFERROR(VLOOKUP(E2780,'LEAID Match'!$A$2:$B$168,2,FALSE),"")</f>
        <v/>
      </c>
    </row>
    <row r="2781" spans="1:10">
      <c r="A2781">
        <v>2022</v>
      </c>
      <c r="B2781" t="s">
        <v>1429</v>
      </c>
      <c r="C2781" t="s">
        <v>1431</v>
      </c>
      <c r="D2781" t="s">
        <v>1433</v>
      </c>
      <c r="E2781" t="s">
        <v>169</v>
      </c>
      <c r="F2781" s="9" t="s">
        <v>169</v>
      </c>
      <c r="G2781" s="18">
        <v>245387</v>
      </c>
      <c r="H2781">
        <v>0</v>
      </c>
      <c r="I2781" s="29">
        <f t="shared" si="43"/>
        <v>245387</v>
      </c>
      <c r="J2781" t="str">
        <f>IFERROR(VLOOKUP(E2781,'LEAID Match'!$A$2:$B$168,2,FALSE),"")</f>
        <v/>
      </c>
    </row>
    <row r="2782" spans="1:10">
      <c r="A2782">
        <v>2023</v>
      </c>
      <c r="B2782" t="s">
        <v>1429</v>
      </c>
      <c r="C2782" t="s">
        <v>1431</v>
      </c>
      <c r="D2782" t="s">
        <v>1433</v>
      </c>
      <c r="E2782" t="s">
        <v>169</v>
      </c>
      <c r="F2782" t="s">
        <v>169</v>
      </c>
      <c r="G2782" s="28">
        <v>260846</v>
      </c>
      <c r="H2782">
        <v>0</v>
      </c>
      <c r="I2782" s="29">
        <f t="shared" si="43"/>
        <v>260846</v>
      </c>
      <c r="J2782" t="str">
        <f>IFERROR(VLOOKUP(E2782,'LEAID Match'!$A$2:$B$168,2,FALSE),"")</f>
        <v/>
      </c>
    </row>
    <row r="2783" spans="1:10">
      <c r="A2783">
        <v>2015</v>
      </c>
      <c r="B2783" t="s">
        <v>1429</v>
      </c>
      <c r="C2783" t="s">
        <v>1431</v>
      </c>
      <c r="D2783" t="s">
        <v>1433</v>
      </c>
      <c r="E2783" t="s">
        <v>170</v>
      </c>
      <c r="F2783" s="9" t="s">
        <v>1317</v>
      </c>
      <c r="G2783" s="18">
        <v>109306.37</v>
      </c>
      <c r="H2783">
        <v>0</v>
      </c>
      <c r="I2783" s="29">
        <f t="shared" si="43"/>
        <v>109306.37</v>
      </c>
      <c r="J2783" t="str">
        <f>IFERROR(VLOOKUP(E2783,'LEAID Match'!$A$2:$B$168,2,FALSE),"")</f>
        <v/>
      </c>
    </row>
    <row r="2784" spans="1:10">
      <c r="A2784">
        <v>2016</v>
      </c>
      <c r="B2784" t="s">
        <v>1429</v>
      </c>
      <c r="C2784" t="s">
        <v>1431</v>
      </c>
      <c r="D2784" t="s">
        <v>1433</v>
      </c>
      <c r="E2784" t="s">
        <v>170</v>
      </c>
      <c r="F2784" t="s">
        <v>832</v>
      </c>
      <c r="G2784" s="28">
        <v>140561</v>
      </c>
      <c r="H2784">
        <v>0</v>
      </c>
      <c r="I2784" s="29">
        <f t="shared" si="43"/>
        <v>140561</v>
      </c>
      <c r="J2784" t="str">
        <f>IFERROR(VLOOKUP(E2784,'LEAID Match'!$A$2:$B$168,2,FALSE),"")</f>
        <v/>
      </c>
    </row>
    <row r="2785" spans="1:10">
      <c r="A2785">
        <v>2017</v>
      </c>
      <c r="B2785" t="s">
        <v>1429</v>
      </c>
      <c r="C2785" t="s">
        <v>1431</v>
      </c>
      <c r="D2785" t="s">
        <v>1433</v>
      </c>
      <c r="E2785" t="s">
        <v>170</v>
      </c>
      <c r="F2785" t="s">
        <v>832</v>
      </c>
      <c r="G2785" s="28">
        <v>144291</v>
      </c>
      <c r="H2785">
        <v>0</v>
      </c>
      <c r="I2785" s="29">
        <f t="shared" si="43"/>
        <v>144291</v>
      </c>
      <c r="J2785" t="str">
        <f>IFERROR(VLOOKUP(E2785,'LEAID Match'!$A$2:$B$168,2,FALSE),"")</f>
        <v/>
      </c>
    </row>
    <row r="2786" spans="1:10">
      <c r="A2786" s="27">
        <v>2018</v>
      </c>
      <c r="B2786" t="s">
        <v>1429</v>
      </c>
      <c r="C2786" t="s">
        <v>1431</v>
      </c>
      <c r="D2786" t="s">
        <v>1433</v>
      </c>
      <c r="E2786" t="s">
        <v>170</v>
      </c>
      <c r="F2786" s="9" t="s">
        <v>832</v>
      </c>
      <c r="G2786" s="18">
        <v>158957</v>
      </c>
      <c r="H2786">
        <v>0</v>
      </c>
      <c r="I2786" s="29">
        <f t="shared" si="43"/>
        <v>158957</v>
      </c>
      <c r="J2786" t="str">
        <f>IFERROR(VLOOKUP(E2786,'LEAID Match'!$A$2:$B$168,2,FALSE),"")</f>
        <v/>
      </c>
    </row>
    <row r="2787" spans="1:10">
      <c r="A2787">
        <v>2019</v>
      </c>
      <c r="B2787" t="s">
        <v>1429</v>
      </c>
      <c r="C2787" t="s">
        <v>1431</v>
      </c>
      <c r="D2787" t="s">
        <v>1433</v>
      </c>
      <c r="E2787" t="s">
        <v>170</v>
      </c>
      <c r="F2787" s="9" t="s">
        <v>832</v>
      </c>
      <c r="G2787" s="18">
        <v>176164</v>
      </c>
      <c r="H2787">
        <v>0</v>
      </c>
      <c r="I2787" s="29">
        <f t="shared" si="43"/>
        <v>176164</v>
      </c>
      <c r="J2787" t="str">
        <f>IFERROR(VLOOKUP(E2787,'LEAID Match'!$A$2:$B$168,2,FALSE),"")</f>
        <v/>
      </c>
    </row>
    <row r="2788" spans="1:10">
      <c r="A2788" s="27">
        <v>2020</v>
      </c>
      <c r="B2788" t="s">
        <v>1429</v>
      </c>
      <c r="C2788" t="s">
        <v>1431</v>
      </c>
      <c r="D2788" t="s">
        <v>1433</v>
      </c>
      <c r="E2788" t="s">
        <v>170</v>
      </c>
      <c r="F2788" s="9" t="s">
        <v>170</v>
      </c>
      <c r="G2788" s="18">
        <v>206129</v>
      </c>
      <c r="H2788">
        <v>0</v>
      </c>
      <c r="I2788" s="29">
        <f t="shared" si="43"/>
        <v>206129</v>
      </c>
      <c r="J2788" t="str">
        <f>IFERROR(VLOOKUP(E2788,'LEAID Match'!$A$2:$B$168,2,FALSE),"")</f>
        <v/>
      </c>
    </row>
    <row r="2789" spans="1:10">
      <c r="A2789">
        <v>2021</v>
      </c>
      <c r="B2789" t="s">
        <v>1429</v>
      </c>
      <c r="C2789" t="s">
        <v>1431</v>
      </c>
      <c r="D2789" t="s">
        <v>1433</v>
      </c>
      <c r="E2789" t="s">
        <v>170</v>
      </c>
      <c r="F2789" s="9" t="s">
        <v>170</v>
      </c>
      <c r="G2789" s="18">
        <v>182308</v>
      </c>
      <c r="H2789">
        <v>0</v>
      </c>
      <c r="I2789" s="29">
        <f t="shared" si="43"/>
        <v>182308</v>
      </c>
      <c r="J2789" t="str">
        <f>IFERROR(VLOOKUP(E2789,'LEAID Match'!$A$2:$B$168,2,FALSE),"")</f>
        <v/>
      </c>
    </row>
    <row r="2790" spans="1:10">
      <c r="A2790">
        <v>2022</v>
      </c>
      <c r="B2790" t="s">
        <v>1429</v>
      </c>
      <c r="C2790" t="s">
        <v>1431</v>
      </c>
      <c r="D2790" t="s">
        <v>1433</v>
      </c>
      <c r="E2790" t="s">
        <v>170</v>
      </c>
      <c r="F2790" s="9" t="s">
        <v>170</v>
      </c>
      <c r="G2790" s="18">
        <v>179050</v>
      </c>
      <c r="H2790">
        <v>0</v>
      </c>
      <c r="I2790" s="29">
        <f t="shared" si="43"/>
        <v>179050</v>
      </c>
      <c r="J2790" t="str">
        <f>IFERROR(VLOOKUP(E2790,'LEAID Match'!$A$2:$B$168,2,FALSE),"")</f>
        <v/>
      </c>
    </row>
    <row r="2791" spans="1:10">
      <c r="A2791">
        <v>2023</v>
      </c>
      <c r="B2791" t="s">
        <v>1429</v>
      </c>
      <c r="C2791" t="s">
        <v>1431</v>
      </c>
      <c r="D2791" t="s">
        <v>1433</v>
      </c>
      <c r="E2791" t="s">
        <v>170</v>
      </c>
      <c r="F2791" t="s">
        <v>170</v>
      </c>
      <c r="G2791" s="28">
        <v>241620</v>
      </c>
      <c r="H2791">
        <v>0</v>
      </c>
      <c r="I2791" s="29">
        <f t="shared" si="43"/>
        <v>241620</v>
      </c>
      <c r="J2791" t="str">
        <f>IFERROR(VLOOKUP(E2791,'LEAID Match'!$A$2:$B$168,2,FALSE),"")</f>
        <v/>
      </c>
    </row>
    <row r="2792" spans="1:10">
      <c r="A2792">
        <v>2015</v>
      </c>
      <c r="B2792" t="s">
        <v>1429</v>
      </c>
      <c r="C2792" t="s">
        <v>1431</v>
      </c>
      <c r="D2792" t="s">
        <v>1433</v>
      </c>
      <c r="E2792" t="s">
        <v>833</v>
      </c>
      <c r="F2792" s="9" t="s">
        <v>1318</v>
      </c>
      <c r="G2792" s="18">
        <v>0</v>
      </c>
      <c r="H2792">
        <v>0</v>
      </c>
      <c r="I2792" s="29">
        <f t="shared" si="43"/>
        <v>0</v>
      </c>
      <c r="J2792" t="str">
        <f>IFERROR(VLOOKUP(E2792,'LEAID Match'!$A$2:$B$168,2,FALSE),"")</f>
        <v/>
      </c>
    </row>
    <row r="2793" spans="1:10">
      <c r="A2793">
        <v>2016</v>
      </c>
      <c r="B2793" t="s">
        <v>1429</v>
      </c>
      <c r="C2793" t="s">
        <v>1431</v>
      </c>
      <c r="D2793" t="s">
        <v>1433</v>
      </c>
      <c r="E2793" t="s">
        <v>833</v>
      </c>
      <c r="F2793" t="s">
        <v>833</v>
      </c>
      <c r="H2793">
        <v>0</v>
      </c>
      <c r="I2793" s="29">
        <f t="shared" si="43"/>
        <v>0</v>
      </c>
      <c r="J2793" t="str">
        <f>IFERROR(VLOOKUP(E2793,'LEAID Match'!$A$2:$B$168,2,FALSE),"")</f>
        <v/>
      </c>
    </row>
    <row r="2794" spans="1:10">
      <c r="A2794">
        <v>2017</v>
      </c>
      <c r="B2794" t="s">
        <v>1429</v>
      </c>
      <c r="C2794" t="s">
        <v>1431</v>
      </c>
      <c r="D2794" t="s">
        <v>1433</v>
      </c>
      <c r="E2794" t="s">
        <v>833</v>
      </c>
      <c r="F2794" t="s">
        <v>833</v>
      </c>
      <c r="G2794" s="28">
        <v>0</v>
      </c>
      <c r="H2794">
        <v>0</v>
      </c>
      <c r="I2794" s="29">
        <f t="shared" si="43"/>
        <v>0</v>
      </c>
      <c r="J2794" t="str">
        <f>IFERROR(VLOOKUP(E2794,'LEAID Match'!$A$2:$B$168,2,FALSE),"")</f>
        <v/>
      </c>
    </row>
    <row r="2795" spans="1:10">
      <c r="A2795" s="27">
        <v>2018</v>
      </c>
      <c r="B2795" t="s">
        <v>1429</v>
      </c>
      <c r="C2795" t="s">
        <v>1431</v>
      </c>
      <c r="D2795" t="s">
        <v>1433</v>
      </c>
      <c r="E2795" t="s">
        <v>833</v>
      </c>
      <c r="F2795" s="9" t="s">
        <v>833</v>
      </c>
      <c r="G2795" s="18"/>
      <c r="H2795">
        <v>0</v>
      </c>
      <c r="I2795" s="29">
        <f t="shared" si="43"/>
        <v>0</v>
      </c>
      <c r="J2795" t="str">
        <f>IFERROR(VLOOKUP(E2795,'LEAID Match'!$A$2:$B$168,2,FALSE),"")</f>
        <v/>
      </c>
    </row>
    <row r="2796" spans="1:10">
      <c r="A2796">
        <v>2019</v>
      </c>
      <c r="B2796" t="s">
        <v>1429</v>
      </c>
      <c r="C2796" t="s">
        <v>1431</v>
      </c>
      <c r="D2796" t="s">
        <v>1433</v>
      </c>
      <c r="E2796" t="s">
        <v>833</v>
      </c>
      <c r="F2796" s="9" t="s">
        <v>833</v>
      </c>
      <c r="G2796" s="18"/>
      <c r="H2796">
        <v>0</v>
      </c>
      <c r="I2796" s="29">
        <f t="shared" si="43"/>
        <v>0</v>
      </c>
      <c r="J2796" t="str">
        <f>IFERROR(VLOOKUP(E2796,'LEAID Match'!$A$2:$B$168,2,FALSE),"")</f>
        <v/>
      </c>
    </row>
    <row r="2797" spans="1:10">
      <c r="A2797">
        <v>2015</v>
      </c>
      <c r="B2797" t="s">
        <v>1429</v>
      </c>
      <c r="C2797" t="s">
        <v>1431</v>
      </c>
      <c r="D2797" t="s">
        <v>1433</v>
      </c>
      <c r="E2797" t="s">
        <v>171</v>
      </c>
      <c r="F2797" s="9" t="s">
        <v>1319</v>
      </c>
      <c r="G2797" s="18">
        <v>175448.59</v>
      </c>
      <c r="H2797">
        <v>0</v>
      </c>
      <c r="I2797" s="29">
        <f t="shared" si="43"/>
        <v>175448.59</v>
      </c>
      <c r="J2797" t="str">
        <f>IFERROR(VLOOKUP(E2797,'LEAID Match'!$A$2:$B$168,2,FALSE),"")</f>
        <v/>
      </c>
    </row>
    <row r="2798" spans="1:10">
      <c r="A2798">
        <v>2016</v>
      </c>
      <c r="B2798" t="s">
        <v>1429</v>
      </c>
      <c r="C2798" t="s">
        <v>1431</v>
      </c>
      <c r="D2798" t="s">
        <v>1433</v>
      </c>
      <c r="E2798" t="s">
        <v>171</v>
      </c>
      <c r="F2798" t="s">
        <v>834</v>
      </c>
      <c r="G2798" s="28">
        <v>189636</v>
      </c>
      <c r="H2798">
        <v>0</v>
      </c>
      <c r="I2798" s="29">
        <f t="shared" si="43"/>
        <v>189636</v>
      </c>
      <c r="J2798" t="str">
        <f>IFERROR(VLOOKUP(E2798,'LEAID Match'!$A$2:$B$168,2,FALSE),"")</f>
        <v/>
      </c>
    </row>
    <row r="2799" spans="1:10">
      <c r="A2799">
        <v>2017</v>
      </c>
      <c r="B2799" t="s">
        <v>1429</v>
      </c>
      <c r="C2799" t="s">
        <v>1431</v>
      </c>
      <c r="D2799" t="s">
        <v>1433</v>
      </c>
      <c r="E2799" t="s">
        <v>171</v>
      </c>
      <c r="F2799" t="s">
        <v>834</v>
      </c>
      <c r="G2799" s="28">
        <v>203490</v>
      </c>
      <c r="H2799">
        <v>0</v>
      </c>
      <c r="I2799" s="29">
        <f t="shared" si="43"/>
        <v>203490</v>
      </c>
      <c r="J2799" t="str">
        <f>IFERROR(VLOOKUP(E2799,'LEAID Match'!$A$2:$B$168,2,FALSE),"")</f>
        <v/>
      </c>
    </row>
    <row r="2800" spans="1:10">
      <c r="A2800" s="27">
        <v>2018</v>
      </c>
      <c r="B2800" t="s">
        <v>1429</v>
      </c>
      <c r="C2800" t="s">
        <v>1431</v>
      </c>
      <c r="D2800" t="s">
        <v>1433</v>
      </c>
      <c r="E2800" t="s">
        <v>171</v>
      </c>
      <c r="F2800" s="9" t="s">
        <v>834</v>
      </c>
      <c r="G2800" s="18">
        <v>228304</v>
      </c>
      <c r="H2800">
        <v>0</v>
      </c>
      <c r="I2800" s="29">
        <f t="shared" si="43"/>
        <v>228304</v>
      </c>
      <c r="J2800" t="str">
        <f>IFERROR(VLOOKUP(E2800,'LEAID Match'!$A$2:$B$168,2,FALSE),"")</f>
        <v/>
      </c>
    </row>
    <row r="2801" spans="1:10">
      <c r="A2801">
        <v>2019</v>
      </c>
      <c r="B2801" t="s">
        <v>1429</v>
      </c>
      <c r="C2801" t="s">
        <v>1431</v>
      </c>
      <c r="D2801" t="s">
        <v>1433</v>
      </c>
      <c r="E2801" t="s">
        <v>171</v>
      </c>
      <c r="F2801" s="9" t="s">
        <v>834</v>
      </c>
      <c r="G2801" s="18">
        <v>240470</v>
      </c>
      <c r="H2801">
        <v>0</v>
      </c>
      <c r="I2801" s="29">
        <f t="shared" si="43"/>
        <v>240470</v>
      </c>
      <c r="J2801" t="str">
        <f>IFERROR(VLOOKUP(E2801,'LEAID Match'!$A$2:$B$168,2,FALSE),"")</f>
        <v/>
      </c>
    </row>
    <row r="2802" spans="1:10">
      <c r="A2802" s="27">
        <v>2020</v>
      </c>
      <c r="B2802" t="s">
        <v>1429</v>
      </c>
      <c r="C2802" t="s">
        <v>1431</v>
      </c>
      <c r="D2802" t="s">
        <v>1433</v>
      </c>
      <c r="E2802" t="s">
        <v>171</v>
      </c>
      <c r="F2802" s="9" t="s">
        <v>171</v>
      </c>
      <c r="G2802" s="18">
        <v>237972</v>
      </c>
      <c r="H2802">
        <v>0</v>
      </c>
      <c r="I2802" s="29">
        <f t="shared" si="43"/>
        <v>237972</v>
      </c>
      <c r="J2802" t="str">
        <f>IFERROR(VLOOKUP(E2802,'LEAID Match'!$A$2:$B$168,2,FALSE),"")</f>
        <v/>
      </c>
    </row>
    <row r="2803" spans="1:10">
      <c r="A2803">
        <v>2021</v>
      </c>
      <c r="B2803" t="s">
        <v>1429</v>
      </c>
      <c r="C2803" t="s">
        <v>1431</v>
      </c>
      <c r="D2803" t="s">
        <v>1433</v>
      </c>
      <c r="E2803" t="s">
        <v>171</v>
      </c>
      <c r="F2803" s="9" t="s">
        <v>171</v>
      </c>
      <c r="G2803" s="18">
        <v>246829</v>
      </c>
      <c r="H2803">
        <v>0</v>
      </c>
      <c r="I2803" s="29">
        <f t="shared" si="43"/>
        <v>246829</v>
      </c>
      <c r="J2803" t="str">
        <f>IFERROR(VLOOKUP(E2803,'LEAID Match'!$A$2:$B$168,2,FALSE),"")</f>
        <v/>
      </c>
    </row>
    <row r="2804" spans="1:10">
      <c r="A2804">
        <v>2022</v>
      </c>
      <c r="B2804" t="s">
        <v>1429</v>
      </c>
      <c r="C2804" t="s">
        <v>1431</v>
      </c>
      <c r="D2804" t="s">
        <v>1433</v>
      </c>
      <c r="E2804" t="s">
        <v>171</v>
      </c>
      <c r="F2804" s="9" t="s">
        <v>171</v>
      </c>
      <c r="G2804" s="18">
        <v>311898</v>
      </c>
      <c r="H2804">
        <v>0</v>
      </c>
      <c r="I2804" s="29">
        <f t="shared" si="43"/>
        <v>311898</v>
      </c>
      <c r="J2804" t="str">
        <f>IFERROR(VLOOKUP(E2804,'LEAID Match'!$A$2:$B$168,2,FALSE),"")</f>
        <v/>
      </c>
    </row>
    <row r="2805" spans="1:10">
      <c r="A2805">
        <v>2023</v>
      </c>
      <c r="B2805" t="s">
        <v>1429</v>
      </c>
      <c r="C2805" t="s">
        <v>1431</v>
      </c>
      <c r="D2805" t="s">
        <v>1433</v>
      </c>
      <c r="E2805" t="s">
        <v>171</v>
      </c>
      <c r="F2805" t="s">
        <v>171</v>
      </c>
      <c r="G2805" s="28">
        <v>313308</v>
      </c>
      <c r="H2805">
        <v>0</v>
      </c>
      <c r="I2805" s="29">
        <f t="shared" si="43"/>
        <v>313308</v>
      </c>
      <c r="J2805" t="str">
        <f>IFERROR(VLOOKUP(E2805,'LEAID Match'!$A$2:$B$168,2,FALSE),"")</f>
        <v/>
      </c>
    </row>
    <row r="2806" spans="1:10">
      <c r="A2806">
        <v>2015</v>
      </c>
      <c r="B2806" t="s">
        <v>1429</v>
      </c>
      <c r="C2806" t="s">
        <v>1431</v>
      </c>
      <c r="D2806" t="s">
        <v>1433</v>
      </c>
      <c r="E2806" t="s">
        <v>172</v>
      </c>
      <c r="F2806" s="9" t="s">
        <v>1320</v>
      </c>
      <c r="G2806" s="18">
        <v>63661.51</v>
      </c>
      <c r="H2806">
        <v>0</v>
      </c>
      <c r="I2806" s="29">
        <f t="shared" si="43"/>
        <v>63661.51</v>
      </c>
      <c r="J2806" t="str">
        <f>IFERROR(VLOOKUP(E2806,'LEAID Match'!$A$2:$B$168,2,FALSE),"")</f>
        <v/>
      </c>
    </row>
    <row r="2807" spans="1:10">
      <c r="A2807">
        <v>2016</v>
      </c>
      <c r="B2807" t="s">
        <v>1429</v>
      </c>
      <c r="C2807" t="s">
        <v>1431</v>
      </c>
      <c r="D2807" t="s">
        <v>1433</v>
      </c>
      <c r="E2807" t="s">
        <v>172</v>
      </c>
      <c r="F2807" t="s">
        <v>835</v>
      </c>
      <c r="G2807" s="28">
        <v>59055</v>
      </c>
      <c r="H2807">
        <v>0</v>
      </c>
      <c r="I2807" s="29">
        <f t="shared" si="43"/>
        <v>59055</v>
      </c>
      <c r="J2807" t="str">
        <f>IFERROR(VLOOKUP(E2807,'LEAID Match'!$A$2:$B$168,2,FALSE),"")</f>
        <v/>
      </c>
    </row>
    <row r="2808" spans="1:10">
      <c r="A2808">
        <v>2017</v>
      </c>
      <c r="B2808" t="s">
        <v>1429</v>
      </c>
      <c r="C2808" t="s">
        <v>1431</v>
      </c>
      <c r="D2808" t="s">
        <v>1433</v>
      </c>
      <c r="E2808" t="s">
        <v>172</v>
      </c>
      <c r="F2808" t="s">
        <v>835</v>
      </c>
      <c r="G2808" s="28">
        <v>62134</v>
      </c>
      <c r="H2808">
        <v>0</v>
      </c>
      <c r="I2808" s="29">
        <f t="shared" si="43"/>
        <v>62134</v>
      </c>
      <c r="J2808" t="str">
        <f>IFERROR(VLOOKUP(E2808,'LEAID Match'!$A$2:$B$168,2,FALSE),"")</f>
        <v/>
      </c>
    </row>
    <row r="2809" spans="1:10">
      <c r="A2809" s="27">
        <v>2018</v>
      </c>
      <c r="B2809" t="s">
        <v>1429</v>
      </c>
      <c r="C2809" t="s">
        <v>1431</v>
      </c>
      <c r="D2809" t="s">
        <v>1433</v>
      </c>
      <c r="E2809" t="s">
        <v>172</v>
      </c>
      <c r="F2809" s="9" t="s">
        <v>835</v>
      </c>
      <c r="G2809" s="18">
        <v>65006</v>
      </c>
      <c r="H2809">
        <v>0</v>
      </c>
      <c r="I2809" s="29">
        <f t="shared" si="43"/>
        <v>65006</v>
      </c>
      <c r="J2809" t="str">
        <f>IFERROR(VLOOKUP(E2809,'LEAID Match'!$A$2:$B$168,2,FALSE),"")</f>
        <v/>
      </c>
    </row>
    <row r="2810" spans="1:10">
      <c r="A2810">
        <v>2019</v>
      </c>
      <c r="B2810" t="s">
        <v>1429</v>
      </c>
      <c r="C2810" t="s">
        <v>1431</v>
      </c>
      <c r="D2810" t="s">
        <v>1433</v>
      </c>
      <c r="E2810" t="s">
        <v>172</v>
      </c>
      <c r="F2810" s="9" t="s">
        <v>835</v>
      </c>
      <c r="G2810" s="18">
        <v>75603</v>
      </c>
      <c r="H2810">
        <v>0</v>
      </c>
      <c r="I2810" s="29">
        <f t="shared" si="43"/>
        <v>75603</v>
      </c>
      <c r="J2810" t="str">
        <f>IFERROR(VLOOKUP(E2810,'LEAID Match'!$A$2:$B$168,2,FALSE),"")</f>
        <v/>
      </c>
    </row>
    <row r="2811" spans="1:10">
      <c r="A2811" s="27">
        <v>2020</v>
      </c>
      <c r="B2811" t="s">
        <v>1429</v>
      </c>
      <c r="C2811" t="s">
        <v>1431</v>
      </c>
      <c r="D2811" t="s">
        <v>1433</v>
      </c>
      <c r="E2811" t="s">
        <v>172</v>
      </c>
      <c r="F2811" s="9" t="s">
        <v>172</v>
      </c>
      <c r="G2811" s="18">
        <v>72339</v>
      </c>
      <c r="H2811">
        <v>0</v>
      </c>
      <c r="I2811" s="29">
        <f t="shared" si="43"/>
        <v>72339</v>
      </c>
      <c r="J2811" t="str">
        <f>IFERROR(VLOOKUP(E2811,'LEAID Match'!$A$2:$B$168,2,FALSE),"")</f>
        <v/>
      </c>
    </row>
    <row r="2812" spans="1:10">
      <c r="A2812">
        <v>2021</v>
      </c>
      <c r="B2812" t="s">
        <v>1429</v>
      </c>
      <c r="C2812" t="s">
        <v>1431</v>
      </c>
      <c r="D2812" t="s">
        <v>1433</v>
      </c>
      <c r="E2812" t="s">
        <v>172</v>
      </c>
      <c r="F2812" s="9" t="s">
        <v>172</v>
      </c>
      <c r="G2812" s="18">
        <v>73814</v>
      </c>
      <c r="H2812">
        <v>0</v>
      </c>
      <c r="I2812" s="29">
        <f t="shared" si="43"/>
        <v>73814</v>
      </c>
      <c r="J2812" t="str">
        <f>IFERROR(VLOOKUP(E2812,'LEAID Match'!$A$2:$B$168,2,FALSE),"")</f>
        <v/>
      </c>
    </row>
    <row r="2813" spans="1:10">
      <c r="A2813">
        <v>2022</v>
      </c>
      <c r="B2813" t="s">
        <v>1429</v>
      </c>
      <c r="C2813" t="s">
        <v>1431</v>
      </c>
      <c r="D2813" t="s">
        <v>1433</v>
      </c>
      <c r="E2813" t="s">
        <v>172</v>
      </c>
      <c r="F2813" s="9" t="s">
        <v>172</v>
      </c>
      <c r="G2813" s="18">
        <v>102086</v>
      </c>
      <c r="H2813">
        <v>0</v>
      </c>
      <c r="I2813" s="29">
        <f t="shared" si="43"/>
        <v>102086</v>
      </c>
      <c r="J2813" t="str">
        <f>IFERROR(VLOOKUP(E2813,'LEAID Match'!$A$2:$B$168,2,FALSE),"")</f>
        <v/>
      </c>
    </row>
    <row r="2814" spans="1:10">
      <c r="A2814">
        <v>2023</v>
      </c>
      <c r="B2814" t="s">
        <v>1429</v>
      </c>
      <c r="C2814" t="s">
        <v>1431</v>
      </c>
      <c r="D2814" t="s">
        <v>1433</v>
      </c>
      <c r="E2814" t="s">
        <v>172</v>
      </c>
      <c r="F2814" t="s">
        <v>172</v>
      </c>
      <c r="G2814" s="28">
        <v>100520</v>
      </c>
      <c r="H2814">
        <v>0</v>
      </c>
      <c r="I2814" s="29">
        <f t="shared" si="43"/>
        <v>100520</v>
      </c>
      <c r="J2814" t="str">
        <f>IFERROR(VLOOKUP(E2814,'LEAID Match'!$A$2:$B$168,2,FALSE),"")</f>
        <v/>
      </c>
    </row>
    <row r="2815" spans="1:10">
      <c r="A2815">
        <v>2015</v>
      </c>
      <c r="B2815" t="s">
        <v>1429</v>
      </c>
      <c r="C2815" t="s">
        <v>1431</v>
      </c>
      <c r="D2815" t="s">
        <v>1433</v>
      </c>
      <c r="E2815" t="s">
        <v>173</v>
      </c>
      <c r="F2815" s="9" t="s">
        <v>1321</v>
      </c>
      <c r="G2815" s="18">
        <v>71121.84</v>
      </c>
      <c r="H2815">
        <v>0</v>
      </c>
      <c r="I2815" s="29">
        <f t="shared" si="43"/>
        <v>71121.84</v>
      </c>
      <c r="J2815" t="str">
        <f>IFERROR(VLOOKUP(E2815,'LEAID Match'!$A$2:$B$168,2,FALSE),"")</f>
        <v/>
      </c>
    </row>
    <row r="2816" spans="1:10">
      <c r="A2816">
        <v>2016</v>
      </c>
      <c r="B2816" t="s">
        <v>1429</v>
      </c>
      <c r="C2816" t="s">
        <v>1431</v>
      </c>
      <c r="D2816" t="s">
        <v>1433</v>
      </c>
      <c r="E2816" t="s">
        <v>173</v>
      </c>
      <c r="F2816" t="s">
        <v>836</v>
      </c>
      <c r="G2816" s="28">
        <v>76551</v>
      </c>
      <c r="H2816">
        <v>0</v>
      </c>
      <c r="I2816" s="29">
        <f t="shared" si="43"/>
        <v>76551</v>
      </c>
      <c r="J2816" t="str">
        <f>IFERROR(VLOOKUP(E2816,'LEAID Match'!$A$2:$B$168,2,FALSE),"")</f>
        <v/>
      </c>
    </row>
    <row r="2817" spans="1:10">
      <c r="A2817">
        <v>2017</v>
      </c>
      <c r="B2817" t="s">
        <v>1429</v>
      </c>
      <c r="C2817" t="s">
        <v>1431</v>
      </c>
      <c r="D2817" t="s">
        <v>1433</v>
      </c>
      <c r="E2817" t="s">
        <v>173</v>
      </c>
      <c r="F2817" t="s">
        <v>836</v>
      </c>
      <c r="G2817" s="28">
        <v>77122</v>
      </c>
      <c r="H2817">
        <v>0</v>
      </c>
      <c r="I2817" s="29">
        <f t="shared" si="43"/>
        <v>77122</v>
      </c>
      <c r="J2817" t="str">
        <f>IFERROR(VLOOKUP(E2817,'LEAID Match'!$A$2:$B$168,2,FALSE),"")</f>
        <v/>
      </c>
    </row>
    <row r="2818" spans="1:10">
      <c r="A2818" s="27">
        <v>2018</v>
      </c>
      <c r="B2818" t="s">
        <v>1429</v>
      </c>
      <c r="C2818" t="s">
        <v>1431</v>
      </c>
      <c r="D2818" t="s">
        <v>1433</v>
      </c>
      <c r="E2818" t="s">
        <v>173</v>
      </c>
      <c r="F2818" s="9" t="s">
        <v>836</v>
      </c>
      <c r="G2818" s="18">
        <v>82271</v>
      </c>
      <c r="H2818">
        <v>0</v>
      </c>
      <c r="I2818" s="29">
        <f t="shared" si="43"/>
        <v>82271</v>
      </c>
      <c r="J2818" t="str">
        <f>IFERROR(VLOOKUP(E2818,'LEAID Match'!$A$2:$B$168,2,FALSE),"")</f>
        <v/>
      </c>
    </row>
    <row r="2819" spans="1:10">
      <c r="A2819">
        <v>2019</v>
      </c>
      <c r="B2819" t="s">
        <v>1429</v>
      </c>
      <c r="C2819" t="s">
        <v>1431</v>
      </c>
      <c r="D2819" t="s">
        <v>1433</v>
      </c>
      <c r="E2819" t="s">
        <v>173</v>
      </c>
      <c r="F2819" s="9" t="s">
        <v>836</v>
      </c>
      <c r="G2819" s="18">
        <v>89313</v>
      </c>
      <c r="H2819">
        <v>0</v>
      </c>
      <c r="I2819" s="29">
        <f t="shared" ref="I2819:I2882" si="44">SUM(G2819:H2819)</f>
        <v>89313</v>
      </c>
      <c r="J2819" t="str">
        <f>IFERROR(VLOOKUP(E2819,'LEAID Match'!$A$2:$B$168,2,FALSE),"")</f>
        <v/>
      </c>
    </row>
    <row r="2820" spans="1:10">
      <c r="A2820" s="27">
        <v>2020</v>
      </c>
      <c r="B2820" t="s">
        <v>1429</v>
      </c>
      <c r="C2820" t="s">
        <v>1431</v>
      </c>
      <c r="D2820" t="s">
        <v>1433</v>
      </c>
      <c r="E2820" t="s">
        <v>173</v>
      </c>
      <c r="F2820" s="9" t="s">
        <v>173</v>
      </c>
      <c r="G2820" s="18">
        <v>116424</v>
      </c>
      <c r="H2820">
        <v>0</v>
      </c>
      <c r="I2820" s="29">
        <f t="shared" si="44"/>
        <v>116424</v>
      </c>
      <c r="J2820" t="str">
        <f>IFERROR(VLOOKUP(E2820,'LEAID Match'!$A$2:$B$168,2,FALSE),"")</f>
        <v/>
      </c>
    </row>
    <row r="2821" spans="1:10">
      <c r="A2821">
        <v>2021</v>
      </c>
      <c r="B2821" t="s">
        <v>1429</v>
      </c>
      <c r="C2821" t="s">
        <v>1431</v>
      </c>
      <c r="D2821" t="s">
        <v>1433</v>
      </c>
      <c r="E2821" t="s">
        <v>173</v>
      </c>
      <c r="F2821" s="9" t="s">
        <v>173</v>
      </c>
      <c r="G2821" s="18">
        <v>104447</v>
      </c>
      <c r="H2821">
        <v>0</v>
      </c>
      <c r="I2821" s="29">
        <f t="shared" si="44"/>
        <v>104447</v>
      </c>
      <c r="J2821" t="str">
        <f>IFERROR(VLOOKUP(E2821,'LEAID Match'!$A$2:$B$168,2,FALSE),"")</f>
        <v/>
      </c>
    </row>
    <row r="2822" spans="1:10">
      <c r="A2822">
        <v>2022</v>
      </c>
      <c r="B2822" t="s">
        <v>1429</v>
      </c>
      <c r="C2822" t="s">
        <v>1431</v>
      </c>
      <c r="D2822" t="s">
        <v>1433</v>
      </c>
      <c r="E2822" t="s">
        <v>173</v>
      </c>
      <c r="F2822" s="9" t="s">
        <v>173</v>
      </c>
      <c r="G2822" s="18">
        <v>125979</v>
      </c>
      <c r="H2822">
        <v>0</v>
      </c>
      <c r="I2822" s="29">
        <f t="shared" si="44"/>
        <v>125979</v>
      </c>
      <c r="J2822" t="str">
        <f>IFERROR(VLOOKUP(E2822,'LEAID Match'!$A$2:$B$168,2,FALSE),"")</f>
        <v/>
      </c>
    </row>
    <row r="2823" spans="1:10">
      <c r="A2823">
        <v>2023</v>
      </c>
      <c r="B2823" t="s">
        <v>1429</v>
      </c>
      <c r="C2823" t="s">
        <v>1431</v>
      </c>
      <c r="D2823" t="s">
        <v>1433</v>
      </c>
      <c r="E2823" t="s">
        <v>173</v>
      </c>
      <c r="F2823" t="s">
        <v>173</v>
      </c>
      <c r="G2823" s="28">
        <v>105944</v>
      </c>
      <c r="H2823">
        <v>0</v>
      </c>
      <c r="I2823" s="29">
        <f t="shared" si="44"/>
        <v>105944</v>
      </c>
      <c r="J2823" t="str">
        <f>IFERROR(VLOOKUP(E2823,'LEAID Match'!$A$2:$B$168,2,FALSE),"")</f>
        <v/>
      </c>
    </row>
    <row r="2824" spans="1:10">
      <c r="A2824">
        <v>2015</v>
      </c>
      <c r="B2824" t="s">
        <v>1429</v>
      </c>
      <c r="C2824" t="s">
        <v>1431</v>
      </c>
      <c r="D2824" t="s">
        <v>1433</v>
      </c>
      <c r="E2824" t="s">
        <v>174</v>
      </c>
      <c r="F2824" s="9" t="s">
        <v>1322</v>
      </c>
      <c r="G2824" s="18">
        <v>130504.38</v>
      </c>
      <c r="H2824">
        <v>0</v>
      </c>
      <c r="I2824" s="29">
        <f t="shared" si="44"/>
        <v>130504.38</v>
      </c>
      <c r="J2824" t="str">
        <f>IFERROR(VLOOKUP(E2824,'LEAID Match'!$A$2:$B$168,2,FALSE),"")</f>
        <v/>
      </c>
    </row>
    <row r="2825" spans="1:10">
      <c r="A2825">
        <v>2016</v>
      </c>
      <c r="B2825" t="s">
        <v>1429</v>
      </c>
      <c r="C2825" t="s">
        <v>1431</v>
      </c>
      <c r="D2825" t="s">
        <v>1433</v>
      </c>
      <c r="E2825" t="s">
        <v>174</v>
      </c>
      <c r="F2825" t="s">
        <v>837</v>
      </c>
      <c r="G2825" s="28">
        <v>134864</v>
      </c>
      <c r="H2825">
        <v>0</v>
      </c>
      <c r="I2825" s="29">
        <f t="shared" si="44"/>
        <v>134864</v>
      </c>
      <c r="J2825" t="str">
        <f>IFERROR(VLOOKUP(E2825,'LEAID Match'!$A$2:$B$168,2,FALSE),"")</f>
        <v/>
      </c>
    </row>
    <row r="2826" spans="1:10">
      <c r="A2826">
        <v>2017</v>
      </c>
      <c r="B2826" t="s">
        <v>1429</v>
      </c>
      <c r="C2826" t="s">
        <v>1431</v>
      </c>
      <c r="D2826" t="s">
        <v>1433</v>
      </c>
      <c r="E2826" t="s">
        <v>174</v>
      </c>
      <c r="F2826" t="s">
        <v>837</v>
      </c>
      <c r="G2826" s="28">
        <v>137038</v>
      </c>
      <c r="H2826">
        <v>0</v>
      </c>
      <c r="I2826" s="29">
        <f t="shared" si="44"/>
        <v>137038</v>
      </c>
      <c r="J2826" t="str">
        <f>IFERROR(VLOOKUP(E2826,'LEAID Match'!$A$2:$B$168,2,FALSE),"")</f>
        <v/>
      </c>
    </row>
    <row r="2827" spans="1:10">
      <c r="A2827" s="27">
        <v>2018</v>
      </c>
      <c r="B2827" t="s">
        <v>1429</v>
      </c>
      <c r="C2827" t="s">
        <v>1431</v>
      </c>
      <c r="D2827" t="s">
        <v>1433</v>
      </c>
      <c r="E2827" t="s">
        <v>174</v>
      </c>
      <c r="F2827" s="9" t="s">
        <v>837</v>
      </c>
      <c r="G2827" s="18">
        <v>139596</v>
      </c>
      <c r="H2827">
        <v>0</v>
      </c>
      <c r="I2827" s="29">
        <f t="shared" si="44"/>
        <v>139596</v>
      </c>
      <c r="J2827" t="str">
        <f>IFERROR(VLOOKUP(E2827,'LEAID Match'!$A$2:$B$168,2,FALSE),"")</f>
        <v/>
      </c>
    </row>
    <row r="2828" spans="1:10">
      <c r="A2828">
        <v>2019</v>
      </c>
      <c r="B2828" t="s">
        <v>1429</v>
      </c>
      <c r="C2828" t="s">
        <v>1431</v>
      </c>
      <c r="D2828" t="s">
        <v>1433</v>
      </c>
      <c r="E2828" t="s">
        <v>174</v>
      </c>
      <c r="F2828" s="9" t="s">
        <v>837</v>
      </c>
      <c r="G2828" s="18">
        <v>132358</v>
      </c>
      <c r="H2828">
        <v>0</v>
      </c>
      <c r="I2828" s="29">
        <f t="shared" si="44"/>
        <v>132358</v>
      </c>
      <c r="J2828" t="str">
        <f>IFERROR(VLOOKUP(E2828,'LEAID Match'!$A$2:$B$168,2,FALSE),"")</f>
        <v/>
      </c>
    </row>
    <row r="2829" spans="1:10">
      <c r="A2829" s="27">
        <v>2020</v>
      </c>
      <c r="B2829" t="s">
        <v>1429</v>
      </c>
      <c r="C2829" t="s">
        <v>1431</v>
      </c>
      <c r="D2829" t="s">
        <v>1433</v>
      </c>
      <c r="E2829" t="s">
        <v>174</v>
      </c>
      <c r="F2829" s="9" t="s">
        <v>174</v>
      </c>
      <c r="G2829" s="18">
        <v>155424</v>
      </c>
      <c r="H2829">
        <v>0</v>
      </c>
      <c r="I2829" s="29">
        <f t="shared" si="44"/>
        <v>155424</v>
      </c>
      <c r="J2829" t="str">
        <f>IFERROR(VLOOKUP(E2829,'LEAID Match'!$A$2:$B$168,2,FALSE),"")</f>
        <v/>
      </c>
    </row>
    <row r="2830" spans="1:10">
      <c r="A2830">
        <v>2021</v>
      </c>
      <c r="B2830" t="s">
        <v>1429</v>
      </c>
      <c r="C2830" t="s">
        <v>1431</v>
      </c>
      <c r="D2830" t="s">
        <v>1433</v>
      </c>
      <c r="E2830" t="s">
        <v>174</v>
      </c>
      <c r="F2830" s="9" t="s">
        <v>174</v>
      </c>
      <c r="G2830" s="18">
        <v>150896</v>
      </c>
      <c r="H2830">
        <v>0</v>
      </c>
      <c r="I2830" s="29">
        <f t="shared" si="44"/>
        <v>150896</v>
      </c>
      <c r="J2830" t="str">
        <f>IFERROR(VLOOKUP(E2830,'LEAID Match'!$A$2:$B$168,2,FALSE),"")</f>
        <v/>
      </c>
    </row>
    <row r="2831" spans="1:10">
      <c r="A2831">
        <v>2022</v>
      </c>
      <c r="B2831" t="s">
        <v>1429</v>
      </c>
      <c r="C2831" t="s">
        <v>1431</v>
      </c>
      <c r="D2831" t="s">
        <v>1433</v>
      </c>
      <c r="E2831" t="s">
        <v>174</v>
      </c>
      <c r="F2831" s="9" t="s">
        <v>174</v>
      </c>
      <c r="G2831" s="18">
        <v>219836</v>
      </c>
      <c r="H2831">
        <v>0</v>
      </c>
      <c r="I2831" s="29">
        <f t="shared" si="44"/>
        <v>219836</v>
      </c>
      <c r="J2831" t="str">
        <f>IFERROR(VLOOKUP(E2831,'LEAID Match'!$A$2:$B$168,2,FALSE),"")</f>
        <v/>
      </c>
    </row>
    <row r="2832" spans="1:10">
      <c r="A2832">
        <v>2023</v>
      </c>
      <c r="B2832" t="s">
        <v>1429</v>
      </c>
      <c r="C2832" t="s">
        <v>1431</v>
      </c>
      <c r="D2832" t="s">
        <v>1433</v>
      </c>
      <c r="E2832" t="s">
        <v>174</v>
      </c>
      <c r="F2832" t="s">
        <v>174</v>
      </c>
      <c r="G2832" s="28">
        <v>231116</v>
      </c>
      <c r="H2832">
        <v>0</v>
      </c>
      <c r="I2832" s="29">
        <f t="shared" si="44"/>
        <v>231116</v>
      </c>
      <c r="J2832" t="str">
        <f>IFERROR(VLOOKUP(E2832,'LEAID Match'!$A$2:$B$168,2,FALSE),"")</f>
        <v/>
      </c>
    </row>
    <row r="2833" spans="1:10">
      <c r="A2833">
        <v>2015</v>
      </c>
      <c r="B2833" t="s">
        <v>1429</v>
      </c>
      <c r="C2833" t="s">
        <v>1431</v>
      </c>
      <c r="D2833" t="s">
        <v>1433</v>
      </c>
      <c r="E2833" t="s">
        <v>175</v>
      </c>
      <c r="F2833" s="9" t="s">
        <v>1323</v>
      </c>
      <c r="G2833" s="18">
        <v>84855.08</v>
      </c>
      <c r="H2833">
        <v>0</v>
      </c>
      <c r="I2833" s="29">
        <f t="shared" si="44"/>
        <v>84855.08</v>
      </c>
      <c r="J2833" t="str">
        <f>IFERROR(VLOOKUP(E2833,'LEAID Match'!$A$2:$B$168,2,FALSE),"")</f>
        <v/>
      </c>
    </row>
    <row r="2834" spans="1:10">
      <c r="A2834">
        <v>2016</v>
      </c>
      <c r="B2834" t="s">
        <v>1429</v>
      </c>
      <c r="C2834" t="s">
        <v>1431</v>
      </c>
      <c r="D2834" t="s">
        <v>1433</v>
      </c>
      <c r="E2834" t="s">
        <v>175</v>
      </c>
      <c r="F2834" t="s">
        <v>838</v>
      </c>
      <c r="G2834" s="28">
        <v>86274</v>
      </c>
      <c r="H2834">
        <v>0</v>
      </c>
      <c r="I2834" s="29">
        <f t="shared" si="44"/>
        <v>86274</v>
      </c>
      <c r="J2834" t="str">
        <f>IFERROR(VLOOKUP(E2834,'LEAID Match'!$A$2:$B$168,2,FALSE),"")</f>
        <v/>
      </c>
    </row>
    <row r="2835" spans="1:10">
      <c r="A2835">
        <v>2017</v>
      </c>
      <c r="B2835" t="s">
        <v>1429</v>
      </c>
      <c r="C2835" t="s">
        <v>1431</v>
      </c>
      <c r="D2835" t="s">
        <v>1433</v>
      </c>
      <c r="E2835" t="s">
        <v>175</v>
      </c>
      <c r="F2835" t="s">
        <v>838</v>
      </c>
      <c r="G2835" s="28">
        <v>87270</v>
      </c>
      <c r="H2835">
        <v>0</v>
      </c>
      <c r="I2835" s="29">
        <f t="shared" si="44"/>
        <v>87270</v>
      </c>
      <c r="J2835" t="str">
        <f>IFERROR(VLOOKUP(E2835,'LEAID Match'!$A$2:$B$168,2,FALSE),"")</f>
        <v/>
      </c>
    </row>
    <row r="2836" spans="1:10">
      <c r="A2836" s="27">
        <v>2018</v>
      </c>
      <c r="B2836" t="s">
        <v>1429</v>
      </c>
      <c r="C2836" t="s">
        <v>1431</v>
      </c>
      <c r="D2836" t="s">
        <v>1433</v>
      </c>
      <c r="E2836" t="s">
        <v>175</v>
      </c>
      <c r="F2836" s="9" t="s">
        <v>838</v>
      </c>
      <c r="G2836" s="18">
        <v>91095</v>
      </c>
      <c r="H2836">
        <v>0</v>
      </c>
      <c r="I2836" s="29">
        <f t="shared" si="44"/>
        <v>91095</v>
      </c>
      <c r="J2836" t="str">
        <f>IFERROR(VLOOKUP(E2836,'LEAID Match'!$A$2:$B$168,2,FALSE),"")</f>
        <v/>
      </c>
    </row>
    <row r="2837" spans="1:10">
      <c r="A2837">
        <v>2019</v>
      </c>
      <c r="B2837" t="s">
        <v>1429</v>
      </c>
      <c r="C2837" t="s">
        <v>1431</v>
      </c>
      <c r="D2837" t="s">
        <v>1433</v>
      </c>
      <c r="E2837" t="s">
        <v>175</v>
      </c>
      <c r="F2837" s="9" t="s">
        <v>838</v>
      </c>
      <c r="G2837" s="18">
        <v>109334</v>
      </c>
      <c r="H2837">
        <v>0</v>
      </c>
      <c r="I2837" s="29">
        <f t="shared" si="44"/>
        <v>109334</v>
      </c>
      <c r="J2837" t="str">
        <f>IFERROR(VLOOKUP(E2837,'LEAID Match'!$A$2:$B$168,2,FALSE),"")</f>
        <v/>
      </c>
    </row>
    <row r="2838" spans="1:10">
      <c r="A2838" s="27">
        <v>2020</v>
      </c>
      <c r="B2838" t="s">
        <v>1429</v>
      </c>
      <c r="C2838" t="s">
        <v>1431</v>
      </c>
      <c r="D2838" t="s">
        <v>1433</v>
      </c>
      <c r="E2838" t="s">
        <v>175</v>
      </c>
      <c r="F2838" s="9" t="s">
        <v>175</v>
      </c>
      <c r="G2838" s="18">
        <v>126309</v>
      </c>
      <c r="H2838">
        <v>0</v>
      </c>
      <c r="I2838" s="29">
        <f t="shared" si="44"/>
        <v>126309</v>
      </c>
      <c r="J2838" t="str">
        <f>IFERROR(VLOOKUP(E2838,'LEAID Match'!$A$2:$B$168,2,FALSE),"")</f>
        <v/>
      </c>
    </row>
    <row r="2839" spans="1:10">
      <c r="A2839">
        <v>2021</v>
      </c>
      <c r="B2839" t="s">
        <v>1429</v>
      </c>
      <c r="C2839" t="s">
        <v>1431</v>
      </c>
      <c r="D2839" t="s">
        <v>1433</v>
      </c>
      <c r="E2839" t="s">
        <v>175</v>
      </c>
      <c r="F2839" s="9" t="s">
        <v>175</v>
      </c>
      <c r="G2839" s="18">
        <v>135066</v>
      </c>
      <c r="H2839">
        <v>0</v>
      </c>
      <c r="I2839" s="29">
        <f t="shared" si="44"/>
        <v>135066</v>
      </c>
      <c r="J2839" t="str">
        <f>IFERROR(VLOOKUP(E2839,'LEAID Match'!$A$2:$B$168,2,FALSE),"")</f>
        <v/>
      </c>
    </row>
    <row r="2840" spans="1:10">
      <c r="A2840">
        <v>2022</v>
      </c>
      <c r="B2840" t="s">
        <v>1429</v>
      </c>
      <c r="C2840" t="s">
        <v>1431</v>
      </c>
      <c r="D2840" t="s">
        <v>1433</v>
      </c>
      <c r="E2840" t="s">
        <v>175</v>
      </c>
      <c r="F2840" s="9" t="s">
        <v>175</v>
      </c>
      <c r="G2840" s="18">
        <v>192346</v>
      </c>
      <c r="H2840">
        <v>0</v>
      </c>
      <c r="I2840" s="29">
        <f t="shared" si="44"/>
        <v>192346</v>
      </c>
      <c r="J2840" t="str">
        <f>IFERROR(VLOOKUP(E2840,'LEAID Match'!$A$2:$B$168,2,FALSE),"")</f>
        <v/>
      </c>
    </row>
    <row r="2841" spans="1:10">
      <c r="A2841">
        <v>2023</v>
      </c>
      <c r="B2841" t="s">
        <v>1429</v>
      </c>
      <c r="C2841" t="s">
        <v>1431</v>
      </c>
      <c r="D2841" t="s">
        <v>1433</v>
      </c>
      <c r="E2841" t="s">
        <v>175</v>
      </c>
      <c r="F2841" t="s">
        <v>175</v>
      </c>
      <c r="G2841" s="28">
        <v>184976</v>
      </c>
      <c r="H2841">
        <v>0</v>
      </c>
      <c r="I2841" s="29">
        <f t="shared" si="44"/>
        <v>184976</v>
      </c>
      <c r="J2841" t="str">
        <f>IFERROR(VLOOKUP(E2841,'LEAID Match'!$A$2:$B$168,2,FALSE),"")</f>
        <v/>
      </c>
    </row>
    <row r="2842" spans="1:10">
      <c r="A2842">
        <v>2015</v>
      </c>
      <c r="B2842" t="s">
        <v>1429</v>
      </c>
      <c r="C2842" t="s">
        <v>1431</v>
      </c>
      <c r="D2842" t="s">
        <v>1433</v>
      </c>
      <c r="E2842" t="s">
        <v>176</v>
      </c>
      <c r="F2842" s="9" t="s">
        <v>176</v>
      </c>
      <c r="G2842" s="18">
        <v>8582130.1099999994</v>
      </c>
      <c r="H2842">
        <v>0</v>
      </c>
      <c r="I2842" s="29">
        <f t="shared" si="44"/>
        <v>8582130.1099999994</v>
      </c>
      <c r="J2842" t="str">
        <f>IFERROR(VLOOKUP(E2842,'LEAID Match'!$A$2:$B$168,2,FALSE),"")</f>
        <v/>
      </c>
    </row>
    <row r="2843" spans="1:10">
      <c r="A2843">
        <v>2016</v>
      </c>
      <c r="B2843" t="s">
        <v>1429</v>
      </c>
      <c r="C2843" t="s">
        <v>1431</v>
      </c>
      <c r="D2843" t="s">
        <v>1433</v>
      </c>
      <c r="E2843" t="s">
        <v>176</v>
      </c>
      <c r="F2843" t="s">
        <v>839</v>
      </c>
      <c r="G2843" s="28">
        <v>9241108</v>
      </c>
      <c r="H2843">
        <v>0</v>
      </c>
      <c r="I2843" s="29">
        <f t="shared" si="44"/>
        <v>9241108</v>
      </c>
      <c r="J2843" t="str">
        <f>IFERROR(VLOOKUP(E2843,'LEAID Match'!$A$2:$B$168,2,FALSE),"")</f>
        <v/>
      </c>
    </row>
    <row r="2844" spans="1:10">
      <c r="A2844">
        <v>2017</v>
      </c>
      <c r="B2844" t="s">
        <v>1429</v>
      </c>
      <c r="C2844" t="s">
        <v>1431</v>
      </c>
      <c r="D2844" t="s">
        <v>1433</v>
      </c>
      <c r="E2844" t="s">
        <v>176</v>
      </c>
      <c r="F2844" t="s">
        <v>839</v>
      </c>
      <c r="G2844" s="28">
        <v>9295028</v>
      </c>
      <c r="H2844">
        <v>0</v>
      </c>
      <c r="I2844" s="29">
        <f t="shared" si="44"/>
        <v>9295028</v>
      </c>
      <c r="J2844" t="str">
        <f>IFERROR(VLOOKUP(E2844,'LEAID Match'!$A$2:$B$168,2,FALSE),"")</f>
        <v/>
      </c>
    </row>
    <row r="2845" spans="1:10">
      <c r="A2845" s="27">
        <v>2018</v>
      </c>
      <c r="B2845" t="s">
        <v>1429</v>
      </c>
      <c r="C2845" t="s">
        <v>1431</v>
      </c>
      <c r="D2845" t="s">
        <v>1433</v>
      </c>
      <c r="E2845" t="s">
        <v>176</v>
      </c>
      <c r="F2845" s="9" t="s">
        <v>839</v>
      </c>
      <c r="G2845" s="18">
        <v>11451846</v>
      </c>
      <c r="H2845">
        <v>0</v>
      </c>
      <c r="I2845" s="29">
        <f t="shared" si="44"/>
        <v>11451846</v>
      </c>
      <c r="J2845" t="str">
        <f>IFERROR(VLOOKUP(E2845,'LEAID Match'!$A$2:$B$168,2,FALSE),"")</f>
        <v/>
      </c>
    </row>
    <row r="2846" spans="1:10">
      <c r="A2846">
        <v>2019</v>
      </c>
      <c r="B2846" t="s">
        <v>1429</v>
      </c>
      <c r="C2846" t="s">
        <v>1431</v>
      </c>
      <c r="D2846" t="s">
        <v>1433</v>
      </c>
      <c r="E2846" t="s">
        <v>176</v>
      </c>
      <c r="F2846" s="9" t="s">
        <v>839</v>
      </c>
      <c r="G2846" s="18">
        <v>11574991</v>
      </c>
      <c r="H2846">
        <v>0</v>
      </c>
      <c r="I2846" s="29">
        <f t="shared" si="44"/>
        <v>11574991</v>
      </c>
      <c r="J2846" t="str">
        <f>IFERROR(VLOOKUP(E2846,'LEAID Match'!$A$2:$B$168,2,FALSE),"")</f>
        <v/>
      </c>
    </row>
    <row r="2847" spans="1:10">
      <c r="A2847" s="27">
        <v>2020</v>
      </c>
      <c r="B2847" t="s">
        <v>1429</v>
      </c>
      <c r="C2847" t="s">
        <v>1431</v>
      </c>
      <c r="D2847" t="s">
        <v>1433</v>
      </c>
      <c r="E2847" t="s">
        <v>176</v>
      </c>
      <c r="F2847" s="9" t="s">
        <v>176</v>
      </c>
      <c r="G2847" s="18">
        <v>11986856</v>
      </c>
      <c r="H2847">
        <v>0</v>
      </c>
      <c r="I2847" s="29">
        <f t="shared" si="44"/>
        <v>11986856</v>
      </c>
      <c r="J2847" t="str">
        <f>IFERROR(VLOOKUP(E2847,'LEAID Match'!$A$2:$B$168,2,FALSE),"")</f>
        <v/>
      </c>
    </row>
    <row r="2848" spans="1:10">
      <c r="A2848">
        <v>2021</v>
      </c>
      <c r="B2848" t="s">
        <v>1429</v>
      </c>
      <c r="C2848" t="s">
        <v>1431</v>
      </c>
      <c r="D2848" t="s">
        <v>1433</v>
      </c>
      <c r="E2848" t="s">
        <v>176</v>
      </c>
      <c r="F2848" s="9" t="s">
        <v>176</v>
      </c>
      <c r="G2848" s="18">
        <v>12235715</v>
      </c>
      <c r="H2848">
        <v>0</v>
      </c>
      <c r="I2848" s="29">
        <f t="shared" si="44"/>
        <v>12235715</v>
      </c>
      <c r="J2848" t="str">
        <f>IFERROR(VLOOKUP(E2848,'LEAID Match'!$A$2:$B$168,2,FALSE),"")</f>
        <v/>
      </c>
    </row>
    <row r="2849" spans="1:10">
      <c r="A2849">
        <v>2022</v>
      </c>
      <c r="B2849" t="s">
        <v>1429</v>
      </c>
      <c r="C2849" t="s">
        <v>1431</v>
      </c>
      <c r="D2849" t="s">
        <v>1433</v>
      </c>
      <c r="E2849" t="s">
        <v>176</v>
      </c>
      <c r="F2849" s="9" t="s">
        <v>176</v>
      </c>
      <c r="G2849" s="18">
        <v>15628166</v>
      </c>
      <c r="H2849">
        <v>0</v>
      </c>
      <c r="I2849" s="29">
        <f t="shared" si="44"/>
        <v>15628166</v>
      </c>
      <c r="J2849" t="str">
        <f>IFERROR(VLOOKUP(E2849,'LEAID Match'!$A$2:$B$168,2,FALSE),"")</f>
        <v/>
      </c>
    </row>
    <row r="2850" spans="1:10">
      <c r="A2850">
        <v>2023</v>
      </c>
      <c r="B2850" t="s">
        <v>1429</v>
      </c>
      <c r="C2850" t="s">
        <v>1431</v>
      </c>
      <c r="D2850" t="s">
        <v>1433</v>
      </c>
      <c r="E2850" t="s">
        <v>176</v>
      </c>
      <c r="F2850" t="s">
        <v>176</v>
      </c>
      <c r="G2850" s="28">
        <v>16483447</v>
      </c>
      <c r="H2850">
        <v>0</v>
      </c>
      <c r="I2850" s="29">
        <f t="shared" si="44"/>
        <v>16483447</v>
      </c>
      <c r="J2850" t="str">
        <f>IFERROR(VLOOKUP(E2850,'LEAID Match'!$A$2:$B$168,2,FALSE),"")</f>
        <v/>
      </c>
    </row>
    <row r="2851" spans="1:10">
      <c r="A2851">
        <v>2015</v>
      </c>
      <c r="B2851" t="s">
        <v>1429</v>
      </c>
      <c r="C2851" t="s">
        <v>1431</v>
      </c>
      <c r="D2851" t="s">
        <v>1433</v>
      </c>
      <c r="E2851" t="s">
        <v>840</v>
      </c>
      <c r="F2851" s="9" t="s">
        <v>1324</v>
      </c>
      <c r="G2851" s="18">
        <v>51469.32</v>
      </c>
      <c r="H2851">
        <v>0</v>
      </c>
      <c r="I2851" s="29">
        <f t="shared" si="44"/>
        <v>51469.32</v>
      </c>
      <c r="J2851" t="str">
        <f>IFERROR(VLOOKUP(E2851,'LEAID Match'!$A$2:$B$168,2,FALSE),"")</f>
        <v/>
      </c>
    </row>
    <row r="2852" spans="1:10">
      <c r="A2852">
        <v>2016</v>
      </c>
      <c r="B2852" t="s">
        <v>1429</v>
      </c>
      <c r="C2852" t="s">
        <v>1431</v>
      </c>
      <c r="D2852" t="s">
        <v>1433</v>
      </c>
      <c r="E2852" t="s">
        <v>840</v>
      </c>
      <c r="F2852" t="s">
        <v>840</v>
      </c>
      <c r="G2852" s="28">
        <v>46238</v>
      </c>
      <c r="H2852">
        <v>0</v>
      </c>
      <c r="I2852" s="29">
        <f t="shared" si="44"/>
        <v>46238</v>
      </c>
      <c r="J2852" t="str">
        <f>IFERROR(VLOOKUP(E2852,'LEAID Match'!$A$2:$B$168,2,FALSE),"")</f>
        <v/>
      </c>
    </row>
    <row r="2853" spans="1:10">
      <c r="A2853">
        <v>2017</v>
      </c>
      <c r="B2853" t="s">
        <v>1429</v>
      </c>
      <c r="C2853" t="s">
        <v>1431</v>
      </c>
      <c r="D2853" t="s">
        <v>1433</v>
      </c>
      <c r="E2853" t="s">
        <v>840</v>
      </c>
      <c r="F2853" t="s">
        <v>840</v>
      </c>
      <c r="G2853" s="28">
        <v>0</v>
      </c>
      <c r="H2853">
        <v>0</v>
      </c>
      <c r="I2853" s="29">
        <f t="shared" si="44"/>
        <v>0</v>
      </c>
      <c r="J2853" t="str">
        <f>IFERROR(VLOOKUP(E2853,'LEAID Match'!$A$2:$B$168,2,FALSE),"")</f>
        <v/>
      </c>
    </row>
    <row r="2854" spans="1:10">
      <c r="A2854" s="27">
        <v>2018</v>
      </c>
      <c r="B2854" t="s">
        <v>1429</v>
      </c>
      <c r="C2854" t="s">
        <v>1431</v>
      </c>
      <c r="D2854" t="s">
        <v>1433</v>
      </c>
      <c r="E2854" t="s">
        <v>840</v>
      </c>
      <c r="F2854" s="9" t="s">
        <v>840</v>
      </c>
      <c r="G2854" s="18"/>
      <c r="H2854">
        <v>0</v>
      </c>
      <c r="I2854" s="29">
        <f t="shared" si="44"/>
        <v>0</v>
      </c>
      <c r="J2854" t="str">
        <f>IFERROR(VLOOKUP(E2854,'LEAID Match'!$A$2:$B$168,2,FALSE),"")</f>
        <v/>
      </c>
    </row>
    <row r="2855" spans="1:10">
      <c r="A2855">
        <v>2019</v>
      </c>
      <c r="B2855" t="s">
        <v>1429</v>
      </c>
      <c r="C2855" t="s">
        <v>1431</v>
      </c>
      <c r="D2855" t="s">
        <v>1433</v>
      </c>
      <c r="E2855" t="s">
        <v>840</v>
      </c>
      <c r="F2855" s="9" t="s">
        <v>840</v>
      </c>
      <c r="G2855" s="18"/>
      <c r="H2855">
        <v>0</v>
      </c>
      <c r="I2855" s="29">
        <f t="shared" si="44"/>
        <v>0</v>
      </c>
      <c r="J2855" t="str">
        <f>IFERROR(VLOOKUP(E2855,'LEAID Match'!$A$2:$B$168,2,FALSE),"")</f>
        <v/>
      </c>
    </row>
    <row r="2856" spans="1:10">
      <c r="A2856" s="27">
        <v>2020</v>
      </c>
      <c r="B2856" t="s">
        <v>1429</v>
      </c>
      <c r="C2856" t="s">
        <v>1431</v>
      </c>
      <c r="D2856" t="s">
        <v>1433</v>
      </c>
      <c r="E2856" t="s">
        <v>840</v>
      </c>
      <c r="F2856" s="9" t="s">
        <v>484</v>
      </c>
      <c r="G2856" s="18"/>
      <c r="H2856">
        <v>0</v>
      </c>
      <c r="I2856" s="29">
        <f t="shared" si="44"/>
        <v>0</v>
      </c>
      <c r="J2856" t="str">
        <f>IFERROR(VLOOKUP(E2856,'LEAID Match'!$A$2:$B$168,2,FALSE),"")</f>
        <v/>
      </c>
    </row>
    <row r="2857" spans="1:10">
      <c r="A2857">
        <v>2021</v>
      </c>
      <c r="B2857" t="s">
        <v>1429</v>
      </c>
      <c r="C2857" t="s">
        <v>1431</v>
      </c>
      <c r="D2857" t="s">
        <v>1433</v>
      </c>
      <c r="E2857" t="s">
        <v>840</v>
      </c>
      <c r="F2857" s="9" t="s">
        <v>484</v>
      </c>
      <c r="G2857" s="18"/>
      <c r="H2857">
        <v>0</v>
      </c>
      <c r="I2857" s="29">
        <f t="shared" si="44"/>
        <v>0</v>
      </c>
      <c r="J2857" t="str">
        <f>IFERROR(VLOOKUP(E2857,'LEAID Match'!$A$2:$B$168,2,FALSE),"")</f>
        <v/>
      </c>
    </row>
    <row r="2858" spans="1:10">
      <c r="A2858">
        <v>2015</v>
      </c>
      <c r="B2858" t="s">
        <v>1429</v>
      </c>
      <c r="C2858" t="s">
        <v>1431</v>
      </c>
      <c r="D2858" t="s">
        <v>1433</v>
      </c>
      <c r="E2858" t="s">
        <v>177</v>
      </c>
      <c r="F2858" s="9" t="s">
        <v>1325</v>
      </c>
      <c r="G2858" s="18">
        <v>121795.06</v>
      </c>
      <c r="H2858">
        <v>0</v>
      </c>
      <c r="I2858" s="29">
        <f t="shared" si="44"/>
        <v>121795.06</v>
      </c>
      <c r="J2858" t="str">
        <f>IFERROR(VLOOKUP(E2858,'LEAID Match'!$A$2:$B$168,2,FALSE),"")</f>
        <v/>
      </c>
    </row>
    <row r="2859" spans="1:10">
      <c r="A2859">
        <v>2016</v>
      </c>
      <c r="B2859" t="s">
        <v>1429</v>
      </c>
      <c r="C2859" t="s">
        <v>1431</v>
      </c>
      <c r="D2859" t="s">
        <v>1433</v>
      </c>
      <c r="E2859" t="s">
        <v>177</v>
      </c>
      <c r="F2859" t="s">
        <v>841</v>
      </c>
      <c r="G2859" s="28">
        <v>135069</v>
      </c>
      <c r="H2859">
        <v>0</v>
      </c>
      <c r="I2859" s="29">
        <f t="shared" si="44"/>
        <v>135069</v>
      </c>
      <c r="J2859" t="str">
        <f>IFERROR(VLOOKUP(E2859,'LEAID Match'!$A$2:$B$168,2,FALSE),"")</f>
        <v/>
      </c>
    </row>
    <row r="2860" spans="1:10">
      <c r="A2860">
        <v>2017</v>
      </c>
      <c r="B2860" t="s">
        <v>1429</v>
      </c>
      <c r="C2860" t="s">
        <v>1431</v>
      </c>
      <c r="D2860" t="s">
        <v>1433</v>
      </c>
      <c r="E2860" t="s">
        <v>177</v>
      </c>
      <c r="F2860" t="s">
        <v>841</v>
      </c>
      <c r="G2860" s="28">
        <v>142409</v>
      </c>
      <c r="H2860">
        <v>0</v>
      </c>
      <c r="I2860" s="29">
        <f t="shared" si="44"/>
        <v>142409</v>
      </c>
      <c r="J2860" t="str">
        <f>IFERROR(VLOOKUP(E2860,'LEAID Match'!$A$2:$B$168,2,FALSE),"")</f>
        <v/>
      </c>
    </row>
    <row r="2861" spans="1:10">
      <c r="A2861" s="27">
        <v>2018</v>
      </c>
      <c r="B2861" t="s">
        <v>1429</v>
      </c>
      <c r="C2861" t="s">
        <v>1431</v>
      </c>
      <c r="D2861" t="s">
        <v>1433</v>
      </c>
      <c r="E2861" t="s">
        <v>177</v>
      </c>
      <c r="F2861" s="9" t="s">
        <v>841</v>
      </c>
      <c r="G2861" s="18">
        <v>178227</v>
      </c>
      <c r="H2861">
        <v>0</v>
      </c>
      <c r="I2861" s="29">
        <f t="shared" si="44"/>
        <v>178227</v>
      </c>
      <c r="J2861" t="str">
        <f>IFERROR(VLOOKUP(E2861,'LEAID Match'!$A$2:$B$168,2,FALSE),"")</f>
        <v/>
      </c>
    </row>
    <row r="2862" spans="1:10">
      <c r="A2862">
        <v>2019</v>
      </c>
      <c r="B2862" t="s">
        <v>1429</v>
      </c>
      <c r="C2862" t="s">
        <v>1431</v>
      </c>
      <c r="D2862" t="s">
        <v>1433</v>
      </c>
      <c r="E2862" t="s">
        <v>177</v>
      </c>
      <c r="F2862" s="9" t="s">
        <v>841</v>
      </c>
      <c r="G2862" s="18">
        <v>169323</v>
      </c>
      <c r="H2862">
        <v>0</v>
      </c>
      <c r="I2862" s="29">
        <f t="shared" si="44"/>
        <v>169323</v>
      </c>
      <c r="J2862" t="str">
        <f>IFERROR(VLOOKUP(E2862,'LEAID Match'!$A$2:$B$168,2,FALSE),"")</f>
        <v/>
      </c>
    </row>
    <row r="2863" spans="1:10">
      <c r="A2863" s="27">
        <v>2020</v>
      </c>
      <c r="B2863" t="s">
        <v>1429</v>
      </c>
      <c r="C2863" t="s">
        <v>1431</v>
      </c>
      <c r="D2863" t="s">
        <v>1433</v>
      </c>
      <c r="E2863" t="s">
        <v>177</v>
      </c>
      <c r="F2863" s="9" t="s">
        <v>177</v>
      </c>
      <c r="G2863" s="18">
        <v>166732</v>
      </c>
      <c r="H2863">
        <v>0</v>
      </c>
      <c r="I2863" s="29">
        <f t="shared" si="44"/>
        <v>166732</v>
      </c>
      <c r="J2863" t="str">
        <f>IFERROR(VLOOKUP(E2863,'LEAID Match'!$A$2:$B$168,2,FALSE),"")</f>
        <v/>
      </c>
    </row>
    <row r="2864" spans="1:10">
      <c r="A2864">
        <v>2021</v>
      </c>
      <c r="B2864" t="s">
        <v>1429</v>
      </c>
      <c r="C2864" t="s">
        <v>1431</v>
      </c>
      <c r="D2864" t="s">
        <v>1433</v>
      </c>
      <c r="E2864" t="s">
        <v>177</v>
      </c>
      <c r="F2864" s="9" t="s">
        <v>177</v>
      </c>
      <c r="G2864" s="18">
        <v>167640</v>
      </c>
      <c r="H2864">
        <v>0</v>
      </c>
      <c r="I2864" s="29">
        <f t="shared" si="44"/>
        <v>167640</v>
      </c>
      <c r="J2864" t="str">
        <f>IFERROR(VLOOKUP(E2864,'LEAID Match'!$A$2:$B$168,2,FALSE),"")</f>
        <v/>
      </c>
    </row>
    <row r="2865" spans="1:10">
      <c r="A2865">
        <v>2022</v>
      </c>
      <c r="B2865" t="s">
        <v>1429</v>
      </c>
      <c r="C2865" t="s">
        <v>1431</v>
      </c>
      <c r="D2865" t="s">
        <v>1433</v>
      </c>
      <c r="E2865" t="s">
        <v>177</v>
      </c>
      <c r="F2865" s="9" t="s">
        <v>177</v>
      </c>
      <c r="G2865" s="18">
        <v>165750</v>
      </c>
      <c r="H2865">
        <v>0</v>
      </c>
      <c r="I2865" s="29">
        <f t="shared" si="44"/>
        <v>165750</v>
      </c>
      <c r="J2865" t="str">
        <f>IFERROR(VLOOKUP(E2865,'LEAID Match'!$A$2:$B$168,2,FALSE),"")</f>
        <v/>
      </c>
    </row>
    <row r="2866" spans="1:10">
      <c r="A2866">
        <v>2023</v>
      </c>
      <c r="B2866" t="s">
        <v>1429</v>
      </c>
      <c r="C2866" t="s">
        <v>1431</v>
      </c>
      <c r="D2866" t="s">
        <v>1433</v>
      </c>
      <c r="E2866" t="s">
        <v>177</v>
      </c>
      <c r="F2866" t="s">
        <v>177</v>
      </c>
      <c r="H2866">
        <v>0</v>
      </c>
      <c r="I2866" s="29">
        <f t="shared" si="44"/>
        <v>0</v>
      </c>
      <c r="J2866" t="str">
        <f>IFERROR(VLOOKUP(E2866,'LEAID Match'!$A$2:$B$168,2,FALSE),"")</f>
        <v/>
      </c>
    </row>
    <row r="2867" spans="1:10">
      <c r="A2867">
        <v>2015</v>
      </c>
      <c r="B2867" t="s">
        <v>1429</v>
      </c>
      <c r="C2867" t="s">
        <v>1431</v>
      </c>
      <c r="D2867" t="s">
        <v>1433</v>
      </c>
      <c r="E2867" t="s">
        <v>178</v>
      </c>
      <c r="F2867" s="9" t="s">
        <v>1326</v>
      </c>
      <c r="G2867" s="18">
        <v>57564.23</v>
      </c>
      <c r="H2867">
        <v>0</v>
      </c>
      <c r="I2867" s="29">
        <f t="shared" si="44"/>
        <v>57564.23</v>
      </c>
      <c r="J2867" t="str">
        <f>IFERROR(VLOOKUP(E2867,'LEAID Match'!$A$2:$B$168,2,FALSE),"")</f>
        <v/>
      </c>
    </row>
    <row r="2868" spans="1:10">
      <c r="A2868">
        <v>2016</v>
      </c>
      <c r="B2868" t="s">
        <v>1429</v>
      </c>
      <c r="C2868" t="s">
        <v>1431</v>
      </c>
      <c r="D2868" t="s">
        <v>1433</v>
      </c>
      <c r="E2868" t="s">
        <v>178</v>
      </c>
      <c r="F2868" t="s">
        <v>842</v>
      </c>
      <c r="G2868" s="28">
        <v>65286</v>
      </c>
      <c r="H2868">
        <v>0</v>
      </c>
      <c r="I2868" s="29">
        <f t="shared" si="44"/>
        <v>65286</v>
      </c>
      <c r="J2868" t="str">
        <f>IFERROR(VLOOKUP(E2868,'LEAID Match'!$A$2:$B$168,2,FALSE),"")</f>
        <v/>
      </c>
    </row>
    <row r="2869" spans="1:10">
      <c r="A2869">
        <v>2017</v>
      </c>
      <c r="B2869" t="s">
        <v>1429</v>
      </c>
      <c r="C2869" t="s">
        <v>1431</v>
      </c>
      <c r="D2869" t="s">
        <v>1433</v>
      </c>
      <c r="E2869" t="s">
        <v>178</v>
      </c>
      <c r="F2869" t="s">
        <v>842</v>
      </c>
      <c r="G2869" s="28">
        <v>71726</v>
      </c>
      <c r="H2869">
        <v>0</v>
      </c>
      <c r="I2869" s="29">
        <f t="shared" si="44"/>
        <v>71726</v>
      </c>
      <c r="J2869" t="str">
        <f>IFERROR(VLOOKUP(E2869,'LEAID Match'!$A$2:$B$168,2,FALSE),"")</f>
        <v/>
      </c>
    </row>
    <row r="2870" spans="1:10">
      <c r="A2870" s="27">
        <v>2018</v>
      </c>
      <c r="B2870" t="s">
        <v>1429</v>
      </c>
      <c r="C2870" t="s">
        <v>1431</v>
      </c>
      <c r="D2870" t="s">
        <v>1433</v>
      </c>
      <c r="E2870" t="s">
        <v>178</v>
      </c>
      <c r="F2870" s="9" t="s">
        <v>842</v>
      </c>
      <c r="G2870" s="18">
        <v>63200</v>
      </c>
      <c r="H2870">
        <v>0</v>
      </c>
      <c r="I2870" s="29">
        <f t="shared" si="44"/>
        <v>63200</v>
      </c>
      <c r="J2870" t="str">
        <f>IFERROR(VLOOKUP(E2870,'LEAID Match'!$A$2:$B$168,2,FALSE),"")</f>
        <v/>
      </c>
    </row>
    <row r="2871" spans="1:10">
      <c r="A2871">
        <v>2019</v>
      </c>
      <c r="B2871" t="s">
        <v>1429</v>
      </c>
      <c r="C2871" t="s">
        <v>1431</v>
      </c>
      <c r="D2871" t="s">
        <v>1433</v>
      </c>
      <c r="E2871" t="s">
        <v>178</v>
      </c>
      <c r="F2871" s="9" t="s">
        <v>842</v>
      </c>
      <c r="G2871" s="18">
        <v>70622</v>
      </c>
      <c r="H2871">
        <v>0</v>
      </c>
      <c r="I2871" s="29">
        <f t="shared" si="44"/>
        <v>70622</v>
      </c>
      <c r="J2871" t="str">
        <f>IFERROR(VLOOKUP(E2871,'LEAID Match'!$A$2:$B$168,2,FALSE),"")</f>
        <v/>
      </c>
    </row>
    <row r="2872" spans="1:10">
      <c r="A2872" s="27">
        <v>2020</v>
      </c>
      <c r="B2872" t="s">
        <v>1429</v>
      </c>
      <c r="C2872" t="s">
        <v>1431</v>
      </c>
      <c r="D2872" t="s">
        <v>1433</v>
      </c>
      <c r="E2872" t="s">
        <v>178</v>
      </c>
      <c r="F2872" s="9" t="s">
        <v>178</v>
      </c>
      <c r="G2872" s="18">
        <v>85466</v>
      </c>
      <c r="H2872">
        <v>0</v>
      </c>
      <c r="I2872" s="29">
        <f t="shared" si="44"/>
        <v>85466</v>
      </c>
      <c r="J2872" t="str">
        <f>IFERROR(VLOOKUP(E2872,'LEAID Match'!$A$2:$B$168,2,FALSE),"")</f>
        <v/>
      </c>
    </row>
    <row r="2873" spans="1:10">
      <c r="A2873">
        <v>2021</v>
      </c>
      <c r="B2873" t="s">
        <v>1429</v>
      </c>
      <c r="C2873" t="s">
        <v>1431</v>
      </c>
      <c r="D2873" t="s">
        <v>1433</v>
      </c>
      <c r="E2873" t="s">
        <v>178</v>
      </c>
      <c r="F2873" s="9" t="s">
        <v>178</v>
      </c>
      <c r="G2873" s="18">
        <v>74299</v>
      </c>
      <c r="H2873">
        <v>0</v>
      </c>
      <c r="I2873" s="29">
        <f t="shared" si="44"/>
        <v>74299</v>
      </c>
      <c r="J2873" t="str">
        <f>IFERROR(VLOOKUP(E2873,'LEAID Match'!$A$2:$B$168,2,FALSE),"")</f>
        <v/>
      </c>
    </row>
    <row r="2874" spans="1:10">
      <c r="A2874">
        <v>2022</v>
      </c>
      <c r="B2874" t="s">
        <v>1429</v>
      </c>
      <c r="C2874" t="s">
        <v>1431</v>
      </c>
      <c r="D2874" t="s">
        <v>1433</v>
      </c>
      <c r="E2874" t="s">
        <v>178</v>
      </c>
      <c r="F2874" s="9" t="s">
        <v>178</v>
      </c>
      <c r="G2874" s="18">
        <v>96852</v>
      </c>
      <c r="H2874">
        <v>0</v>
      </c>
      <c r="I2874" s="29">
        <f t="shared" si="44"/>
        <v>96852</v>
      </c>
      <c r="J2874" t="str">
        <f>IFERROR(VLOOKUP(E2874,'LEAID Match'!$A$2:$B$168,2,FALSE),"")</f>
        <v/>
      </c>
    </row>
    <row r="2875" spans="1:10">
      <c r="A2875">
        <v>2023</v>
      </c>
      <c r="B2875" t="s">
        <v>1429</v>
      </c>
      <c r="C2875" t="s">
        <v>1431</v>
      </c>
      <c r="D2875" t="s">
        <v>1433</v>
      </c>
      <c r="E2875" t="s">
        <v>178</v>
      </c>
      <c r="F2875" t="s">
        <v>178</v>
      </c>
      <c r="G2875" s="28">
        <v>116077</v>
      </c>
      <c r="H2875">
        <v>0</v>
      </c>
      <c r="I2875" s="29">
        <f t="shared" si="44"/>
        <v>116077</v>
      </c>
      <c r="J2875" t="str">
        <f>IFERROR(VLOOKUP(E2875,'LEAID Match'!$A$2:$B$168,2,FALSE),"")</f>
        <v/>
      </c>
    </row>
    <row r="2876" spans="1:10">
      <c r="A2876">
        <v>2015</v>
      </c>
      <c r="B2876" t="s">
        <v>1429</v>
      </c>
      <c r="C2876" t="s">
        <v>1431</v>
      </c>
      <c r="D2876" t="s">
        <v>1433</v>
      </c>
      <c r="E2876" t="s">
        <v>179</v>
      </c>
      <c r="F2876" s="9" t="s">
        <v>1327</v>
      </c>
      <c r="G2876" s="18">
        <v>103813.52</v>
      </c>
      <c r="H2876">
        <v>0</v>
      </c>
      <c r="I2876" s="29">
        <f t="shared" si="44"/>
        <v>103813.52</v>
      </c>
      <c r="J2876" t="str">
        <f>IFERROR(VLOOKUP(E2876,'LEAID Match'!$A$2:$B$168,2,FALSE),"")</f>
        <v/>
      </c>
    </row>
    <row r="2877" spans="1:10">
      <c r="A2877">
        <v>2016</v>
      </c>
      <c r="B2877" t="s">
        <v>1429</v>
      </c>
      <c r="C2877" t="s">
        <v>1431</v>
      </c>
      <c r="D2877" t="s">
        <v>1433</v>
      </c>
      <c r="E2877" t="s">
        <v>179</v>
      </c>
      <c r="F2877" t="s">
        <v>843</v>
      </c>
      <c r="G2877" s="28">
        <v>113541</v>
      </c>
      <c r="H2877">
        <v>0</v>
      </c>
      <c r="I2877" s="29">
        <f t="shared" si="44"/>
        <v>113541</v>
      </c>
      <c r="J2877" t="str">
        <f>IFERROR(VLOOKUP(E2877,'LEAID Match'!$A$2:$B$168,2,FALSE),"")</f>
        <v/>
      </c>
    </row>
    <row r="2878" spans="1:10">
      <c r="A2878">
        <v>2017</v>
      </c>
      <c r="B2878" t="s">
        <v>1429</v>
      </c>
      <c r="C2878" t="s">
        <v>1431</v>
      </c>
      <c r="D2878" t="s">
        <v>1433</v>
      </c>
      <c r="E2878" t="s">
        <v>179</v>
      </c>
      <c r="F2878" t="s">
        <v>843</v>
      </c>
      <c r="G2878" s="28">
        <v>113913</v>
      </c>
      <c r="H2878">
        <v>0</v>
      </c>
      <c r="I2878" s="29">
        <f t="shared" si="44"/>
        <v>113913</v>
      </c>
      <c r="J2878" t="str">
        <f>IFERROR(VLOOKUP(E2878,'LEAID Match'!$A$2:$B$168,2,FALSE),"")</f>
        <v/>
      </c>
    </row>
    <row r="2879" spans="1:10">
      <c r="A2879" s="27">
        <v>2018</v>
      </c>
      <c r="B2879" t="s">
        <v>1429</v>
      </c>
      <c r="C2879" t="s">
        <v>1431</v>
      </c>
      <c r="D2879" t="s">
        <v>1433</v>
      </c>
      <c r="E2879" t="s">
        <v>179</v>
      </c>
      <c r="F2879" s="9" t="s">
        <v>843</v>
      </c>
      <c r="G2879" s="18">
        <v>114334</v>
      </c>
      <c r="H2879">
        <v>0</v>
      </c>
      <c r="I2879" s="29">
        <f t="shared" si="44"/>
        <v>114334</v>
      </c>
      <c r="J2879" t="str">
        <f>IFERROR(VLOOKUP(E2879,'LEAID Match'!$A$2:$B$168,2,FALSE),"")</f>
        <v/>
      </c>
    </row>
    <row r="2880" spans="1:10">
      <c r="A2880">
        <v>2019</v>
      </c>
      <c r="B2880" t="s">
        <v>1429</v>
      </c>
      <c r="C2880" t="s">
        <v>1431</v>
      </c>
      <c r="D2880" t="s">
        <v>1433</v>
      </c>
      <c r="E2880" t="s">
        <v>179</v>
      </c>
      <c r="F2880" s="9" t="s">
        <v>843</v>
      </c>
      <c r="G2880" s="18">
        <v>132820</v>
      </c>
      <c r="H2880">
        <v>0</v>
      </c>
      <c r="I2880" s="29">
        <f t="shared" si="44"/>
        <v>132820</v>
      </c>
      <c r="J2880" t="str">
        <f>IFERROR(VLOOKUP(E2880,'LEAID Match'!$A$2:$B$168,2,FALSE),"")</f>
        <v/>
      </c>
    </row>
    <row r="2881" spans="1:10">
      <c r="A2881" s="27">
        <v>2020</v>
      </c>
      <c r="B2881" t="s">
        <v>1429</v>
      </c>
      <c r="C2881" t="s">
        <v>1431</v>
      </c>
      <c r="D2881" t="s">
        <v>1433</v>
      </c>
      <c r="E2881" t="s">
        <v>179</v>
      </c>
      <c r="F2881" s="9" t="s">
        <v>179</v>
      </c>
      <c r="G2881" s="18">
        <v>147437</v>
      </c>
      <c r="H2881">
        <v>0</v>
      </c>
      <c r="I2881" s="29">
        <f t="shared" si="44"/>
        <v>147437</v>
      </c>
      <c r="J2881" t="str">
        <f>IFERROR(VLOOKUP(E2881,'LEAID Match'!$A$2:$B$168,2,FALSE),"")</f>
        <v/>
      </c>
    </row>
    <row r="2882" spans="1:10">
      <c r="A2882">
        <v>2021</v>
      </c>
      <c r="B2882" t="s">
        <v>1429</v>
      </c>
      <c r="C2882" t="s">
        <v>1431</v>
      </c>
      <c r="D2882" t="s">
        <v>1433</v>
      </c>
      <c r="E2882" t="s">
        <v>179</v>
      </c>
      <c r="F2882" s="9" t="s">
        <v>179</v>
      </c>
      <c r="G2882" s="18">
        <v>147768</v>
      </c>
      <c r="H2882">
        <v>0</v>
      </c>
      <c r="I2882" s="29">
        <f t="shared" si="44"/>
        <v>147768</v>
      </c>
      <c r="J2882" t="str">
        <f>IFERROR(VLOOKUP(E2882,'LEAID Match'!$A$2:$B$168,2,FALSE),"")</f>
        <v/>
      </c>
    </row>
    <row r="2883" spans="1:10">
      <c r="A2883">
        <v>2022</v>
      </c>
      <c r="B2883" t="s">
        <v>1429</v>
      </c>
      <c r="C2883" t="s">
        <v>1431</v>
      </c>
      <c r="D2883" t="s">
        <v>1433</v>
      </c>
      <c r="E2883" t="s">
        <v>179</v>
      </c>
      <c r="F2883" s="9" t="s">
        <v>179</v>
      </c>
      <c r="G2883" s="18">
        <v>191232</v>
      </c>
      <c r="H2883">
        <v>0</v>
      </c>
      <c r="I2883" s="29">
        <f t="shared" ref="I2883:I2946" si="45">SUM(G2883:H2883)</f>
        <v>191232</v>
      </c>
      <c r="J2883" t="str">
        <f>IFERROR(VLOOKUP(E2883,'LEAID Match'!$A$2:$B$168,2,FALSE),"")</f>
        <v/>
      </c>
    </row>
    <row r="2884" spans="1:10">
      <c r="A2884">
        <v>2023</v>
      </c>
      <c r="B2884" t="s">
        <v>1429</v>
      </c>
      <c r="C2884" t="s">
        <v>1431</v>
      </c>
      <c r="D2884" t="s">
        <v>1433</v>
      </c>
      <c r="E2884" t="s">
        <v>179</v>
      </c>
      <c r="F2884" t="s">
        <v>179</v>
      </c>
      <c r="G2884" s="28">
        <v>194675</v>
      </c>
      <c r="H2884">
        <v>0</v>
      </c>
      <c r="I2884" s="29">
        <f t="shared" si="45"/>
        <v>194675</v>
      </c>
      <c r="J2884" t="str">
        <f>IFERROR(VLOOKUP(E2884,'LEAID Match'!$A$2:$B$168,2,FALSE),"")</f>
        <v/>
      </c>
    </row>
    <row r="2885" spans="1:10">
      <c r="A2885">
        <v>2015</v>
      </c>
      <c r="B2885" t="s">
        <v>1429</v>
      </c>
      <c r="C2885" t="s">
        <v>1431</v>
      </c>
      <c r="D2885" t="s">
        <v>1433</v>
      </c>
      <c r="E2885" t="s">
        <v>180</v>
      </c>
      <c r="F2885" s="9" t="s">
        <v>1328</v>
      </c>
      <c r="G2885" s="18">
        <v>77171</v>
      </c>
      <c r="H2885">
        <v>0</v>
      </c>
      <c r="I2885" s="29">
        <f t="shared" si="45"/>
        <v>77171</v>
      </c>
      <c r="J2885" t="str">
        <f>IFERROR(VLOOKUP(E2885,'LEAID Match'!$A$2:$B$168,2,FALSE),"")</f>
        <v/>
      </c>
    </row>
    <row r="2886" spans="1:10">
      <c r="A2886">
        <v>2016</v>
      </c>
      <c r="B2886" t="s">
        <v>1429</v>
      </c>
      <c r="C2886" t="s">
        <v>1431</v>
      </c>
      <c r="D2886" t="s">
        <v>1433</v>
      </c>
      <c r="E2886" t="s">
        <v>180</v>
      </c>
      <c r="F2886" t="s">
        <v>844</v>
      </c>
      <c r="G2886" s="28">
        <v>86149</v>
      </c>
      <c r="H2886">
        <v>0</v>
      </c>
      <c r="I2886" s="29">
        <f t="shared" si="45"/>
        <v>86149</v>
      </c>
      <c r="J2886" t="str">
        <f>IFERROR(VLOOKUP(E2886,'LEAID Match'!$A$2:$B$168,2,FALSE),"")</f>
        <v/>
      </c>
    </row>
    <row r="2887" spans="1:10">
      <c r="A2887">
        <v>2017</v>
      </c>
      <c r="B2887" t="s">
        <v>1429</v>
      </c>
      <c r="C2887" t="s">
        <v>1431</v>
      </c>
      <c r="D2887" t="s">
        <v>1433</v>
      </c>
      <c r="E2887" t="s">
        <v>180</v>
      </c>
      <c r="F2887" t="s">
        <v>844</v>
      </c>
      <c r="G2887" s="28">
        <v>97946</v>
      </c>
      <c r="H2887">
        <v>0</v>
      </c>
      <c r="I2887" s="29">
        <f t="shared" si="45"/>
        <v>97946</v>
      </c>
      <c r="J2887" t="str">
        <f>IFERROR(VLOOKUP(E2887,'LEAID Match'!$A$2:$B$168,2,FALSE),"")</f>
        <v/>
      </c>
    </row>
    <row r="2888" spans="1:10">
      <c r="A2888" s="27">
        <v>2018</v>
      </c>
      <c r="B2888" t="s">
        <v>1429</v>
      </c>
      <c r="C2888" t="s">
        <v>1431</v>
      </c>
      <c r="D2888" t="s">
        <v>1433</v>
      </c>
      <c r="E2888" t="s">
        <v>180</v>
      </c>
      <c r="F2888" s="9" t="s">
        <v>844</v>
      </c>
      <c r="G2888" s="18">
        <v>117607</v>
      </c>
      <c r="H2888">
        <v>0</v>
      </c>
      <c r="I2888" s="29">
        <f t="shared" si="45"/>
        <v>117607</v>
      </c>
      <c r="J2888" t="str">
        <f>IFERROR(VLOOKUP(E2888,'LEAID Match'!$A$2:$B$168,2,FALSE),"")</f>
        <v/>
      </c>
    </row>
    <row r="2889" spans="1:10">
      <c r="A2889">
        <v>2019</v>
      </c>
      <c r="B2889" t="s">
        <v>1429</v>
      </c>
      <c r="C2889" t="s">
        <v>1431</v>
      </c>
      <c r="D2889" t="s">
        <v>1433</v>
      </c>
      <c r="E2889" t="s">
        <v>180</v>
      </c>
      <c r="F2889" s="9" t="s">
        <v>844</v>
      </c>
      <c r="G2889" s="18">
        <v>99034</v>
      </c>
      <c r="H2889">
        <v>0</v>
      </c>
      <c r="I2889" s="29">
        <f t="shared" si="45"/>
        <v>99034</v>
      </c>
      <c r="J2889" t="str">
        <f>IFERROR(VLOOKUP(E2889,'LEAID Match'!$A$2:$B$168,2,FALSE),"")</f>
        <v/>
      </c>
    </row>
    <row r="2890" spans="1:10">
      <c r="A2890" s="27">
        <v>2020</v>
      </c>
      <c r="B2890" t="s">
        <v>1429</v>
      </c>
      <c r="C2890" t="s">
        <v>1431</v>
      </c>
      <c r="D2890" t="s">
        <v>1433</v>
      </c>
      <c r="E2890" t="s">
        <v>180</v>
      </c>
      <c r="F2890" s="9" t="s">
        <v>180</v>
      </c>
      <c r="G2890" s="18">
        <v>104002</v>
      </c>
      <c r="H2890">
        <v>0</v>
      </c>
      <c r="I2890" s="29">
        <f t="shared" si="45"/>
        <v>104002</v>
      </c>
      <c r="J2890" t="str">
        <f>IFERROR(VLOOKUP(E2890,'LEAID Match'!$A$2:$B$168,2,FALSE),"")</f>
        <v/>
      </c>
    </row>
    <row r="2891" spans="1:10">
      <c r="A2891">
        <v>2021</v>
      </c>
      <c r="B2891" t="s">
        <v>1429</v>
      </c>
      <c r="C2891" t="s">
        <v>1431</v>
      </c>
      <c r="D2891" t="s">
        <v>1433</v>
      </c>
      <c r="E2891" t="s">
        <v>180</v>
      </c>
      <c r="F2891" s="9" t="s">
        <v>180</v>
      </c>
      <c r="G2891" s="18">
        <v>110496</v>
      </c>
      <c r="H2891">
        <v>0</v>
      </c>
      <c r="I2891" s="29">
        <f t="shared" si="45"/>
        <v>110496</v>
      </c>
      <c r="J2891" t="str">
        <f>IFERROR(VLOOKUP(E2891,'LEAID Match'!$A$2:$B$168,2,FALSE),"")</f>
        <v/>
      </c>
    </row>
    <row r="2892" spans="1:10">
      <c r="A2892">
        <v>2022</v>
      </c>
      <c r="B2892" t="s">
        <v>1429</v>
      </c>
      <c r="C2892" t="s">
        <v>1431</v>
      </c>
      <c r="D2892" t="s">
        <v>1433</v>
      </c>
      <c r="E2892" t="s">
        <v>180</v>
      </c>
      <c r="F2892" s="9" t="s">
        <v>180</v>
      </c>
      <c r="G2892" s="18">
        <v>148332</v>
      </c>
      <c r="H2892">
        <v>0</v>
      </c>
      <c r="I2892" s="29">
        <f t="shared" si="45"/>
        <v>148332</v>
      </c>
      <c r="J2892" t="str">
        <f>IFERROR(VLOOKUP(E2892,'LEAID Match'!$A$2:$B$168,2,FALSE),"")</f>
        <v/>
      </c>
    </row>
    <row r="2893" spans="1:10">
      <c r="A2893">
        <v>2023</v>
      </c>
      <c r="B2893" t="s">
        <v>1429</v>
      </c>
      <c r="C2893" t="s">
        <v>1431</v>
      </c>
      <c r="D2893" t="s">
        <v>1433</v>
      </c>
      <c r="E2893" t="s">
        <v>180</v>
      </c>
      <c r="F2893" t="s">
        <v>180</v>
      </c>
      <c r="G2893" s="28">
        <v>151034</v>
      </c>
      <c r="H2893">
        <v>0</v>
      </c>
      <c r="I2893" s="29">
        <f t="shared" si="45"/>
        <v>151034</v>
      </c>
      <c r="J2893" t="str">
        <f>IFERROR(VLOOKUP(E2893,'LEAID Match'!$A$2:$B$168,2,FALSE),"")</f>
        <v/>
      </c>
    </row>
    <row r="2894" spans="1:10">
      <c r="A2894">
        <v>2015</v>
      </c>
      <c r="B2894" t="s">
        <v>1429</v>
      </c>
      <c r="C2894" t="s">
        <v>1431</v>
      </c>
      <c r="D2894" t="s">
        <v>1433</v>
      </c>
      <c r="E2894" t="s">
        <v>181</v>
      </c>
      <c r="F2894" s="9" t="s">
        <v>1329</v>
      </c>
      <c r="G2894" s="18">
        <v>276262.99</v>
      </c>
      <c r="H2894">
        <v>0</v>
      </c>
      <c r="I2894" s="29">
        <f t="shared" si="45"/>
        <v>276262.99</v>
      </c>
      <c r="J2894" t="str">
        <f>IFERROR(VLOOKUP(E2894,'LEAID Match'!$A$2:$B$168,2,FALSE),"")</f>
        <v/>
      </c>
    </row>
    <row r="2895" spans="1:10">
      <c r="A2895">
        <v>2016</v>
      </c>
      <c r="B2895" t="s">
        <v>1429</v>
      </c>
      <c r="C2895" t="s">
        <v>1431</v>
      </c>
      <c r="D2895" t="s">
        <v>1433</v>
      </c>
      <c r="E2895" t="s">
        <v>181</v>
      </c>
      <c r="F2895" t="s">
        <v>845</v>
      </c>
      <c r="G2895" s="28">
        <v>298203</v>
      </c>
      <c r="H2895">
        <v>0</v>
      </c>
      <c r="I2895" s="29">
        <f t="shared" si="45"/>
        <v>298203</v>
      </c>
      <c r="J2895" t="str">
        <f>IFERROR(VLOOKUP(E2895,'LEAID Match'!$A$2:$B$168,2,FALSE),"")</f>
        <v/>
      </c>
    </row>
    <row r="2896" spans="1:10">
      <c r="A2896">
        <v>2017</v>
      </c>
      <c r="B2896" t="s">
        <v>1429</v>
      </c>
      <c r="C2896" t="s">
        <v>1431</v>
      </c>
      <c r="D2896" t="s">
        <v>1433</v>
      </c>
      <c r="E2896" t="s">
        <v>181</v>
      </c>
      <c r="F2896" t="s">
        <v>845</v>
      </c>
      <c r="G2896" s="28">
        <v>278262</v>
      </c>
      <c r="H2896">
        <v>0</v>
      </c>
      <c r="I2896" s="29">
        <f t="shared" si="45"/>
        <v>278262</v>
      </c>
      <c r="J2896" t="str">
        <f>IFERROR(VLOOKUP(E2896,'LEAID Match'!$A$2:$B$168,2,FALSE),"")</f>
        <v/>
      </c>
    </row>
    <row r="2897" spans="1:10">
      <c r="A2897" s="27">
        <v>2018</v>
      </c>
      <c r="B2897" t="s">
        <v>1429</v>
      </c>
      <c r="C2897" t="s">
        <v>1431</v>
      </c>
      <c r="D2897" t="s">
        <v>1433</v>
      </c>
      <c r="E2897" t="s">
        <v>181</v>
      </c>
      <c r="F2897" s="9" t="s">
        <v>845</v>
      </c>
      <c r="G2897" s="18">
        <v>343809</v>
      </c>
      <c r="H2897">
        <v>0</v>
      </c>
      <c r="I2897" s="29">
        <f t="shared" si="45"/>
        <v>343809</v>
      </c>
      <c r="J2897" t="str">
        <f>IFERROR(VLOOKUP(E2897,'LEAID Match'!$A$2:$B$168,2,FALSE),"")</f>
        <v/>
      </c>
    </row>
    <row r="2898" spans="1:10">
      <c r="A2898">
        <v>2019</v>
      </c>
      <c r="B2898" t="s">
        <v>1429</v>
      </c>
      <c r="C2898" t="s">
        <v>1431</v>
      </c>
      <c r="D2898" t="s">
        <v>1433</v>
      </c>
      <c r="E2898" t="s">
        <v>181</v>
      </c>
      <c r="F2898" s="9" t="s">
        <v>845</v>
      </c>
      <c r="G2898" s="18">
        <v>352411</v>
      </c>
      <c r="H2898">
        <v>0</v>
      </c>
      <c r="I2898" s="29">
        <f t="shared" si="45"/>
        <v>352411</v>
      </c>
      <c r="J2898" t="str">
        <f>IFERROR(VLOOKUP(E2898,'LEAID Match'!$A$2:$B$168,2,FALSE),"")</f>
        <v/>
      </c>
    </row>
    <row r="2899" spans="1:10">
      <c r="A2899" s="27">
        <v>2020</v>
      </c>
      <c r="B2899" t="s">
        <v>1429</v>
      </c>
      <c r="C2899" t="s">
        <v>1431</v>
      </c>
      <c r="D2899" t="s">
        <v>1433</v>
      </c>
      <c r="E2899" t="s">
        <v>181</v>
      </c>
      <c r="F2899" s="9" t="s">
        <v>181</v>
      </c>
      <c r="G2899" s="18">
        <v>422078</v>
      </c>
      <c r="H2899">
        <v>0</v>
      </c>
      <c r="I2899" s="29">
        <f t="shared" si="45"/>
        <v>422078</v>
      </c>
      <c r="J2899" t="str">
        <f>IFERROR(VLOOKUP(E2899,'LEAID Match'!$A$2:$B$168,2,FALSE),"")</f>
        <v/>
      </c>
    </row>
    <row r="2900" spans="1:10">
      <c r="A2900">
        <v>2021</v>
      </c>
      <c r="B2900" t="s">
        <v>1429</v>
      </c>
      <c r="C2900" t="s">
        <v>1431</v>
      </c>
      <c r="D2900" t="s">
        <v>1433</v>
      </c>
      <c r="E2900" t="s">
        <v>181</v>
      </c>
      <c r="F2900" s="9" t="s">
        <v>181</v>
      </c>
      <c r="G2900" s="18">
        <v>369398</v>
      </c>
      <c r="H2900">
        <v>0</v>
      </c>
      <c r="I2900" s="29">
        <f t="shared" si="45"/>
        <v>369398</v>
      </c>
      <c r="J2900" t="str">
        <f>IFERROR(VLOOKUP(E2900,'LEAID Match'!$A$2:$B$168,2,FALSE),"")</f>
        <v/>
      </c>
    </row>
    <row r="2901" spans="1:10">
      <c r="A2901">
        <v>2022</v>
      </c>
      <c r="B2901" t="s">
        <v>1429</v>
      </c>
      <c r="C2901" t="s">
        <v>1431</v>
      </c>
      <c r="D2901" t="s">
        <v>1433</v>
      </c>
      <c r="E2901" t="s">
        <v>181</v>
      </c>
      <c r="F2901" s="9" t="s">
        <v>181</v>
      </c>
      <c r="G2901" s="18">
        <v>481560</v>
      </c>
      <c r="H2901">
        <v>0</v>
      </c>
      <c r="I2901" s="29">
        <f t="shared" si="45"/>
        <v>481560</v>
      </c>
      <c r="J2901" t="str">
        <f>IFERROR(VLOOKUP(E2901,'LEAID Match'!$A$2:$B$168,2,FALSE),"")</f>
        <v/>
      </c>
    </row>
    <row r="2902" spans="1:10">
      <c r="A2902">
        <v>2023</v>
      </c>
      <c r="B2902" t="s">
        <v>1429</v>
      </c>
      <c r="C2902" t="s">
        <v>1431</v>
      </c>
      <c r="D2902" t="s">
        <v>1433</v>
      </c>
      <c r="E2902" t="s">
        <v>181</v>
      </c>
      <c r="F2902" t="s">
        <v>181</v>
      </c>
      <c r="G2902" s="28">
        <v>503517</v>
      </c>
      <c r="H2902">
        <v>0</v>
      </c>
      <c r="I2902" s="29">
        <f t="shared" si="45"/>
        <v>503517</v>
      </c>
      <c r="J2902" t="str">
        <f>IFERROR(VLOOKUP(E2902,'LEAID Match'!$A$2:$B$168,2,FALSE),"")</f>
        <v/>
      </c>
    </row>
    <row r="2903" spans="1:10">
      <c r="A2903">
        <v>2015</v>
      </c>
      <c r="B2903" t="s">
        <v>1429</v>
      </c>
      <c r="C2903" t="s">
        <v>1431</v>
      </c>
      <c r="D2903" t="s">
        <v>1433</v>
      </c>
      <c r="E2903" t="s">
        <v>846</v>
      </c>
      <c r="F2903" s="9" t="s">
        <v>1330</v>
      </c>
      <c r="G2903" s="18">
        <v>3461086.3</v>
      </c>
      <c r="H2903">
        <v>0</v>
      </c>
      <c r="I2903" s="29">
        <f t="shared" si="45"/>
        <v>3461086.3</v>
      </c>
      <c r="J2903">
        <f>IFERROR(VLOOKUP(E2903,'LEAID Match'!$A$2:$B$168,2,FALSE),"")</f>
        <v>3305940</v>
      </c>
    </row>
    <row r="2904" spans="1:10">
      <c r="A2904">
        <v>2016</v>
      </c>
      <c r="B2904" t="s">
        <v>1429</v>
      </c>
      <c r="C2904" t="s">
        <v>1431</v>
      </c>
      <c r="D2904" t="s">
        <v>1433</v>
      </c>
      <c r="E2904" t="s">
        <v>846</v>
      </c>
      <c r="F2904" t="s">
        <v>846</v>
      </c>
      <c r="G2904" s="28">
        <v>3659733</v>
      </c>
      <c r="H2904">
        <v>0</v>
      </c>
      <c r="I2904" s="29">
        <f t="shared" si="45"/>
        <v>3659733</v>
      </c>
      <c r="J2904">
        <f>IFERROR(VLOOKUP(E2904,'LEAID Match'!$A$2:$B$168,2,FALSE),"")</f>
        <v>3305940</v>
      </c>
    </row>
    <row r="2905" spans="1:10">
      <c r="A2905">
        <v>2017</v>
      </c>
      <c r="B2905" t="s">
        <v>1429</v>
      </c>
      <c r="C2905" t="s">
        <v>1431</v>
      </c>
      <c r="D2905" t="s">
        <v>1433</v>
      </c>
      <c r="E2905" t="s">
        <v>846</v>
      </c>
      <c r="F2905" t="s">
        <v>846</v>
      </c>
      <c r="G2905" s="28">
        <v>3896042</v>
      </c>
      <c r="H2905">
        <v>0</v>
      </c>
      <c r="I2905" s="29">
        <f t="shared" si="45"/>
        <v>3896042</v>
      </c>
      <c r="J2905">
        <f>IFERROR(VLOOKUP(E2905,'LEAID Match'!$A$2:$B$168,2,FALSE),"")</f>
        <v>3305940</v>
      </c>
    </row>
    <row r="2906" spans="1:10">
      <c r="A2906" s="27">
        <v>2018</v>
      </c>
      <c r="B2906" t="s">
        <v>1429</v>
      </c>
      <c r="C2906" t="s">
        <v>1431</v>
      </c>
      <c r="D2906" t="s">
        <v>1433</v>
      </c>
      <c r="E2906" t="s">
        <v>846</v>
      </c>
      <c r="F2906" s="9" t="s">
        <v>846</v>
      </c>
      <c r="G2906" s="18">
        <v>4563055</v>
      </c>
      <c r="H2906">
        <v>0</v>
      </c>
      <c r="I2906" s="29">
        <f t="shared" si="45"/>
        <v>4563055</v>
      </c>
      <c r="J2906">
        <f>IFERROR(VLOOKUP(E2906,'LEAID Match'!$A$2:$B$168,2,FALSE),"")</f>
        <v>3305940</v>
      </c>
    </row>
    <row r="2907" spans="1:10">
      <c r="A2907">
        <v>2019</v>
      </c>
      <c r="B2907" t="s">
        <v>1429</v>
      </c>
      <c r="C2907" t="s">
        <v>1431</v>
      </c>
      <c r="D2907" t="s">
        <v>1433</v>
      </c>
      <c r="E2907" t="s">
        <v>846</v>
      </c>
      <c r="F2907" s="9" t="s">
        <v>846</v>
      </c>
      <c r="G2907" s="18">
        <v>4645400</v>
      </c>
      <c r="H2907">
        <v>0</v>
      </c>
      <c r="I2907" s="29">
        <f t="shared" si="45"/>
        <v>4645400</v>
      </c>
      <c r="J2907">
        <f>IFERROR(VLOOKUP(E2907,'LEAID Match'!$A$2:$B$168,2,FALSE),"")</f>
        <v>3305940</v>
      </c>
    </row>
    <row r="2908" spans="1:10">
      <c r="A2908">
        <v>2015</v>
      </c>
      <c r="B2908" t="s">
        <v>1429</v>
      </c>
      <c r="C2908" t="s">
        <v>1431</v>
      </c>
      <c r="D2908" t="s">
        <v>1433</v>
      </c>
      <c r="E2908" t="s">
        <v>485</v>
      </c>
      <c r="F2908" s="9" t="s">
        <v>1331</v>
      </c>
      <c r="G2908" s="18">
        <v>88711.81</v>
      </c>
      <c r="H2908">
        <v>0</v>
      </c>
      <c r="I2908" s="29">
        <f t="shared" si="45"/>
        <v>88711.81</v>
      </c>
      <c r="J2908" t="str">
        <f>IFERROR(VLOOKUP(E2908,'LEAID Match'!$A$2:$B$168,2,FALSE),"")</f>
        <v/>
      </c>
    </row>
    <row r="2909" spans="1:10">
      <c r="A2909">
        <v>2016</v>
      </c>
      <c r="B2909" t="s">
        <v>1429</v>
      </c>
      <c r="C2909" t="s">
        <v>1431</v>
      </c>
      <c r="D2909" t="s">
        <v>1433</v>
      </c>
      <c r="E2909" t="s">
        <v>485</v>
      </c>
      <c r="F2909" t="s">
        <v>847</v>
      </c>
      <c r="G2909" s="28">
        <v>100009</v>
      </c>
      <c r="H2909">
        <v>0</v>
      </c>
      <c r="I2909" s="29">
        <f t="shared" si="45"/>
        <v>100009</v>
      </c>
      <c r="J2909" t="str">
        <f>IFERROR(VLOOKUP(E2909,'LEAID Match'!$A$2:$B$168,2,FALSE),"")</f>
        <v/>
      </c>
    </row>
    <row r="2910" spans="1:10">
      <c r="A2910">
        <v>2017</v>
      </c>
      <c r="B2910" t="s">
        <v>1429</v>
      </c>
      <c r="C2910" t="s">
        <v>1431</v>
      </c>
      <c r="D2910" t="s">
        <v>1433</v>
      </c>
      <c r="E2910" t="s">
        <v>485</v>
      </c>
      <c r="F2910" t="s">
        <v>847</v>
      </c>
      <c r="G2910" s="28">
        <v>120976</v>
      </c>
      <c r="H2910">
        <v>0</v>
      </c>
      <c r="I2910" s="29">
        <f t="shared" si="45"/>
        <v>120976</v>
      </c>
      <c r="J2910" t="str">
        <f>IFERROR(VLOOKUP(E2910,'LEAID Match'!$A$2:$B$168,2,FALSE),"")</f>
        <v/>
      </c>
    </row>
    <row r="2911" spans="1:10">
      <c r="A2911" s="27">
        <v>2018</v>
      </c>
      <c r="B2911" t="s">
        <v>1429</v>
      </c>
      <c r="C2911" t="s">
        <v>1431</v>
      </c>
      <c r="D2911" t="s">
        <v>1433</v>
      </c>
      <c r="E2911" t="s">
        <v>485</v>
      </c>
      <c r="F2911" s="9" t="s">
        <v>847</v>
      </c>
      <c r="G2911" s="18">
        <v>121917</v>
      </c>
      <c r="H2911">
        <v>0</v>
      </c>
      <c r="I2911" s="29">
        <f t="shared" si="45"/>
        <v>121917</v>
      </c>
      <c r="J2911" t="str">
        <f>IFERROR(VLOOKUP(E2911,'LEAID Match'!$A$2:$B$168,2,FALSE),"")</f>
        <v/>
      </c>
    </row>
    <row r="2912" spans="1:10">
      <c r="A2912">
        <v>2019</v>
      </c>
      <c r="B2912" t="s">
        <v>1429</v>
      </c>
      <c r="C2912" t="s">
        <v>1431</v>
      </c>
      <c r="D2912" t="s">
        <v>1433</v>
      </c>
      <c r="E2912" t="s">
        <v>485</v>
      </c>
      <c r="F2912" s="9" t="s">
        <v>847</v>
      </c>
      <c r="G2912" s="18">
        <v>135862</v>
      </c>
      <c r="H2912">
        <v>0</v>
      </c>
      <c r="I2912" s="29">
        <f t="shared" si="45"/>
        <v>135862</v>
      </c>
      <c r="J2912" t="str">
        <f>IFERROR(VLOOKUP(E2912,'LEAID Match'!$A$2:$B$168,2,FALSE),"")</f>
        <v/>
      </c>
    </row>
    <row r="2913" spans="1:10">
      <c r="A2913" s="27">
        <v>2020</v>
      </c>
      <c r="B2913" t="s">
        <v>1429</v>
      </c>
      <c r="C2913" t="s">
        <v>1431</v>
      </c>
      <c r="D2913" t="s">
        <v>1433</v>
      </c>
      <c r="E2913" t="s">
        <v>485</v>
      </c>
      <c r="F2913" s="9" t="s">
        <v>485</v>
      </c>
      <c r="G2913" s="18">
        <v>112161</v>
      </c>
      <c r="H2913">
        <v>0</v>
      </c>
      <c r="I2913" s="29">
        <f t="shared" si="45"/>
        <v>112161</v>
      </c>
      <c r="J2913" t="str">
        <f>IFERROR(VLOOKUP(E2913,'LEAID Match'!$A$2:$B$168,2,FALSE),"")</f>
        <v/>
      </c>
    </row>
    <row r="2914" spans="1:10">
      <c r="A2914">
        <v>2021</v>
      </c>
      <c r="B2914" t="s">
        <v>1429</v>
      </c>
      <c r="C2914" t="s">
        <v>1431</v>
      </c>
      <c r="D2914" t="s">
        <v>1433</v>
      </c>
      <c r="E2914" t="s">
        <v>485</v>
      </c>
      <c r="F2914" s="9" t="s">
        <v>485</v>
      </c>
      <c r="G2914" s="18">
        <v>104567</v>
      </c>
      <c r="H2914">
        <v>0</v>
      </c>
      <c r="I2914" s="29">
        <f t="shared" si="45"/>
        <v>104567</v>
      </c>
      <c r="J2914" t="str">
        <f>IFERROR(VLOOKUP(E2914,'LEAID Match'!$A$2:$B$168,2,FALSE),"")</f>
        <v/>
      </c>
    </row>
    <row r="2915" spans="1:10">
      <c r="A2915">
        <v>2015</v>
      </c>
      <c r="B2915" t="s">
        <v>1429</v>
      </c>
      <c r="C2915" t="s">
        <v>1431</v>
      </c>
      <c r="D2915" t="s">
        <v>1433</v>
      </c>
      <c r="E2915" t="s">
        <v>486</v>
      </c>
      <c r="F2915" s="9" t="s">
        <v>1332</v>
      </c>
      <c r="G2915" s="18">
        <v>96072.55</v>
      </c>
      <c r="H2915">
        <v>0</v>
      </c>
      <c r="I2915" s="29">
        <f t="shared" si="45"/>
        <v>96072.55</v>
      </c>
      <c r="J2915" t="str">
        <f>IFERROR(VLOOKUP(E2915,'LEAID Match'!$A$2:$B$168,2,FALSE),"")</f>
        <v/>
      </c>
    </row>
    <row r="2916" spans="1:10">
      <c r="A2916">
        <v>2016</v>
      </c>
      <c r="B2916" t="s">
        <v>1429</v>
      </c>
      <c r="C2916" t="s">
        <v>1431</v>
      </c>
      <c r="D2916" t="s">
        <v>1433</v>
      </c>
      <c r="E2916" t="s">
        <v>486</v>
      </c>
      <c r="F2916" t="s">
        <v>848</v>
      </c>
      <c r="G2916" s="28">
        <v>92577</v>
      </c>
      <c r="H2916">
        <v>0</v>
      </c>
      <c r="I2916" s="29">
        <f t="shared" si="45"/>
        <v>92577</v>
      </c>
      <c r="J2916" t="str">
        <f>IFERROR(VLOOKUP(E2916,'LEAID Match'!$A$2:$B$168,2,FALSE),"")</f>
        <v/>
      </c>
    </row>
    <row r="2917" spans="1:10">
      <c r="A2917">
        <v>2017</v>
      </c>
      <c r="B2917" t="s">
        <v>1429</v>
      </c>
      <c r="C2917" t="s">
        <v>1431</v>
      </c>
      <c r="D2917" t="s">
        <v>1433</v>
      </c>
      <c r="E2917" t="s">
        <v>486</v>
      </c>
      <c r="F2917" t="s">
        <v>848</v>
      </c>
      <c r="G2917" s="28">
        <v>99222</v>
      </c>
      <c r="H2917">
        <v>0</v>
      </c>
      <c r="I2917" s="29">
        <f t="shared" si="45"/>
        <v>99222</v>
      </c>
      <c r="J2917" t="str">
        <f>IFERROR(VLOOKUP(E2917,'LEAID Match'!$A$2:$B$168,2,FALSE),"")</f>
        <v/>
      </c>
    </row>
    <row r="2918" spans="1:10">
      <c r="A2918" s="27">
        <v>2018</v>
      </c>
      <c r="B2918" t="s">
        <v>1429</v>
      </c>
      <c r="C2918" t="s">
        <v>1431</v>
      </c>
      <c r="D2918" t="s">
        <v>1433</v>
      </c>
      <c r="E2918" t="s">
        <v>486</v>
      </c>
      <c r="F2918" s="9" t="s">
        <v>848</v>
      </c>
      <c r="G2918" s="18">
        <v>97684</v>
      </c>
      <c r="H2918">
        <v>0</v>
      </c>
      <c r="I2918" s="29">
        <f t="shared" si="45"/>
        <v>97684</v>
      </c>
      <c r="J2918" t="str">
        <f>IFERROR(VLOOKUP(E2918,'LEAID Match'!$A$2:$B$168,2,FALSE),"")</f>
        <v/>
      </c>
    </row>
    <row r="2919" spans="1:10">
      <c r="A2919">
        <v>2019</v>
      </c>
      <c r="B2919" t="s">
        <v>1429</v>
      </c>
      <c r="C2919" t="s">
        <v>1431</v>
      </c>
      <c r="D2919" t="s">
        <v>1433</v>
      </c>
      <c r="E2919" t="s">
        <v>486</v>
      </c>
      <c r="F2919" s="9" t="s">
        <v>848</v>
      </c>
      <c r="G2919" s="18">
        <v>92355</v>
      </c>
      <c r="H2919">
        <v>0</v>
      </c>
      <c r="I2919" s="29">
        <f t="shared" si="45"/>
        <v>92355</v>
      </c>
      <c r="J2919" t="str">
        <f>IFERROR(VLOOKUP(E2919,'LEAID Match'!$A$2:$B$168,2,FALSE),"")</f>
        <v/>
      </c>
    </row>
    <row r="2920" spans="1:10">
      <c r="A2920" s="27">
        <v>2020</v>
      </c>
      <c r="B2920" t="s">
        <v>1429</v>
      </c>
      <c r="C2920" t="s">
        <v>1431</v>
      </c>
      <c r="D2920" t="s">
        <v>1433</v>
      </c>
      <c r="E2920" t="s">
        <v>486</v>
      </c>
      <c r="F2920" s="9" t="s">
        <v>486</v>
      </c>
      <c r="G2920" s="18">
        <v>94988</v>
      </c>
      <c r="H2920">
        <v>0</v>
      </c>
      <c r="I2920" s="29">
        <f t="shared" si="45"/>
        <v>94988</v>
      </c>
      <c r="J2920" t="str">
        <f>IFERROR(VLOOKUP(E2920,'LEAID Match'!$A$2:$B$168,2,FALSE),"")</f>
        <v/>
      </c>
    </row>
    <row r="2921" spans="1:10">
      <c r="A2921">
        <v>2021</v>
      </c>
      <c r="B2921" t="s">
        <v>1429</v>
      </c>
      <c r="C2921" t="s">
        <v>1431</v>
      </c>
      <c r="D2921" t="s">
        <v>1433</v>
      </c>
      <c r="E2921" t="s">
        <v>486</v>
      </c>
      <c r="F2921" s="9" t="s">
        <v>486</v>
      </c>
      <c r="G2921" s="18">
        <v>102307</v>
      </c>
      <c r="H2921">
        <v>0</v>
      </c>
      <c r="I2921" s="29">
        <f t="shared" si="45"/>
        <v>102307</v>
      </c>
      <c r="J2921" t="str">
        <f>IFERROR(VLOOKUP(E2921,'LEAID Match'!$A$2:$B$168,2,FALSE),"")</f>
        <v/>
      </c>
    </row>
    <row r="2922" spans="1:10">
      <c r="A2922">
        <v>2015</v>
      </c>
      <c r="B2922" t="s">
        <v>1429</v>
      </c>
      <c r="C2922" t="s">
        <v>1431</v>
      </c>
      <c r="D2922" t="s">
        <v>1433</v>
      </c>
      <c r="E2922" t="s">
        <v>182</v>
      </c>
      <c r="F2922" s="9" t="s">
        <v>1333</v>
      </c>
      <c r="G2922" s="18">
        <v>33231.74</v>
      </c>
      <c r="H2922">
        <v>0</v>
      </c>
      <c r="I2922" s="29">
        <f t="shared" si="45"/>
        <v>33231.74</v>
      </c>
      <c r="J2922" t="str">
        <f>IFERROR(VLOOKUP(E2922,'LEAID Match'!$A$2:$B$168,2,FALSE),"")</f>
        <v/>
      </c>
    </row>
    <row r="2923" spans="1:10">
      <c r="A2923">
        <v>2016</v>
      </c>
      <c r="B2923" t="s">
        <v>1429</v>
      </c>
      <c r="C2923" t="s">
        <v>1431</v>
      </c>
      <c r="D2923" t="s">
        <v>1433</v>
      </c>
      <c r="E2923" t="s">
        <v>182</v>
      </c>
      <c r="F2923" t="s">
        <v>849</v>
      </c>
      <c r="G2923" s="28">
        <v>24727</v>
      </c>
      <c r="H2923">
        <v>0</v>
      </c>
      <c r="I2923" s="29">
        <f t="shared" si="45"/>
        <v>24727</v>
      </c>
      <c r="J2923" t="str">
        <f>IFERROR(VLOOKUP(E2923,'LEAID Match'!$A$2:$B$168,2,FALSE),"")</f>
        <v/>
      </c>
    </row>
    <row r="2924" spans="1:10">
      <c r="A2924">
        <v>2017</v>
      </c>
      <c r="B2924" t="s">
        <v>1429</v>
      </c>
      <c r="C2924" t="s">
        <v>1431</v>
      </c>
      <c r="D2924" t="s">
        <v>1433</v>
      </c>
      <c r="E2924" t="s">
        <v>182</v>
      </c>
      <c r="F2924" t="s">
        <v>849</v>
      </c>
      <c r="G2924" s="28">
        <v>35455</v>
      </c>
      <c r="H2924">
        <v>0</v>
      </c>
      <c r="I2924" s="29">
        <f t="shared" si="45"/>
        <v>35455</v>
      </c>
      <c r="J2924" t="str">
        <f>IFERROR(VLOOKUP(E2924,'LEAID Match'!$A$2:$B$168,2,FALSE),"")</f>
        <v/>
      </c>
    </row>
    <row r="2925" spans="1:10">
      <c r="A2925" s="27">
        <v>2018</v>
      </c>
      <c r="B2925" t="s">
        <v>1429</v>
      </c>
      <c r="C2925" t="s">
        <v>1431</v>
      </c>
      <c r="D2925" t="s">
        <v>1433</v>
      </c>
      <c r="E2925" t="s">
        <v>182</v>
      </c>
      <c r="F2925" s="9" t="s">
        <v>849</v>
      </c>
      <c r="G2925" s="18">
        <v>35387</v>
      </c>
      <c r="H2925">
        <v>0</v>
      </c>
      <c r="I2925" s="29">
        <f t="shared" si="45"/>
        <v>35387</v>
      </c>
      <c r="J2925" t="str">
        <f>IFERROR(VLOOKUP(E2925,'LEAID Match'!$A$2:$B$168,2,FALSE),"")</f>
        <v/>
      </c>
    </row>
    <row r="2926" spans="1:10">
      <c r="A2926">
        <v>2019</v>
      </c>
      <c r="B2926" t="s">
        <v>1429</v>
      </c>
      <c r="C2926" t="s">
        <v>1431</v>
      </c>
      <c r="D2926" t="s">
        <v>1433</v>
      </c>
      <c r="E2926" t="s">
        <v>182</v>
      </c>
      <c r="F2926" s="9" t="s">
        <v>849</v>
      </c>
      <c r="G2926" s="18">
        <v>35941</v>
      </c>
      <c r="H2926">
        <v>0</v>
      </c>
      <c r="I2926" s="29">
        <f t="shared" si="45"/>
        <v>35941</v>
      </c>
      <c r="J2926" t="str">
        <f>IFERROR(VLOOKUP(E2926,'LEAID Match'!$A$2:$B$168,2,FALSE),"")</f>
        <v/>
      </c>
    </row>
    <row r="2927" spans="1:10">
      <c r="A2927" s="27">
        <v>2020</v>
      </c>
      <c r="B2927" t="s">
        <v>1429</v>
      </c>
      <c r="C2927" t="s">
        <v>1431</v>
      </c>
      <c r="D2927" t="s">
        <v>1433</v>
      </c>
      <c r="E2927" t="s">
        <v>182</v>
      </c>
      <c r="F2927" s="9" t="s">
        <v>182</v>
      </c>
      <c r="G2927" s="18">
        <v>38900</v>
      </c>
      <c r="H2927">
        <v>0</v>
      </c>
      <c r="I2927" s="29">
        <f t="shared" si="45"/>
        <v>38900</v>
      </c>
      <c r="J2927" t="str">
        <f>IFERROR(VLOOKUP(E2927,'LEAID Match'!$A$2:$B$168,2,FALSE),"")</f>
        <v/>
      </c>
    </row>
    <row r="2928" spans="1:10">
      <c r="A2928">
        <v>2021</v>
      </c>
      <c r="B2928" t="s">
        <v>1429</v>
      </c>
      <c r="C2928" t="s">
        <v>1431</v>
      </c>
      <c r="D2928" t="s">
        <v>1433</v>
      </c>
      <c r="E2928" t="s">
        <v>182</v>
      </c>
      <c r="F2928" s="9" t="s">
        <v>182</v>
      </c>
      <c r="G2928" s="18">
        <v>40685</v>
      </c>
      <c r="H2928">
        <v>0</v>
      </c>
      <c r="I2928" s="29">
        <f t="shared" si="45"/>
        <v>40685</v>
      </c>
      <c r="J2928" t="str">
        <f>IFERROR(VLOOKUP(E2928,'LEAID Match'!$A$2:$B$168,2,FALSE),"")</f>
        <v/>
      </c>
    </row>
    <row r="2929" spans="1:10">
      <c r="A2929">
        <v>2022</v>
      </c>
      <c r="B2929" t="s">
        <v>1429</v>
      </c>
      <c r="C2929" t="s">
        <v>1431</v>
      </c>
      <c r="D2929" t="s">
        <v>1433</v>
      </c>
      <c r="E2929" t="s">
        <v>182</v>
      </c>
      <c r="F2929" s="9" t="s">
        <v>182</v>
      </c>
      <c r="G2929" s="18">
        <v>54765</v>
      </c>
      <c r="H2929">
        <v>0</v>
      </c>
      <c r="I2929" s="29">
        <f t="shared" si="45"/>
        <v>54765</v>
      </c>
      <c r="J2929" t="str">
        <f>IFERROR(VLOOKUP(E2929,'LEAID Match'!$A$2:$B$168,2,FALSE),"")</f>
        <v/>
      </c>
    </row>
    <row r="2930" spans="1:10">
      <c r="A2930">
        <v>2023</v>
      </c>
      <c r="B2930" t="s">
        <v>1429</v>
      </c>
      <c r="C2930" t="s">
        <v>1431</v>
      </c>
      <c r="D2930" t="s">
        <v>1433</v>
      </c>
      <c r="E2930" t="s">
        <v>182</v>
      </c>
      <c r="F2930" t="s">
        <v>182</v>
      </c>
      <c r="G2930" s="28">
        <v>57409</v>
      </c>
      <c r="H2930">
        <v>0</v>
      </c>
      <c r="I2930" s="29">
        <f t="shared" si="45"/>
        <v>57409</v>
      </c>
      <c r="J2930" t="str">
        <f>IFERROR(VLOOKUP(E2930,'LEAID Match'!$A$2:$B$168,2,FALSE),"")</f>
        <v/>
      </c>
    </row>
    <row r="2931" spans="1:10">
      <c r="A2931">
        <v>2015</v>
      </c>
      <c r="B2931" t="s">
        <v>1429</v>
      </c>
      <c r="C2931" t="s">
        <v>1431</v>
      </c>
      <c r="D2931" t="s">
        <v>1433</v>
      </c>
      <c r="E2931" t="s">
        <v>850</v>
      </c>
      <c r="F2931" s="9" t="s">
        <v>1334</v>
      </c>
      <c r="G2931" s="18">
        <v>57846.6</v>
      </c>
      <c r="H2931">
        <v>0</v>
      </c>
      <c r="I2931" s="29">
        <f t="shared" si="45"/>
        <v>57846.6</v>
      </c>
      <c r="J2931" t="str">
        <f>IFERROR(VLOOKUP(E2931,'LEAID Match'!$A$2:$B$168,2,FALSE),"")</f>
        <v/>
      </c>
    </row>
    <row r="2932" spans="1:10">
      <c r="A2932">
        <v>2016</v>
      </c>
      <c r="B2932" t="s">
        <v>1429</v>
      </c>
      <c r="C2932" t="s">
        <v>1431</v>
      </c>
      <c r="D2932" t="s">
        <v>1433</v>
      </c>
      <c r="E2932" t="s">
        <v>850</v>
      </c>
      <c r="F2932" t="s">
        <v>850</v>
      </c>
      <c r="G2932" s="28">
        <v>58126</v>
      </c>
      <c r="H2932">
        <v>0</v>
      </c>
      <c r="I2932" s="29">
        <f t="shared" si="45"/>
        <v>58126</v>
      </c>
      <c r="J2932" t="str">
        <f>IFERROR(VLOOKUP(E2932,'LEAID Match'!$A$2:$B$168,2,FALSE),"")</f>
        <v/>
      </c>
    </row>
    <row r="2933" spans="1:10">
      <c r="A2933">
        <v>2017</v>
      </c>
      <c r="B2933" t="s">
        <v>1429</v>
      </c>
      <c r="C2933" t="s">
        <v>1431</v>
      </c>
      <c r="D2933" t="s">
        <v>1433</v>
      </c>
      <c r="E2933" t="s">
        <v>850</v>
      </c>
      <c r="F2933" t="s">
        <v>850</v>
      </c>
      <c r="G2933" s="28">
        <v>0</v>
      </c>
      <c r="H2933">
        <v>0</v>
      </c>
      <c r="I2933" s="29">
        <f t="shared" si="45"/>
        <v>0</v>
      </c>
      <c r="J2933" t="str">
        <f>IFERROR(VLOOKUP(E2933,'LEAID Match'!$A$2:$B$168,2,FALSE),"")</f>
        <v/>
      </c>
    </row>
    <row r="2934" spans="1:10">
      <c r="A2934" s="27">
        <v>2018</v>
      </c>
      <c r="B2934" t="s">
        <v>1429</v>
      </c>
      <c r="C2934" t="s">
        <v>1431</v>
      </c>
      <c r="D2934" t="s">
        <v>1433</v>
      </c>
      <c r="E2934" t="s">
        <v>850</v>
      </c>
      <c r="F2934" s="9" t="s">
        <v>850</v>
      </c>
      <c r="G2934" s="18"/>
      <c r="H2934">
        <v>0</v>
      </c>
      <c r="I2934" s="29">
        <f t="shared" si="45"/>
        <v>0</v>
      </c>
      <c r="J2934" t="str">
        <f>IFERROR(VLOOKUP(E2934,'LEAID Match'!$A$2:$B$168,2,FALSE),"")</f>
        <v/>
      </c>
    </row>
    <row r="2935" spans="1:10">
      <c r="A2935">
        <v>2019</v>
      </c>
      <c r="B2935" t="s">
        <v>1429</v>
      </c>
      <c r="C2935" t="s">
        <v>1431</v>
      </c>
      <c r="D2935" t="s">
        <v>1433</v>
      </c>
      <c r="E2935" t="s">
        <v>850</v>
      </c>
      <c r="F2935" s="9" t="s">
        <v>850</v>
      </c>
      <c r="G2935" s="18"/>
      <c r="H2935">
        <v>0</v>
      </c>
      <c r="I2935" s="29">
        <f t="shared" si="45"/>
        <v>0</v>
      </c>
      <c r="J2935" t="str">
        <f>IFERROR(VLOOKUP(E2935,'LEAID Match'!$A$2:$B$168,2,FALSE),"")</f>
        <v/>
      </c>
    </row>
    <row r="2936" spans="1:10">
      <c r="A2936" s="27">
        <v>2020</v>
      </c>
      <c r="B2936" t="s">
        <v>1429</v>
      </c>
      <c r="C2936" t="s">
        <v>1431</v>
      </c>
      <c r="D2936" t="s">
        <v>1433</v>
      </c>
      <c r="E2936" t="s">
        <v>850</v>
      </c>
      <c r="F2936" s="9" t="s">
        <v>487</v>
      </c>
      <c r="G2936" s="18"/>
      <c r="H2936">
        <v>0</v>
      </c>
      <c r="I2936" s="29">
        <f t="shared" si="45"/>
        <v>0</v>
      </c>
      <c r="J2936" t="str">
        <f>IFERROR(VLOOKUP(E2936,'LEAID Match'!$A$2:$B$168,2,FALSE),"")</f>
        <v/>
      </c>
    </row>
    <row r="2937" spans="1:10">
      <c r="A2937">
        <v>2021</v>
      </c>
      <c r="B2937" t="s">
        <v>1429</v>
      </c>
      <c r="C2937" t="s">
        <v>1431</v>
      </c>
      <c r="D2937" t="s">
        <v>1433</v>
      </c>
      <c r="E2937" t="s">
        <v>850</v>
      </c>
      <c r="F2937" s="9" t="s">
        <v>487</v>
      </c>
      <c r="G2937" s="18"/>
      <c r="H2937">
        <v>0</v>
      </c>
      <c r="I2937" s="29">
        <f t="shared" si="45"/>
        <v>0</v>
      </c>
      <c r="J2937" t="str">
        <f>IFERROR(VLOOKUP(E2937,'LEAID Match'!$A$2:$B$168,2,FALSE),"")</f>
        <v/>
      </c>
    </row>
    <row r="2938" spans="1:10">
      <c r="A2938">
        <v>2015</v>
      </c>
      <c r="B2938" t="s">
        <v>1429</v>
      </c>
      <c r="C2938" t="s">
        <v>1431</v>
      </c>
      <c r="D2938" t="s">
        <v>1433</v>
      </c>
      <c r="E2938" t="s">
        <v>851</v>
      </c>
      <c r="F2938" s="9" t="s">
        <v>1335</v>
      </c>
      <c r="G2938" s="18">
        <v>84681.57</v>
      </c>
      <c r="H2938">
        <v>0</v>
      </c>
      <c r="I2938" s="29">
        <f t="shared" si="45"/>
        <v>84681.57</v>
      </c>
      <c r="J2938" t="str">
        <f>IFERROR(VLOOKUP(E2938,'LEAID Match'!$A$2:$B$168,2,FALSE),"")</f>
        <v/>
      </c>
    </row>
    <row r="2939" spans="1:10">
      <c r="A2939">
        <v>2016</v>
      </c>
      <c r="B2939" t="s">
        <v>1429</v>
      </c>
      <c r="C2939" t="s">
        <v>1431</v>
      </c>
      <c r="D2939" t="s">
        <v>1433</v>
      </c>
      <c r="E2939" t="s">
        <v>851</v>
      </c>
      <c r="F2939" t="s">
        <v>851</v>
      </c>
      <c r="G2939" s="28">
        <v>83358</v>
      </c>
      <c r="H2939">
        <v>0</v>
      </c>
      <c r="I2939" s="29">
        <f t="shared" si="45"/>
        <v>83358</v>
      </c>
      <c r="J2939" t="str">
        <f>IFERROR(VLOOKUP(E2939,'LEAID Match'!$A$2:$B$168,2,FALSE),"")</f>
        <v/>
      </c>
    </row>
    <row r="2940" spans="1:10">
      <c r="A2940">
        <v>2017</v>
      </c>
      <c r="B2940" t="s">
        <v>1429</v>
      </c>
      <c r="C2940" t="s">
        <v>1431</v>
      </c>
      <c r="D2940" t="s">
        <v>1433</v>
      </c>
      <c r="E2940" t="s">
        <v>851</v>
      </c>
      <c r="F2940" t="s">
        <v>851</v>
      </c>
      <c r="G2940" s="28">
        <v>37999</v>
      </c>
      <c r="H2940">
        <v>0</v>
      </c>
      <c r="I2940" s="29">
        <f t="shared" si="45"/>
        <v>37999</v>
      </c>
      <c r="J2940" t="str">
        <f>IFERROR(VLOOKUP(E2940,'LEAID Match'!$A$2:$B$168,2,FALSE),"")</f>
        <v/>
      </c>
    </row>
    <row r="2941" spans="1:10">
      <c r="A2941" s="27">
        <v>2018</v>
      </c>
      <c r="B2941" t="s">
        <v>1429</v>
      </c>
      <c r="C2941" t="s">
        <v>1431</v>
      </c>
      <c r="D2941" t="s">
        <v>1433</v>
      </c>
      <c r="E2941" t="s">
        <v>851</v>
      </c>
      <c r="F2941" s="9" t="s">
        <v>851</v>
      </c>
      <c r="G2941" s="18"/>
      <c r="H2941">
        <v>0</v>
      </c>
      <c r="I2941" s="29">
        <f t="shared" si="45"/>
        <v>0</v>
      </c>
      <c r="J2941" t="str">
        <f>IFERROR(VLOOKUP(E2941,'LEAID Match'!$A$2:$B$168,2,FALSE),"")</f>
        <v/>
      </c>
    </row>
    <row r="2942" spans="1:10">
      <c r="A2942">
        <v>2019</v>
      </c>
      <c r="B2942" t="s">
        <v>1429</v>
      </c>
      <c r="C2942" t="s">
        <v>1431</v>
      </c>
      <c r="D2942" t="s">
        <v>1433</v>
      </c>
      <c r="E2942" t="s">
        <v>851</v>
      </c>
      <c r="F2942" s="9" t="s">
        <v>851</v>
      </c>
      <c r="G2942" s="18"/>
      <c r="H2942">
        <v>0</v>
      </c>
      <c r="I2942" s="29">
        <f t="shared" si="45"/>
        <v>0</v>
      </c>
      <c r="J2942" t="str">
        <f>IFERROR(VLOOKUP(E2942,'LEAID Match'!$A$2:$B$168,2,FALSE),"")</f>
        <v/>
      </c>
    </row>
    <row r="2943" spans="1:10">
      <c r="A2943" s="27">
        <v>2020</v>
      </c>
      <c r="B2943" t="s">
        <v>1429</v>
      </c>
      <c r="C2943" t="s">
        <v>1431</v>
      </c>
      <c r="D2943" t="s">
        <v>1433</v>
      </c>
      <c r="E2943" t="s">
        <v>851</v>
      </c>
      <c r="F2943" s="9" t="s">
        <v>488</v>
      </c>
      <c r="G2943" s="18"/>
      <c r="H2943">
        <v>0</v>
      </c>
      <c r="I2943" s="29">
        <f t="shared" si="45"/>
        <v>0</v>
      </c>
      <c r="J2943" t="str">
        <f>IFERROR(VLOOKUP(E2943,'LEAID Match'!$A$2:$B$168,2,FALSE),"")</f>
        <v/>
      </c>
    </row>
    <row r="2944" spans="1:10">
      <c r="A2944">
        <v>2021</v>
      </c>
      <c r="B2944" t="s">
        <v>1429</v>
      </c>
      <c r="C2944" t="s">
        <v>1431</v>
      </c>
      <c r="D2944" t="s">
        <v>1433</v>
      </c>
      <c r="E2944" t="s">
        <v>851</v>
      </c>
      <c r="F2944" s="9" t="s">
        <v>488</v>
      </c>
      <c r="G2944" s="18"/>
      <c r="H2944">
        <v>0</v>
      </c>
      <c r="I2944" s="29">
        <f t="shared" si="45"/>
        <v>0</v>
      </c>
      <c r="J2944" t="str">
        <f>IFERROR(VLOOKUP(E2944,'LEAID Match'!$A$2:$B$168,2,FALSE),"")</f>
        <v/>
      </c>
    </row>
    <row r="2945" spans="1:10">
      <c r="A2945">
        <v>2015</v>
      </c>
      <c r="B2945" t="s">
        <v>1429</v>
      </c>
      <c r="C2945" t="s">
        <v>1431</v>
      </c>
      <c r="D2945" t="s">
        <v>1433</v>
      </c>
      <c r="E2945" t="s">
        <v>183</v>
      </c>
      <c r="F2945" s="9" t="s">
        <v>1336</v>
      </c>
      <c r="G2945" s="18">
        <v>49651.68</v>
      </c>
      <c r="H2945">
        <v>0</v>
      </c>
      <c r="I2945" s="29">
        <f t="shared" si="45"/>
        <v>49651.68</v>
      </c>
      <c r="J2945" t="str">
        <f>IFERROR(VLOOKUP(E2945,'LEAID Match'!$A$2:$B$168,2,FALSE),"")</f>
        <v/>
      </c>
    </row>
    <row r="2946" spans="1:10">
      <c r="A2946">
        <v>2016</v>
      </c>
      <c r="B2946" t="s">
        <v>1429</v>
      </c>
      <c r="C2946" t="s">
        <v>1431</v>
      </c>
      <c r="D2946" t="s">
        <v>1433</v>
      </c>
      <c r="E2946" t="s">
        <v>183</v>
      </c>
      <c r="F2946" t="s">
        <v>852</v>
      </c>
      <c r="G2946" s="28">
        <v>54980</v>
      </c>
      <c r="H2946">
        <v>0</v>
      </c>
      <c r="I2946" s="29">
        <f t="shared" si="45"/>
        <v>54980</v>
      </c>
      <c r="J2946" t="str">
        <f>IFERROR(VLOOKUP(E2946,'LEAID Match'!$A$2:$B$168,2,FALSE),"")</f>
        <v/>
      </c>
    </row>
    <row r="2947" spans="1:10">
      <c r="A2947">
        <v>2017</v>
      </c>
      <c r="B2947" t="s">
        <v>1429</v>
      </c>
      <c r="C2947" t="s">
        <v>1431</v>
      </c>
      <c r="D2947" t="s">
        <v>1433</v>
      </c>
      <c r="E2947" t="s">
        <v>183</v>
      </c>
      <c r="F2947" t="s">
        <v>852</v>
      </c>
      <c r="G2947" s="28">
        <v>54327</v>
      </c>
      <c r="H2947">
        <v>0</v>
      </c>
      <c r="I2947" s="29">
        <f t="shared" ref="I2947:I3010" si="46">SUM(G2947:H2947)</f>
        <v>54327</v>
      </c>
      <c r="J2947" t="str">
        <f>IFERROR(VLOOKUP(E2947,'LEAID Match'!$A$2:$B$168,2,FALSE),"")</f>
        <v/>
      </c>
    </row>
    <row r="2948" spans="1:10">
      <c r="A2948" s="27">
        <v>2018</v>
      </c>
      <c r="B2948" t="s">
        <v>1429</v>
      </c>
      <c r="C2948" t="s">
        <v>1431</v>
      </c>
      <c r="D2948" t="s">
        <v>1433</v>
      </c>
      <c r="E2948" t="s">
        <v>183</v>
      </c>
      <c r="F2948" s="9" t="s">
        <v>852</v>
      </c>
      <c r="G2948" s="18">
        <v>60478</v>
      </c>
      <c r="H2948">
        <v>0</v>
      </c>
      <c r="I2948" s="29">
        <f t="shared" si="46"/>
        <v>60478</v>
      </c>
      <c r="J2948" t="str">
        <f>IFERROR(VLOOKUP(E2948,'LEAID Match'!$A$2:$B$168,2,FALSE),"")</f>
        <v/>
      </c>
    </row>
    <row r="2949" spans="1:10">
      <c r="A2949">
        <v>2019</v>
      </c>
      <c r="B2949" t="s">
        <v>1429</v>
      </c>
      <c r="C2949" t="s">
        <v>1431</v>
      </c>
      <c r="D2949" t="s">
        <v>1433</v>
      </c>
      <c r="E2949" t="s">
        <v>183</v>
      </c>
      <c r="F2949" s="9" t="s">
        <v>852</v>
      </c>
      <c r="G2949" s="18">
        <v>59540</v>
      </c>
      <c r="H2949">
        <v>0</v>
      </c>
      <c r="I2949" s="29">
        <f t="shared" si="46"/>
        <v>59540</v>
      </c>
      <c r="J2949" t="str">
        <f>IFERROR(VLOOKUP(E2949,'LEAID Match'!$A$2:$B$168,2,FALSE),"")</f>
        <v/>
      </c>
    </row>
    <row r="2950" spans="1:10">
      <c r="A2950" s="27">
        <v>2020</v>
      </c>
      <c r="B2950" t="s">
        <v>1429</v>
      </c>
      <c r="C2950" t="s">
        <v>1431</v>
      </c>
      <c r="D2950" t="s">
        <v>1433</v>
      </c>
      <c r="E2950" t="s">
        <v>183</v>
      </c>
      <c r="F2950" s="9" t="s">
        <v>183</v>
      </c>
      <c r="G2950" s="18">
        <v>63369</v>
      </c>
      <c r="H2950">
        <v>0</v>
      </c>
      <c r="I2950" s="29">
        <f t="shared" si="46"/>
        <v>63369</v>
      </c>
      <c r="J2950" t="str">
        <f>IFERROR(VLOOKUP(E2950,'LEAID Match'!$A$2:$B$168,2,FALSE),"")</f>
        <v/>
      </c>
    </row>
    <row r="2951" spans="1:10">
      <c r="A2951">
        <v>2021</v>
      </c>
      <c r="B2951" t="s">
        <v>1429</v>
      </c>
      <c r="C2951" t="s">
        <v>1431</v>
      </c>
      <c r="D2951" t="s">
        <v>1433</v>
      </c>
      <c r="E2951" t="s">
        <v>183</v>
      </c>
      <c r="F2951" s="9" t="s">
        <v>183</v>
      </c>
      <c r="G2951" s="18">
        <v>83670</v>
      </c>
      <c r="H2951">
        <v>0</v>
      </c>
      <c r="I2951" s="29">
        <f t="shared" si="46"/>
        <v>83670</v>
      </c>
      <c r="J2951" t="str">
        <f>IFERROR(VLOOKUP(E2951,'LEAID Match'!$A$2:$B$168,2,FALSE),"")</f>
        <v/>
      </c>
    </row>
    <row r="2952" spans="1:10">
      <c r="A2952">
        <v>2022</v>
      </c>
      <c r="B2952" t="s">
        <v>1429</v>
      </c>
      <c r="C2952" t="s">
        <v>1431</v>
      </c>
      <c r="D2952" t="s">
        <v>1433</v>
      </c>
      <c r="E2952" t="s">
        <v>183</v>
      </c>
      <c r="F2952" s="9" t="s">
        <v>183</v>
      </c>
      <c r="G2952" s="18">
        <v>110611</v>
      </c>
      <c r="H2952">
        <v>0</v>
      </c>
      <c r="I2952" s="29">
        <f t="shared" si="46"/>
        <v>110611</v>
      </c>
      <c r="J2952" t="str">
        <f>IFERROR(VLOOKUP(E2952,'LEAID Match'!$A$2:$B$168,2,FALSE),"")</f>
        <v/>
      </c>
    </row>
    <row r="2953" spans="1:10">
      <c r="A2953">
        <v>2023</v>
      </c>
      <c r="B2953" t="s">
        <v>1429</v>
      </c>
      <c r="C2953" t="s">
        <v>1431</v>
      </c>
      <c r="D2953" t="s">
        <v>1433</v>
      </c>
      <c r="E2953" t="s">
        <v>183</v>
      </c>
      <c r="F2953" t="s">
        <v>183</v>
      </c>
      <c r="G2953" s="28">
        <v>102495</v>
      </c>
      <c r="H2953">
        <v>0</v>
      </c>
      <c r="I2953" s="29">
        <f t="shared" si="46"/>
        <v>102495</v>
      </c>
      <c r="J2953" t="str">
        <f>IFERROR(VLOOKUP(E2953,'LEAID Match'!$A$2:$B$168,2,FALSE),"")</f>
        <v/>
      </c>
    </row>
    <row r="2954" spans="1:10">
      <c r="A2954">
        <v>2015</v>
      </c>
      <c r="B2954" t="s">
        <v>1429</v>
      </c>
      <c r="C2954" t="s">
        <v>1431</v>
      </c>
      <c r="D2954" t="s">
        <v>1433</v>
      </c>
      <c r="E2954" t="s">
        <v>184</v>
      </c>
      <c r="F2954" s="9" t="s">
        <v>1337</v>
      </c>
      <c r="G2954" s="18">
        <v>79185.36</v>
      </c>
      <c r="H2954">
        <v>0</v>
      </c>
      <c r="I2954" s="29">
        <f t="shared" si="46"/>
        <v>79185.36</v>
      </c>
      <c r="J2954" t="str">
        <f>IFERROR(VLOOKUP(E2954,'LEAID Match'!$A$2:$B$168,2,FALSE),"")</f>
        <v/>
      </c>
    </row>
    <row r="2955" spans="1:10">
      <c r="A2955">
        <v>2016</v>
      </c>
      <c r="B2955" t="s">
        <v>1429</v>
      </c>
      <c r="C2955" t="s">
        <v>1431</v>
      </c>
      <c r="D2955" t="s">
        <v>1433</v>
      </c>
      <c r="E2955" t="s">
        <v>184</v>
      </c>
      <c r="F2955" t="s">
        <v>853</v>
      </c>
      <c r="G2955" s="28">
        <v>98283</v>
      </c>
      <c r="H2955">
        <v>0</v>
      </c>
      <c r="I2955" s="29">
        <f t="shared" si="46"/>
        <v>98283</v>
      </c>
      <c r="J2955" t="str">
        <f>IFERROR(VLOOKUP(E2955,'LEAID Match'!$A$2:$B$168,2,FALSE),"")</f>
        <v/>
      </c>
    </row>
    <row r="2956" spans="1:10">
      <c r="A2956">
        <v>2017</v>
      </c>
      <c r="B2956" t="s">
        <v>1429</v>
      </c>
      <c r="C2956" t="s">
        <v>1431</v>
      </c>
      <c r="D2956" t="s">
        <v>1433</v>
      </c>
      <c r="E2956" t="s">
        <v>184</v>
      </c>
      <c r="F2956" t="s">
        <v>853</v>
      </c>
      <c r="G2956" s="28">
        <v>100079</v>
      </c>
      <c r="H2956">
        <v>0</v>
      </c>
      <c r="I2956" s="29">
        <f t="shared" si="46"/>
        <v>100079</v>
      </c>
      <c r="J2956" t="str">
        <f>IFERROR(VLOOKUP(E2956,'LEAID Match'!$A$2:$B$168,2,FALSE),"")</f>
        <v/>
      </c>
    </row>
    <row r="2957" spans="1:10">
      <c r="A2957" s="27">
        <v>2018</v>
      </c>
      <c r="B2957" t="s">
        <v>1429</v>
      </c>
      <c r="C2957" t="s">
        <v>1431</v>
      </c>
      <c r="D2957" t="s">
        <v>1433</v>
      </c>
      <c r="E2957" t="s">
        <v>184</v>
      </c>
      <c r="F2957" s="9" t="s">
        <v>853</v>
      </c>
      <c r="G2957" s="18">
        <v>90867</v>
      </c>
      <c r="H2957">
        <v>0</v>
      </c>
      <c r="I2957" s="29">
        <f t="shared" si="46"/>
        <v>90867</v>
      </c>
      <c r="J2957" t="str">
        <f>IFERROR(VLOOKUP(E2957,'LEAID Match'!$A$2:$B$168,2,FALSE),"")</f>
        <v/>
      </c>
    </row>
    <row r="2958" spans="1:10">
      <c r="A2958">
        <v>2019</v>
      </c>
      <c r="B2958" t="s">
        <v>1429</v>
      </c>
      <c r="C2958" t="s">
        <v>1431</v>
      </c>
      <c r="D2958" t="s">
        <v>1433</v>
      </c>
      <c r="E2958" t="s">
        <v>184</v>
      </c>
      <c r="F2958" s="9" t="s">
        <v>853</v>
      </c>
      <c r="G2958" s="18">
        <v>97892</v>
      </c>
      <c r="H2958">
        <v>0</v>
      </c>
      <c r="I2958" s="29">
        <f t="shared" si="46"/>
        <v>97892</v>
      </c>
      <c r="J2958" t="str">
        <f>IFERROR(VLOOKUP(E2958,'LEAID Match'!$A$2:$B$168,2,FALSE),"")</f>
        <v/>
      </c>
    </row>
    <row r="2959" spans="1:10">
      <c r="A2959" s="27">
        <v>2020</v>
      </c>
      <c r="B2959" t="s">
        <v>1429</v>
      </c>
      <c r="C2959" t="s">
        <v>1431</v>
      </c>
      <c r="D2959" t="s">
        <v>1433</v>
      </c>
      <c r="E2959" t="s">
        <v>184</v>
      </c>
      <c r="F2959" s="9" t="s">
        <v>184</v>
      </c>
      <c r="G2959" s="18">
        <v>103705</v>
      </c>
      <c r="H2959">
        <v>0</v>
      </c>
      <c r="I2959" s="29">
        <f t="shared" si="46"/>
        <v>103705</v>
      </c>
      <c r="J2959" t="str">
        <f>IFERROR(VLOOKUP(E2959,'LEAID Match'!$A$2:$B$168,2,FALSE),"")</f>
        <v/>
      </c>
    </row>
    <row r="2960" spans="1:10">
      <c r="A2960">
        <v>2021</v>
      </c>
      <c r="B2960" t="s">
        <v>1429</v>
      </c>
      <c r="C2960" t="s">
        <v>1431</v>
      </c>
      <c r="D2960" t="s">
        <v>1433</v>
      </c>
      <c r="E2960" t="s">
        <v>184</v>
      </c>
      <c r="F2960" s="9" t="s">
        <v>184</v>
      </c>
      <c r="G2960" s="18">
        <v>121027</v>
      </c>
      <c r="H2960">
        <v>0</v>
      </c>
      <c r="I2960" s="29">
        <f t="shared" si="46"/>
        <v>121027</v>
      </c>
      <c r="J2960" t="str">
        <f>IFERROR(VLOOKUP(E2960,'LEAID Match'!$A$2:$B$168,2,FALSE),"")</f>
        <v/>
      </c>
    </row>
    <row r="2961" spans="1:10">
      <c r="A2961">
        <v>2022</v>
      </c>
      <c r="B2961" t="s">
        <v>1429</v>
      </c>
      <c r="C2961" t="s">
        <v>1431</v>
      </c>
      <c r="D2961" t="s">
        <v>1433</v>
      </c>
      <c r="E2961" t="s">
        <v>184</v>
      </c>
      <c r="F2961" s="9" t="s">
        <v>184</v>
      </c>
      <c r="G2961" s="18">
        <v>166160</v>
      </c>
      <c r="H2961">
        <v>0</v>
      </c>
      <c r="I2961" s="29">
        <f t="shared" si="46"/>
        <v>166160</v>
      </c>
      <c r="J2961" t="str">
        <f>IFERROR(VLOOKUP(E2961,'LEAID Match'!$A$2:$B$168,2,FALSE),"")</f>
        <v/>
      </c>
    </row>
    <row r="2962" spans="1:10">
      <c r="A2962">
        <v>2023</v>
      </c>
      <c r="B2962" t="s">
        <v>1429</v>
      </c>
      <c r="C2962" t="s">
        <v>1431</v>
      </c>
      <c r="D2962" t="s">
        <v>1433</v>
      </c>
      <c r="E2962" t="s">
        <v>184</v>
      </c>
      <c r="F2962" t="s">
        <v>184</v>
      </c>
      <c r="G2962" s="28">
        <v>172512</v>
      </c>
      <c r="H2962">
        <v>0</v>
      </c>
      <c r="I2962" s="29">
        <f t="shared" si="46"/>
        <v>172512</v>
      </c>
      <c r="J2962" t="str">
        <f>IFERROR(VLOOKUP(E2962,'LEAID Match'!$A$2:$B$168,2,FALSE),"")</f>
        <v/>
      </c>
    </row>
    <row r="2963" spans="1:10">
      <c r="A2963">
        <v>2016</v>
      </c>
      <c r="B2963" t="s">
        <v>1429</v>
      </c>
      <c r="C2963" t="s">
        <v>1431</v>
      </c>
      <c r="D2963" t="s">
        <v>1433</v>
      </c>
      <c r="E2963" t="s">
        <v>854</v>
      </c>
      <c r="F2963" t="s">
        <v>854</v>
      </c>
      <c r="G2963" s="28">
        <v>13896</v>
      </c>
      <c r="H2963">
        <v>0</v>
      </c>
      <c r="I2963" s="29">
        <f t="shared" si="46"/>
        <v>13896</v>
      </c>
      <c r="J2963" t="str">
        <f>IFERROR(VLOOKUP(E2963,'LEAID Match'!$A$2:$B$168,2,FALSE),"")</f>
        <v/>
      </c>
    </row>
    <row r="2964" spans="1:10">
      <c r="A2964">
        <v>2017</v>
      </c>
      <c r="B2964" t="s">
        <v>1429</v>
      </c>
      <c r="C2964" t="s">
        <v>1431</v>
      </c>
      <c r="D2964" t="s">
        <v>1433</v>
      </c>
      <c r="E2964" t="s">
        <v>854</v>
      </c>
      <c r="F2964" t="s">
        <v>854</v>
      </c>
      <c r="G2964" s="28">
        <v>15355</v>
      </c>
      <c r="H2964">
        <v>0</v>
      </c>
      <c r="I2964" s="29">
        <f t="shared" si="46"/>
        <v>15355</v>
      </c>
      <c r="J2964" t="str">
        <f>IFERROR(VLOOKUP(E2964,'LEAID Match'!$A$2:$B$168,2,FALSE),"")</f>
        <v/>
      </c>
    </row>
    <row r="2965" spans="1:10">
      <c r="A2965" s="27">
        <v>2018</v>
      </c>
      <c r="B2965" t="s">
        <v>1429</v>
      </c>
      <c r="C2965" t="s">
        <v>1431</v>
      </c>
      <c r="D2965" t="s">
        <v>1433</v>
      </c>
      <c r="E2965" t="s">
        <v>854</v>
      </c>
      <c r="F2965" s="9" t="s">
        <v>854</v>
      </c>
      <c r="G2965" s="18"/>
      <c r="H2965">
        <v>0</v>
      </c>
      <c r="I2965" s="29">
        <f t="shared" si="46"/>
        <v>0</v>
      </c>
      <c r="J2965" t="str">
        <f>IFERROR(VLOOKUP(E2965,'LEAID Match'!$A$2:$B$168,2,FALSE),"")</f>
        <v/>
      </c>
    </row>
    <row r="2966" spans="1:10">
      <c r="A2966">
        <v>2019</v>
      </c>
      <c r="B2966" t="s">
        <v>1429</v>
      </c>
      <c r="C2966" t="s">
        <v>1431</v>
      </c>
      <c r="D2966" t="s">
        <v>1433</v>
      </c>
      <c r="E2966" t="s">
        <v>854</v>
      </c>
      <c r="F2966" s="9" t="s">
        <v>854</v>
      </c>
      <c r="G2966" s="18"/>
      <c r="H2966">
        <v>0</v>
      </c>
      <c r="I2966" s="29">
        <f t="shared" si="46"/>
        <v>0</v>
      </c>
      <c r="J2966" t="str">
        <f>IFERROR(VLOOKUP(E2966,'LEAID Match'!$A$2:$B$168,2,FALSE),"")</f>
        <v/>
      </c>
    </row>
    <row r="2967" spans="1:10">
      <c r="A2967" s="27">
        <v>2020</v>
      </c>
      <c r="B2967" t="s">
        <v>1429</v>
      </c>
      <c r="C2967" t="s">
        <v>1431</v>
      </c>
      <c r="D2967" t="s">
        <v>1433</v>
      </c>
      <c r="E2967" t="s">
        <v>854</v>
      </c>
      <c r="F2967" s="9" t="s">
        <v>489</v>
      </c>
      <c r="G2967" s="18"/>
      <c r="H2967">
        <v>0</v>
      </c>
      <c r="I2967" s="29">
        <f t="shared" si="46"/>
        <v>0</v>
      </c>
      <c r="J2967" t="str">
        <f>IFERROR(VLOOKUP(E2967,'LEAID Match'!$A$2:$B$168,2,FALSE),"")</f>
        <v/>
      </c>
    </row>
    <row r="2968" spans="1:10">
      <c r="A2968">
        <v>2021</v>
      </c>
      <c r="B2968" t="s">
        <v>1429</v>
      </c>
      <c r="C2968" t="s">
        <v>1431</v>
      </c>
      <c r="D2968" t="s">
        <v>1433</v>
      </c>
      <c r="E2968" t="s">
        <v>854</v>
      </c>
      <c r="F2968" s="9" t="s">
        <v>489</v>
      </c>
      <c r="G2968" s="18"/>
      <c r="H2968">
        <v>0</v>
      </c>
      <c r="I2968" s="29">
        <f t="shared" si="46"/>
        <v>0</v>
      </c>
      <c r="J2968" t="str">
        <f>IFERROR(VLOOKUP(E2968,'LEAID Match'!$A$2:$B$168,2,FALSE),"")</f>
        <v/>
      </c>
    </row>
    <row r="2969" spans="1:10">
      <c r="A2969">
        <v>2015</v>
      </c>
      <c r="B2969" t="s">
        <v>1429</v>
      </c>
      <c r="C2969" t="s">
        <v>1431</v>
      </c>
      <c r="D2969" t="s">
        <v>1433</v>
      </c>
      <c r="E2969" t="s">
        <v>855</v>
      </c>
      <c r="F2969" s="9" t="s">
        <v>1338</v>
      </c>
      <c r="G2969" s="18">
        <v>903348.7</v>
      </c>
      <c r="H2969">
        <v>0</v>
      </c>
      <c r="I2969" s="29">
        <f t="shared" si="46"/>
        <v>903348.7</v>
      </c>
      <c r="J2969" t="str">
        <f>IFERROR(VLOOKUP(E2969,'LEAID Match'!$A$2:$B$168,2,FALSE),"")</f>
        <v/>
      </c>
    </row>
    <row r="2970" spans="1:10">
      <c r="A2970">
        <v>2016</v>
      </c>
      <c r="B2970" t="s">
        <v>1429</v>
      </c>
      <c r="C2970" t="s">
        <v>1431</v>
      </c>
      <c r="D2970" t="s">
        <v>1433</v>
      </c>
      <c r="E2970" t="s">
        <v>855</v>
      </c>
      <c r="F2970" t="s">
        <v>855</v>
      </c>
      <c r="G2970" s="28">
        <v>1075678</v>
      </c>
      <c r="H2970">
        <v>0</v>
      </c>
      <c r="I2970" s="29">
        <f t="shared" si="46"/>
        <v>1075678</v>
      </c>
      <c r="J2970" t="str">
        <f>IFERROR(VLOOKUP(E2970,'LEAID Match'!$A$2:$B$168,2,FALSE),"")</f>
        <v/>
      </c>
    </row>
    <row r="2971" spans="1:10">
      <c r="A2971">
        <v>2017</v>
      </c>
      <c r="B2971" t="s">
        <v>1429</v>
      </c>
      <c r="C2971" t="s">
        <v>1431</v>
      </c>
      <c r="D2971" t="s">
        <v>1433</v>
      </c>
      <c r="E2971" t="s">
        <v>855</v>
      </c>
      <c r="F2971" t="s">
        <v>855</v>
      </c>
      <c r="G2971" s="28">
        <v>1125778</v>
      </c>
      <c r="H2971">
        <v>0</v>
      </c>
      <c r="I2971" s="29">
        <f t="shared" si="46"/>
        <v>1125778</v>
      </c>
      <c r="J2971" t="str">
        <f>IFERROR(VLOOKUP(E2971,'LEAID Match'!$A$2:$B$168,2,FALSE),"")</f>
        <v/>
      </c>
    </row>
    <row r="2972" spans="1:10">
      <c r="A2972" s="27">
        <v>2018</v>
      </c>
      <c r="B2972" t="s">
        <v>1429</v>
      </c>
      <c r="C2972" t="s">
        <v>1431</v>
      </c>
      <c r="D2972" t="s">
        <v>1433</v>
      </c>
      <c r="E2972" t="s">
        <v>855</v>
      </c>
      <c r="F2972" s="9" t="s">
        <v>855</v>
      </c>
      <c r="G2972" s="18">
        <v>1294305</v>
      </c>
      <c r="H2972">
        <v>0</v>
      </c>
      <c r="I2972" s="29">
        <f t="shared" si="46"/>
        <v>1294305</v>
      </c>
      <c r="J2972" t="str">
        <f>IFERROR(VLOOKUP(E2972,'LEAID Match'!$A$2:$B$168,2,FALSE),"")</f>
        <v/>
      </c>
    </row>
    <row r="2973" spans="1:10">
      <c r="A2973">
        <v>2019</v>
      </c>
      <c r="B2973" t="s">
        <v>1429</v>
      </c>
      <c r="C2973" t="s">
        <v>1431</v>
      </c>
      <c r="D2973" t="s">
        <v>1433</v>
      </c>
      <c r="E2973" t="s">
        <v>855</v>
      </c>
      <c r="F2973" s="9" t="s">
        <v>855</v>
      </c>
      <c r="G2973" s="18">
        <v>1318706</v>
      </c>
      <c r="H2973">
        <v>0</v>
      </c>
      <c r="I2973" s="29">
        <f t="shared" si="46"/>
        <v>1318706</v>
      </c>
      <c r="J2973" t="str">
        <f>IFERROR(VLOOKUP(E2973,'LEAID Match'!$A$2:$B$168,2,FALSE),"")</f>
        <v/>
      </c>
    </row>
    <row r="2974" spans="1:10">
      <c r="A2974">
        <v>2015</v>
      </c>
      <c r="B2974" t="s">
        <v>1429</v>
      </c>
      <c r="C2974" t="s">
        <v>1431</v>
      </c>
      <c r="D2974" t="s">
        <v>1433</v>
      </c>
      <c r="E2974" t="s">
        <v>185</v>
      </c>
      <c r="F2974" s="9" t="s">
        <v>1339</v>
      </c>
      <c r="G2974" s="18">
        <v>707810.38</v>
      </c>
      <c r="H2974">
        <v>0</v>
      </c>
      <c r="I2974" s="29">
        <f t="shared" si="46"/>
        <v>707810.38</v>
      </c>
      <c r="J2974">
        <f>IFERROR(VLOOKUP(E2974,'LEAID Match'!$A$2:$B$168,2,FALSE),"")</f>
        <v>3306150</v>
      </c>
    </row>
    <row r="2975" spans="1:10">
      <c r="A2975">
        <v>2016</v>
      </c>
      <c r="B2975" t="s">
        <v>1429</v>
      </c>
      <c r="C2975" t="s">
        <v>1431</v>
      </c>
      <c r="D2975" t="s">
        <v>1433</v>
      </c>
      <c r="E2975" t="s">
        <v>185</v>
      </c>
      <c r="F2975" t="s">
        <v>856</v>
      </c>
      <c r="G2975" s="28">
        <v>738103</v>
      </c>
      <c r="H2975">
        <v>0</v>
      </c>
      <c r="I2975" s="29">
        <f t="shared" si="46"/>
        <v>738103</v>
      </c>
      <c r="J2975">
        <f>IFERROR(VLOOKUP(E2975,'LEAID Match'!$A$2:$B$168,2,FALSE),"")</f>
        <v>3306150</v>
      </c>
    </row>
    <row r="2976" spans="1:10">
      <c r="A2976">
        <v>2017</v>
      </c>
      <c r="B2976" t="s">
        <v>1429</v>
      </c>
      <c r="C2976" t="s">
        <v>1431</v>
      </c>
      <c r="D2976" t="s">
        <v>1433</v>
      </c>
      <c r="E2976" t="s">
        <v>185</v>
      </c>
      <c r="F2976" t="s">
        <v>856</v>
      </c>
      <c r="G2976" s="28">
        <v>739954</v>
      </c>
      <c r="H2976">
        <v>0</v>
      </c>
      <c r="I2976" s="29">
        <f t="shared" si="46"/>
        <v>739954</v>
      </c>
      <c r="J2976">
        <f>IFERROR(VLOOKUP(E2976,'LEAID Match'!$A$2:$B$168,2,FALSE),"")</f>
        <v>3306150</v>
      </c>
    </row>
    <row r="2977" spans="1:10">
      <c r="A2977" s="27">
        <v>2018</v>
      </c>
      <c r="B2977" t="s">
        <v>1429</v>
      </c>
      <c r="C2977" t="s">
        <v>1431</v>
      </c>
      <c r="D2977" t="s">
        <v>1433</v>
      </c>
      <c r="E2977" t="s">
        <v>185</v>
      </c>
      <c r="F2977" s="9" t="s">
        <v>856</v>
      </c>
      <c r="G2977" s="18">
        <v>935307</v>
      </c>
      <c r="H2977">
        <v>0</v>
      </c>
      <c r="I2977" s="29">
        <f t="shared" si="46"/>
        <v>935307</v>
      </c>
      <c r="J2977">
        <f>IFERROR(VLOOKUP(E2977,'LEAID Match'!$A$2:$B$168,2,FALSE),"")</f>
        <v>3306150</v>
      </c>
    </row>
    <row r="2978" spans="1:10">
      <c r="A2978">
        <v>2019</v>
      </c>
      <c r="B2978" t="s">
        <v>1429</v>
      </c>
      <c r="C2978" t="s">
        <v>1431</v>
      </c>
      <c r="D2978" t="s">
        <v>1433</v>
      </c>
      <c r="E2978" t="s">
        <v>185</v>
      </c>
      <c r="F2978" s="9" t="s">
        <v>856</v>
      </c>
      <c r="G2978" s="18">
        <v>956617</v>
      </c>
      <c r="H2978">
        <v>0</v>
      </c>
      <c r="I2978" s="29">
        <f t="shared" si="46"/>
        <v>956617</v>
      </c>
      <c r="J2978">
        <f>IFERROR(VLOOKUP(E2978,'LEAID Match'!$A$2:$B$168,2,FALSE),"")</f>
        <v>3306150</v>
      </c>
    </row>
    <row r="2979" spans="1:10">
      <c r="A2979" s="27">
        <v>2020</v>
      </c>
      <c r="B2979" t="s">
        <v>1429</v>
      </c>
      <c r="C2979" t="s">
        <v>1431</v>
      </c>
      <c r="D2979" t="s">
        <v>1433</v>
      </c>
      <c r="E2979" t="s">
        <v>185</v>
      </c>
      <c r="F2979" s="9" t="s">
        <v>185</v>
      </c>
      <c r="G2979" s="18">
        <v>1043859</v>
      </c>
      <c r="H2979">
        <v>0</v>
      </c>
      <c r="I2979" s="29">
        <f t="shared" si="46"/>
        <v>1043859</v>
      </c>
      <c r="J2979">
        <f>IFERROR(VLOOKUP(E2979,'LEAID Match'!$A$2:$B$168,2,FALSE),"")</f>
        <v>3306150</v>
      </c>
    </row>
    <row r="2980" spans="1:10">
      <c r="A2980">
        <v>2021</v>
      </c>
      <c r="B2980" t="s">
        <v>1429</v>
      </c>
      <c r="C2980" t="s">
        <v>1431</v>
      </c>
      <c r="D2980" t="s">
        <v>1433</v>
      </c>
      <c r="E2980" t="s">
        <v>185</v>
      </c>
      <c r="F2980" s="9" t="s">
        <v>185</v>
      </c>
      <c r="G2980" s="18">
        <v>1099633</v>
      </c>
      <c r="H2980">
        <v>0</v>
      </c>
      <c r="I2980" s="29">
        <f t="shared" si="46"/>
        <v>1099633</v>
      </c>
      <c r="J2980">
        <f>IFERROR(VLOOKUP(E2980,'LEAID Match'!$A$2:$B$168,2,FALSE),"")</f>
        <v>3306150</v>
      </c>
    </row>
    <row r="2981" spans="1:10">
      <c r="A2981">
        <v>2022</v>
      </c>
      <c r="B2981" t="s">
        <v>1429</v>
      </c>
      <c r="C2981" t="s">
        <v>1431</v>
      </c>
      <c r="D2981" t="s">
        <v>1433</v>
      </c>
      <c r="E2981" t="s">
        <v>185</v>
      </c>
      <c r="F2981" s="9" t="s">
        <v>185</v>
      </c>
      <c r="G2981" s="18">
        <v>1474447</v>
      </c>
      <c r="H2981">
        <v>0</v>
      </c>
      <c r="I2981" s="29">
        <f t="shared" si="46"/>
        <v>1474447</v>
      </c>
      <c r="J2981">
        <f>IFERROR(VLOOKUP(E2981,'LEAID Match'!$A$2:$B$168,2,FALSE),"")</f>
        <v>3306150</v>
      </c>
    </row>
    <row r="2982" spans="1:10">
      <c r="A2982">
        <v>2023</v>
      </c>
      <c r="B2982" t="s">
        <v>1429</v>
      </c>
      <c r="C2982" t="s">
        <v>1431</v>
      </c>
      <c r="D2982" t="s">
        <v>1433</v>
      </c>
      <c r="E2982" t="s">
        <v>185</v>
      </c>
      <c r="F2982" t="s">
        <v>185</v>
      </c>
      <c r="G2982" s="28">
        <v>1523576</v>
      </c>
      <c r="H2982">
        <v>0</v>
      </c>
      <c r="I2982" s="29">
        <f t="shared" si="46"/>
        <v>1523576</v>
      </c>
      <c r="J2982">
        <f>IFERROR(VLOOKUP(E2982,'LEAID Match'!$A$2:$B$168,2,FALSE),"")</f>
        <v>3306150</v>
      </c>
    </row>
    <row r="2983" spans="1:10">
      <c r="A2983">
        <v>2015</v>
      </c>
      <c r="B2983" t="s">
        <v>1429</v>
      </c>
      <c r="C2983" t="s">
        <v>1431</v>
      </c>
      <c r="D2983" t="s">
        <v>1433</v>
      </c>
      <c r="E2983" t="s">
        <v>857</v>
      </c>
      <c r="F2983" s="9" t="s">
        <v>1340</v>
      </c>
      <c r="G2983" s="18">
        <v>69476.45</v>
      </c>
      <c r="H2983">
        <v>0</v>
      </c>
      <c r="I2983" s="29">
        <f t="shared" si="46"/>
        <v>69476.45</v>
      </c>
      <c r="J2983" t="str">
        <f>IFERROR(VLOOKUP(E2983,'LEAID Match'!$A$2:$B$168,2,FALSE),"")</f>
        <v/>
      </c>
    </row>
    <row r="2984" spans="1:10">
      <c r="A2984">
        <v>2016</v>
      </c>
      <c r="B2984" t="s">
        <v>1429</v>
      </c>
      <c r="C2984" t="s">
        <v>1431</v>
      </c>
      <c r="D2984" t="s">
        <v>1433</v>
      </c>
      <c r="E2984" t="s">
        <v>857</v>
      </c>
      <c r="F2984" t="s">
        <v>857</v>
      </c>
      <c r="G2984" s="28">
        <v>60562</v>
      </c>
      <c r="H2984">
        <v>0</v>
      </c>
      <c r="I2984" s="29">
        <f t="shared" si="46"/>
        <v>60562</v>
      </c>
      <c r="J2984" t="str">
        <f>IFERROR(VLOOKUP(E2984,'LEAID Match'!$A$2:$B$168,2,FALSE),"")</f>
        <v/>
      </c>
    </row>
    <row r="2985" spans="1:10">
      <c r="A2985">
        <v>2017</v>
      </c>
      <c r="B2985" t="s">
        <v>1429</v>
      </c>
      <c r="C2985" t="s">
        <v>1431</v>
      </c>
      <c r="D2985" t="s">
        <v>1433</v>
      </c>
      <c r="E2985" t="s">
        <v>857</v>
      </c>
      <c r="F2985" t="s">
        <v>857</v>
      </c>
      <c r="G2985" s="28">
        <v>66143</v>
      </c>
      <c r="H2985">
        <v>0</v>
      </c>
      <c r="I2985" s="29">
        <f t="shared" si="46"/>
        <v>66143</v>
      </c>
      <c r="J2985" t="str">
        <f>IFERROR(VLOOKUP(E2985,'LEAID Match'!$A$2:$B$168,2,FALSE),"")</f>
        <v/>
      </c>
    </row>
    <row r="2986" spans="1:10">
      <c r="A2986" s="27">
        <v>2018</v>
      </c>
      <c r="B2986" t="s">
        <v>1429</v>
      </c>
      <c r="C2986" t="s">
        <v>1431</v>
      </c>
      <c r="D2986" t="s">
        <v>1433</v>
      </c>
      <c r="E2986" t="s">
        <v>857</v>
      </c>
      <c r="F2986" s="9" t="s">
        <v>857</v>
      </c>
      <c r="G2986" s="18">
        <v>94776</v>
      </c>
      <c r="H2986">
        <v>0</v>
      </c>
      <c r="I2986" s="29">
        <f t="shared" si="46"/>
        <v>94776</v>
      </c>
      <c r="J2986" t="str">
        <f>IFERROR(VLOOKUP(E2986,'LEAID Match'!$A$2:$B$168,2,FALSE),"")</f>
        <v/>
      </c>
    </row>
    <row r="2987" spans="1:10">
      <c r="A2987">
        <v>2019</v>
      </c>
      <c r="B2987" t="s">
        <v>1429</v>
      </c>
      <c r="C2987" t="s">
        <v>1431</v>
      </c>
      <c r="D2987" t="s">
        <v>1433</v>
      </c>
      <c r="E2987" t="s">
        <v>857</v>
      </c>
      <c r="F2987" s="9" t="s">
        <v>857</v>
      </c>
      <c r="G2987" s="18">
        <v>98117</v>
      </c>
      <c r="H2987">
        <v>0</v>
      </c>
      <c r="I2987" s="29">
        <f t="shared" si="46"/>
        <v>98117</v>
      </c>
      <c r="J2987" t="str">
        <f>IFERROR(VLOOKUP(E2987,'LEAID Match'!$A$2:$B$168,2,FALSE),"")</f>
        <v/>
      </c>
    </row>
    <row r="2988" spans="1:10">
      <c r="A2988" s="27">
        <v>2020</v>
      </c>
      <c r="B2988" t="s">
        <v>1429</v>
      </c>
      <c r="C2988" t="s">
        <v>1431</v>
      </c>
      <c r="D2988" t="s">
        <v>1433</v>
      </c>
      <c r="E2988" t="s">
        <v>857</v>
      </c>
      <c r="F2988" s="9" t="s">
        <v>186</v>
      </c>
      <c r="G2988" s="18">
        <v>125340</v>
      </c>
      <c r="H2988">
        <v>0</v>
      </c>
      <c r="I2988" s="29">
        <f t="shared" si="46"/>
        <v>125340</v>
      </c>
      <c r="J2988" t="str">
        <f>IFERROR(VLOOKUP(E2988,'LEAID Match'!$A$2:$B$168,2,FALSE),"")</f>
        <v/>
      </c>
    </row>
    <row r="2989" spans="1:10">
      <c r="A2989">
        <v>2021</v>
      </c>
      <c r="B2989" t="s">
        <v>1429</v>
      </c>
      <c r="C2989" t="s">
        <v>1431</v>
      </c>
      <c r="D2989" t="s">
        <v>1433</v>
      </c>
      <c r="E2989" t="s">
        <v>857</v>
      </c>
      <c r="F2989" s="9" t="s">
        <v>186</v>
      </c>
      <c r="G2989" s="18">
        <v>124317</v>
      </c>
      <c r="H2989">
        <v>0</v>
      </c>
      <c r="I2989" s="29">
        <f t="shared" si="46"/>
        <v>124317</v>
      </c>
      <c r="J2989" t="str">
        <f>IFERROR(VLOOKUP(E2989,'LEAID Match'!$A$2:$B$168,2,FALSE),"")</f>
        <v/>
      </c>
    </row>
    <row r="2990" spans="1:10">
      <c r="A2990">
        <v>2022</v>
      </c>
      <c r="B2990" t="s">
        <v>1429</v>
      </c>
      <c r="C2990" t="s">
        <v>1431</v>
      </c>
      <c r="D2990" t="s">
        <v>1433</v>
      </c>
      <c r="E2990" t="s">
        <v>857</v>
      </c>
      <c r="F2990" s="9" t="s">
        <v>186</v>
      </c>
      <c r="G2990" s="18">
        <v>203135</v>
      </c>
      <c r="H2990">
        <v>0</v>
      </c>
      <c r="I2990" s="29">
        <f t="shared" si="46"/>
        <v>203135</v>
      </c>
      <c r="J2990" t="str">
        <f>IFERROR(VLOOKUP(E2990,'LEAID Match'!$A$2:$B$168,2,FALSE),"")</f>
        <v/>
      </c>
    </row>
    <row r="2991" spans="1:10">
      <c r="A2991">
        <v>2023</v>
      </c>
      <c r="B2991" t="s">
        <v>1429</v>
      </c>
      <c r="C2991" t="s">
        <v>1431</v>
      </c>
      <c r="D2991" t="s">
        <v>1433</v>
      </c>
      <c r="E2991" t="s">
        <v>857</v>
      </c>
      <c r="F2991" t="s">
        <v>186</v>
      </c>
      <c r="G2991" s="28">
        <v>209811</v>
      </c>
      <c r="H2991">
        <v>0</v>
      </c>
      <c r="I2991" s="29">
        <f t="shared" si="46"/>
        <v>209811</v>
      </c>
      <c r="J2991" t="str">
        <f>IFERROR(VLOOKUP(E2991,'LEAID Match'!$A$2:$B$168,2,FALSE),"")</f>
        <v/>
      </c>
    </row>
    <row r="2992" spans="1:10">
      <c r="A2992">
        <v>2015</v>
      </c>
      <c r="B2992" t="s">
        <v>1429</v>
      </c>
      <c r="C2992" t="s">
        <v>1431</v>
      </c>
      <c r="D2992" t="s">
        <v>1433</v>
      </c>
      <c r="E2992" t="s">
        <v>858</v>
      </c>
      <c r="F2992" s="9" t="s">
        <v>1341</v>
      </c>
      <c r="G2992" s="18">
        <v>1127797.08</v>
      </c>
      <c r="H2992">
        <v>0</v>
      </c>
      <c r="I2992" s="29">
        <f t="shared" si="46"/>
        <v>1127797.08</v>
      </c>
      <c r="J2992">
        <f>IFERROR(VLOOKUP(E2992,'LEAID Match'!$A$2:$B$168,2,FALSE),"")</f>
        <v>3306180</v>
      </c>
    </row>
    <row r="2993" spans="1:10">
      <c r="A2993">
        <v>2016</v>
      </c>
      <c r="B2993" t="s">
        <v>1429</v>
      </c>
      <c r="C2993" t="s">
        <v>1431</v>
      </c>
      <c r="D2993" t="s">
        <v>1433</v>
      </c>
      <c r="E2993" t="s">
        <v>858</v>
      </c>
      <c r="F2993" t="s">
        <v>858</v>
      </c>
      <c r="G2993" s="28">
        <v>1246303</v>
      </c>
      <c r="H2993">
        <v>0</v>
      </c>
      <c r="I2993" s="29">
        <f t="shared" si="46"/>
        <v>1246303</v>
      </c>
      <c r="J2993">
        <f>IFERROR(VLOOKUP(E2993,'LEAID Match'!$A$2:$B$168,2,FALSE),"")</f>
        <v>3306180</v>
      </c>
    </row>
    <row r="2994" spans="1:10">
      <c r="A2994">
        <v>2017</v>
      </c>
      <c r="B2994" t="s">
        <v>1429</v>
      </c>
      <c r="C2994" t="s">
        <v>1431</v>
      </c>
      <c r="D2994" t="s">
        <v>1433</v>
      </c>
      <c r="E2994" t="s">
        <v>858</v>
      </c>
      <c r="F2994" t="s">
        <v>858</v>
      </c>
      <c r="G2994" s="28">
        <v>1227291</v>
      </c>
      <c r="H2994">
        <v>0</v>
      </c>
      <c r="I2994" s="29">
        <f t="shared" si="46"/>
        <v>1227291</v>
      </c>
      <c r="J2994">
        <f>IFERROR(VLOOKUP(E2994,'LEAID Match'!$A$2:$B$168,2,FALSE),"")</f>
        <v>3306180</v>
      </c>
    </row>
    <row r="2995" spans="1:10">
      <c r="A2995" s="27">
        <v>2018</v>
      </c>
      <c r="B2995" t="s">
        <v>1429</v>
      </c>
      <c r="C2995" t="s">
        <v>1431</v>
      </c>
      <c r="D2995" t="s">
        <v>1433</v>
      </c>
      <c r="E2995" t="s">
        <v>858</v>
      </c>
      <c r="F2995" s="9" t="s">
        <v>858</v>
      </c>
      <c r="G2995" s="18">
        <v>1530989</v>
      </c>
      <c r="H2995">
        <v>0</v>
      </c>
      <c r="I2995" s="29">
        <f t="shared" si="46"/>
        <v>1530989</v>
      </c>
      <c r="J2995">
        <f>IFERROR(VLOOKUP(E2995,'LEAID Match'!$A$2:$B$168,2,FALSE),"")</f>
        <v>3306180</v>
      </c>
    </row>
    <row r="2996" spans="1:10">
      <c r="A2996">
        <v>2019</v>
      </c>
      <c r="B2996" t="s">
        <v>1429</v>
      </c>
      <c r="C2996" t="s">
        <v>1431</v>
      </c>
      <c r="D2996" t="s">
        <v>1433</v>
      </c>
      <c r="E2996" t="s">
        <v>858</v>
      </c>
      <c r="F2996" s="9" t="s">
        <v>858</v>
      </c>
      <c r="G2996" s="18">
        <v>1558858</v>
      </c>
      <c r="H2996">
        <v>0</v>
      </c>
      <c r="I2996" s="29">
        <f t="shared" si="46"/>
        <v>1558858</v>
      </c>
      <c r="J2996">
        <f>IFERROR(VLOOKUP(E2996,'LEAID Match'!$A$2:$B$168,2,FALSE),"")</f>
        <v>3306180</v>
      </c>
    </row>
    <row r="2997" spans="1:10">
      <c r="A2997" s="27">
        <v>2020</v>
      </c>
      <c r="B2997" t="s">
        <v>1429</v>
      </c>
      <c r="C2997" t="s">
        <v>1431</v>
      </c>
      <c r="D2997" t="s">
        <v>1433</v>
      </c>
      <c r="E2997" t="s">
        <v>858</v>
      </c>
      <c r="F2997" s="9" t="s">
        <v>187</v>
      </c>
      <c r="G2997" s="18">
        <v>1602937</v>
      </c>
      <c r="H2997">
        <v>0</v>
      </c>
      <c r="I2997" s="29">
        <f t="shared" si="46"/>
        <v>1602937</v>
      </c>
      <c r="J2997">
        <f>IFERROR(VLOOKUP(E2997,'LEAID Match'!$A$2:$B$168,2,FALSE),"")</f>
        <v>3306180</v>
      </c>
    </row>
    <row r="2998" spans="1:10">
      <c r="A2998">
        <v>2021</v>
      </c>
      <c r="B2998" t="s">
        <v>1429</v>
      </c>
      <c r="C2998" t="s">
        <v>1431</v>
      </c>
      <c r="D2998" t="s">
        <v>1433</v>
      </c>
      <c r="E2998" t="s">
        <v>858</v>
      </c>
      <c r="F2998" s="9" t="s">
        <v>187</v>
      </c>
      <c r="G2998" s="18">
        <v>1640607</v>
      </c>
      <c r="H2998">
        <v>0</v>
      </c>
      <c r="I2998" s="29">
        <f t="shared" si="46"/>
        <v>1640607</v>
      </c>
      <c r="J2998">
        <f>IFERROR(VLOOKUP(E2998,'LEAID Match'!$A$2:$B$168,2,FALSE),"")</f>
        <v>3306180</v>
      </c>
    </row>
    <row r="2999" spans="1:10">
      <c r="A2999">
        <v>2022</v>
      </c>
      <c r="B2999" t="s">
        <v>1429</v>
      </c>
      <c r="C2999" t="s">
        <v>1431</v>
      </c>
      <c r="D2999" t="s">
        <v>1433</v>
      </c>
      <c r="E2999" t="s">
        <v>858</v>
      </c>
      <c r="F2999" s="9" t="s">
        <v>187</v>
      </c>
      <c r="G2999" s="18">
        <v>2032711</v>
      </c>
      <c r="H2999">
        <v>0</v>
      </c>
      <c r="I2999" s="29">
        <f t="shared" si="46"/>
        <v>2032711</v>
      </c>
      <c r="J2999">
        <f>IFERROR(VLOOKUP(E2999,'LEAID Match'!$A$2:$B$168,2,FALSE),"")</f>
        <v>3306180</v>
      </c>
    </row>
    <row r="3000" spans="1:10">
      <c r="A3000">
        <v>2023</v>
      </c>
      <c r="B3000" t="s">
        <v>1429</v>
      </c>
      <c r="C3000" t="s">
        <v>1431</v>
      </c>
      <c r="D3000" t="s">
        <v>1433</v>
      </c>
      <c r="E3000" t="s">
        <v>858</v>
      </c>
      <c r="F3000" t="s">
        <v>187</v>
      </c>
      <c r="G3000" s="28">
        <v>2039494</v>
      </c>
      <c r="H3000">
        <v>0</v>
      </c>
      <c r="I3000" s="29">
        <f t="shared" si="46"/>
        <v>2039494</v>
      </c>
      <c r="J3000">
        <f>IFERROR(VLOOKUP(E3000,'LEAID Match'!$A$2:$B$168,2,FALSE),"")</f>
        <v>3306180</v>
      </c>
    </row>
    <row r="3001" spans="1:10">
      <c r="A3001">
        <v>2015</v>
      </c>
      <c r="B3001" t="s">
        <v>1429</v>
      </c>
      <c r="C3001" t="s">
        <v>1431</v>
      </c>
      <c r="D3001" t="s">
        <v>1433</v>
      </c>
      <c r="E3001" t="s">
        <v>859</v>
      </c>
      <c r="F3001" s="9" t="s">
        <v>1342</v>
      </c>
      <c r="G3001" s="18">
        <v>9590.51</v>
      </c>
      <c r="H3001">
        <v>0</v>
      </c>
      <c r="I3001" s="29">
        <f t="shared" si="46"/>
        <v>9590.51</v>
      </c>
      <c r="J3001" t="str">
        <f>IFERROR(VLOOKUP(E3001,'LEAID Match'!$A$2:$B$168,2,FALSE),"")</f>
        <v/>
      </c>
    </row>
    <row r="3002" spans="1:10">
      <c r="A3002">
        <v>2016</v>
      </c>
      <c r="B3002" t="s">
        <v>1429</v>
      </c>
      <c r="C3002" t="s">
        <v>1431</v>
      </c>
      <c r="D3002" t="s">
        <v>1433</v>
      </c>
      <c r="E3002" t="s">
        <v>859</v>
      </c>
      <c r="F3002" t="s">
        <v>859</v>
      </c>
      <c r="G3002" s="28">
        <v>9561</v>
      </c>
      <c r="H3002">
        <v>0</v>
      </c>
      <c r="I3002" s="29">
        <f t="shared" si="46"/>
        <v>9561</v>
      </c>
      <c r="J3002" t="str">
        <f>IFERROR(VLOOKUP(E3002,'LEAID Match'!$A$2:$B$168,2,FALSE),"")</f>
        <v/>
      </c>
    </row>
    <row r="3003" spans="1:10">
      <c r="A3003">
        <v>2017</v>
      </c>
      <c r="B3003" t="s">
        <v>1429</v>
      </c>
      <c r="C3003" t="s">
        <v>1431</v>
      </c>
      <c r="D3003" t="s">
        <v>1433</v>
      </c>
      <c r="E3003" t="s">
        <v>859</v>
      </c>
      <c r="F3003" t="s">
        <v>859</v>
      </c>
      <c r="G3003" s="28">
        <v>10332</v>
      </c>
      <c r="H3003">
        <v>0</v>
      </c>
      <c r="I3003" s="29">
        <f t="shared" si="46"/>
        <v>10332</v>
      </c>
      <c r="J3003" t="str">
        <f>IFERROR(VLOOKUP(E3003,'LEAID Match'!$A$2:$B$168,2,FALSE),"")</f>
        <v/>
      </c>
    </row>
    <row r="3004" spans="1:10">
      <c r="A3004" s="27">
        <v>2018</v>
      </c>
      <c r="B3004" t="s">
        <v>1429</v>
      </c>
      <c r="C3004" t="s">
        <v>1431</v>
      </c>
      <c r="D3004" t="s">
        <v>1433</v>
      </c>
      <c r="E3004" t="s">
        <v>859</v>
      </c>
      <c r="F3004" s="9" t="s">
        <v>859</v>
      </c>
      <c r="G3004" s="18">
        <v>11728</v>
      </c>
      <c r="H3004">
        <v>0</v>
      </c>
      <c r="I3004" s="29">
        <f t="shared" si="46"/>
        <v>11728</v>
      </c>
      <c r="J3004" t="str">
        <f>IFERROR(VLOOKUP(E3004,'LEAID Match'!$A$2:$B$168,2,FALSE),"")</f>
        <v/>
      </c>
    </row>
    <row r="3005" spans="1:10">
      <c r="A3005">
        <v>2019</v>
      </c>
      <c r="B3005" t="s">
        <v>1429</v>
      </c>
      <c r="C3005" t="s">
        <v>1431</v>
      </c>
      <c r="D3005" t="s">
        <v>1433</v>
      </c>
      <c r="E3005" t="s">
        <v>859</v>
      </c>
      <c r="F3005" s="9" t="s">
        <v>859</v>
      </c>
      <c r="G3005" s="18">
        <v>17328</v>
      </c>
      <c r="H3005">
        <v>0</v>
      </c>
      <c r="I3005" s="29">
        <f t="shared" si="46"/>
        <v>17328</v>
      </c>
      <c r="J3005" t="str">
        <f>IFERROR(VLOOKUP(E3005,'LEAID Match'!$A$2:$B$168,2,FALSE),"")</f>
        <v/>
      </c>
    </row>
    <row r="3006" spans="1:10">
      <c r="A3006">
        <v>2015</v>
      </c>
      <c r="B3006" t="s">
        <v>1429</v>
      </c>
      <c r="C3006" t="s">
        <v>1431</v>
      </c>
      <c r="D3006" t="s">
        <v>1433</v>
      </c>
      <c r="E3006" t="s">
        <v>860</v>
      </c>
      <c r="F3006" s="9" t="s">
        <v>1343</v>
      </c>
      <c r="G3006" s="18">
        <v>850610.46</v>
      </c>
      <c r="H3006">
        <v>0</v>
      </c>
      <c r="I3006" s="29">
        <f t="shared" si="46"/>
        <v>850610.46</v>
      </c>
      <c r="J3006" t="str">
        <f>IFERROR(VLOOKUP(E3006,'LEAID Match'!$A$2:$B$168,2,FALSE),"")</f>
        <v/>
      </c>
    </row>
    <row r="3007" spans="1:10">
      <c r="A3007">
        <v>2016</v>
      </c>
      <c r="B3007" t="s">
        <v>1429</v>
      </c>
      <c r="C3007" t="s">
        <v>1431</v>
      </c>
      <c r="D3007" t="s">
        <v>1433</v>
      </c>
      <c r="E3007" t="s">
        <v>860</v>
      </c>
      <c r="F3007" t="s">
        <v>860</v>
      </c>
      <c r="G3007" s="28">
        <v>937547</v>
      </c>
      <c r="H3007">
        <v>0</v>
      </c>
      <c r="I3007" s="29">
        <f t="shared" si="46"/>
        <v>937547</v>
      </c>
      <c r="J3007" t="str">
        <f>IFERROR(VLOOKUP(E3007,'LEAID Match'!$A$2:$B$168,2,FALSE),"")</f>
        <v/>
      </c>
    </row>
    <row r="3008" spans="1:10">
      <c r="A3008">
        <v>2017</v>
      </c>
      <c r="B3008" t="s">
        <v>1429</v>
      </c>
      <c r="C3008" t="s">
        <v>1431</v>
      </c>
      <c r="D3008" t="s">
        <v>1433</v>
      </c>
      <c r="E3008" t="s">
        <v>860</v>
      </c>
      <c r="F3008" t="s">
        <v>860</v>
      </c>
      <c r="G3008" s="28">
        <v>917982</v>
      </c>
      <c r="H3008">
        <v>0</v>
      </c>
      <c r="I3008" s="29">
        <f t="shared" si="46"/>
        <v>917982</v>
      </c>
      <c r="J3008" t="str">
        <f>IFERROR(VLOOKUP(E3008,'LEAID Match'!$A$2:$B$168,2,FALSE),"")</f>
        <v/>
      </c>
    </row>
    <row r="3009" spans="1:10">
      <c r="A3009" s="27">
        <v>2018</v>
      </c>
      <c r="B3009" t="s">
        <v>1429</v>
      </c>
      <c r="C3009" t="s">
        <v>1431</v>
      </c>
      <c r="D3009" t="s">
        <v>1433</v>
      </c>
      <c r="E3009" t="s">
        <v>860</v>
      </c>
      <c r="F3009" s="9" t="s">
        <v>860</v>
      </c>
      <c r="G3009" s="18">
        <v>1024659</v>
      </c>
      <c r="H3009">
        <v>0</v>
      </c>
      <c r="I3009" s="29">
        <f t="shared" si="46"/>
        <v>1024659</v>
      </c>
      <c r="J3009" t="str">
        <f>IFERROR(VLOOKUP(E3009,'LEAID Match'!$A$2:$B$168,2,FALSE),"")</f>
        <v/>
      </c>
    </row>
    <row r="3010" spans="1:10">
      <c r="A3010">
        <v>2019</v>
      </c>
      <c r="B3010" t="s">
        <v>1429</v>
      </c>
      <c r="C3010" t="s">
        <v>1431</v>
      </c>
      <c r="D3010" t="s">
        <v>1433</v>
      </c>
      <c r="E3010" t="s">
        <v>860</v>
      </c>
      <c r="F3010" s="9" t="s">
        <v>860</v>
      </c>
      <c r="G3010" s="18">
        <v>1064383</v>
      </c>
      <c r="H3010">
        <v>0</v>
      </c>
      <c r="I3010" s="29">
        <f t="shared" si="46"/>
        <v>1064383</v>
      </c>
      <c r="J3010" t="str">
        <f>IFERROR(VLOOKUP(E3010,'LEAID Match'!$A$2:$B$168,2,FALSE),"")</f>
        <v/>
      </c>
    </row>
    <row r="3011" spans="1:10">
      <c r="A3011">
        <v>2015</v>
      </c>
      <c r="B3011" t="s">
        <v>1429</v>
      </c>
      <c r="C3011" t="s">
        <v>1431</v>
      </c>
      <c r="D3011" t="s">
        <v>1433</v>
      </c>
      <c r="E3011" t="s">
        <v>188</v>
      </c>
      <c r="F3011" s="9" t="s">
        <v>1344</v>
      </c>
      <c r="G3011" s="18">
        <v>52783.58</v>
      </c>
      <c r="H3011">
        <v>0</v>
      </c>
      <c r="I3011" s="29">
        <f t="shared" ref="I3011:I3074" si="47">SUM(G3011:H3011)</f>
        <v>52783.58</v>
      </c>
      <c r="J3011" t="str">
        <f>IFERROR(VLOOKUP(E3011,'LEAID Match'!$A$2:$B$168,2,FALSE),"")</f>
        <v/>
      </c>
    </row>
    <row r="3012" spans="1:10">
      <c r="A3012">
        <v>2016</v>
      </c>
      <c r="B3012" t="s">
        <v>1429</v>
      </c>
      <c r="C3012" t="s">
        <v>1431</v>
      </c>
      <c r="D3012" t="s">
        <v>1433</v>
      </c>
      <c r="E3012" t="s">
        <v>188</v>
      </c>
      <c r="F3012" t="s">
        <v>188</v>
      </c>
      <c r="G3012" s="28">
        <v>54412</v>
      </c>
      <c r="H3012">
        <v>0</v>
      </c>
      <c r="I3012" s="29">
        <f t="shared" si="47"/>
        <v>54412</v>
      </c>
      <c r="J3012" t="str">
        <f>IFERROR(VLOOKUP(E3012,'LEAID Match'!$A$2:$B$168,2,FALSE),"")</f>
        <v/>
      </c>
    </row>
    <row r="3013" spans="1:10">
      <c r="A3013">
        <v>2017</v>
      </c>
      <c r="B3013" t="s">
        <v>1429</v>
      </c>
      <c r="C3013" t="s">
        <v>1431</v>
      </c>
      <c r="D3013" t="s">
        <v>1433</v>
      </c>
      <c r="E3013" t="s">
        <v>188</v>
      </c>
      <c r="F3013" t="s">
        <v>188</v>
      </c>
      <c r="G3013" s="28">
        <v>52900</v>
      </c>
      <c r="H3013">
        <v>0</v>
      </c>
      <c r="I3013" s="29">
        <f t="shared" si="47"/>
        <v>52900</v>
      </c>
      <c r="J3013" t="str">
        <f>IFERROR(VLOOKUP(E3013,'LEAID Match'!$A$2:$B$168,2,FALSE),"")</f>
        <v/>
      </c>
    </row>
    <row r="3014" spans="1:10">
      <c r="A3014" s="27">
        <v>2018</v>
      </c>
      <c r="B3014" t="s">
        <v>1429</v>
      </c>
      <c r="C3014" t="s">
        <v>1431</v>
      </c>
      <c r="D3014" t="s">
        <v>1433</v>
      </c>
      <c r="E3014" t="s">
        <v>188</v>
      </c>
      <c r="F3014" s="9" t="s">
        <v>188</v>
      </c>
      <c r="G3014" s="18">
        <v>52670</v>
      </c>
      <c r="H3014">
        <v>0</v>
      </c>
      <c r="I3014" s="29">
        <f t="shared" si="47"/>
        <v>52670</v>
      </c>
      <c r="J3014" t="str">
        <f>IFERROR(VLOOKUP(E3014,'LEAID Match'!$A$2:$B$168,2,FALSE),"")</f>
        <v/>
      </c>
    </row>
    <row r="3015" spans="1:10">
      <c r="A3015">
        <v>2019</v>
      </c>
      <c r="B3015" t="s">
        <v>1429</v>
      </c>
      <c r="C3015" t="s">
        <v>1431</v>
      </c>
      <c r="D3015" t="s">
        <v>1433</v>
      </c>
      <c r="E3015" t="s">
        <v>188</v>
      </c>
      <c r="F3015" s="9" t="s">
        <v>188</v>
      </c>
      <c r="G3015" s="18">
        <v>54098</v>
      </c>
      <c r="H3015">
        <v>0</v>
      </c>
      <c r="I3015" s="29">
        <f t="shared" si="47"/>
        <v>54098</v>
      </c>
      <c r="J3015" t="str">
        <f>IFERROR(VLOOKUP(E3015,'LEAID Match'!$A$2:$B$168,2,FALSE),"")</f>
        <v/>
      </c>
    </row>
    <row r="3016" spans="1:10">
      <c r="A3016" s="27">
        <v>2020</v>
      </c>
      <c r="B3016" t="s">
        <v>1429</v>
      </c>
      <c r="C3016" t="s">
        <v>1431</v>
      </c>
      <c r="D3016" t="s">
        <v>1433</v>
      </c>
      <c r="E3016" t="s">
        <v>188</v>
      </c>
      <c r="F3016" s="9" t="s">
        <v>188</v>
      </c>
      <c r="G3016" s="18">
        <v>56345</v>
      </c>
      <c r="H3016">
        <v>0</v>
      </c>
      <c r="I3016" s="29">
        <f t="shared" si="47"/>
        <v>56345</v>
      </c>
      <c r="J3016" t="str">
        <f>IFERROR(VLOOKUP(E3016,'LEAID Match'!$A$2:$B$168,2,FALSE),"")</f>
        <v/>
      </c>
    </row>
    <row r="3017" spans="1:10">
      <c r="A3017">
        <v>2021</v>
      </c>
      <c r="B3017" t="s">
        <v>1429</v>
      </c>
      <c r="C3017" t="s">
        <v>1431</v>
      </c>
      <c r="D3017" t="s">
        <v>1433</v>
      </c>
      <c r="E3017" t="s">
        <v>188</v>
      </c>
      <c r="F3017" s="9" t="s">
        <v>188</v>
      </c>
      <c r="G3017" s="18">
        <v>63161</v>
      </c>
      <c r="H3017">
        <v>0</v>
      </c>
      <c r="I3017" s="29">
        <f t="shared" si="47"/>
        <v>63161</v>
      </c>
      <c r="J3017" t="str">
        <f>IFERROR(VLOOKUP(E3017,'LEAID Match'!$A$2:$B$168,2,FALSE),"")</f>
        <v/>
      </c>
    </row>
    <row r="3018" spans="1:10">
      <c r="A3018">
        <v>2022</v>
      </c>
      <c r="B3018" t="s">
        <v>1429</v>
      </c>
      <c r="C3018" t="s">
        <v>1431</v>
      </c>
      <c r="D3018" t="s">
        <v>1433</v>
      </c>
      <c r="E3018" t="s">
        <v>188</v>
      </c>
      <c r="F3018" s="9" t="s">
        <v>188</v>
      </c>
      <c r="G3018" s="18">
        <v>85961</v>
      </c>
      <c r="H3018">
        <v>0</v>
      </c>
      <c r="I3018" s="29">
        <f t="shared" si="47"/>
        <v>85961</v>
      </c>
      <c r="J3018" t="str">
        <f>IFERROR(VLOOKUP(E3018,'LEAID Match'!$A$2:$B$168,2,FALSE),"")</f>
        <v/>
      </c>
    </row>
    <row r="3019" spans="1:10">
      <c r="A3019">
        <v>2023</v>
      </c>
      <c r="B3019" t="s">
        <v>1429</v>
      </c>
      <c r="C3019" t="s">
        <v>1431</v>
      </c>
      <c r="D3019" t="s">
        <v>1433</v>
      </c>
      <c r="E3019" t="s">
        <v>188</v>
      </c>
      <c r="F3019" t="s">
        <v>188</v>
      </c>
      <c r="G3019" s="28">
        <v>85061</v>
      </c>
      <c r="H3019">
        <v>0</v>
      </c>
      <c r="I3019" s="29">
        <f t="shared" si="47"/>
        <v>85061</v>
      </c>
      <c r="J3019" t="str">
        <f>IFERROR(VLOOKUP(E3019,'LEAID Match'!$A$2:$B$168,2,FALSE),"")</f>
        <v/>
      </c>
    </row>
    <row r="3020" spans="1:10">
      <c r="A3020">
        <v>2015</v>
      </c>
      <c r="B3020" t="s">
        <v>1429</v>
      </c>
      <c r="C3020" t="s">
        <v>1431</v>
      </c>
      <c r="D3020" t="s">
        <v>1433</v>
      </c>
      <c r="E3020" t="s">
        <v>189</v>
      </c>
      <c r="F3020" s="9" t="s">
        <v>1345</v>
      </c>
      <c r="G3020" s="18">
        <v>1276726.3600000001</v>
      </c>
      <c r="H3020">
        <v>0</v>
      </c>
      <c r="I3020" s="29">
        <f t="shared" si="47"/>
        <v>1276726.3600000001</v>
      </c>
      <c r="J3020">
        <f>IFERROR(VLOOKUP(E3020,'LEAID Match'!$A$2:$B$168,2,FALSE),"")</f>
        <v>3306240</v>
      </c>
    </row>
    <row r="3021" spans="1:10">
      <c r="A3021">
        <v>2016</v>
      </c>
      <c r="B3021" t="s">
        <v>1429</v>
      </c>
      <c r="C3021" t="s">
        <v>1431</v>
      </c>
      <c r="D3021" t="s">
        <v>1433</v>
      </c>
      <c r="E3021" t="s">
        <v>189</v>
      </c>
      <c r="F3021" t="s">
        <v>861</v>
      </c>
      <c r="G3021" s="28">
        <v>1364174</v>
      </c>
      <c r="H3021">
        <v>0</v>
      </c>
      <c r="I3021" s="29">
        <f t="shared" si="47"/>
        <v>1364174</v>
      </c>
      <c r="J3021">
        <f>IFERROR(VLOOKUP(E3021,'LEAID Match'!$A$2:$B$168,2,FALSE),"")</f>
        <v>3306240</v>
      </c>
    </row>
    <row r="3022" spans="1:10">
      <c r="A3022">
        <v>2017</v>
      </c>
      <c r="B3022" t="s">
        <v>1429</v>
      </c>
      <c r="C3022" t="s">
        <v>1431</v>
      </c>
      <c r="D3022" t="s">
        <v>1433</v>
      </c>
      <c r="E3022" t="s">
        <v>189</v>
      </c>
      <c r="F3022" t="s">
        <v>861</v>
      </c>
      <c r="G3022" s="28">
        <v>1367617</v>
      </c>
      <c r="H3022">
        <v>0</v>
      </c>
      <c r="I3022" s="29">
        <f t="shared" si="47"/>
        <v>1367617</v>
      </c>
      <c r="J3022">
        <f>IFERROR(VLOOKUP(E3022,'LEAID Match'!$A$2:$B$168,2,FALSE),"")</f>
        <v>3306240</v>
      </c>
    </row>
    <row r="3023" spans="1:10">
      <c r="A3023" s="27">
        <v>2018</v>
      </c>
      <c r="B3023" t="s">
        <v>1429</v>
      </c>
      <c r="C3023" t="s">
        <v>1431</v>
      </c>
      <c r="D3023" t="s">
        <v>1433</v>
      </c>
      <c r="E3023" t="s">
        <v>189</v>
      </c>
      <c r="F3023" s="9" t="s">
        <v>861</v>
      </c>
      <c r="G3023" s="18">
        <v>1618372</v>
      </c>
      <c r="H3023">
        <v>0</v>
      </c>
      <c r="I3023" s="29">
        <f t="shared" si="47"/>
        <v>1618372</v>
      </c>
      <c r="J3023">
        <f>IFERROR(VLOOKUP(E3023,'LEAID Match'!$A$2:$B$168,2,FALSE),"")</f>
        <v>3306240</v>
      </c>
    </row>
    <row r="3024" spans="1:10">
      <c r="A3024">
        <v>2019</v>
      </c>
      <c r="B3024" t="s">
        <v>1429</v>
      </c>
      <c r="C3024" t="s">
        <v>1431</v>
      </c>
      <c r="D3024" t="s">
        <v>1433</v>
      </c>
      <c r="E3024" t="s">
        <v>189</v>
      </c>
      <c r="F3024" s="9" t="s">
        <v>861</v>
      </c>
      <c r="G3024" s="18">
        <v>1601632</v>
      </c>
      <c r="H3024">
        <v>0</v>
      </c>
      <c r="I3024" s="29">
        <f t="shared" si="47"/>
        <v>1601632</v>
      </c>
      <c r="J3024">
        <f>IFERROR(VLOOKUP(E3024,'LEAID Match'!$A$2:$B$168,2,FALSE),"")</f>
        <v>3306240</v>
      </c>
    </row>
    <row r="3025" spans="1:10">
      <c r="A3025" s="27">
        <v>2020</v>
      </c>
      <c r="B3025" t="s">
        <v>1429</v>
      </c>
      <c r="C3025" t="s">
        <v>1431</v>
      </c>
      <c r="D3025" t="s">
        <v>1433</v>
      </c>
      <c r="E3025" t="s">
        <v>189</v>
      </c>
      <c r="F3025" s="9" t="s">
        <v>189</v>
      </c>
      <c r="G3025" s="18">
        <v>1638671</v>
      </c>
      <c r="H3025">
        <v>0</v>
      </c>
      <c r="I3025" s="29">
        <f t="shared" si="47"/>
        <v>1638671</v>
      </c>
      <c r="J3025">
        <f>IFERROR(VLOOKUP(E3025,'LEAID Match'!$A$2:$B$168,2,FALSE),"")</f>
        <v>3306240</v>
      </c>
    </row>
    <row r="3026" spans="1:10">
      <c r="A3026">
        <v>2021</v>
      </c>
      <c r="B3026" t="s">
        <v>1429</v>
      </c>
      <c r="C3026" t="s">
        <v>1431</v>
      </c>
      <c r="D3026" t="s">
        <v>1433</v>
      </c>
      <c r="E3026" t="s">
        <v>189</v>
      </c>
      <c r="F3026" s="9" t="s">
        <v>189</v>
      </c>
      <c r="G3026" s="18">
        <v>1697804</v>
      </c>
      <c r="H3026">
        <v>0</v>
      </c>
      <c r="I3026" s="29">
        <f t="shared" si="47"/>
        <v>1697804</v>
      </c>
      <c r="J3026">
        <f>IFERROR(VLOOKUP(E3026,'LEAID Match'!$A$2:$B$168,2,FALSE),"")</f>
        <v>3306240</v>
      </c>
    </row>
    <row r="3027" spans="1:10">
      <c r="A3027">
        <v>2022</v>
      </c>
      <c r="B3027" t="s">
        <v>1429</v>
      </c>
      <c r="C3027" t="s">
        <v>1431</v>
      </c>
      <c r="D3027" t="s">
        <v>1433</v>
      </c>
      <c r="E3027" t="s">
        <v>189</v>
      </c>
      <c r="F3027" s="9" t="s">
        <v>189</v>
      </c>
      <c r="G3027" s="18">
        <v>2250627</v>
      </c>
      <c r="H3027">
        <v>0</v>
      </c>
      <c r="I3027" s="29">
        <f t="shared" si="47"/>
        <v>2250627</v>
      </c>
      <c r="J3027">
        <f>IFERROR(VLOOKUP(E3027,'LEAID Match'!$A$2:$B$168,2,FALSE),"")</f>
        <v>3306240</v>
      </c>
    </row>
    <row r="3028" spans="1:10">
      <c r="A3028">
        <v>2023</v>
      </c>
      <c r="B3028" t="s">
        <v>1429</v>
      </c>
      <c r="C3028" t="s">
        <v>1431</v>
      </c>
      <c r="D3028" t="s">
        <v>1433</v>
      </c>
      <c r="E3028" t="s">
        <v>189</v>
      </c>
      <c r="F3028" t="s">
        <v>189</v>
      </c>
      <c r="G3028" s="28">
        <v>2302287</v>
      </c>
      <c r="H3028">
        <v>0</v>
      </c>
      <c r="I3028" s="29">
        <f t="shared" si="47"/>
        <v>2302287</v>
      </c>
      <c r="J3028">
        <f>IFERROR(VLOOKUP(E3028,'LEAID Match'!$A$2:$B$168,2,FALSE),"")</f>
        <v>3306240</v>
      </c>
    </row>
    <row r="3029" spans="1:10">
      <c r="A3029">
        <v>2015</v>
      </c>
      <c r="B3029" t="s">
        <v>1429</v>
      </c>
      <c r="C3029" t="s">
        <v>1431</v>
      </c>
      <c r="D3029" t="s">
        <v>1433</v>
      </c>
      <c r="E3029" t="s">
        <v>190</v>
      </c>
      <c r="F3029" s="9" t="s">
        <v>1346</v>
      </c>
      <c r="G3029" s="18">
        <v>1012518.07</v>
      </c>
      <c r="H3029">
        <v>0</v>
      </c>
      <c r="I3029" s="29">
        <f t="shared" si="47"/>
        <v>1012518.07</v>
      </c>
      <c r="J3029">
        <f>IFERROR(VLOOKUP(E3029,'LEAID Match'!$A$2:$B$168,2,FALSE),"")</f>
        <v>3306260</v>
      </c>
    </row>
    <row r="3030" spans="1:10">
      <c r="A3030">
        <v>2016</v>
      </c>
      <c r="B3030" t="s">
        <v>1429</v>
      </c>
      <c r="C3030" t="s">
        <v>1431</v>
      </c>
      <c r="D3030" t="s">
        <v>1433</v>
      </c>
      <c r="E3030" t="s">
        <v>190</v>
      </c>
      <c r="F3030" t="s">
        <v>862</v>
      </c>
      <c r="G3030" s="28">
        <v>1076361</v>
      </c>
      <c r="H3030">
        <v>0</v>
      </c>
      <c r="I3030" s="29">
        <f t="shared" si="47"/>
        <v>1076361</v>
      </c>
      <c r="J3030">
        <f>IFERROR(VLOOKUP(E3030,'LEAID Match'!$A$2:$B$168,2,FALSE),"")</f>
        <v>3306260</v>
      </c>
    </row>
    <row r="3031" spans="1:10">
      <c r="A3031">
        <v>2017</v>
      </c>
      <c r="B3031" t="s">
        <v>1429</v>
      </c>
      <c r="C3031" t="s">
        <v>1431</v>
      </c>
      <c r="D3031" t="s">
        <v>1433</v>
      </c>
      <c r="E3031" t="s">
        <v>190</v>
      </c>
      <c r="F3031" t="s">
        <v>862</v>
      </c>
      <c r="G3031" s="28">
        <v>1050844</v>
      </c>
      <c r="H3031">
        <v>0</v>
      </c>
      <c r="I3031" s="29">
        <f t="shared" si="47"/>
        <v>1050844</v>
      </c>
      <c r="J3031">
        <f>IFERROR(VLOOKUP(E3031,'LEAID Match'!$A$2:$B$168,2,FALSE),"")</f>
        <v>3306260</v>
      </c>
    </row>
    <row r="3032" spans="1:10">
      <c r="A3032" s="27">
        <v>2018</v>
      </c>
      <c r="B3032" t="s">
        <v>1429</v>
      </c>
      <c r="C3032" t="s">
        <v>1431</v>
      </c>
      <c r="D3032" t="s">
        <v>1433</v>
      </c>
      <c r="E3032" t="s">
        <v>190</v>
      </c>
      <c r="F3032" s="9" t="s">
        <v>862</v>
      </c>
      <c r="G3032" s="18">
        <v>1225197</v>
      </c>
      <c r="H3032">
        <v>0</v>
      </c>
      <c r="I3032" s="29">
        <f t="shared" si="47"/>
        <v>1225197</v>
      </c>
      <c r="J3032">
        <f>IFERROR(VLOOKUP(E3032,'LEAID Match'!$A$2:$B$168,2,FALSE),"")</f>
        <v>3306260</v>
      </c>
    </row>
    <row r="3033" spans="1:10">
      <c r="A3033">
        <v>2019</v>
      </c>
      <c r="B3033" t="s">
        <v>1429</v>
      </c>
      <c r="C3033" t="s">
        <v>1431</v>
      </c>
      <c r="D3033" t="s">
        <v>1433</v>
      </c>
      <c r="E3033" t="s">
        <v>190</v>
      </c>
      <c r="F3033" s="9" t="s">
        <v>862</v>
      </c>
      <c r="G3033" s="18">
        <v>1229286</v>
      </c>
      <c r="H3033">
        <v>0</v>
      </c>
      <c r="I3033" s="29">
        <f t="shared" si="47"/>
        <v>1229286</v>
      </c>
      <c r="J3033">
        <f>IFERROR(VLOOKUP(E3033,'LEAID Match'!$A$2:$B$168,2,FALSE),"")</f>
        <v>3306260</v>
      </c>
    </row>
    <row r="3034" spans="1:10">
      <c r="A3034" s="27">
        <v>2020</v>
      </c>
      <c r="B3034" t="s">
        <v>1429</v>
      </c>
      <c r="C3034" t="s">
        <v>1431</v>
      </c>
      <c r="D3034" t="s">
        <v>1433</v>
      </c>
      <c r="E3034" t="s">
        <v>190</v>
      </c>
      <c r="F3034" s="9" t="s">
        <v>190</v>
      </c>
      <c r="G3034" s="18">
        <v>1273667</v>
      </c>
      <c r="H3034">
        <v>0</v>
      </c>
      <c r="I3034" s="29">
        <f t="shared" si="47"/>
        <v>1273667</v>
      </c>
      <c r="J3034">
        <f>IFERROR(VLOOKUP(E3034,'LEAID Match'!$A$2:$B$168,2,FALSE),"")</f>
        <v>3306260</v>
      </c>
    </row>
    <row r="3035" spans="1:10">
      <c r="A3035">
        <v>2021</v>
      </c>
      <c r="B3035" t="s">
        <v>1429</v>
      </c>
      <c r="C3035" t="s">
        <v>1431</v>
      </c>
      <c r="D3035" t="s">
        <v>1433</v>
      </c>
      <c r="E3035" t="s">
        <v>190</v>
      </c>
      <c r="F3035" s="9" t="s">
        <v>190</v>
      </c>
      <c r="G3035" s="18">
        <v>1255068</v>
      </c>
      <c r="H3035">
        <v>0</v>
      </c>
      <c r="I3035" s="29">
        <f t="shared" si="47"/>
        <v>1255068</v>
      </c>
      <c r="J3035">
        <f>IFERROR(VLOOKUP(E3035,'LEAID Match'!$A$2:$B$168,2,FALSE),"")</f>
        <v>3306260</v>
      </c>
    </row>
    <row r="3036" spans="1:10">
      <c r="A3036">
        <v>2022</v>
      </c>
      <c r="B3036" t="s">
        <v>1429</v>
      </c>
      <c r="C3036" t="s">
        <v>1431</v>
      </c>
      <c r="D3036" t="s">
        <v>1433</v>
      </c>
      <c r="E3036" t="s">
        <v>190</v>
      </c>
      <c r="F3036" s="9" t="s">
        <v>190</v>
      </c>
      <c r="G3036" s="18">
        <v>1659506</v>
      </c>
      <c r="H3036">
        <v>0</v>
      </c>
      <c r="I3036" s="29">
        <f t="shared" si="47"/>
        <v>1659506</v>
      </c>
      <c r="J3036">
        <f>IFERROR(VLOOKUP(E3036,'LEAID Match'!$A$2:$B$168,2,FALSE),"")</f>
        <v>3306260</v>
      </c>
    </row>
    <row r="3037" spans="1:10">
      <c r="A3037">
        <v>2023</v>
      </c>
      <c r="B3037" t="s">
        <v>1429</v>
      </c>
      <c r="C3037" t="s">
        <v>1431</v>
      </c>
      <c r="D3037" t="s">
        <v>1433</v>
      </c>
      <c r="E3037" t="s">
        <v>190</v>
      </c>
      <c r="F3037" t="s">
        <v>190</v>
      </c>
      <c r="G3037" s="28">
        <v>1662500</v>
      </c>
      <c r="H3037">
        <v>0</v>
      </c>
      <c r="I3037" s="29">
        <f t="shared" si="47"/>
        <v>1662500</v>
      </c>
      <c r="J3037">
        <f>IFERROR(VLOOKUP(E3037,'LEAID Match'!$A$2:$B$168,2,FALSE),"")</f>
        <v>3306260</v>
      </c>
    </row>
    <row r="3038" spans="1:10">
      <c r="A3038">
        <v>2015</v>
      </c>
      <c r="B3038" t="s">
        <v>1429</v>
      </c>
      <c r="C3038" t="s">
        <v>1431</v>
      </c>
      <c r="D3038" t="s">
        <v>1433</v>
      </c>
      <c r="E3038" t="s">
        <v>863</v>
      </c>
      <c r="F3038" s="9" t="s">
        <v>1347</v>
      </c>
      <c r="G3038" s="18">
        <v>17340.759999999998</v>
      </c>
      <c r="H3038">
        <v>0</v>
      </c>
      <c r="I3038" s="29">
        <f t="shared" si="47"/>
        <v>17340.759999999998</v>
      </c>
      <c r="J3038" t="str">
        <f>IFERROR(VLOOKUP(E3038,'LEAID Match'!$A$2:$B$168,2,FALSE),"")</f>
        <v/>
      </c>
    </row>
    <row r="3039" spans="1:10">
      <c r="A3039">
        <v>2016</v>
      </c>
      <c r="B3039" t="s">
        <v>1429</v>
      </c>
      <c r="C3039" t="s">
        <v>1431</v>
      </c>
      <c r="D3039" t="s">
        <v>1433</v>
      </c>
      <c r="E3039" t="s">
        <v>863</v>
      </c>
      <c r="F3039" t="s">
        <v>863</v>
      </c>
      <c r="G3039" s="28">
        <v>12016</v>
      </c>
      <c r="H3039">
        <v>0</v>
      </c>
      <c r="I3039" s="29">
        <f t="shared" si="47"/>
        <v>12016</v>
      </c>
      <c r="J3039" t="str">
        <f>IFERROR(VLOOKUP(E3039,'LEAID Match'!$A$2:$B$168,2,FALSE),"")</f>
        <v/>
      </c>
    </row>
    <row r="3040" spans="1:10">
      <c r="A3040">
        <v>2017</v>
      </c>
      <c r="B3040" t="s">
        <v>1429</v>
      </c>
      <c r="C3040" t="s">
        <v>1431</v>
      </c>
      <c r="D3040" t="s">
        <v>1433</v>
      </c>
      <c r="E3040" t="s">
        <v>863</v>
      </c>
      <c r="F3040" t="s">
        <v>863</v>
      </c>
      <c r="G3040" s="28">
        <v>21632</v>
      </c>
      <c r="H3040">
        <v>0</v>
      </c>
      <c r="I3040" s="29">
        <f t="shared" si="47"/>
        <v>21632</v>
      </c>
      <c r="J3040" t="str">
        <f>IFERROR(VLOOKUP(E3040,'LEAID Match'!$A$2:$B$168,2,FALSE),"")</f>
        <v/>
      </c>
    </row>
    <row r="3041" spans="1:10">
      <c r="A3041" s="27">
        <v>2018</v>
      </c>
      <c r="B3041" t="s">
        <v>1429</v>
      </c>
      <c r="C3041" t="s">
        <v>1431</v>
      </c>
      <c r="D3041" t="s">
        <v>1433</v>
      </c>
      <c r="E3041" t="s">
        <v>863</v>
      </c>
      <c r="F3041" s="9" t="s">
        <v>863</v>
      </c>
      <c r="G3041" s="18">
        <v>24883</v>
      </c>
      <c r="H3041">
        <v>0</v>
      </c>
      <c r="I3041" s="29">
        <f t="shared" si="47"/>
        <v>24883</v>
      </c>
      <c r="J3041" t="str">
        <f>IFERROR(VLOOKUP(E3041,'LEAID Match'!$A$2:$B$168,2,FALSE),"")</f>
        <v/>
      </c>
    </row>
    <row r="3042" spans="1:10">
      <c r="A3042">
        <v>2019</v>
      </c>
      <c r="B3042" t="s">
        <v>1429</v>
      </c>
      <c r="C3042" t="s">
        <v>1431</v>
      </c>
      <c r="D3042" t="s">
        <v>1433</v>
      </c>
      <c r="E3042" t="s">
        <v>863</v>
      </c>
      <c r="F3042" s="9" t="s">
        <v>863</v>
      </c>
      <c r="G3042" s="18">
        <v>19113</v>
      </c>
      <c r="H3042">
        <v>0</v>
      </c>
      <c r="I3042" s="29">
        <f t="shared" si="47"/>
        <v>19113</v>
      </c>
      <c r="J3042" t="str">
        <f>IFERROR(VLOOKUP(E3042,'LEAID Match'!$A$2:$B$168,2,FALSE),"")</f>
        <v/>
      </c>
    </row>
    <row r="3043" spans="1:10">
      <c r="A3043">
        <v>2015</v>
      </c>
      <c r="B3043" t="s">
        <v>1429</v>
      </c>
      <c r="C3043" t="s">
        <v>1431</v>
      </c>
      <c r="D3043" t="s">
        <v>1433</v>
      </c>
      <c r="E3043" t="s">
        <v>191</v>
      </c>
      <c r="F3043" s="9" t="s">
        <v>1348</v>
      </c>
      <c r="G3043" s="18">
        <v>61966.559999999998</v>
      </c>
      <c r="H3043">
        <v>0</v>
      </c>
      <c r="I3043" s="29">
        <f t="shared" si="47"/>
        <v>61966.559999999998</v>
      </c>
      <c r="J3043">
        <f>IFERROR(VLOOKUP(E3043,'LEAID Match'!$A$2:$B$168,2,FALSE),"")</f>
        <v>3306270</v>
      </c>
    </row>
    <row r="3044" spans="1:10">
      <c r="A3044">
        <v>2016</v>
      </c>
      <c r="B3044" t="s">
        <v>1429</v>
      </c>
      <c r="C3044" t="s">
        <v>1431</v>
      </c>
      <c r="D3044" t="s">
        <v>1433</v>
      </c>
      <c r="E3044" t="s">
        <v>191</v>
      </c>
      <c r="F3044" t="s">
        <v>864</v>
      </c>
      <c r="G3044" s="28">
        <v>68347</v>
      </c>
      <c r="H3044">
        <v>0</v>
      </c>
      <c r="I3044" s="29">
        <f t="shared" si="47"/>
        <v>68347</v>
      </c>
      <c r="J3044">
        <f>IFERROR(VLOOKUP(E3044,'LEAID Match'!$A$2:$B$168,2,FALSE),"")</f>
        <v>3306270</v>
      </c>
    </row>
    <row r="3045" spans="1:10">
      <c r="A3045">
        <v>2017</v>
      </c>
      <c r="B3045" t="s">
        <v>1429</v>
      </c>
      <c r="C3045" t="s">
        <v>1431</v>
      </c>
      <c r="D3045" t="s">
        <v>1433</v>
      </c>
      <c r="E3045" t="s">
        <v>191</v>
      </c>
      <c r="F3045" t="s">
        <v>864</v>
      </c>
      <c r="G3045" s="28">
        <v>84720</v>
      </c>
      <c r="H3045">
        <v>0</v>
      </c>
      <c r="I3045" s="29">
        <f t="shared" si="47"/>
        <v>84720</v>
      </c>
      <c r="J3045">
        <f>IFERROR(VLOOKUP(E3045,'LEAID Match'!$A$2:$B$168,2,FALSE),"")</f>
        <v>3306270</v>
      </c>
    </row>
    <row r="3046" spans="1:10">
      <c r="A3046" s="27">
        <v>2018</v>
      </c>
      <c r="B3046" t="s">
        <v>1429</v>
      </c>
      <c r="C3046" t="s">
        <v>1431</v>
      </c>
      <c r="D3046" t="s">
        <v>1433</v>
      </c>
      <c r="E3046" t="s">
        <v>191</v>
      </c>
      <c r="F3046" s="9" t="s">
        <v>864</v>
      </c>
      <c r="G3046" s="18">
        <v>104481</v>
      </c>
      <c r="H3046">
        <v>0</v>
      </c>
      <c r="I3046" s="29">
        <f t="shared" si="47"/>
        <v>104481</v>
      </c>
      <c r="J3046">
        <f>IFERROR(VLOOKUP(E3046,'LEAID Match'!$A$2:$B$168,2,FALSE),"")</f>
        <v>3306270</v>
      </c>
    </row>
    <row r="3047" spans="1:10">
      <c r="A3047">
        <v>2019</v>
      </c>
      <c r="B3047" t="s">
        <v>1429</v>
      </c>
      <c r="C3047" t="s">
        <v>1431</v>
      </c>
      <c r="D3047" t="s">
        <v>1433</v>
      </c>
      <c r="E3047" t="s">
        <v>191</v>
      </c>
      <c r="F3047" s="9" t="s">
        <v>864</v>
      </c>
      <c r="G3047" s="18">
        <v>111148</v>
      </c>
      <c r="H3047">
        <v>0</v>
      </c>
      <c r="I3047" s="29">
        <f t="shared" si="47"/>
        <v>111148</v>
      </c>
      <c r="J3047">
        <f>IFERROR(VLOOKUP(E3047,'LEAID Match'!$A$2:$B$168,2,FALSE),"")</f>
        <v>3306270</v>
      </c>
    </row>
    <row r="3048" spans="1:10">
      <c r="A3048" s="27">
        <v>2020</v>
      </c>
      <c r="B3048" t="s">
        <v>1429</v>
      </c>
      <c r="C3048" t="s">
        <v>1431</v>
      </c>
      <c r="D3048" t="s">
        <v>1433</v>
      </c>
      <c r="E3048" t="s">
        <v>191</v>
      </c>
      <c r="F3048" s="9" t="s">
        <v>191</v>
      </c>
      <c r="G3048" s="18">
        <v>116043</v>
      </c>
      <c r="H3048">
        <v>0</v>
      </c>
      <c r="I3048" s="29">
        <f t="shared" si="47"/>
        <v>116043</v>
      </c>
      <c r="J3048">
        <f>IFERROR(VLOOKUP(E3048,'LEAID Match'!$A$2:$B$168,2,FALSE),"")</f>
        <v>3306270</v>
      </c>
    </row>
    <row r="3049" spans="1:10">
      <c r="A3049">
        <v>2021</v>
      </c>
      <c r="B3049" t="s">
        <v>1429</v>
      </c>
      <c r="C3049" t="s">
        <v>1431</v>
      </c>
      <c r="D3049" t="s">
        <v>1433</v>
      </c>
      <c r="E3049" t="s">
        <v>191</v>
      </c>
      <c r="F3049" s="9" t="s">
        <v>191</v>
      </c>
      <c r="G3049" s="18">
        <v>124293</v>
      </c>
      <c r="H3049">
        <v>0</v>
      </c>
      <c r="I3049" s="29">
        <f t="shared" si="47"/>
        <v>124293</v>
      </c>
      <c r="J3049">
        <f>IFERROR(VLOOKUP(E3049,'LEAID Match'!$A$2:$B$168,2,FALSE),"")</f>
        <v>3306270</v>
      </c>
    </row>
    <row r="3050" spans="1:10">
      <c r="A3050">
        <v>2022</v>
      </c>
      <c r="B3050" t="s">
        <v>1429</v>
      </c>
      <c r="C3050" t="s">
        <v>1431</v>
      </c>
      <c r="D3050" t="s">
        <v>1433</v>
      </c>
      <c r="E3050" t="s">
        <v>191</v>
      </c>
      <c r="F3050" s="9" t="s">
        <v>191</v>
      </c>
      <c r="G3050" s="18">
        <v>188945</v>
      </c>
      <c r="H3050">
        <v>0</v>
      </c>
      <c r="I3050" s="29">
        <f t="shared" si="47"/>
        <v>188945</v>
      </c>
      <c r="J3050">
        <f>IFERROR(VLOOKUP(E3050,'LEAID Match'!$A$2:$B$168,2,FALSE),"")</f>
        <v>3306270</v>
      </c>
    </row>
    <row r="3051" spans="1:10">
      <c r="A3051">
        <v>2023</v>
      </c>
      <c r="B3051" t="s">
        <v>1429</v>
      </c>
      <c r="C3051" t="s">
        <v>1431</v>
      </c>
      <c r="D3051" t="s">
        <v>1433</v>
      </c>
      <c r="E3051" t="s">
        <v>191</v>
      </c>
      <c r="F3051" t="s">
        <v>191</v>
      </c>
      <c r="G3051" s="28">
        <v>201266</v>
      </c>
      <c r="H3051">
        <v>0</v>
      </c>
      <c r="I3051" s="29">
        <f t="shared" si="47"/>
        <v>201266</v>
      </c>
      <c r="J3051">
        <f>IFERROR(VLOOKUP(E3051,'LEAID Match'!$A$2:$B$168,2,FALSE),"")</f>
        <v>3306270</v>
      </c>
    </row>
    <row r="3052" spans="1:10">
      <c r="A3052">
        <v>2015</v>
      </c>
      <c r="B3052" t="s">
        <v>1429</v>
      </c>
      <c r="C3052" t="s">
        <v>1431</v>
      </c>
      <c r="D3052" t="s">
        <v>1433</v>
      </c>
      <c r="E3052" t="s">
        <v>192</v>
      </c>
      <c r="F3052" s="9" t="s">
        <v>1349</v>
      </c>
      <c r="G3052" s="18">
        <v>51463.99</v>
      </c>
      <c r="H3052">
        <v>0</v>
      </c>
      <c r="I3052" s="29">
        <f t="shared" si="47"/>
        <v>51463.99</v>
      </c>
      <c r="J3052" t="str">
        <f>IFERROR(VLOOKUP(E3052,'LEAID Match'!$A$2:$B$168,2,FALSE),"")</f>
        <v/>
      </c>
    </row>
    <row r="3053" spans="1:10">
      <c r="A3053">
        <v>2016</v>
      </c>
      <c r="B3053" t="s">
        <v>1429</v>
      </c>
      <c r="C3053" t="s">
        <v>1431</v>
      </c>
      <c r="D3053" t="s">
        <v>1433</v>
      </c>
      <c r="E3053" t="s">
        <v>192</v>
      </c>
      <c r="F3053" t="s">
        <v>865</v>
      </c>
      <c r="G3053" s="28">
        <v>64509</v>
      </c>
      <c r="H3053">
        <v>0</v>
      </c>
      <c r="I3053" s="29">
        <f t="shared" si="47"/>
        <v>64509</v>
      </c>
      <c r="J3053" t="str">
        <f>IFERROR(VLOOKUP(E3053,'LEAID Match'!$A$2:$B$168,2,FALSE),"")</f>
        <v/>
      </c>
    </row>
    <row r="3054" spans="1:10">
      <c r="A3054">
        <v>2017</v>
      </c>
      <c r="B3054" t="s">
        <v>1429</v>
      </c>
      <c r="C3054" t="s">
        <v>1431</v>
      </c>
      <c r="D3054" t="s">
        <v>1433</v>
      </c>
      <c r="E3054" t="s">
        <v>192</v>
      </c>
      <c r="F3054" t="s">
        <v>865</v>
      </c>
      <c r="G3054" s="28">
        <v>68411</v>
      </c>
      <c r="H3054">
        <v>0</v>
      </c>
      <c r="I3054" s="29">
        <f t="shared" si="47"/>
        <v>68411</v>
      </c>
      <c r="J3054" t="str">
        <f>IFERROR(VLOOKUP(E3054,'LEAID Match'!$A$2:$B$168,2,FALSE),"")</f>
        <v/>
      </c>
    </row>
    <row r="3055" spans="1:10">
      <c r="A3055" s="27">
        <v>2018</v>
      </c>
      <c r="B3055" t="s">
        <v>1429</v>
      </c>
      <c r="C3055" t="s">
        <v>1431</v>
      </c>
      <c r="D3055" t="s">
        <v>1433</v>
      </c>
      <c r="E3055" t="s">
        <v>192</v>
      </c>
      <c r="F3055" s="9" t="s">
        <v>865</v>
      </c>
      <c r="G3055" s="18">
        <v>53902</v>
      </c>
      <c r="H3055">
        <v>0</v>
      </c>
      <c r="I3055" s="29">
        <f t="shared" si="47"/>
        <v>53902</v>
      </c>
      <c r="J3055" t="str">
        <f>IFERROR(VLOOKUP(E3055,'LEAID Match'!$A$2:$B$168,2,FALSE),"")</f>
        <v/>
      </c>
    </row>
    <row r="3056" spans="1:10">
      <c r="A3056">
        <v>2019</v>
      </c>
      <c r="B3056" t="s">
        <v>1429</v>
      </c>
      <c r="C3056" t="s">
        <v>1431</v>
      </c>
      <c r="D3056" t="s">
        <v>1433</v>
      </c>
      <c r="E3056" t="s">
        <v>192</v>
      </c>
      <c r="F3056" s="9" t="s">
        <v>865</v>
      </c>
      <c r="G3056" s="18">
        <v>58203</v>
      </c>
      <c r="H3056">
        <v>0</v>
      </c>
      <c r="I3056" s="29">
        <f t="shared" si="47"/>
        <v>58203</v>
      </c>
      <c r="J3056" t="str">
        <f>IFERROR(VLOOKUP(E3056,'LEAID Match'!$A$2:$B$168,2,FALSE),"")</f>
        <v/>
      </c>
    </row>
    <row r="3057" spans="1:10">
      <c r="A3057" s="27">
        <v>2020</v>
      </c>
      <c r="B3057" t="s">
        <v>1429</v>
      </c>
      <c r="C3057" t="s">
        <v>1431</v>
      </c>
      <c r="D3057" t="s">
        <v>1433</v>
      </c>
      <c r="E3057" t="s">
        <v>192</v>
      </c>
      <c r="F3057" s="9" t="s">
        <v>192</v>
      </c>
      <c r="G3057" s="18">
        <v>68257</v>
      </c>
      <c r="H3057">
        <v>0</v>
      </c>
      <c r="I3057" s="29">
        <f t="shared" si="47"/>
        <v>68257</v>
      </c>
      <c r="J3057" t="str">
        <f>IFERROR(VLOOKUP(E3057,'LEAID Match'!$A$2:$B$168,2,FALSE),"")</f>
        <v/>
      </c>
    </row>
    <row r="3058" spans="1:10">
      <c r="A3058">
        <v>2021</v>
      </c>
      <c r="B3058" t="s">
        <v>1429</v>
      </c>
      <c r="C3058" t="s">
        <v>1431</v>
      </c>
      <c r="D3058" t="s">
        <v>1433</v>
      </c>
      <c r="E3058" t="s">
        <v>192</v>
      </c>
      <c r="F3058" s="9" t="s">
        <v>192</v>
      </c>
      <c r="G3058" s="18">
        <v>65128</v>
      </c>
      <c r="H3058">
        <v>0</v>
      </c>
      <c r="I3058" s="29">
        <f t="shared" si="47"/>
        <v>65128</v>
      </c>
      <c r="J3058" t="str">
        <f>IFERROR(VLOOKUP(E3058,'LEAID Match'!$A$2:$B$168,2,FALSE),"")</f>
        <v/>
      </c>
    </row>
    <row r="3059" spans="1:10">
      <c r="A3059">
        <v>2022</v>
      </c>
      <c r="B3059" t="s">
        <v>1429</v>
      </c>
      <c r="C3059" t="s">
        <v>1431</v>
      </c>
      <c r="D3059" t="s">
        <v>1433</v>
      </c>
      <c r="E3059" t="s">
        <v>192</v>
      </c>
      <c r="F3059" s="9" t="s">
        <v>192</v>
      </c>
      <c r="G3059" s="18">
        <v>86356</v>
      </c>
      <c r="H3059">
        <v>0</v>
      </c>
      <c r="I3059" s="29">
        <f t="shared" si="47"/>
        <v>86356</v>
      </c>
      <c r="J3059" t="str">
        <f>IFERROR(VLOOKUP(E3059,'LEAID Match'!$A$2:$B$168,2,FALSE),"")</f>
        <v/>
      </c>
    </row>
    <row r="3060" spans="1:10">
      <c r="A3060">
        <v>2023</v>
      </c>
      <c r="B3060" t="s">
        <v>1429</v>
      </c>
      <c r="C3060" t="s">
        <v>1431</v>
      </c>
      <c r="D3060" t="s">
        <v>1433</v>
      </c>
      <c r="E3060" t="s">
        <v>192</v>
      </c>
      <c r="F3060" t="s">
        <v>192</v>
      </c>
      <c r="G3060" s="28">
        <v>95405</v>
      </c>
      <c r="H3060">
        <v>0</v>
      </c>
      <c r="I3060" s="29">
        <f t="shared" si="47"/>
        <v>95405</v>
      </c>
      <c r="J3060" t="str">
        <f>IFERROR(VLOOKUP(E3060,'LEAID Match'!$A$2:$B$168,2,FALSE),"")</f>
        <v/>
      </c>
    </row>
    <row r="3061" spans="1:10">
      <c r="A3061">
        <v>2015</v>
      </c>
      <c r="B3061" t="s">
        <v>1429</v>
      </c>
      <c r="C3061" t="s">
        <v>1431</v>
      </c>
      <c r="D3061" t="s">
        <v>1433</v>
      </c>
      <c r="E3061" t="s">
        <v>866</v>
      </c>
      <c r="F3061" s="9" t="s">
        <v>1350</v>
      </c>
      <c r="G3061" s="18">
        <v>31549.41</v>
      </c>
      <c r="H3061">
        <v>0</v>
      </c>
      <c r="I3061" s="29">
        <f t="shared" si="47"/>
        <v>31549.41</v>
      </c>
      <c r="J3061" t="str">
        <f>IFERROR(VLOOKUP(E3061,'LEAID Match'!$A$2:$B$168,2,FALSE),"")</f>
        <v/>
      </c>
    </row>
    <row r="3062" spans="1:10">
      <c r="A3062">
        <v>2016</v>
      </c>
      <c r="B3062" t="s">
        <v>1429</v>
      </c>
      <c r="C3062" t="s">
        <v>1431</v>
      </c>
      <c r="D3062" t="s">
        <v>1433</v>
      </c>
      <c r="E3062" t="s">
        <v>866</v>
      </c>
      <c r="F3062" t="s">
        <v>866</v>
      </c>
      <c r="G3062" s="28">
        <v>32140</v>
      </c>
      <c r="H3062">
        <v>0</v>
      </c>
      <c r="I3062" s="29">
        <f t="shared" si="47"/>
        <v>32140</v>
      </c>
      <c r="J3062" t="str">
        <f>IFERROR(VLOOKUP(E3062,'LEAID Match'!$A$2:$B$168,2,FALSE),"")</f>
        <v/>
      </c>
    </row>
    <row r="3063" spans="1:10">
      <c r="A3063">
        <v>2017</v>
      </c>
      <c r="B3063" t="s">
        <v>1429</v>
      </c>
      <c r="C3063" t="s">
        <v>1431</v>
      </c>
      <c r="D3063" t="s">
        <v>1433</v>
      </c>
      <c r="E3063" t="s">
        <v>866</v>
      </c>
      <c r="F3063" t="s">
        <v>866</v>
      </c>
      <c r="G3063" s="28">
        <v>38193</v>
      </c>
      <c r="H3063">
        <v>0</v>
      </c>
      <c r="I3063" s="29">
        <f t="shared" si="47"/>
        <v>38193</v>
      </c>
      <c r="J3063" t="str">
        <f>IFERROR(VLOOKUP(E3063,'LEAID Match'!$A$2:$B$168,2,FALSE),"")</f>
        <v/>
      </c>
    </row>
    <row r="3064" spans="1:10">
      <c r="A3064" s="27">
        <v>2018</v>
      </c>
      <c r="B3064" t="s">
        <v>1429</v>
      </c>
      <c r="C3064" t="s">
        <v>1431</v>
      </c>
      <c r="D3064" t="s">
        <v>1433</v>
      </c>
      <c r="E3064" t="s">
        <v>866</v>
      </c>
      <c r="F3064" s="9" t="s">
        <v>866</v>
      </c>
      <c r="G3064" s="18">
        <v>45657</v>
      </c>
      <c r="H3064">
        <v>0</v>
      </c>
      <c r="I3064" s="29">
        <f t="shared" si="47"/>
        <v>45657</v>
      </c>
      <c r="J3064" t="str">
        <f>IFERROR(VLOOKUP(E3064,'LEAID Match'!$A$2:$B$168,2,FALSE),"")</f>
        <v/>
      </c>
    </row>
    <row r="3065" spans="1:10">
      <c r="A3065">
        <v>2019</v>
      </c>
      <c r="B3065" t="s">
        <v>1429</v>
      </c>
      <c r="C3065" t="s">
        <v>1431</v>
      </c>
      <c r="D3065" t="s">
        <v>1433</v>
      </c>
      <c r="E3065" t="s">
        <v>866</v>
      </c>
      <c r="F3065" s="9" t="s">
        <v>866</v>
      </c>
      <c r="G3065" s="18">
        <v>43730</v>
      </c>
      <c r="H3065">
        <v>0</v>
      </c>
      <c r="I3065" s="29">
        <f t="shared" si="47"/>
        <v>43730</v>
      </c>
      <c r="J3065" t="str">
        <f>IFERROR(VLOOKUP(E3065,'LEAID Match'!$A$2:$B$168,2,FALSE),"")</f>
        <v/>
      </c>
    </row>
    <row r="3066" spans="1:10">
      <c r="A3066">
        <v>2015</v>
      </c>
      <c r="B3066" t="s">
        <v>1429</v>
      </c>
      <c r="C3066" t="s">
        <v>1431</v>
      </c>
      <c r="D3066" t="s">
        <v>1433</v>
      </c>
      <c r="E3066" t="s">
        <v>867</v>
      </c>
      <c r="F3066" s="9" t="s">
        <v>1351</v>
      </c>
      <c r="G3066" s="18">
        <v>8700.25</v>
      </c>
      <c r="H3066">
        <v>0</v>
      </c>
      <c r="I3066" s="29">
        <f t="shared" si="47"/>
        <v>8700.25</v>
      </c>
      <c r="J3066" t="str">
        <f>IFERROR(VLOOKUP(E3066,'LEAID Match'!$A$2:$B$168,2,FALSE),"")</f>
        <v/>
      </c>
    </row>
    <row r="3067" spans="1:10">
      <c r="A3067">
        <v>2016</v>
      </c>
      <c r="B3067" t="s">
        <v>1429</v>
      </c>
      <c r="C3067" t="s">
        <v>1431</v>
      </c>
      <c r="D3067" t="s">
        <v>1433</v>
      </c>
      <c r="E3067" t="s">
        <v>867</v>
      </c>
      <c r="F3067" t="s">
        <v>867</v>
      </c>
      <c r="G3067" s="28">
        <v>7746</v>
      </c>
      <c r="H3067">
        <v>0</v>
      </c>
      <c r="I3067" s="29">
        <f t="shared" si="47"/>
        <v>7746</v>
      </c>
      <c r="J3067" t="str">
        <f>IFERROR(VLOOKUP(E3067,'LEAID Match'!$A$2:$B$168,2,FALSE),"")</f>
        <v/>
      </c>
    </row>
    <row r="3068" spans="1:10">
      <c r="A3068">
        <v>2017</v>
      </c>
      <c r="B3068" t="s">
        <v>1429</v>
      </c>
      <c r="C3068" t="s">
        <v>1431</v>
      </c>
      <c r="D3068" t="s">
        <v>1433</v>
      </c>
      <c r="E3068" t="s">
        <v>867</v>
      </c>
      <c r="F3068" t="s">
        <v>867</v>
      </c>
      <c r="G3068" s="28">
        <v>2660</v>
      </c>
      <c r="H3068">
        <v>0</v>
      </c>
      <c r="I3068" s="29">
        <f t="shared" si="47"/>
        <v>2660</v>
      </c>
      <c r="J3068" t="str">
        <f>IFERROR(VLOOKUP(E3068,'LEAID Match'!$A$2:$B$168,2,FALSE),"")</f>
        <v/>
      </c>
    </row>
    <row r="3069" spans="1:10">
      <c r="A3069" s="27">
        <v>2018</v>
      </c>
      <c r="B3069" t="s">
        <v>1429</v>
      </c>
      <c r="C3069" t="s">
        <v>1431</v>
      </c>
      <c r="D3069" t="s">
        <v>1433</v>
      </c>
      <c r="E3069" t="s">
        <v>867</v>
      </c>
      <c r="F3069" s="9" t="s">
        <v>867</v>
      </c>
      <c r="G3069" s="18">
        <v>3691</v>
      </c>
      <c r="H3069">
        <v>0</v>
      </c>
      <c r="I3069" s="29">
        <f t="shared" si="47"/>
        <v>3691</v>
      </c>
      <c r="J3069" t="str">
        <f>IFERROR(VLOOKUP(E3069,'LEAID Match'!$A$2:$B$168,2,FALSE),"")</f>
        <v/>
      </c>
    </row>
    <row r="3070" spans="1:10">
      <c r="A3070">
        <v>2019</v>
      </c>
      <c r="B3070" t="s">
        <v>1429</v>
      </c>
      <c r="C3070" t="s">
        <v>1431</v>
      </c>
      <c r="D3070" t="s">
        <v>1433</v>
      </c>
      <c r="E3070" t="s">
        <v>867</v>
      </c>
      <c r="F3070" s="9" t="s">
        <v>867</v>
      </c>
      <c r="G3070" s="18">
        <v>3820</v>
      </c>
      <c r="H3070">
        <v>0</v>
      </c>
      <c r="I3070" s="29">
        <f t="shared" si="47"/>
        <v>3820</v>
      </c>
      <c r="J3070" t="str">
        <f>IFERROR(VLOOKUP(E3070,'LEAID Match'!$A$2:$B$168,2,FALSE),"")</f>
        <v/>
      </c>
    </row>
    <row r="3071" spans="1:10">
      <c r="A3071">
        <v>2015</v>
      </c>
      <c r="B3071" t="s">
        <v>1429</v>
      </c>
      <c r="C3071" t="s">
        <v>1431</v>
      </c>
      <c r="D3071" t="s">
        <v>1433</v>
      </c>
      <c r="E3071" t="s">
        <v>193</v>
      </c>
      <c r="F3071" s="9" t="s">
        <v>1352</v>
      </c>
      <c r="G3071" s="18">
        <v>20988.03</v>
      </c>
      <c r="H3071">
        <v>0</v>
      </c>
      <c r="I3071" s="29">
        <f t="shared" si="47"/>
        <v>20988.03</v>
      </c>
      <c r="J3071">
        <f>IFERROR(VLOOKUP(E3071,'LEAID Match'!$A$2:$B$168,2,FALSE),"")</f>
        <v>3306330</v>
      </c>
    </row>
    <row r="3072" spans="1:10">
      <c r="A3072">
        <v>2016</v>
      </c>
      <c r="B3072" t="s">
        <v>1429</v>
      </c>
      <c r="C3072" t="s">
        <v>1431</v>
      </c>
      <c r="D3072" t="s">
        <v>1433</v>
      </c>
      <c r="E3072" t="s">
        <v>193</v>
      </c>
      <c r="F3072" t="s">
        <v>868</v>
      </c>
      <c r="G3072" s="28">
        <v>22907</v>
      </c>
      <c r="H3072">
        <v>0</v>
      </c>
      <c r="I3072" s="29">
        <f t="shared" si="47"/>
        <v>22907</v>
      </c>
      <c r="J3072">
        <f>IFERROR(VLOOKUP(E3072,'LEAID Match'!$A$2:$B$168,2,FALSE),"")</f>
        <v>3306330</v>
      </c>
    </row>
    <row r="3073" spans="1:10">
      <c r="A3073">
        <v>2017</v>
      </c>
      <c r="B3073" t="s">
        <v>1429</v>
      </c>
      <c r="C3073" t="s">
        <v>1431</v>
      </c>
      <c r="D3073" t="s">
        <v>1433</v>
      </c>
      <c r="E3073" t="s">
        <v>193</v>
      </c>
      <c r="F3073" t="s">
        <v>868</v>
      </c>
      <c r="G3073" s="28">
        <v>23883</v>
      </c>
      <c r="H3073">
        <v>0</v>
      </c>
      <c r="I3073" s="29">
        <f t="shared" si="47"/>
        <v>23883</v>
      </c>
      <c r="J3073">
        <f>IFERROR(VLOOKUP(E3073,'LEAID Match'!$A$2:$B$168,2,FALSE),"")</f>
        <v>3306330</v>
      </c>
    </row>
    <row r="3074" spans="1:10">
      <c r="A3074" s="27">
        <v>2018</v>
      </c>
      <c r="B3074" t="s">
        <v>1429</v>
      </c>
      <c r="C3074" t="s">
        <v>1431</v>
      </c>
      <c r="D3074" t="s">
        <v>1433</v>
      </c>
      <c r="E3074" t="s">
        <v>193</v>
      </c>
      <c r="F3074" s="9" t="s">
        <v>868</v>
      </c>
      <c r="G3074" s="18">
        <v>29600</v>
      </c>
      <c r="H3074">
        <v>0</v>
      </c>
      <c r="I3074" s="29">
        <f t="shared" si="47"/>
        <v>29600</v>
      </c>
      <c r="J3074">
        <f>IFERROR(VLOOKUP(E3074,'LEAID Match'!$A$2:$B$168,2,FALSE),"")</f>
        <v>3306330</v>
      </c>
    </row>
    <row r="3075" spans="1:10">
      <c r="A3075">
        <v>2019</v>
      </c>
      <c r="B3075" t="s">
        <v>1429</v>
      </c>
      <c r="C3075" t="s">
        <v>1431</v>
      </c>
      <c r="D3075" t="s">
        <v>1433</v>
      </c>
      <c r="E3075" t="s">
        <v>193</v>
      </c>
      <c r="F3075" s="9" t="s">
        <v>868</v>
      </c>
      <c r="G3075" s="18">
        <v>30826</v>
      </c>
      <c r="H3075">
        <v>0</v>
      </c>
      <c r="I3075" s="29">
        <f t="shared" ref="I3075:I3138" si="48">SUM(G3075:H3075)</f>
        <v>30826</v>
      </c>
      <c r="J3075">
        <f>IFERROR(VLOOKUP(E3075,'LEAID Match'!$A$2:$B$168,2,FALSE),"")</f>
        <v>3306330</v>
      </c>
    </row>
    <row r="3076" spans="1:10">
      <c r="A3076" s="27">
        <v>2020</v>
      </c>
      <c r="B3076" t="s">
        <v>1429</v>
      </c>
      <c r="C3076" t="s">
        <v>1431</v>
      </c>
      <c r="D3076" t="s">
        <v>1433</v>
      </c>
      <c r="E3076" t="s">
        <v>193</v>
      </c>
      <c r="F3076" s="9" t="s">
        <v>193</v>
      </c>
      <c r="G3076" s="18">
        <v>28526</v>
      </c>
      <c r="H3076">
        <v>0</v>
      </c>
      <c r="I3076" s="29">
        <f t="shared" si="48"/>
        <v>28526</v>
      </c>
      <c r="J3076">
        <f>IFERROR(VLOOKUP(E3076,'LEAID Match'!$A$2:$B$168,2,FALSE),"")</f>
        <v>3306330</v>
      </c>
    </row>
    <row r="3077" spans="1:10">
      <c r="A3077">
        <v>2021</v>
      </c>
      <c r="B3077" t="s">
        <v>1429</v>
      </c>
      <c r="C3077" t="s">
        <v>1431</v>
      </c>
      <c r="D3077" t="s">
        <v>1433</v>
      </c>
      <c r="E3077" t="s">
        <v>193</v>
      </c>
      <c r="F3077" s="9" t="s">
        <v>193</v>
      </c>
      <c r="G3077" s="18">
        <v>23443</v>
      </c>
      <c r="H3077">
        <v>0</v>
      </c>
      <c r="I3077" s="29">
        <f t="shared" si="48"/>
        <v>23443</v>
      </c>
      <c r="J3077">
        <f>IFERROR(VLOOKUP(E3077,'LEAID Match'!$A$2:$B$168,2,FALSE),"")</f>
        <v>3306330</v>
      </c>
    </row>
    <row r="3078" spans="1:10">
      <c r="A3078">
        <v>2022</v>
      </c>
      <c r="B3078" t="s">
        <v>1429</v>
      </c>
      <c r="C3078" t="s">
        <v>1431</v>
      </c>
      <c r="D3078" t="s">
        <v>1433</v>
      </c>
      <c r="E3078" t="s">
        <v>193</v>
      </c>
      <c r="F3078" s="9" t="s">
        <v>193</v>
      </c>
      <c r="G3078" s="18">
        <v>30058</v>
      </c>
      <c r="H3078">
        <v>0</v>
      </c>
      <c r="I3078" s="29">
        <f t="shared" si="48"/>
        <v>30058</v>
      </c>
      <c r="J3078">
        <f>IFERROR(VLOOKUP(E3078,'LEAID Match'!$A$2:$B$168,2,FALSE),"")</f>
        <v>3306330</v>
      </c>
    </row>
    <row r="3079" spans="1:10">
      <c r="A3079">
        <v>2023</v>
      </c>
      <c r="B3079" t="s">
        <v>1429</v>
      </c>
      <c r="C3079" t="s">
        <v>1431</v>
      </c>
      <c r="D3079" t="s">
        <v>1433</v>
      </c>
      <c r="E3079" t="s">
        <v>193</v>
      </c>
      <c r="F3079" t="s">
        <v>193</v>
      </c>
      <c r="G3079" s="28">
        <v>36598</v>
      </c>
      <c r="H3079">
        <v>0</v>
      </c>
      <c r="I3079" s="29">
        <f t="shared" si="48"/>
        <v>36598</v>
      </c>
      <c r="J3079">
        <f>IFERROR(VLOOKUP(E3079,'LEAID Match'!$A$2:$B$168,2,FALSE),"")</f>
        <v>3306330</v>
      </c>
    </row>
    <row r="3080" spans="1:10">
      <c r="A3080">
        <v>2015</v>
      </c>
      <c r="B3080" t="s">
        <v>1429</v>
      </c>
      <c r="C3080" t="s">
        <v>1431</v>
      </c>
      <c r="D3080" t="s">
        <v>1433</v>
      </c>
      <c r="E3080" t="s">
        <v>869</v>
      </c>
      <c r="F3080" s="9" t="s">
        <v>1353</v>
      </c>
      <c r="G3080" s="18">
        <v>67320144.75</v>
      </c>
      <c r="H3080">
        <v>0</v>
      </c>
      <c r="I3080" s="29">
        <f t="shared" si="48"/>
        <v>67320144.75</v>
      </c>
      <c r="J3080" t="str">
        <f>IFERROR(VLOOKUP(E3080,'LEAID Match'!$A$2:$B$168,2,FALSE),"")</f>
        <v/>
      </c>
    </row>
    <row r="3081" spans="1:10">
      <c r="A3081">
        <v>2016</v>
      </c>
      <c r="B3081" t="s">
        <v>1429</v>
      </c>
      <c r="C3081" t="s">
        <v>1431</v>
      </c>
      <c r="D3081" t="s">
        <v>1433</v>
      </c>
      <c r="E3081" t="s">
        <v>869</v>
      </c>
      <c r="F3081" t="s">
        <v>869</v>
      </c>
      <c r="G3081" s="28">
        <v>69720299</v>
      </c>
      <c r="H3081">
        <v>0</v>
      </c>
      <c r="I3081" s="29">
        <f t="shared" si="48"/>
        <v>69720299</v>
      </c>
      <c r="J3081" t="str">
        <f>IFERROR(VLOOKUP(E3081,'LEAID Match'!$A$2:$B$168,2,FALSE),"")</f>
        <v/>
      </c>
    </row>
    <row r="3082" spans="1:10">
      <c r="A3082">
        <v>2017</v>
      </c>
      <c r="B3082" t="s">
        <v>1429</v>
      </c>
      <c r="C3082" t="s">
        <v>1431</v>
      </c>
      <c r="D3082" t="s">
        <v>1433</v>
      </c>
      <c r="E3082" t="s">
        <v>869</v>
      </c>
      <c r="F3082" t="s">
        <v>869</v>
      </c>
      <c r="G3082" s="28">
        <v>72661387</v>
      </c>
      <c r="H3082">
        <v>0</v>
      </c>
      <c r="I3082" s="29">
        <f t="shared" si="48"/>
        <v>72661387</v>
      </c>
      <c r="J3082" t="str">
        <f>IFERROR(VLOOKUP(E3082,'LEAID Match'!$A$2:$B$168,2,FALSE),"")</f>
        <v/>
      </c>
    </row>
    <row r="3083" spans="1:10">
      <c r="A3083" s="27">
        <v>2018</v>
      </c>
      <c r="B3083" t="s">
        <v>1429</v>
      </c>
      <c r="C3083" t="s">
        <v>1431</v>
      </c>
      <c r="D3083" t="s">
        <v>1433</v>
      </c>
      <c r="E3083" t="s">
        <v>869</v>
      </c>
      <c r="F3083" s="9" t="s">
        <v>869</v>
      </c>
      <c r="G3083" s="18">
        <v>77854588</v>
      </c>
      <c r="H3083">
        <v>0</v>
      </c>
      <c r="I3083" s="29">
        <f t="shared" si="48"/>
        <v>77854588</v>
      </c>
      <c r="J3083" t="str">
        <f>IFERROR(VLOOKUP(E3083,'LEAID Match'!$A$2:$B$168,2,FALSE),"")</f>
        <v/>
      </c>
    </row>
    <row r="3084" spans="1:10">
      <c r="A3084">
        <v>2019</v>
      </c>
      <c r="B3084" t="s">
        <v>1429</v>
      </c>
      <c r="C3084" t="s">
        <v>1431</v>
      </c>
      <c r="D3084" t="s">
        <v>1433</v>
      </c>
      <c r="E3084" t="s">
        <v>869</v>
      </c>
      <c r="F3084" s="9" t="s">
        <v>869</v>
      </c>
      <c r="G3084" s="18">
        <v>81792705</v>
      </c>
      <c r="H3084">
        <v>0</v>
      </c>
      <c r="I3084" s="29">
        <f t="shared" si="48"/>
        <v>81792705</v>
      </c>
      <c r="J3084" t="str">
        <f>IFERROR(VLOOKUP(E3084,'LEAID Match'!$A$2:$B$168,2,FALSE),"")</f>
        <v/>
      </c>
    </row>
    <row r="3085" spans="1:10">
      <c r="A3085" s="27">
        <v>2020</v>
      </c>
      <c r="B3085" t="s">
        <v>1429</v>
      </c>
      <c r="C3085" t="s">
        <v>1431</v>
      </c>
      <c r="D3085" t="s">
        <v>1433</v>
      </c>
      <c r="E3085" t="s">
        <v>194</v>
      </c>
      <c r="F3085" s="9" t="s">
        <v>194</v>
      </c>
      <c r="G3085" s="18">
        <v>82823532</v>
      </c>
      <c r="H3085">
        <v>0</v>
      </c>
      <c r="I3085" s="29">
        <f t="shared" si="48"/>
        <v>82823532</v>
      </c>
      <c r="J3085" t="str">
        <f>IFERROR(VLOOKUP(E3085,'LEAID Match'!$A$2:$B$168,2,FALSE),"")</f>
        <v/>
      </c>
    </row>
    <row r="3086" spans="1:10">
      <c r="A3086">
        <v>2021</v>
      </c>
      <c r="B3086" t="s">
        <v>1429</v>
      </c>
      <c r="C3086" t="s">
        <v>1431</v>
      </c>
      <c r="D3086" t="s">
        <v>1433</v>
      </c>
      <c r="E3086" t="s">
        <v>194</v>
      </c>
      <c r="F3086" s="9" t="s">
        <v>194</v>
      </c>
      <c r="G3086" s="18">
        <v>84780215</v>
      </c>
      <c r="H3086">
        <v>0</v>
      </c>
      <c r="I3086" s="29">
        <f t="shared" si="48"/>
        <v>84780215</v>
      </c>
      <c r="J3086" t="str">
        <f>IFERROR(VLOOKUP(E3086,'LEAID Match'!$A$2:$B$168,2,FALSE),"")</f>
        <v/>
      </c>
    </row>
    <row r="3087" spans="1:10">
      <c r="A3087">
        <v>2022</v>
      </c>
      <c r="B3087" t="s">
        <v>1429</v>
      </c>
      <c r="C3087" t="s">
        <v>1431</v>
      </c>
      <c r="D3087" t="s">
        <v>1433</v>
      </c>
      <c r="E3087" t="s">
        <v>194</v>
      </c>
      <c r="F3087" s="9" t="s">
        <v>194</v>
      </c>
      <c r="G3087" s="18">
        <v>107566038</v>
      </c>
      <c r="H3087">
        <v>0</v>
      </c>
      <c r="I3087" s="29">
        <f t="shared" si="48"/>
        <v>107566038</v>
      </c>
      <c r="J3087" t="str">
        <f>IFERROR(VLOOKUP(E3087,'LEAID Match'!$A$2:$B$168,2,FALSE),"")</f>
        <v/>
      </c>
    </row>
    <row r="3088" spans="1:10">
      <c r="A3088">
        <v>2023</v>
      </c>
      <c r="B3088" t="s">
        <v>1429</v>
      </c>
      <c r="C3088" t="s">
        <v>1431</v>
      </c>
      <c r="D3088" t="s">
        <v>1433</v>
      </c>
      <c r="E3088" t="s">
        <v>194</v>
      </c>
      <c r="F3088" t="s">
        <v>194</v>
      </c>
      <c r="G3088" s="28">
        <v>113520692</v>
      </c>
      <c r="H3088">
        <v>0</v>
      </c>
      <c r="I3088" s="29">
        <f t="shared" si="48"/>
        <v>113520692</v>
      </c>
      <c r="J3088" t="str">
        <f>IFERROR(VLOOKUP(E3088,'LEAID Match'!$A$2:$B$168,2,FALSE),"")</f>
        <v/>
      </c>
    </row>
    <row r="3089" spans="1:10">
      <c r="A3089">
        <v>2015</v>
      </c>
      <c r="B3089" t="s">
        <v>1429</v>
      </c>
      <c r="C3089" t="s">
        <v>1431</v>
      </c>
      <c r="D3089" t="s">
        <v>1433</v>
      </c>
      <c r="E3089" t="s">
        <v>870</v>
      </c>
      <c r="F3089" s="9" t="s">
        <v>1354</v>
      </c>
      <c r="G3089" s="18">
        <v>4109.16</v>
      </c>
      <c r="H3089">
        <v>0</v>
      </c>
      <c r="I3089" s="29">
        <f t="shared" si="48"/>
        <v>4109.16</v>
      </c>
      <c r="J3089" t="str">
        <f>IFERROR(VLOOKUP(E3089,'LEAID Match'!$A$2:$B$168,2,FALSE),"")</f>
        <v/>
      </c>
    </row>
    <row r="3090" spans="1:10">
      <c r="A3090">
        <v>2016</v>
      </c>
      <c r="B3090" t="s">
        <v>1429</v>
      </c>
      <c r="C3090" t="s">
        <v>1431</v>
      </c>
      <c r="D3090" t="s">
        <v>1433</v>
      </c>
      <c r="E3090" t="s">
        <v>870</v>
      </c>
      <c r="F3090" t="s">
        <v>870</v>
      </c>
      <c r="G3090" s="28">
        <v>4233</v>
      </c>
      <c r="H3090">
        <v>0</v>
      </c>
      <c r="I3090" s="29">
        <f t="shared" si="48"/>
        <v>4233</v>
      </c>
      <c r="J3090" t="str">
        <f>IFERROR(VLOOKUP(E3090,'LEAID Match'!$A$2:$B$168,2,FALSE),"")</f>
        <v/>
      </c>
    </row>
    <row r="3091" spans="1:10">
      <c r="A3091">
        <v>2017</v>
      </c>
      <c r="B3091" t="s">
        <v>1429</v>
      </c>
      <c r="C3091" t="s">
        <v>1431</v>
      </c>
      <c r="D3091" t="s">
        <v>1433</v>
      </c>
      <c r="E3091" t="s">
        <v>870</v>
      </c>
      <c r="F3091" t="s">
        <v>870</v>
      </c>
      <c r="G3091" s="28">
        <v>4194</v>
      </c>
      <c r="H3091">
        <v>0</v>
      </c>
      <c r="I3091" s="29">
        <f t="shared" si="48"/>
        <v>4194</v>
      </c>
      <c r="J3091" t="str">
        <f>IFERROR(VLOOKUP(E3091,'LEAID Match'!$A$2:$B$168,2,FALSE),"")</f>
        <v/>
      </c>
    </row>
    <row r="3092" spans="1:10">
      <c r="A3092" s="27">
        <v>2018</v>
      </c>
      <c r="B3092" t="s">
        <v>1429</v>
      </c>
      <c r="C3092" t="s">
        <v>1431</v>
      </c>
      <c r="D3092" t="s">
        <v>1433</v>
      </c>
      <c r="E3092" t="s">
        <v>870</v>
      </c>
      <c r="F3092" s="9" t="s">
        <v>870</v>
      </c>
      <c r="G3092" s="18">
        <v>3849</v>
      </c>
      <c r="H3092">
        <v>0</v>
      </c>
      <c r="I3092" s="29">
        <f t="shared" si="48"/>
        <v>3849</v>
      </c>
      <c r="J3092" t="str">
        <f>IFERROR(VLOOKUP(E3092,'LEAID Match'!$A$2:$B$168,2,FALSE),"")</f>
        <v/>
      </c>
    </row>
    <row r="3093" spans="1:10">
      <c r="A3093">
        <v>2019</v>
      </c>
      <c r="B3093" t="s">
        <v>1429</v>
      </c>
      <c r="C3093" t="s">
        <v>1431</v>
      </c>
      <c r="D3093" t="s">
        <v>1433</v>
      </c>
      <c r="E3093" t="s">
        <v>870</v>
      </c>
      <c r="F3093" s="9" t="s">
        <v>870</v>
      </c>
      <c r="G3093" s="18">
        <v>4011</v>
      </c>
      <c r="H3093">
        <v>0</v>
      </c>
      <c r="I3093" s="29">
        <f t="shared" si="48"/>
        <v>4011</v>
      </c>
      <c r="J3093" t="str">
        <f>IFERROR(VLOOKUP(E3093,'LEAID Match'!$A$2:$B$168,2,FALSE),"")</f>
        <v/>
      </c>
    </row>
    <row r="3094" spans="1:10">
      <c r="A3094">
        <v>2015</v>
      </c>
      <c r="B3094" t="s">
        <v>1429</v>
      </c>
      <c r="C3094" t="s">
        <v>1431</v>
      </c>
      <c r="D3094" t="s">
        <v>1433</v>
      </c>
      <c r="E3094" t="s">
        <v>195</v>
      </c>
      <c r="F3094" s="9" t="s">
        <v>1355</v>
      </c>
      <c r="G3094" s="18">
        <v>45502.93</v>
      </c>
      <c r="H3094">
        <v>0</v>
      </c>
      <c r="I3094" s="29">
        <f t="shared" si="48"/>
        <v>45502.93</v>
      </c>
      <c r="J3094">
        <f>IFERROR(VLOOKUP(E3094,'LEAID Match'!$A$2:$B$168,2,FALSE),"")</f>
        <v>3306360</v>
      </c>
    </row>
    <row r="3095" spans="1:10">
      <c r="A3095">
        <v>2016</v>
      </c>
      <c r="B3095" t="s">
        <v>1429</v>
      </c>
      <c r="C3095" t="s">
        <v>1431</v>
      </c>
      <c r="D3095" t="s">
        <v>1433</v>
      </c>
      <c r="E3095" t="s">
        <v>195</v>
      </c>
      <c r="F3095" t="s">
        <v>871</v>
      </c>
      <c r="G3095" s="28">
        <v>51148</v>
      </c>
      <c r="H3095">
        <v>0</v>
      </c>
      <c r="I3095" s="29">
        <f t="shared" si="48"/>
        <v>51148</v>
      </c>
      <c r="J3095">
        <f>IFERROR(VLOOKUP(E3095,'LEAID Match'!$A$2:$B$168,2,FALSE),"")</f>
        <v>3306360</v>
      </c>
    </row>
    <row r="3096" spans="1:10">
      <c r="A3096">
        <v>2017</v>
      </c>
      <c r="B3096" t="s">
        <v>1429</v>
      </c>
      <c r="C3096" t="s">
        <v>1431</v>
      </c>
      <c r="D3096" t="s">
        <v>1433</v>
      </c>
      <c r="E3096" t="s">
        <v>195</v>
      </c>
      <c r="F3096" t="s">
        <v>871</v>
      </c>
      <c r="G3096" s="28">
        <v>50038</v>
      </c>
      <c r="H3096">
        <v>0</v>
      </c>
      <c r="I3096" s="29">
        <f t="shared" si="48"/>
        <v>50038</v>
      </c>
      <c r="J3096">
        <f>IFERROR(VLOOKUP(E3096,'LEAID Match'!$A$2:$B$168,2,FALSE),"")</f>
        <v>3306360</v>
      </c>
    </row>
    <row r="3097" spans="1:10">
      <c r="A3097" s="27">
        <v>2018</v>
      </c>
      <c r="B3097" t="s">
        <v>1429</v>
      </c>
      <c r="C3097" t="s">
        <v>1431</v>
      </c>
      <c r="D3097" t="s">
        <v>1433</v>
      </c>
      <c r="E3097" t="s">
        <v>195</v>
      </c>
      <c r="F3097" s="9" t="s">
        <v>871</v>
      </c>
      <c r="G3097" s="18">
        <v>67261</v>
      </c>
      <c r="H3097">
        <v>0</v>
      </c>
      <c r="I3097" s="29">
        <f t="shared" si="48"/>
        <v>67261</v>
      </c>
      <c r="J3097">
        <f>IFERROR(VLOOKUP(E3097,'LEAID Match'!$A$2:$B$168,2,FALSE),"")</f>
        <v>3306360</v>
      </c>
    </row>
    <row r="3098" spans="1:10">
      <c r="A3098">
        <v>2019</v>
      </c>
      <c r="B3098" t="s">
        <v>1429</v>
      </c>
      <c r="C3098" t="s">
        <v>1431</v>
      </c>
      <c r="D3098" t="s">
        <v>1433</v>
      </c>
      <c r="E3098" t="s">
        <v>195</v>
      </c>
      <c r="F3098" s="9" t="s">
        <v>871</v>
      </c>
      <c r="G3098" s="18">
        <v>70164</v>
      </c>
      <c r="H3098">
        <v>0</v>
      </c>
      <c r="I3098" s="29">
        <f t="shared" si="48"/>
        <v>70164</v>
      </c>
      <c r="J3098">
        <f>IFERROR(VLOOKUP(E3098,'LEAID Match'!$A$2:$B$168,2,FALSE),"")</f>
        <v>3306360</v>
      </c>
    </row>
    <row r="3099" spans="1:10">
      <c r="A3099" s="27">
        <v>2020</v>
      </c>
      <c r="B3099" t="s">
        <v>1429</v>
      </c>
      <c r="C3099" t="s">
        <v>1431</v>
      </c>
      <c r="D3099" t="s">
        <v>1433</v>
      </c>
      <c r="E3099" t="s">
        <v>195</v>
      </c>
      <c r="F3099" s="9" t="s">
        <v>195</v>
      </c>
      <c r="G3099" s="18">
        <v>77684</v>
      </c>
      <c r="H3099">
        <v>0</v>
      </c>
      <c r="I3099" s="29">
        <f t="shared" si="48"/>
        <v>77684</v>
      </c>
      <c r="J3099">
        <f>IFERROR(VLOOKUP(E3099,'LEAID Match'!$A$2:$B$168,2,FALSE),"")</f>
        <v>3306360</v>
      </c>
    </row>
    <row r="3100" spans="1:10">
      <c r="A3100">
        <v>2021</v>
      </c>
      <c r="B3100" t="s">
        <v>1429</v>
      </c>
      <c r="C3100" t="s">
        <v>1431</v>
      </c>
      <c r="D3100" t="s">
        <v>1433</v>
      </c>
      <c r="E3100" t="s">
        <v>195</v>
      </c>
      <c r="F3100" s="9" t="s">
        <v>195</v>
      </c>
      <c r="G3100" s="18">
        <v>74543</v>
      </c>
      <c r="H3100">
        <v>0</v>
      </c>
      <c r="I3100" s="29">
        <f t="shared" si="48"/>
        <v>74543</v>
      </c>
      <c r="J3100">
        <f>IFERROR(VLOOKUP(E3100,'LEAID Match'!$A$2:$B$168,2,FALSE),"")</f>
        <v>3306360</v>
      </c>
    </row>
    <row r="3101" spans="1:10">
      <c r="A3101">
        <v>2022</v>
      </c>
      <c r="B3101" t="s">
        <v>1429</v>
      </c>
      <c r="C3101" t="s">
        <v>1431</v>
      </c>
      <c r="D3101" t="s">
        <v>1433</v>
      </c>
      <c r="E3101" t="s">
        <v>195</v>
      </c>
      <c r="F3101" s="9" t="s">
        <v>195</v>
      </c>
      <c r="G3101" s="18">
        <v>104941</v>
      </c>
      <c r="H3101">
        <v>0</v>
      </c>
      <c r="I3101" s="29">
        <f t="shared" si="48"/>
        <v>104941</v>
      </c>
      <c r="J3101">
        <f>IFERROR(VLOOKUP(E3101,'LEAID Match'!$A$2:$B$168,2,FALSE),"")</f>
        <v>3306360</v>
      </c>
    </row>
    <row r="3102" spans="1:10">
      <c r="A3102">
        <v>2023</v>
      </c>
      <c r="B3102" t="s">
        <v>1429</v>
      </c>
      <c r="C3102" t="s">
        <v>1431</v>
      </c>
      <c r="D3102" t="s">
        <v>1433</v>
      </c>
      <c r="E3102" t="s">
        <v>195</v>
      </c>
      <c r="F3102" t="s">
        <v>195</v>
      </c>
      <c r="G3102" s="28">
        <v>107587</v>
      </c>
      <c r="H3102">
        <v>0</v>
      </c>
      <c r="I3102" s="29">
        <f t="shared" si="48"/>
        <v>107587</v>
      </c>
      <c r="J3102">
        <f>IFERROR(VLOOKUP(E3102,'LEAID Match'!$A$2:$B$168,2,FALSE),"")</f>
        <v>3306360</v>
      </c>
    </row>
    <row r="3103" spans="1:10">
      <c r="A3103" s="27">
        <v>2020</v>
      </c>
      <c r="B3103" t="s">
        <v>1429</v>
      </c>
      <c r="C3103" t="s">
        <v>1431</v>
      </c>
      <c r="D3103" t="s">
        <v>1433</v>
      </c>
      <c r="E3103" t="s">
        <v>196</v>
      </c>
      <c r="F3103" s="9" t="s">
        <v>196</v>
      </c>
      <c r="G3103" s="18">
        <v>59718</v>
      </c>
      <c r="H3103">
        <v>0</v>
      </c>
      <c r="I3103" s="29">
        <f t="shared" si="48"/>
        <v>59718</v>
      </c>
      <c r="J3103">
        <f>IFERROR(VLOOKUP(E3103,'LEAID Match'!$A$2:$B$168,2,FALSE),"")</f>
        <v>3306390</v>
      </c>
    </row>
    <row r="3104" spans="1:10">
      <c r="A3104">
        <v>2021</v>
      </c>
      <c r="B3104" t="s">
        <v>1429</v>
      </c>
      <c r="C3104" t="s">
        <v>1431</v>
      </c>
      <c r="D3104" t="s">
        <v>1433</v>
      </c>
      <c r="E3104" t="s">
        <v>196</v>
      </c>
      <c r="F3104" s="9" t="s">
        <v>196</v>
      </c>
      <c r="G3104" s="18">
        <v>60024</v>
      </c>
      <c r="H3104">
        <v>0</v>
      </c>
      <c r="I3104" s="29">
        <f t="shared" si="48"/>
        <v>60024</v>
      </c>
      <c r="J3104">
        <f>IFERROR(VLOOKUP(E3104,'LEAID Match'!$A$2:$B$168,2,FALSE),"")</f>
        <v>3306390</v>
      </c>
    </row>
    <row r="3105" spans="1:10">
      <c r="A3105">
        <v>2022</v>
      </c>
      <c r="B3105" t="s">
        <v>1429</v>
      </c>
      <c r="C3105" t="s">
        <v>1431</v>
      </c>
      <c r="D3105" t="s">
        <v>1433</v>
      </c>
      <c r="E3105" t="s">
        <v>196</v>
      </c>
      <c r="F3105" s="9" t="s">
        <v>196</v>
      </c>
      <c r="G3105" s="18">
        <v>87249</v>
      </c>
      <c r="H3105">
        <v>0</v>
      </c>
      <c r="I3105" s="29">
        <f t="shared" si="48"/>
        <v>87249</v>
      </c>
      <c r="J3105">
        <f>IFERROR(VLOOKUP(E3105,'LEAID Match'!$A$2:$B$168,2,FALSE),"")</f>
        <v>3306390</v>
      </c>
    </row>
    <row r="3106" spans="1:10">
      <c r="A3106">
        <v>2023</v>
      </c>
      <c r="B3106" t="s">
        <v>1429</v>
      </c>
      <c r="C3106" t="s">
        <v>1431</v>
      </c>
      <c r="D3106" t="s">
        <v>1433</v>
      </c>
      <c r="E3106" t="s">
        <v>196</v>
      </c>
      <c r="F3106" t="s">
        <v>196</v>
      </c>
      <c r="G3106" s="28">
        <v>88049</v>
      </c>
      <c r="H3106">
        <v>0</v>
      </c>
      <c r="I3106" s="29">
        <f t="shared" si="48"/>
        <v>88049</v>
      </c>
      <c r="J3106">
        <f>IFERROR(VLOOKUP(E3106,'LEAID Match'!$A$2:$B$168,2,FALSE),"")</f>
        <v>3306390</v>
      </c>
    </row>
    <row r="3107" spans="1:10">
      <c r="A3107">
        <v>2015</v>
      </c>
      <c r="B3107" t="s">
        <v>1429</v>
      </c>
      <c r="C3107" t="s">
        <v>1431</v>
      </c>
      <c r="D3107" t="s">
        <v>1433</v>
      </c>
      <c r="E3107" t="s">
        <v>196</v>
      </c>
      <c r="F3107" s="9" t="s">
        <v>1356</v>
      </c>
      <c r="G3107" s="18">
        <v>34323.08</v>
      </c>
      <c r="H3107">
        <v>0</v>
      </c>
      <c r="I3107" s="29">
        <f t="shared" si="48"/>
        <v>34323.08</v>
      </c>
      <c r="J3107">
        <f>IFERROR(VLOOKUP(E3107,'LEAID Match'!$A$2:$B$168,2,FALSE),"")</f>
        <v>3306390</v>
      </c>
    </row>
    <row r="3108" spans="1:10">
      <c r="A3108">
        <v>2016</v>
      </c>
      <c r="B3108" t="s">
        <v>1429</v>
      </c>
      <c r="C3108" t="s">
        <v>1431</v>
      </c>
      <c r="D3108" t="s">
        <v>1433</v>
      </c>
      <c r="E3108" t="s">
        <v>196</v>
      </c>
      <c r="F3108" t="s">
        <v>872</v>
      </c>
      <c r="G3108" s="28">
        <v>34969</v>
      </c>
      <c r="H3108">
        <v>0</v>
      </c>
      <c r="I3108" s="29">
        <f t="shared" si="48"/>
        <v>34969</v>
      </c>
      <c r="J3108">
        <f>IFERROR(VLOOKUP(E3108,'LEAID Match'!$A$2:$B$168,2,FALSE),"")</f>
        <v>3306390</v>
      </c>
    </row>
    <row r="3109" spans="1:10">
      <c r="A3109">
        <v>2017</v>
      </c>
      <c r="B3109" t="s">
        <v>1429</v>
      </c>
      <c r="C3109" t="s">
        <v>1431</v>
      </c>
      <c r="D3109" t="s">
        <v>1433</v>
      </c>
      <c r="E3109" t="s">
        <v>196</v>
      </c>
      <c r="F3109" t="s">
        <v>872</v>
      </c>
      <c r="G3109" s="28">
        <v>38343</v>
      </c>
      <c r="H3109">
        <v>0</v>
      </c>
      <c r="I3109" s="29">
        <f t="shared" si="48"/>
        <v>38343</v>
      </c>
      <c r="J3109">
        <f>IFERROR(VLOOKUP(E3109,'LEAID Match'!$A$2:$B$168,2,FALSE),"")</f>
        <v>3306390</v>
      </c>
    </row>
    <row r="3110" spans="1:10">
      <c r="A3110" s="27">
        <v>2018</v>
      </c>
      <c r="B3110" t="s">
        <v>1429</v>
      </c>
      <c r="C3110" t="s">
        <v>1431</v>
      </c>
      <c r="D3110" t="s">
        <v>1433</v>
      </c>
      <c r="E3110" t="s">
        <v>196</v>
      </c>
      <c r="F3110" s="9" t="s">
        <v>872</v>
      </c>
      <c r="G3110" s="18">
        <v>49185</v>
      </c>
      <c r="H3110">
        <v>0</v>
      </c>
      <c r="I3110" s="29">
        <f t="shared" si="48"/>
        <v>49185</v>
      </c>
      <c r="J3110">
        <f>IFERROR(VLOOKUP(E3110,'LEAID Match'!$A$2:$B$168,2,FALSE),"")</f>
        <v>3306390</v>
      </c>
    </row>
    <row r="3111" spans="1:10">
      <c r="A3111">
        <v>2019</v>
      </c>
      <c r="B3111" t="s">
        <v>1429</v>
      </c>
      <c r="C3111" t="s">
        <v>1431</v>
      </c>
      <c r="D3111" t="s">
        <v>1433</v>
      </c>
      <c r="E3111" t="s">
        <v>196</v>
      </c>
      <c r="F3111" s="9" t="s">
        <v>872</v>
      </c>
      <c r="G3111" s="18">
        <v>51675</v>
      </c>
      <c r="H3111">
        <v>0</v>
      </c>
      <c r="I3111" s="29">
        <f t="shared" si="48"/>
        <v>51675</v>
      </c>
      <c r="J3111">
        <f>IFERROR(VLOOKUP(E3111,'LEAID Match'!$A$2:$B$168,2,FALSE),"")</f>
        <v>3306390</v>
      </c>
    </row>
    <row r="3112" spans="1:10">
      <c r="A3112">
        <v>2015</v>
      </c>
      <c r="B3112" t="s">
        <v>1429</v>
      </c>
      <c r="C3112" t="s">
        <v>1431</v>
      </c>
      <c r="D3112" t="s">
        <v>1433</v>
      </c>
      <c r="E3112" t="s">
        <v>873</v>
      </c>
      <c r="F3112" s="9" t="s">
        <v>1357</v>
      </c>
      <c r="G3112" s="18">
        <v>72699.22</v>
      </c>
      <c r="H3112">
        <v>0</v>
      </c>
      <c r="I3112" s="29">
        <f t="shared" si="48"/>
        <v>72699.22</v>
      </c>
      <c r="J3112" t="str">
        <f>IFERROR(VLOOKUP(E3112,'LEAID Match'!$A$2:$B$168,2,FALSE),"")</f>
        <v/>
      </c>
    </row>
    <row r="3113" spans="1:10">
      <c r="A3113">
        <v>2016</v>
      </c>
      <c r="B3113" t="s">
        <v>1429</v>
      </c>
      <c r="C3113" t="s">
        <v>1431</v>
      </c>
      <c r="D3113" t="s">
        <v>1433</v>
      </c>
      <c r="E3113" t="s">
        <v>873</v>
      </c>
      <c r="F3113" t="s">
        <v>873</v>
      </c>
      <c r="G3113" s="28">
        <v>75877</v>
      </c>
      <c r="H3113">
        <v>0</v>
      </c>
      <c r="I3113" s="29">
        <f t="shared" si="48"/>
        <v>75877</v>
      </c>
      <c r="J3113" t="str">
        <f>IFERROR(VLOOKUP(E3113,'LEAID Match'!$A$2:$B$168,2,FALSE),"")</f>
        <v/>
      </c>
    </row>
    <row r="3114" spans="1:10">
      <c r="A3114">
        <v>2017</v>
      </c>
      <c r="B3114" t="s">
        <v>1429</v>
      </c>
      <c r="C3114" t="s">
        <v>1431</v>
      </c>
      <c r="D3114" t="s">
        <v>1433</v>
      </c>
      <c r="E3114" t="s">
        <v>873</v>
      </c>
      <c r="F3114" t="s">
        <v>873</v>
      </c>
      <c r="G3114" s="28">
        <v>82713</v>
      </c>
      <c r="H3114">
        <v>0</v>
      </c>
      <c r="I3114" s="29">
        <f t="shared" si="48"/>
        <v>82713</v>
      </c>
      <c r="J3114" t="str">
        <f>IFERROR(VLOOKUP(E3114,'LEAID Match'!$A$2:$B$168,2,FALSE),"")</f>
        <v/>
      </c>
    </row>
    <row r="3115" spans="1:10">
      <c r="A3115" s="27">
        <v>2018</v>
      </c>
      <c r="B3115" t="s">
        <v>1429</v>
      </c>
      <c r="C3115" t="s">
        <v>1431</v>
      </c>
      <c r="D3115" t="s">
        <v>1433</v>
      </c>
      <c r="E3115" t="s">
        <v>873</v>
      </c>
      <c r="F3115" s="9" t="s">
        <v>873</v>
      </c>
      <c r="G3115" s="18">
        <v>87864</v>
      </c>
      <c r="H3115">
        <v>0</v>
      </c>
      <c r="I3115" s="29">
        <f t="shared" si="48"/>
        <v>87864</v>
      </c>
      <c r="J3115" t="str">
        <f>IFERROR(VLOOKUP(E3115,'LEAID Match'!$A$2:$B$168,2,FALSE),"")</f>
        <v/>
      </c>
    </row>
    <row r="3116" spans="1:10">
      <c r="A3116">
        <v>2019</v>
      </c>
      <c r="B3116" t="s">
        <v>1429</v>
      </c>
      <c r="C3116" t="s">
        <v>1431</v>
      </c>
      <c r="D3116" t="s">
        <v>1433</v>
      </c>
      <c r="E3116" t="s">
        <v>873</v>
      </c>
      <c r="F3116" s="9" t="s">
        <v>873</v>
      </c>
      <c r="G3116" s="18">
        <v>100305</v>
      </c>
      <c r="H3116">
        <v>0</v>
      </c>
      <c r="I3116" s="29">
        <f t="shared" si="48"/>
        <v>100305</v>
      </c>
      <c r="J3116" t="str">
        <f>IFERROR(VLOOKUP(E3116,'LEAID Match'!$A$2:$B$168,2,FALSE),"")</f>
        <v/>
      </c>
    </row>
    <row r="3117" spans="1:10">
      <c r="A3117" s="27">
        <v>2020</v>
      </c>
      <c r="B3117" t="s">
        <v>1429</v>
      </c>
      <c r="C3117" t="s">
        <v>1431</v>
      </c>
      <c r="D3117" t="s">
        <v>1433</v>
      </c>
      <c r="E3117" t="s">
        <v>197</v>
      </c>
      <c r="F3117" s="9" t="s">
        <v>197</v>
      </c>
      <c r="G3117" s="18">
        <v>3666010</v>
      </c>
      <c r="H3117">
        <v>0</v>
      </c>
      <c r="I3117" s="29">
        <f t="shared" si="48"/>
        <v>3666010</v>
      </c>
      <c r="J3117" t="str">
        <f>IFERROR(VLOOKUP(E3117,'LEAID Match'!$A$2:$B$168,2,FALSE),"")</f>
        <v/>
      </c>
    </row>
    <row r="3118" spans="1:10">
      <c r="A3118">
        <v>2021</v>
      </c>
      <c r="B3118" t="s">
        <v>1429</v>
      </c>
      <c r="C3118" t="s">
        <v>1431</v>
      </c>
      <c r="D3118" t="s">
        <v>1433</v>
      </c>
      <c r="E3118" t="s">
        <v>197</v>
      </c>
      <c r="F3118" s="9" t="s">
        <v>197</v>
      </c>
      <c r="G3118" s="18">
        <v>3578851</v>
      </c>
      <c r="H3118">
        <v>0</v>
      </c>
      <c r="I3118" s="29">
        <f t="shared" si="48"/>
        <v>3578851</v>
      </c>
      <c r="J3118" t="str">
        <f>IFERROR(VLOOKUP(E3118,'LEAID Match'!$A$2:$B$168,2,FALSE),"")</f>
        <v/>
      </c>
    </row>
    <row r="3119" spans="1:10">
      <c r="A3119">
        <v>2022</v>
      </c>
      <c r="B3119" t="s">
        <v>1429</v>
      </c>
      <c r="C3119" t="s">
        <v>1431</v>
      </c>
      <c r="D3119" t="s">
        <v>1433</v>
      </c>
      <c r="E3119" t="s">
        <v>197</v>
      </c>
      <c r="F3119" s="9" t="s">
        <v>197</v>
      </c>
      <c r="G3119" s="18">
        <v>5099296</v>
      </c>
      <c r="H3119">
        <v>0</v>
      </c>
      <c r="I3119" s="29">
        <f t="shared" si="48"/>
        <v>5099296</v>
      </c>
      <c r="J3119" t="str">
        <f>IFERROR(VLOOKUP(E3119,'LEAID Match'!$A$2:$B$168,2,FALSE),"")</f>
        <v/>
      </c>
    </row>
    <row r="3120" spans="1:10">
      <c r="A3120">
        <v>2023</v>
      </c>
      <c r="B3120" t="s">
        <v>1429</v>
      </c>
      <c r="C3120" t="s">
        <v>1431</v>
      </c>
      <c r="D3120" t="s">
        <v>1433</v>
      </c>
      <c r="E3120" t="s">
        <v>197</v>
      </c>
      <c r="F3120" t="s">
        <v>197</v>
      </c>
      <c r="G3120" s="28">
        <v>5483303</v>
      </c>
      <c r="H3120">
        <v>0</v>
      </c>
      <c r="I3120" s="29">
        <f t="shared" si="48"/>
        <v>5483303</v>
      </c>
      <c r="J3120" t="str">
        <f>IFERROR(VLOOKUP(E3120,'LEAID Match'!$A$2:$B$168,2,FALSE),"")</f>
        <v/>
      </c>
    </row>
    <row r="3121" spans="1:10">
      <c r="A3121">
        <v>2015</v>
      </c>
      <c r="B3121" t="s">
        <v>1429</v>
      </c>
      <c r="C3121" t="s">
        <v>1431</v>
      </c>
      <c r="D3121" t="s">
        <v>1433</v>
      </c>
      <c r="E3121" t="s">
        <v>874</v>
      </c>
      <c r="F3121" s="9" t="s">
        <v>1358</v>
      </c>
      <c r="G3121" s="18">
        <v>2338940.52</v>
      </c>
      <c r="H3121">
        <v>0</v>
      </c>
      <c r="I3121" s="29">
        <f t="shared" si="48"/>
        <v>2338940.52</v>
      </c>
      <c r="J3121" t="str">
        <f>IFERROR(VLOOKUP(E3121,'LEAID Match'!$A$2:$B$168,2,FALSE),"")</f>
        <v/>
      </c>
    </row>
    <row r="3122" spans="1:10">
      <c r="A3122">
        <v>2016</v>
      </c>
      <c r="B3122" t="s">
        <v>1429</v>
      </c>
      <c r="C3122" t="s">
        <v>1431</v>
      </c>
      <c r="D3122" t="s">
        <v>1433</v>
      </c>
      <c r="E3122" t="s">
        <v>874</v>
      </c>
      <c r="F3122" t="s">
        <v>874</v>
      </c>
      <c r="G3122" s="28">
        <v>2682507</v>
      </c>
      <c r="H3122">
        <v>0</v>
      </c>
      <c r="I3122" s="29">
        <f t="shared" si="48"/>
        <v>2682507</v>
      </c>
      <c r="J3122" t="str">
        <f>IFERROR(VLOOKUP(E3122,'LEAID Match'!$A$2:$B$168,2,FALSE),"")</f>
        <v/>
      </c>
    </row>
    <row r="3123" spans="1:10">
      <c r="A3123">
        <v>2017</v>
      </c>
      <c r="B3123" t="s">
        <v>1429</v>
      </c>
      <c r="C3123" t="s">
        <v>1431</v>
      </c>
      <c r="D3123" t="s">
        <v>1433</v>
      </c>
      <c r="E3123" t="s">
        <v>874</v>
      </c>
      <c r="F3123" t="s">
        <v>874</v>
      </c>
      <c r="G3123" s="28">
        <v>2865974</v>
      </c>
      <c r="H3123">
        <v>0</v>
      </c>
      <c r="I3123" s="29">
        <f t="shared" si="48"/>
        <v>2865974</v>
      </c>
      <c r="J3123" t="str">
        <f>IFERROR(VLOOKUP(E3123,'LEAID Match'!$A$2:$B$168,2,FALSE),"")</f>
        <v/>
      </c>
    </row>
    <row r="3124" spans="1:10">
      <c r="A3124" s="27">
        <v>2018</v>
      </c>
      <c r="B3124" t="s">
        <v>1429</v>
      </c>
      <c r="C3124" t="s">
        <v>1431</v>
      </c>
      <c r="D3124" t="s">
        <v>1433</v>
      </c>
      <c r="E3124" t="s">
        <v>874</v>
      </c>
      <c r="F3124" s="9" t="s">
        <v>874</v>
      </c>
      <c r="G3124" s="18">
        <v>3422341</v>
      </c>
      <c r="H3124">
        <v>0</v>
      </c>
      <c r="I3124" s="29">
        <f t="shared" si="48"/>
        <v>3422341</v>
      </c>
      <c r="J3124" t="str">
        <f>IFERROR(VLOOKUP(E3124,'LEAID Match'!$A$2:$B$168,2,FALSE),"")</f>
        <v/>
      </c>
    </row>
    <row r="3125" spans="1:10">
      <c r="A3125">
        <v>2019</v>
      </c>
      <c r="B3125" t="s">
        <v>1429</v>
      </c>
      <c r="C3125" t="s">
        <v>1431</v>
      </c>
      <c r="D3125" t="s">
        <v>1433</v>
      </c>
      <c r="E3125" t="s">
        <v>874</v>
      </c>
      <c r="F3125" s="9" t="s">
        <v>874</v>
      </c>
      <c r="G3125" s="18">
        <v>3575863</v>
      </c>
      <c r="H3125">
        <v>0</v>
      </c>
      <c r="I3125" s="29">
        <f t="shared" si="48"/>
        <v>3575863</v>
      </c>
      <c r="J3125" t="str">
        <f>IFERROR(VLOOKUP(E3125,'LEAID Match'!$A$2:$B$168,2,FALSE),"")</f>
        <v/>
      </c>
    </row>
    <row r="3126" spans="1:10">
      <c r="A3126">
        <v>2015</v>
      </c>
      <c r="B3126" t="s">
        <v>1429</v>
      </c>
      <c r="C3126" t="s">
        <v>1431</v>
      </c>
      <c r="D3126" t="s">
        <v>1433</v>
      </c>
      <c r="E3126" t="s">
        <v>198</v>
      </c>
      <c r="F3126" s="9" t="s">
        <v>1359</v>
      </c>
      <c r="G3126" s="18">
        <v>362091.41</v>
      </c>
      <c r="H3126">
        <v>0</v>
      </c>
      <c r="I3126" s="29">
        <f t="shared" si="48"/>
        <v>362091.41</v>
      </c>
      <c r="J3126">
        <f>IFERROR(VLOOKUP(E3126,'LEAID Match'!$A$2:$B$168,2,FALSE),"")</f>
        <v>3306420</v>
      </c>
    </row>
    <row r="3127" spans="1:10">
      <c r="A3127">
        <v>2016</v>
      </c>
      <c r="B3127" t="s">
        <v>1429</v>
      </c>
      <c r="C3127" t="s">
        <v>1431</v>
      </c>
      <c r="D3127" t="s">
        <v>1433</v>
      </c>
      <c r="E3127" t="s">
        <v>198</v>
      </c>
      <c r="F3127" t="s">
        <v>875</v>
      </c>
      <c r="G3127" s="28">
        <v>376270</v>
      </c>
      <c r="H3127">
        <v>0</v>
      </c>
      <c r="I3127" s="29">
        <f t="shared" si="48"/>
        <v>376270</v>
      </c>
      <c r="J3127">
        <f>IFERROR(VLOOKUP(E3127,'LEAID Match'!$A$2:$B$168,2,FALSE),"")</f>
        <v>3306420</v>
      </c>
    </row>
    <row r="3128" spans="1:10">
      <c r="A3128">
        <v>2017</v>
      </c>
      <c r="B3128" t="s">
        <v>1429</v>
      </c>
      <c r="C3128" t="s">
        <v>1431</v>
      </c>
      <c r="D3128" t="s">
        <v>1433</v>
      </c>
      <c r="E3128" t="s">
        <v>198</v>
      </c>
      <c r="F3128" t="s">
        <v>875</v>
      </c>
      <c r="G3128" s="28">
        <v>365965</v>
      </c>
      <c r="H3128">
        <v>0</v>
      </c>
      <c r="I3128" s="29">
        <f t="shared" si="48"/>
        <v>365965</v>
      </c>
      <c r="J3128">
        <f>IFERROR(VLOOKUP(E3128,'LEAID Match'!$A$2:$B$168,2,FALSE),"")</f>
        <v>3306420</v>
      </c>
    </row>
    <row r="3129" spans="1:10">
      <c r="A3129" s="27">
        <v>2018</v>
      </c>
      <c r="B3129" t="s">
        <v>1429</v>
      </c>
      <c r="C3129" t="s">
        <v>1431</v>
      </c>
      <c r="D3129" t="s">
        <v>1433</v>
      </c>
      <c r="E3129" t="s">
        <v>198</v>
      </c>
      <c r="F3129" s="9" t="s">
        <v>875</v>
      </c>
      <c r="G3129" s="18">
        <v>444291</v>
      </c>
      <c r="H3129">
        <v>0</v>
      </c>
      <c r="I3129" s="29">
        <f t="shared" si="48"/>
        <v>444291</v>
      </c>
      <c r="J3129">
        <f>IFERROR(VLOOKUP(E3129,'LEAID Match'!$A$2:$B$168,2,FALSE),"")</f>
        <v>3306420</v>
      </c>
    </row>
    <row r="3130" spans="1:10">
      <c r="A3130">
        <v>2019</v>
      </c>
      <c r="B3130" t="s">
        <v>1429</v>
      </c>
      <c r="C3130" t="s">
        <v>1431</v>
      </c>
      <c r="D3130" t="s">
        <v>1433</v>
      </c>
      <c r="E3130" t="s">
        <v>198</v>
      </c>
      <c r="F3130" s="9" t="s">
        <v>875</v>
      </c>
      <c r="G3130" s="18">
        <v>438754</v>
      </c>
      <c r="H3130">
        <v>0</v>
      </c>
      <c r="I3130" s="29">
        <f t="shared" si="48"/>
        <v>438754</v>
      </c>
      <c r="J3130">
        <f>IFERROR(VLOOKUP(E3130,'LEAID Match'!$A$2:$B$168,2,FALSE),"")</f>
        <v>3306420</v>
      </c>
    </row>
    <row r="3131" spans="1:10">
      <c r="A3131" s="27">
        <v>2020</v>
      </c>
      <c r="B3131" t="s">
        <v>1429</v>
      </c>
      <c r="C3131" t="s">
        <v>1431</v>
      </c>
      <c r="D3131" t="s">
        <v>1433</v>
      </c>
      <c r="E3131" t="s">
        <v>198</v>
      </c>
      <c r="F3131" s="9" t="s">
        <v>198</v>
      </c>
      <c r="G3131" s="18">
        <v>450017</v>
      </c>
      <c r="H3131">
        <v>0</v>
      </c>
      <c r="I3131" s="29">
        <f t="shared" si="48"/>
        <v>450017</v>
      </c>
      <c r="J3131">
        <f>IFERROR(VLOOKUP(E3131,'LEAID Match'!$A$2:$B$168,2,FALSE),"")</f>
        <v>3306420</v>
      </c>
    </row>
    <row r="3132" spans="1:10">
      <c r="A3132">
        <v>2021</v>
      </c>
      <c r="B3132" t="s">
        <v>1429</v>
      </c>
      <c r="C3132" t="s">
        <v>1431</v>
      </c>
      <c r="D3132" t="s">
        <v>1433</v>
      </c>
      <c r="E3132" t="s">
        <v>198</v>
      </c>
      <c r="F3132" s="9" t="s">
        <v>198</v>
      </c>
      <c r="G3132" s="18">
        <v>432012</v>
      </c>
      <c r="H3132">
        <v>0</v>
      </c>
      <c r="I3132" s="29">
        <f t="shared" si="48"/>
        <v>432012</v>
      </c>
      <c r="J3132">
        <f>IFERROR(VLOOKUP(E3132,'LEAID Match'!$A$2:$B$168,2,FALSE),"")</f>
        <v>3306420</v>
      </c>
    </row>
    <row r="3133" spans="1:10">
      <c r="A3133">
        <v>2022</v>
      </c>
      <c r="B3133" t="s">
        <v>1429</v>
      </c>
      <c r="C3133" t="s">
        <v>1431</v>
      </c>
      <c r="D3133" t="s">
        <v>1433</v>
      </c>
      <c r="E3133" t="s">
        <v>198</v>
      </c>
      <c r="F3133" s="9" t="s">
        <v>198</v>
      </c>
      <c r="G3133" s="18">
        <v>574585</v>
      </c>
      <c r="H3133">
        <v>0</v>
      </c>
      <c r="I3133" s="29">
        <f t="shared" si="48"/>
        <v>574585</v>
      </c>
      <c r="J3133">
        <f>IFERROR(VLOOKUP(E3133,'LEAID Match'!$A$2:$B$168,2,FALSE),"")</f>
        <v>3306420</v>
      </c>
    </row>
    <row r="3134" spans="1:10">
      <c r="A3134">
        <v>2023</v>
      </c>
      <c r="B3134" t="s">
        <v>1429</v>
      </c>
      <c r="C3134" t="s">
        <v>1431</v>
      </c>
      <c r="D3134" t="s">
        <v>1433</v>
      </c>
      <c r="E3134" t="s">
        <v>198</v>
      </c>
      <c r="F3134" t="s">
        <v>198</v>
      </c>
      <c r="G3134" s="28">
        <v>517244</v>
      </c>
      <c r="H3134">
        <v>0</v>
      </c>
      <c r="I3134" s="29">
        <f t="shared" si="48"/>
        <v>517244</v>
      </c>
      <c r="J3134">
        <f>IFERROR(VLOOKUP(E3134,'LEAID Match'!$A$2:$B$168,2,FALSE),"")</f>
        <v>3306420</v>
      </c>
    </row>
    <row r="3135" spans="1:10">
      <c r="A3135">
        <v>2015</v>
      </c>
      <c r="B3135" t="s">
        <v>1429</v>
      </c>
      <c r="C3135" t="s">
        <v>1431</v>
      </c>
      <c r="D3135" t="s">
        <v>1433</v>
      </c>
      <c r="E3135" t="s">
        <v>876</v>
      </c>
      <c r="F3135" s="9" t="s">
        <v>1360</v>
      </c>
      <c r="G3135" s="18">
        <v>7532.06</v>
      </c>
      <c r="H3135">
        <v>0</v>
      </c>
      <c r="I3135" s="29">
        <f t="shared" si="48"/>
        <v>7532.06</v>
      </c>
      <c r="J3135" t="str">
        <f>IFERROR(VLOOKUP(E3135,'LEAID Match'!$A$2:$B$168,2,FALSE),"")</f>
        <v/>
      </c>
    </row>
    <row r="3136" spans="1:10">
      <c r="A3136">
        <v>2016</v>
      </c>
      <c r="B3136" t="s">
        <v>1429</v>
      </c>
      <c r="C3136" t="s">
        <v>1431</v>
      </c>
      <c r="D3136" t="s">
        <v>1433</v>
      </c>
      <c r="E3136" t="s">
        <v>876</v>
      </c>
      <c r="F3136" t="s">
        <v>876</v>
      </c>
      <c r="G3136" s="28">
        <v>8023</v>
      </c>
      <c r="H3136">
        <v>0</v>
      </c>
      <c r="I3136" s="29">
        <f t="shared" si="48"/>
        <v>8023</v>
      </c>
      <c r="J3136" t="str">
        <f>IFERROR(VLOOKUP(E3136,'LEAID Match'!$A$2:$B$168,2,FALSE),"")</f>
        <v/>
      </c>
    </row>
    <row r="3137" spans="1:10">
      <c r="A3137">
        <v>2017</v>
      </c>
      <c r="B3137" t="s">
        <v>1429</v>
      </c>
      <c r="C3137" t="s">
        <v>1431</v>
      </c>
      <c r="D3137" t="s">
        <v>1433</v>
      </c>
      <c r="E3137" t="s">
        <v>876</v>
      </c>
      <c r="F3137" t="s">
        <v>876</v>
      </c>
      <c r="G3137" s="28">
        <v>8249</v>
      </c>
      <c r="H3137">
        <v>0</v>
      </c>
      <c r="I3137" s="29">
        <f t="shared" si="48"/>
        <v>8249</v>
      </c>
      <c r="J3137" t="str">
        <f>IFERROR(VLOOKUP(E3137,'LEAID Match'!$A$2:$B$168,2,FALSE),"")</f>
        <v/>
      </c>
    </row>
    <row r="3138" spans="1:10">
      <c r="A3138" s="27">
        <v>2018</v>
      </c>
      <c r="B3138" t="s">
        <v>1429</v>
      </c>
      <c r="C3138" t="s">
        <v>1431</v>
      </c>
      <c r="D3138" t="s">
        <v>1433</v>
      </c>
      <c r="E3138" t="s">
        <v>876</v>
      </c>
      <c r="F3138" s="9" t="s">
        <v>876</v>
      </c>
      <c r="G3138" s="18">
        <v>8847</v>
      </c>
      <c r="H3138">
        <v>0</v>
      </c>
      <c r="I3138" s="29">
        <f t="shared" si="48"/>
        <v>8847</v>
      </c>
      <c r="J3138" t="str">
        <f>IFERROR(VLOOKUP(E3138,'LEAID Match'!$A$2:$B$168,2,FALSE),"")</f>
        <v/>
      </c>
    </row>
    <row r="3139" spans="1:10">
      <c r="A3139">
        <v>2019</v>
      </c>
      <c r="B3139" t="s">
        <v>1429</v>
      </c>
      <c r="C3139" t="s">
        <v>1431</v>
      </c>
      <c r="D3139" t="s">
        <v>1433</v>
      </c>
      <c r="E3139" t="s">
        <v>876</v>
      </c>
      <c r="F3139" s="9" t="s">
        <v>876</v>
      </c>
      <c r="G3139" s="18">
        <v>9042</v>
      </c>
      <c r="H3139">
        <v>0</v>
      </c>
      <c r="I3139" s="29">
        <f t="shared" ref="I3139:I3202" si="49">SUM(G3139:H3139)</f>
        <v>9042</v>
      </c>
      <c r="J3139" t="str">
        <f>IFERROR(VLOOKUP(E3139,'LEAID Match'!$A$2:$B$168,2,FALSE),"")</f>
        <v/>
      </c>
    </row>
    <row r="3140" spans="1:10">
      <c r="A3140">
        <v>2015</v>
      </c>
      <c r="B3140" t="s">
        <v>1429</v>
      </c>
      <c r="C3140" t="s">
        <v>1431</v>
      </c>
      <c r="D3140" t="s">
        <v>1433</v>
      </c>
      <c r="E3140" t="s">
        <v>199</v>
      </c>
      <c r="F3140" s="9" t="s">
        <v>1361</v>
      </c>
      <c r="G3140" s="18">
        <v>64505.09</v>
      </c>
      <c r="H3140">
        <v>0</v>
      </c>
      <c r="I3140" s="29">
        <f t="shared" si="49"/>
        <v>64505.09</v>
      </c>
      <c r="J3140">
        <f>IFERROR(VLOOKUP(E3140,'LEAID Match'!$A$2:$B$168,2,FALSE),"")</f>
        <v>3306450</v>
      </c>
    </row>
    <row r="3141" spans="1:10">
      <c r="A3141">
        <v>2016</v>
      </c>
      <c r="B3141" t="s">
        <v>1429</v>
      </c>
      <c r="C3141" t="s">
        <v>1431</v>
      </c>
      <c r="D3141" t="s">
        <v>1433</v>
      </c>
      <c r="E3141" t="s">
        <v>199</v>
      </c>
      <c r="F3141" t="s">
        <v>877</v>
      </c>
      <c r="G3141" s="28">
        <v>63915</v>
      </c>
      <c r="H3141">
        <v>0</v>
      </c>
      <c r="I3141" s="29">
        <f t="shared" si="49"/>
        <v>63915</v>
      </c>
      <c r="J3141">
        <f>IFERROR(VLOOKUP(E3141,'LEAID Match'!$A$2:$B$168,2,FALSE),"")</f>
        <v>3306450</v>
      </c>
    </row>
    <row r="3142" spans="1:10">
      <c r="A3142">
        <v>2017</v>
      </c>
      <c r="B3142" t="s">
        <v>1429</v>
      </c>
      <c r="C3142" t="s">
        <v>1431</v>
      </c>
      <c r="D3142" t="s">
        <v>1433</v>
      </c>
      <c r="E3142" t="s">
        <v>199</v>
      </c>
      <c r="F3142" t="s">
        <v>877</v>
      </c>
      <c r="G3142" s="28">
        <v>64556</v>
      </c>
      <c r="H3142">
        <v>0</v>
      </c>
      <c r="I3142" s="29">
        <f t="shared" si="49"/>
        <v>64556</v>
      </c>
      <c r="J3142">
        <f>IFERROR(VLOOKUP(E3142,'LEAID Match'!$A$2:$B$168,2,FALSE),"")</f>
        <v>3306450</v>
      </c>
    </row>
    <row r="3143" spans="1:10">
      <c r="A3143" s="27">
        <v>2018</v>
      </c>
      <c r="B3143" t="s">
        <v>1429</v>
      </c>
      <c r="C3143" t="s">
        <v>1431</v>
      </c>
      <c r="D3143" t="s">
        <v>1433</v>
      </c>
      <c r="E3143" t="s">
        <v>199</v>
      </c>
      <c r="F3143" s="9" t="s">
        <v>877</v>
      </c>
      <c r="G3143" s="18">
        <v>82043</v>
      </c>
      <c r="H3143">
        <v>0</v>
      </c>
      <c r="I3143" s="29">
        <f t="shared" si="49"/>
        <v>82043</v>
      </c>
      <c r="J3143">
        <f>IFERROR(VLOOKUP(E3143,'LEAID Match'!$A$2:$B$168,2,FALSE),"")</f>
        <v>3306450</v>
      </c>
    </row>
    <row r="3144" spans="1:10">
      <c r="A3144">
        <v>2019</v>
      </c>
      <c r="B3144" t="s">
        <v>1429</v>
      </c>
      <c r="C3144" t="s">
        <v>1431</v>
      </c>
      <c r="D3144" t="s">
        <v>1433</v>
      </c>
      <c r="E3144" t="s">
        <v>199</v>
      </c>
      <c r="F3144" s="9" t="s">
        <v>877</v>
      </c>
      <c r="G3144" s="18">
        <v>84942</v>
      </c>
      <c r="H3144">
        <v>0</v>
      </c>
      <c r="I3144" s="29">
        <f t="shared" si="49"/>
        <v>84942</v>
      </c>
      <c r="J3144">
        <f>IFERROR(VLOOKUP(E3144,'LEAID Match'!$A$2:$B$168,2,FALSE),"")</f>
        <v>3306450</v>
      </c>
    </row>
    <row r="3145" spans="1:10">
      <c r="A3145" s="27">
        <v>2020</v>
      </c>
      <c r="B3145" t="s">
        <v>1429</v>
      </c>
      <c r="C3145" t="s">
        <v>1431</v>
      </c>
      <c r="D3145" t="s">
        <v>1433</v>
      </c>
      <c r="E3145" t="s">
        <v>199</v>
      </c>
      <c r="F3145" s="9" t="s">
        <v>199</v>
      </c>
      <c r="G3145" s="18">
        <v>82743</v>
      </c>
      <c r="H3145">
        <v>0</v>
      </c>
      <c r="I3145" s="29">
        <f t="shared" si="49"/>
        <v>82743</v>
      </c>
      <c r="J3145">
        <f>IFERROR(VLOOKUP(E3145,'LEAID Match'!$A$2:$B$168,2,FALSE),"")</f>
        <v>3306450</v>
      </c>
    </row>
    <row r="3146" spans="1:10">
      <c r="A3146">
        <v>2021</v>
      </c>
      <c r="B3146" t="s">
        <v>1429</v>
      </c>
      <c r="C3146" t="s">
        <v>1431</v>
      </c>
      <c r="D3146" t="s">
        <v>1433</v>
      </c>
      <c r="E3146" t="s">
        <v>199</v>
      </c>
      <c r="F3146" s="9" t="s">
        <v>199</v>
      </c>
      <c r="G3146" s="18">
        <v>77156</v>
      </c>
      <c r="H3146">
        <v>0</v>
      </c>
      <c r="I3146" s="29">
        <f t="shared" si="49"/>
        <v>77156</v>
      </c>
      <c r="J3146">
        <f>IFERROR(VLOOKUP(E3146,'LEAID Match'!$A$2:$B$168,2,FALSE),"")</f>
        <v>3306450</v>
      </c>
    </row>
    <row r="3147" spans="1:10">
      <c r="A3147">
        <v>2022</v>
      </c>
      <c r="B3147" t="s">
        <v>1429</v>
      </c>
      <c r="C3147" t="s">
        <v>1431</v>
      </c>
      <c r="D3147" t="s">
        <v>1433</v>
      </c>
      <c r="E3147" t="s">
        <v>199</v>
      </c>
      <c r="F3147" s="9" t="s">
        <v>199</v>
      </c>
      <c r="G3147" s="18">
        <v>104352</v>
      </c>
      <c r="H3147">
        <v>0</v>
      </c>
      <c r="I3147" s="29">
        <f t="shared" si="49"/>
        <v>104352</v>
      </c>
      <c r="J3147">
        <f>IFERROR(VLOOKUP(E3147,'LEAID Match'!$A$2:$B$168,2,FALSE),"")</f>
        <v>3306450</v>
      </c>
    </row>
    <row r="3148" spans="1:10">
      <c r="A3148">
        <v>2023</v>
      </c>
      <c r="B3148" t="s">
        <v>1429</v>
      </c>
      <c r="C3148" t="s">
        <v>1431</v>
      </c>
      <c r="D3148" t="s">
        <v>1433</v>
      </c>
      <c r="E3148" t="s">
        <v>199</v>
      </c>
      <c r="F3148" t="s">
        <v>199</v>
      </c>
      <c r="G3148" s="28">
        <v>123973</v>
      </c>
      <c r="H3148">
        <v>0</v>
      </c>
      <c r="I3148" s="29">
        <f t="shared" si="49"/>
        <v>123973</v>
      </c>
      <c r="J3148">
        <f>IFERROR(VLOOKUP(E3148,'LEAID Match'!$A$2:$B$168,2,FALSE),"")</f>
        <v>3306450</v>
      </c>
    </row>
    <row r="3149" spans="1:10">
      <c r="A3149">
        <v>2015</v>
      </c>
      <c r="B3149" t="s">
        <v>1429</v>
      </c>
      <c r="C3149" t="s">
        <v>1431</v>
      </c>
      <c r="D3149" t="s">
        <v>1433</v>
      </c>
      <c r="E3149" t="s">
        <v>878</v>
      </c>
      <c r="F3149" s="9" t="s">
        <v>1362</v>
      </c>
      <c r="G3149" s="18">
        <v>281876.98</v>
      </c>
      <c r="H3149">
        <v>0</v>
      </c>
      <c r="I3149" s="29">
        <f t="shared" si="49"/>
        <v>281876.98</v>
      </c>
      <c r="J3149" t="str">
        <f>IFERROR(VLOOKUP(E3149,'LEAID Match'!$A$2:$B$168,2,FALSE),"")</f>
        <v/>
      </c>
    </row>
    <row r="3150" spans="1:10">
      <c r="A3150">
        <v>2016</v>
      </c>
      <c r="B3150" t="s">
        <v>1429</v>
      </c>
      <c r="C3150" t="s">
        <v>1431</v>
      </c>
      <c r="D3150" t="s">
        <v>1433</v>
      </c>
      <c r="E3150" t="s">
        <v>878</v>
      </c>
      <c r="F3150" t="s">
        <v>878</v>
      </c>
      <c r="G3150" s="28">
        <v>304983</v>
      </c>
      <c r="H3150">
        <v>0</v>
      </c>
      <c r="I3150" s="29">
        <f t="shared" si="49"/>
        <v>304983</v>
      </c>
      <c r="J3150" t="str">
        <f>IFERROR(VLOOKUP(E3150,'LEAID Match'!$A$2:$B$168,2,FALSE),"")</f>
        <v/>
      </c>
    </row>
    <row r="3151" spans="1:10">
      <c r="A3151">
        <v>2017</v>
      </c>
      <c r="B3151" t="s">
        <v>1429</v>
      </c>
      <c r="C3151" t="s">
        <v>1431</v>
      </c>
      <c r="D3151" t="s">
        <v>1433</v>
      </c>
      <c r="E3151" t="s">
        <v>878</v>
      </c>
      <c r="F3151" t="s">
        <v>878</v>
      </c>
      <c r="G3151" s="28">
        <v>322502</v>
      </c>
      <c r="H3151">
        <v>0</v>
      </c>
      <c r="I3151" s="29">
        <f t="shared" si="49"/>
        <v>322502</v>
      </c>
      <c r="J3151" t="str">
        <f>IFERROR(VLOOKUP(E3151,'LEAID Match'!$A$2:$B$168,2,FALSE),"")</f>
        <v/>
      </c>
    </row>
    <row r="3152" spans="1:10">
      <c r="A3152" s="27">
        <v>2018</v>
      </c>
      <c r="B3152" t="s">
        <v>1429</v>
      </c>
      <c r="C3152" t="s">
        <v>1431</v>
      </c>
      <c r="D3152" t="s">
        <v>1433</v>
      </c>
      <c r="E3152" t="s">
        <v>878</v>
      </c>
      <c r="F3152" s="9" t="s">
        <v>878</v>
      </c>
      <c r="G3152" s="18">
        <v>378160</v>
      </c>
      <c r="H3152">
        <v>0</v>
      </c>
      <c r="I3152" s="29">
        <f t="shared" si="49"/>
        <v>378160</v>
      </c>
      <c r="J3152" t="str">
        <f>IFERROR(VLOOKUP(E3152,'LEAID Match'!$A$2:$B$168,2,FALSE),"")</f>
        <v/>
      </c>
    </row>
    <row r="3153" spans="1:10">
      <c r="A3153">
        <v>2019</v>
      </c>
      <c r="B3153" t="s">
        <v>1429</v>
      </c>
      <c r="C3153" t="s">
        <v>1431</v>
      </c>
      <c r="D3153" t="s">
        <v>1433</v>
      </c>
      <c r="E3153" t="s">
        <v>878</v>
      </c>
      <c r="F3153" s="9" t="s">
        <v>878</v>
      </c>
      <c r="G3153" s="18">
        <v>390330</v>
      </c>
      <c r="H3153">
        <v>0</v>
      </c>
      <c r="I3153" s="29">
        <f t="shared" si="49"/>
        <v>390330</v>
      </c>
      <c r="J3153" t="str">
        <f>IFERROR(VLOOKUP(E3153,'LEAID Match'!$A$2:$B$168,2,FALSE),"")</f>
        <v/>
      </c>
    </row>
    <row r="3154" spans="1:10">
      <c r="A3154">
        <v>2015</v>
      </c>
      <c r="B3154" t="s">
        <v>1429</v>
      </c>
      <c r="C3154" t="s">
        <v>1431</v>
      </c>
      <c r="D3154" t="s">
        <v>1433</v>
      </c>
      <c r="E3154" t="s">
        <v>200</v>
      </c>
      <c r="F3154" s="9" t="s">
        <v>1363</v>
      </c>
      <c r="G3154" s="18">
        <v>540004.85</v>
      </c>
      <c r="H3154">
        <v>0</v>
      </c>
      <c r="I3154" s="29">
        <f t="shared" si="49"/>
        <v>540004.85</v>
      </c>
      <c r="J3154">
        <f>IFERROR(VLOOKUP(E3154,'LEAID Match'!$A$2:$B$168,2,FALSE),"")</f>
        <v>3306480</v>
      </c>
    </row>
    <row r="3155" spans="1:10">
      <c r="A3155">
        <v>2016</v>
      </c>
      <c r="B3155" t="s">
        <v>1429</v>
      </c>
      <c r="C3155" t="s">
        <v>1431</v>
      </c>
      <c r="D3155" t="s">
        <v>1433</v>
      </c>
      <c r="E3155" t="s">
        <v>200</v>
      </c>
      <c r="F3155" t="s">
        <v>879</v>
      </c>
      <c r="G3155" s="28">
        <v>587558</v>
      </c>
      <c r="H3155">
        <v>0</v>
      </c>
      <c r="I3155" s="29">
        <f t="shared" si="49"/>
        <v>587558</v>
      </c>
      <c r="J3155">
        <f>IFERROR(VLOOKUP(E3155,'LEAID Match'!$A$2:$B$168,2,FALSE),"")</f>
        <v>3306480</v>
      </c>
    </row>
    <row r="3156" spans="1:10">
      <c r="A3156">
        <v>2017</v>
      </c>
      <c r="B3156" t="s">
        <v>1429</v>
      </c>
      <c r="C3156" t="s">
        <v>1431</v>
      </c>
      <c r="D3156" t="s">
        <v>1433</v>
      </c>
      <c r="E3156" t="s">
        <v>200</v>
      </c>
      <c r="F3156" t="s">
        <v>879</v>
      </c>
      <c r="G3156" s="28">
        <v>586860</v>
      </c>
      <c r="H3156">
        <v>0</v>
      </c>
      <c r="I3156" s="29">
        <f t="shared" si="49"/>
        <v>586860</v>
      </c>
      <c r="J3156">
        <f>IFERROR(VLOOKUP(E3156,'LEAID Match'!$A$2:$B$168,2,FALSE),"")</f>
        <v>3306480</v>
      </c>
    </row>
    <row r="3157" spans="1:10">
      <c r="A3157" s="27">
        <v>2018</v>
      </c>
      <c r="B3157" t="s">
        <v>1429</v>
      </c>
      <c r="C3157" t="s">
        <v>1431</v>
      </c>
      <c r="D3157" t="s">
        <v>1433</v>
      </c>
      <c r="E3157" t="s">
        <v>200</v>
      </c>
      <c r="F3157" s="9" t="s">
        <v>879</v>
      </c>
      <c r="G3157" s="18">
        <v>710660</v>
      </c>
      <c r="H3157">
        <v>0</v>
      </c>
      <c r="I3157" s="29">
        <f t="shared" si="49"/>
        <v>710660</v>
      </c>
      <c r="J3157">
        <f>IFERROR(VLOOKUP(E3157,'LEAID Match'!$A$2:$B$168,2,FALSE),"")</f>
        <v>3306480</v>
      </c>
    </row>
    <row r="3158" spans="1:10">
      <c r="A3158">
        <v>2019</v>
      </c>
      <c r="B3158" t="s">
        <v>1429</v>
      </c>
      <c r="C3158" t="s">
        <v>1431</v>
      </c>
      <c r="D3158" t="s">
        <v>1433</v>
      </c>
      <c r="E3158" t="s">
        <v>200</v>
      </c>
      <c r="F3158" s="9" t="s">
        <v>879</v>
      </c>
      <c r="G3158" s="18">
        <v>728412</v>
      </c>
      <c r="H3158">
        <v>0</v>
      </c>
      <c r="I3158" s="29">
        <f t="shared" si="49"/>
        <v>728412</v>
      </c>
      <c r="J3158">
        <f>IFERROR(VLOOKUP(E3158,'LEAID Match'!$A$2:$B$168,2,FALSE),"")</f>
        <v>3306480</v>
      </c>
    </row>
    <row r="3159" spans="1:10">
      <c r="A3159" s="27">
        <v>2020</v>
      </c>
      <c r="B3159" t="s">
        <v>1429</v>
      </c>
      <c r="C3159" t="s">
        <v>1431</v>
      </c>
      <c r="D3159" t="s">
        <v>1433</v>
      </c>
      <c r="E3159" t="s">
        <v>200</v>
      </c>
      <c r="F3159" s="9" t="s">
        <v>200</v>
      </c>
      <c r="G3159" s="18">
        <v>772187</v>
      </c>
      <c r="H3159">
        <v>0</v>
      </c>
      <c r="I3159" s="29">
        <f t="shared" si="49"/>
        <v>772187</v>
      </c>
      <c r="J3159">
        <f>IFERROR(VLOOKUP(E3159,'LEAID Match'!$A$2:$B$168,2,FALSE),"")</f>
        <v>3306480</v>
      </c>
    </row>
    <row r="3160" spans="1:10">
      <c r="A3160">
        <v>2021</v>
      </c>
      <c r="B3160" t="s">
        <v>1429</v>
      </c>
      <c r="C3160" t="s">
        <v>1431</v>
      </c>
      <c r="D3160" t="s">
        <v>1433</v>
      </c>
      <c r="E3160" t="s">
        <v>200</v>
      </c>
      <c r="F3160" s="9" t="s">
        <v>200</v>
      </c>
      <c r="G3160" s="18">
        <v>830069</v>
      </c>
      <c r="H3160">
        <v>0</v>
      </c>
      <c r="I3160" s="29">
        <f t="shared" si="49"/>
        <v>830069</v>
      </c>
      <c r="J3160">
        <f>IFERROR(VLOOKUP(E3160,'LEAID Match'!$A$2:$B$168,2,FALSE),"")</f>
        <v>3306480</v>
      </c>
    </row>
    <row r="3161" spans="1:10">
      <c r="A3161">
        <v>2022</v>
      </c>
      <c r="B3161" t="s">
        <v>1429</v>
      </c>
      <c r="C3161" t="s">
        <v>1431</v>
      </c>
      <c r="D3161" t="s">
        <v>1433</v>
      </c>
      <c r="E3161" t="s">
        <v>200</v>
      </c>
      <c r="F3161" s="9" t="s">
        <v>200</v>
      </c>
      <c r="G3161" s="18">
        <v>1089149</v>
      </c>
      <c r="H3161">
        <v>0</v>
      </c>
      <c r="I3161" s="29">
        <f t="shared" si="49"/>
        <v>1089149</v>
      </c>
      <c r="J3161">
        <f>IFERROR(VLOOKUP(E3161,'LEAID Match'!$A$2:$B$168,2,FALSE),"")</f>
        <v>3306480</v>
      </c>
    </row>
    <row r="3162" spans="1:10">
      <c r="A3162">
        <v>2023</v>
      </c>
      <c r="B3162" t="s">
        <v>1429</v>
      </c>
      <c r="C3162" t="s">
        <v>1431</v>
      </c>
      <c r="D3162" t="s">
        <v>1433</v>
      </c>
      <c r="E3162" t="s">
        <v>200</v>
      </c>
      <c r="F3162" t="s">
        <v>200</v>
      </c>
      <c r="G3162" s="28">
        <v>1180894</v>
      </c>
      <c r="H3162">
        <v>0</v>
      </c>
      <c r="I3162" s="29">
        <f t="shared" si="49"/>
        <v>1180894</v>
      </c>
      <c r="J3162">
        <f>IFERROR(VLOOKUP(E3162,'LEAID Match'!$A$2:$B$168,2,FALSE),"")</f>
        <v>3306480</v>
      </c>
    </row>
    <row r="3163" spans="1:10">
      <c r="A3163">
        <v>2015</v>
      </c>
      <c r="B3163" t="s">
        <v>1429</v>
      </c>
      <c r="C3163" t="s">
        <v>1431</v>
      </c>
      <c r="D3163" t="s">
        <v>1433</v>
      </c>
      <c r="E3163" t="s">
        <v>880</v>
      </c>
      <c r="F3163" s="9" t="s">
        <v>1364</v>
      </c>
      <c r="G3163" s="18">
        <v>30641.88</v>
      </c>
      <c r="H3163">
        <v>0</v>
      </c>
      <c r="I3163" s="29">
        <f t="shared" si="49"/>
        <v>30641.88</v>
      </c>
      <c r="J3163" t="str">
        <f>IFERROR(VLOOKUP(E3163,'LEAID Match'!$A$2:$B$168,2,FALSE),"")</f>
        <v/>
      </c>
    </row>
    <row r="3164" spans="1:10">
      <c r="A3164">
        <v>2016</v>
      </c>
      <c r="B3164" t="s">
        <v>1429</v>
      </c>
      <c r="C3164" t="s">
        <v>1431</v>
      </c>
      <c r="D3164" t="s">
        <v>1433</v>
      </c>
      <c r="E3164" t="s">
        <v>880</v>
      </c>
      <c r="F3164" t="s">
        <v>880</v>
      </c>
      <c r="G3164" s="28">
        <v>28153</v>
      </c>
      <c r="H3164">
        <v>0</v>
      </c>
      <c r="I3164" s="29">
        <f t="shared" si="49"/>
        <v>28153</v>
      </c>
      <c r="J3164" t="str">
        <f>IFERROR(VLOOKUP(E3164,'LEAID Match'!$A$2:$B$168,2,FALSE),"")</f>
        <v/>
      </c>
    </row>
    <row r="3165" spans="1:10">
      <c r="A3165">
        <v>2017</v>
      </c>
      <c r="B3165" t="s">
        <v>1429</v>
      </c>
      <c r="C3165" t="s">
        <v>1431</v>
      </c>
      <c r="D3165" t="s">
        <v>1433</v>
      </c>
      <c r="E3165" t="s">
        <v>880</v>
      </c>
      <c r="F3165" t="s">
        <v>880</v>
      </c>
      <c r="G3165" s="28">
        <v>27348</v>
      </c>
      <c r="H3165">
        <v>0</v>
      </c>
      <c r="I3165" s="29">
        <f t="shared" si="49"/>
        <v>27348</v>
      </c>
      <c r="J3165" t="str">
        <f>IFERROR(VLOOKUP(E3165,'LEAID Match'!$A$2:$B$168,2,FALSE),"")</f>
        <v/>
      </c>
    </row>
    <row r="3166" spans="1:10">
      <c r="A3166" s="27">
        <v>2018</v>
      </c>
      <c r="B3166" t="s">
        <v>1429</v>
      </c>
      <c r="C3166" t="s">
        <v>1431</v>
      </c>
      <c r="D3166" t="s">
        <v>1433</v>
      </c>
      <c r="E3166" t="s">
        <v>880</v>
      </c>
      <c r="F3166" s="9" t="s">
        <v>880</v>
      </c>
      <c r="G3166" s="18">
        <v>46217</v>
      </c>
      <c r="H3166">
        <v>0</v>
      </c>
      <c r="I3166" s="29">
        <f t="shared" si="49"/>
        <v>46217</v>
      </c>
      <c r="J3166" t="str">
        <f>IFERROR(VLOOKUP(E3166,'LEAID Match'!$A$2:$B$168,2,FALSE),"")</f>
        <v/>
      </c>
    </row>
    <row r="3167" spans="1:10">
      <c r="A3167">
        <v>2019</v>
      </c>
      <c r="B3167" t="s">
        <v>1429</v>
      </c>
      <c r="C3167" t="s">
        <v>1431</v>
      </c>
      <c r="D3167" t="s">
        <v>1433</v>
      </c>
      <c r="E3167" t="s">
        <v>880</v>
      </c>
      <c r="F3167" s="9" t="s">
        <v>880</v>
      </c>
      <c r="G3167" s="18">
        <v>48816</v>
      </c>
      <c r="H3167">
        <v>0</v>
      </c>
      <c r="I3167" s="29">
        <f t="shared" si="49"/>
        <v>48816</v>
      </c>
      <c r="J3167" t="str">
        <f>IFERROR(VLOOKUP(E3167,'LEAID Match'!$A$2:$B$168,2,FALSE),"")</f>
        <v/>
      </c>
    </row>
    <row r="3168" spans="1:10">
      <c r="A3168" s="27">
        <v>2020</v>
      </c>
      <c r="B3168" t="s">
        <v>1429</v>
      </c>
      <c r="C3168" t="s">
        <v>1431</v>
      </c>
      <c r="D3168" t="s">
        <v>1433</v>
      </c>
      <c r="E3168" t="s">
        <v>201</v>
      </c>
      <c r="F3168" s="9" t="s">
        <v>201</v>
      </c>
      <c r="G3168" s="18">
        <v>1330667</v>
      </c>
      <c r="H3168">
        <v>0</v>
      </c>
      <c r="I3168" s="29">
        <f t="shared" si="49"/>
        <v>1330667</v>
      </c>
      <c r="J3168" t="str">
        <f>IFERROR(VLOOKUP(E3168,'LEAID Match'!$A$2:$B$168,2,FALSE),"")</f>
        <v/>
      </c>
    </row>
    <row r="3169" spans="1:10">
      <c r="A3169">
        <v>2021</v>
      </c>
      <c r="B3169" t="s">
        <v>1429</v>
      </c>
      <c r="C3169" t="s">
        <v>1431</v>
      </c>
      <c r="D3169" t="s">
        <v>1433</v>
      </c>
      <c r="E3169" t="s">
        <v>201</v>
      </c>
      <c r="F3169" s="9" t="s">
        <v>201</v>
      </c>
      <c r="G3169" s="18">
        <v>1396681</v>
      </c>
      <c r="H3169">
        <v>0</v>
      </c>
      <c r="I3169" s="29">
        <f t="shared" si="49"/>
        <v>1396681</v>
      </c>
      <c r="J3169" t="str">
        <f>IFERROR(VLOOKUP(E3169,'LEAID Match'!$A$2:$B$168,2,FALSE),"")</f>
        <v/>
      </c>
    </row>
    <row r="3170" spans="1:10">
      <c r="A3170">
        <v>2022</v>
      </c>
      <c r="B3170" t="s">
        <v>1429</v>
      </c>
      <c r="C3170" t="s">
        <v>1431</v>
      </c>
      <c r="D3170" t="s">
        <v>1433</v>
      </c>
      <c r="E3170" t="s">
        <v>201</v>
      </c>
      <c r="F3170" s="9" t="s">
        <v>201</v>
      </c>
      <c r="G3170" s="18">
        <v>1646247</v>
      </c>
      <c r="H3170">
        <v>0</v>
      </c>
      <c r="I3170" s="29">
        <f t="shared" si="49"/>
        <v>1646247</v>
      </c>
      <c r="J3170" t="str">
        <f>IFERROR(VLOOKUP(E3170,'LEAID Match'!$A$2:$B$168,2,FALSE),"")</f>
        <v/>
      </c>
    </row>
    <row r="3171" spans="1:10">
      <c r="A3171">
        <v>2023</v>
      </c>
      <c r="B3171" t="s">
        <v>1429</v>
      </c>
      <c r="C3171" t="s">
        <v>1431</v>
      </c>
      <c r="D3171" t="s">
        <v>1433</v>
      </c>
      <c r="E3171" t="s">
        <v>201</v>
      </c>
      <c r="F3171" t="s">
        <v>201</v>
      </c>
      <c r="G3171" s="28">
        <v>1738808</v>
      </c>
      <c r="H3171">
        <v>0</v>
      </c>
      <c r="I3171" s="29">
        <f t="shared" si="49"/>
        <v>1738808</v>
      </c>
      <c r="J3171" t="str">
        <f>IFERROR(VLOOKUP(E3171,'LEAID Match'!$A$2:$B$168,2,FALSE),"")</f>
        <v/>
      </c>
    </row>
    <row r="3172" spans="1:10">
      <c r="A3172">
        <v>2015</v>
      </c>
      <c r="B3172" t="s">
        <v>1429</v>
      </c>
      <c r="C3172" t="s">
        <v>1431</v>
      </c>
      <c r="D3172" t="s">
        <v>1433</v>
      </c>
      <c r="E3172" t="s">
        <v>881</v>
      </c>
      <c r="F3172" s="9" t="s">
        <v>1365</v>
      </c>
      <c r="G3172" s="18">
        <v>1111733.1000000001</v>
      </c>
      <c r="H3172">
        <v>0</v>
      </c>
      <c r="I3172" s="29">
        <f t="shared" si="49"/>
        <v>1111733.1000000001</v>
      </c>
      <c r="J3172" t="str">
        <f>IFERROR(VLOOKUP(E3172,'LEAID Match'!$A$2:$B$168,2,FALSE),"")</f>
        <v/>
      </c>
    </row>
    <row r="3173" spans="1:10">
      <c r="A3173">
        <v>2016</v>
      </c>
      <c r="B3173" t="s">
        <v>1429</v>
      </c>
      <c r="C3173" t="s">
        <v>1431</v>
      </c>
      <c r="D3173" t="s">
        <v>1433</v>
      </c>
      <c r="E3173" t="s">
        <v>881</v>
      </c>
      <c r="F3173" t="s">
        <v>881</v>
      </c>
      <c r="G3173" s="28">
        <v>1209360</v>
      </c>
      <c r="H3173">
        <v>0</v>
      </c>
      <c r="I3173" s="29">
        <f t="shared" si="49"/>
        <v>1209360</v>
      </c>
      <c r="J3173" t="str">
        <f>IFERROR(VLOOKUP(E3173,'LEAID Match'!$A$2:$B$168,2,FALSE),"")</f>
        <v/>
      </c>
    </row>
    <row r="3174" spans="1:10">
      <c r="A3174">
        <v>2017</v>
      </c>
      <c r="B3174" t="s">
        <v>1429</v>
      </c>
      <c r="C3174" t="s">
        <v>1431</v>
      </c>
      <c r="D3174" t="s">
        <v>1433</v>
      </c>
      <c r="E3174" t="s">
        <v>881</v>
      </c>
      <c r="F3174" t="s">
        <v>881</v>
      </c>
      <c r="G3174" s="28">
        <v>1281129</v>
      </c>
      <c r="H3174">
        <v>0</v>
      </c>
      <c r="I3174" s="29">
        <f t="shared" si="49"/>
        <v>1281129</v>
      </c>
      <c r="J3174" t="str">
        <f>IFERROR(VLOOKUP(E3174,'LEAID Match'!$A$2:$B$168,2,FALSE),"")</f>
        <v/>
      </c>
    </row>
    <row r="3175" spans="1:10">
      <c r="A3175" s="27">
        <v>2018</v>
      </c>
      <c r="B3175" t="s">
        <v>1429</v>
      </c>
      <c r="C3175" t="s">
        <v>1431</v>
      </c>
      <c r="D3175" t="s">
        <v>1433</v>
      </c>
      <c r="E3175" t="s">
        <v>881</v>
      </c>
      <c r="F3175" s="9" t="s">
        <v>881</v>
      </c>
      <c r="G3175" s="18">
        <v>1340664</v>
      </c>
      <c r="H3175">
        <v>0</v>
      </c>
      <c r="I3175" s="29">
        <f t="shared" si="49"/>
        <v>1340664</v>
      </c>
      <c r="J3175" t="str">
        <f>IFERROR(VLOOKUP(E3175,'LEAID Match'!$A$2:$B$168,2,FALSE),"")</f>
        <v/>
      </c>
    </row>
    <row r="3176" spans="1:10">
      <c r="A3176">
        <v>2019</v>
      </c>
      <c r="B3176" t="s">
        <v>1429</v>
      </c>
      <c r="C3176" t="s">
        <v>1431</v>
      </c>
      <c r="D3176" t="s">
        <v>1433</v>
      </c>
      <c r="E3176" t="s">
        <v>881</v>
      </c>
      <c r="F3176" s="9" t="s">
        <v>881</v>
      </c>
      <c r="G3176" s="18">
        <v>1368316</v>
      </c>
      <c r="H3176">
        <v>0</v>
      </c>
      <c r="I3176" s="29">
        <f t="shared" si="49"/>
        <v>1368316</v>
      </c>
      <c r="J3176" t="str">
        <f>IFERROR(VLOOKUP(E3176,'LEAID Match'!$A$2:$B$168,2,FALSE),"")</f>
        <v/>
      </c>
    </row>
    <row r="3177" spans="1:10">
      <c r="A3177">
        <v>2015</v>
      </c>
      <c r="B3177" t="s">
        <v>1429</v>
      </c>
      <c r="C3177" t="s">
        <v>1431</v>
      </c>
      <c r="D3177" t="s">
        <v>1433</v>
      </c>
      <c r="E3177" t="s">
        <v>882</v>
      </c>
      <c r="F3177" s="9" t="s">
        <v>1366</v>
      </c>
      <c r="G3177" s="18">
        <v>222338.13</v>
      </c>
      <c r="H3177">
        <v>0</v>
      </c>
      <c r="I3177" s="29">
        <f t="shared" si="49"/>
        <v>222338.13</v>
      </c>
      <c r="J3177" t="str">
        <f>IFERROR(VLOOKUP(E3177,'LEAID Match'!$A$2:$B$168,2,FALSE),"")</f>
        <v/>
      </c>
    </row>
    <row r="3178" spans="1:10">
      <c r="A3178">
        <v>2016</v>
      </c>
      <c r="B3178" t="s">
        <v>1429</v>
      </c>
      <c r="C3178" t="s">
        <v>1431</v>
      </c>
      <c r="D3178" t="s">
        <v>1433</v>
      </c>
      <c r="E3178" t="s">
        <v>882</v>
      </c>
      <c r="F3178" t="s">
        <v>882</v>
      </c>
      <c r="G3178" s="28">
        <v>225998</v>
      </c>
      <c r="H3178">
        <v>0</v>
      </c>
      <c r="I3178" s="29">
        <f t="shared" si="49"/>
        <v>225998</v>
      </c>
      <c r="J3178" t="str">
        <f>IFERROR(VLOOKUP(E3178,'LEAID Match'!$A$2:$B$168,2,FALSE),"")</f>
        <v/>
      </c>
    </row>
    <row r="3179" spans="1:10">
      <c r="A3179">
        <v>2017</v>
      </c>
      <c r="B3179" t="s">
        <v>1429</v>
      </c>
      <c r="C3179" t="s">
        <v>1431</v>
      </c>
      <c r="D3179" t="s">
        <v>1433</v>
      </c>
      <c r="E3179" t="s">
        <v>882</v>
      </c>
      <c r="F3179" t="s">
        <v>882</v>
      </c>
      <c r="G3179" s="28">
        <v>239553</v>
      </c>
      <c r="H3179">
        <v>0</v>
      </c>
      <c r="I3179" s="29">
        <f t="shared" si="49"/>
        <v>239553</v>
      </c>
      <c r="J3179" t="str">
        <f>IFERROR(VLOOKUP(E3179,'LEAID Match'!$A$2:$B$168,2,FALSE),"")</f>
        <v/>
      </c>
    </row>
    <row r="3180" spans="1:10">
      <c r="A3180" s="27">
        <v>2018</v>
      </c>
      <c r="B3180" t="s">
        <v>1429</v>
      </c>
      <c r="C3180" t="s">
        <v>1431</v>
      </c>
      <c r="D3180" t="s">
        <v>1433</v>
      </c>
      <c r="E3180" t="s">
        <v>882</v>
      </c>
      <c r="F3180" s="9" t="s">
        <v>882</v>
      </c>
      <c r="G3180" s="18">
        <v>257906</v>
      </c>
      <c r="H3180">
        <v>0</v>
      </c>
      <c r="I3180" s="29">
        <f t="shared" si="49"/>
        <v>257906</v>
      </c>
      <c r="J3180" t="str">
        <f>IFERROR(VLOOKUP(E3180,'LEAID Match'!$A$2:$B$168,2,FALSE),"")</f>
        <v/>
      </c>
    </row>
    <row r="3181" spans="1:10">
      <c r="A3181">
        <v>2019</v>
      </c>
      <c r="B3181" t="s">
        <v>1429</v>
      </c>
      <c r="C3181" t="s">
        <v>1431</v>
      </c>
      <c r="D3181" t="s">
        <v>1433</v>
      </c>
      <c r="E3181" t="s">
        <v>882</v>
      </c>
      <c r="F3181" s="9" t="s">
        <v>882</v>
      </c>
      <c r="G3181" s="18">
        <v>270591</v>
      </c>
      <c r="H3181">
        <v>0</v>
      </c>
      <c r="I3181" s="29">
        <f t="shared" si="49"/>
        <v>270591</v>
      </c>
      <c r="J3181" t="str">
        <f>IFERROR(VLOOKUP(E3181,'LEAID Match'!$A$2:$B$168,2,FALSE),"")</f>
        <v/>
      </c>
    </row>
    <row r="3182" spans="1:10">
      <c r="A3182">
        <v>2015</v>
      </c>
      <c r="B3182" t="s">
        <v>1429</v>
      </c>
      <c r="C3182" t="s">
        <v>1431</v>
      </c>
      <c r="D3182" t="s">
        <v>1433</v>
      </c>
      <c r="E3182" t="s">
        <v>202</v>
      </c>
      <c r="F3182" s="9" t="s">
        <v>1367</v>
      </c>
      <c r="G3182" s="18">
        <v>599870.01</v>
      </c>
      <c r="H3182">
        <v>0</v>
      </c>
      <c r="I3182" s="29">
        <f t="shared" si="49"/>
        <v>599870.01</v>
      </c>
      <c r="J3182">
        <f>IFERROR(VLOOKUP(E3182,'LEAID Match'!$A$2:$B$168,2,FALSE),"")</f>
        <v>3306540</v>
      </c>
    </row>
    <row r="3183" spans="1:10">
      <c r="A3183">
        <v>2016</v>
      </c>
      <c r="B3183" t="s">
        <v>1429</v>
      </c>
      <c r="C3183" t="s">
        <v>1431</v>
      </c>
      <c r="D3183" t="s">
        <v>1433</v>
      </c>
      <c r="E3183" t="s">
        <v>202</v>
      </c>
      <c r="F3183" t="s">
        <v>883</v>
      </c>
      <c r="G3183" s="28">
        <v>650410</v>
      </c>
      <c r="H3183">
        <v>0</v>
      </c>
      <c r="I3183" s="29">
        <f t="shared" si="49"/>
        <v>650410</v>
      </c>
      <c r="J3183">
        <f>IFERROR(VLOOKUP(E3183,'LEAID Match'!$A$2:$B$168,2,FALSE),"")</f>
        <v>3306540</v>
      </c>
    </row>
    <row r="3184" spans="1:10">
      <c r="A3184">
        <v>2017</v>
      </c>
      <c r="B3184" t="s">
        <v>1429</v>
      </c>
      <c r="C3184" t="s">
        <v>1431</v>
      </c>
      <c r="D3184" t="s">
        <v>1433</v>
      </c>
      <c r="E3184" t="s">
        <v>202</v>
      </c>
      <c r="F3184" t="s">
        <v>883</v>
      </c>
      <c r="G3184" s="28">
        <v>651168</v>
      </c>
      <c r="H3184">
        <v>0</v>
      </c>
      <c r="I3184" s="29">
        <f t="shared" si="49"/>
        <v>651168</v>
      </c>
      <c r="J3184">
        <f>IFERROR(VLOOKUP(E3184,'LEAID Match'!$A$2:$B$168,2,FALSE),"")</f>
        <v>3306540</v>
      </c>
    </row>
    <row r="3185" spans="1:10">
      <c r="A3185" s="27">
        <v>2018</v>
      </c>
      <c r="B3185" t="s">
        <v>1429</v>
      </c>
      <c r="C3185" t="s">
        <v>1431</v>
      </c>
      <c r="D3185" t="s">
        <v>1433</v>
      </c>
      <c r="E3185" t="s">
        <v>202</v>
      </c>
      <c r="F3185" s="9" t="s">
        <v>883</v>
      </c>
      <c r="G3185" s="18">
        <v>792745</v>
      </c>
      <c r="H3185">
        <v>0</v>
      </c>
      <c r="I3185" s="29">
        <f t="shared" si="49"/>
        <v>792745</v>
      </c>
      <c r="J3185">
        <f>IFERROR(VLOOKUP(E3185,'LEAID Match'!$A$2:$B$168,2,FALSE),"")</f>
        <v>3306540</v>
      </c>
    </row>
    <row r="3186" spans="1:10">
      <c r="A3186">
        <v>2019</v>
      </c>
      <c r="B3186" t="s">
        <v>1429</v>
      </c>
      <c r="C3186" t="s">
        <v>1431</v>
      </c>
      <c r="D3186" t="s">
        <v>1433</v>
      </c>
      <c r="E3186" t="s">
        <v>202</v>
      </c>
      <c r="F3186" s="9" t="s">
        <v>883</v>
      </c>
      <c r="G3186" s="18">
        <v>828399</v>
      </c>
      <c r="H3186">
        <v>0</v>
      </c>
      <c r="I3186" s="29">
        <f t="shared" si="49"/>
        <v>828399</v>
      </c>
      <c r="J3186">
        <f>IFERROR(VLOOKUP(E3186,'LEAID Match'!$A$2:$B$168,2,FALSE),"")</f>
        <v>3306540</v>
      </c>
    </row>
    <row r="3187" spans="1:10">
      <c r="A3187" s="27">
        <v>2020</v>
      </c>
      <c r="B3187" t="s">
        <v>1429</v>
      </c>
      <c r="C3187" t="s">
        <v>1431</v>
      </c>
      <c r="D3187" t="s">
        <v>1433</v>
      </c>
      <c r="E3187" t="s">
        <v>202</v>
      </c>
      <c r="F3187" s="9" t="s">
        <v>202</v>
      </c>
      <c r="G3187" s="18">
        <v>854539</v>
      </c>
      <c r="H3187">
        <v>0</v>
      </c>
      <c r="I3187" s="29">
        <f t="shared" si="49"/>
        <v>854539</v>
      </c>
      <c r="J3187">
        <f>IFERROR(VLOOKUP(E3187,'LEAID Match'!$A$2:$B$168,2,FALSE),"")</f>
        <v>3306540</v>
      </c>
    </row>
    <row r="3188" spans="1:10">
      <c r="A3188">
        <v>2021</v>
      </c>
      <c r="B3188" t="s">
        <v>1429</v>
      </c>
      <c r="C3188" t="s">
        <v>1431</v>
      </c>
      <c r="D3188" t="s">
        <v>1433</v>
      </c>
      <c r="E3188" t="s">
        <v>202</v>
      </c>
      <c r="F3188" s="9" t="s">
        <v>202</v>
      </c>
      <c r="G3188" s="18">
        <v>904124</v>
      </c>
      <c r="H3188">
        <v>0</v>
      </c>
      <c r="I3188" s="29">
        <f t="shared" si="49"/>
        <v>904124</v>
      </c>
      <c r="J3188">
        <f>IFERROR(VLOOKUP(E3188,'LEAID Match'!$A$2:$B$168,2,FALSE),"")</f>
        <v>3306540</v>
      </c>
    </row>
    <row r="3189" spans="1:10">
      <c r="A3189">
        <v>2022</v>
      </c>
      <c r="B3189" t="s">
        <v>1429</v>
      </c>
      <c r="C3189" t="s">
        <v>1431</v>
      </c>
      <c r="D3189" t="s">
        <v>1433</v>
      </c>
      <c r="E3189" t="s">
        <v>202</v>
      </c>
      <c r="F3189" s="9" t="s">
        <v>202</v>
      </c>
      <c r="G3189" s="18">
        <v>1074126</v>
      </c>
      <c r="H3189">
        <v>0</v>
      </c>
      <c r="I3189" s="29">
        <f t="shared" si="49"/>
        <v>1074126</v>
      </c>
      <c r="J3189">
        <f>IFERROR(VLOOKUP(E3189,'LEAID Match'!$A$2:$B$168,2,FALSE),"")</f>
        <v>3306540</v>
      </c>
    </row>
    <row r="3190" spans="1:10">
      <c r="A3190">
        <v>2023</v>
      </c>
      <c r="B3190" t="s">
        <v>1429</v>
      </c>
      <c r="C3190" t="s">
        <v>1431</v>
      </c>
      <c r="D3190" t="s">
        <v>1433</v>
      </c>
      <c r="E3190" t="s">
        <v>202</v>
      </c>
      <c r="F3190" t="s">
        <v>202</v>
      </c>
      <c r="G3190" s="28">
        <v>1079399</v>
      </c>
      <c r="H3190">
        <v>0</v>
      </c>
      <c r="I3190" s="29">
        <f t="shared" si="49"/>
        <v>1079399</v>
      </c>
      <c r="J3190">
        <f>IFERROR(VLOOKUP(E3190,'LEAID Match'!$A$2:$B$168,2,FALSE),"")</f>
        <v>3306540</v>
      </c>
    </row>
    <row r="3191" spans="1:10">
      <c r="A3191">
        <v>2015</v>
      </c>
      <c r="B3191" t="s">
        <v>1429</v>
      </c>
      <c r="C3191" t="s">
        <v>1431</v>
      </c>
      <c r="D3191" t="s">
        <v>1433</v>
      </c>
      <c r="E3191" t="s">
        <v>490</v>
      </c>
      <c r="F3191" s="9" t="s">
        <v>1368</v>
      </c>
      <c r="G3191" s="18">
        <v>14684.61</v>
      </c>
      <c r="H3191">
        <v>0</v>
      </c>
      <c r="I3191" s="29">
        <f t="shared" si="49"/>
        <v>14684.61</v>
      </c>
      <c r="J3191">
        <f>IFERROR(VLOOKUP(E3191,'LEAID Match'!$A$2:$B$168,2,FALSE),"")</f>
        <v>3300039</v>
      </c>
    </row>
    <row r="3192" spans="1:10">
      <c r="A3192">
        <v>2016</v>
      </c>
      <c r="B3192" t="s">
        <v>1429</v>
      </c>
      <c r="C3192" t="s">
        <v>1431</v>
      </c>
      <c r="D3192" t="s">
        <v>1433</v>
      </c>
      <c r="E3192" t="s">
        <v>490</v>
      </c>
      <c r="F3192" t="s">
        <v>490</v>
      </c>
      <c r="H3192">
        <v>0</v>
      </c>
      <c r="I3192" s="29">
        <f t="shared" si="49"/>
        <v>0</v>
      </c>
      <c r="J3192">
        <f>IFERROR(VLOOKUP(E3192,'LEAID Match'!$A$2:$B$168,2,FALSE),"")</f>
        <v>3300039</v>
      </c>
    </row>
    <row r="3193" spans="1:10">
      <c r="A3193">
        <v>2017</v>
      </c>
      <c r="B3193" t="s">
        <v>1429</v>
      </c>
      <c r="C3193" t="s">
        <v>1431</v>
      </c>
      <c r="D3193" t="s">
        <v>1433</v>
      </c>
      <c r="E3193" t="s">
        <v>490</v>
      </c>
      <c r="F3193" t="s">
        <v>490</v>
      </c>
      <c r="G3193" s="28">
        <v>0</v>
      </c>
      <c r="H3193">
        <v>0</v>
      </c>
      <c r="I3193" s="29">
        <f t="shared" si="49"/>
        <v>0</v>
      </c>
      <c r="J3193">
        <f>IFERROR(VLOOKUP(E3193,'LEAID Match'!$A$2:$B$168,2,FALSE),"")</f>
        <v>3300039</v>
      </c>
    </row>
    <row r="3194" spans="1:10">
      <c r="A3194" s="27">
        <v>2018</v>
      </c>
      <c r="B3194" t="s">
        <v>1429</v>
      </c>
      <c r="C3194" t="s">
        <v>1431</v>
      </c>
      <c r="D3194" t="s">
        <v>1433</v>
      </c>
      <c r="E3194" t="s">
        <v>490</v>
      </c>
      <c r="F3194" s="9" t="s">
        <v>490</v>
      </c>
      <c r="G3194" s="18"/>
      <c r="H3194">
        <v>0</v>
      </c>
      <c r="I3194" s="29">
        <f t="shared" si="49"/>
        <v>0</v>
      </c>
      <c r="J3194">
        <f>IFERROR(VLOOKUP(E3194,'LEAID Match'!$A$2:$B$168,2,FALSE),"")</f>
        <v>3300039</v>
      </c>
    </row>
    <row r="3195" spans="1:10">
      <c r="A3195">
        <v>2019</v>
      </c>
      <c r="B3195" t="s">
        <v>1429</v>
      </c>
      <c r="C3195" t="s">
        <v>1431</v>
      </c>
      <c r="D3195" t="s">
        <v>1433</v>
      </c>
      <c r="E3195" t="s">
        <v>490</v>
      </c>
      <c r="F3195" s="9" t="s">
        <v>490</v>
      </c>
      <c r="G3195" s="18"/>
      <c r="H3195">
        <v>0</v>
      </c>
      <c r="I3195" s="29">
        <f t="shared" si="49"/>
        <v>0</v>
      </c>
      <c r="J3195">
        <f>IFERROR(VLOOKUP(E3195,'LEAID Match'!$A$2:$B$168,2,FALSE),"")</f>
        <v>3300039</v>
      </c>
    </row>
    <row r="3196" spans="1:10">
      <c r="A3196" s="27">
        <v>2020</v>
      </c>
      <c r="B3196" t="s">
        <v>1429</v>
      </c>
      <c r="C3196" t="s">
        <v>1431</v>
      </c>
      <c r="D3196" t="s">
        <v>1433</v>
      </c>
      <c r="E3196" t="s">
        <v>490</v>
      </c>
      <c r="F3196" s="9" t="s">
        <v>490</v>
      </c>
      <c r="G3196" s="18"/>
      <c r="H3196">
        <v>0</v>
      </c>
      <c r="I3196" s="29">
        <f t="shared" si="49"/>
        <v>0</v>
      </c>
      <c r="J3196">
        <f>IFERROR(VLOOKUP(E3196,'LEAID Match'!$A$2:$B$168,2,FALSE),"")</f>
        <v>3300039</v>
      </c>
    </row>
    <row r="3197" spans="1:10">
      <c r="A3197">
        <v>2021</v>
      </c>
      <c r="B3197" t="s">
        <v>1429</v>
      </c>
      <c r="C3197" t="s">
        <v>1431</v>
      </c>
      <c r="D3197" t="s">
        <v>1433</v>
      </c>
      <c r="E3197" t="s">
        <v>490</v>
      </c>
      <c r="F3197" s="9" t="s">
        <v>490</v>
      </c>
      <c r="G3197" s="18"/>
      <c r="H3197">
        <v>0</v>
      </c>
      <c r="I3197" s="29">
        <f t="shared" si="49"/>
        <v>0</v>
      </c>
      <c r="J3197">
        <f>IFERROR(VLOOKUP(E3197,'LEAID Match'!$A$2:$B$168,2,FALSE),"")</f>
        <v>3300039</v>
      </c>
    </row>
    <row r="3198" spans="1:10">
      <c r="A3198">
        <v>2015</v>
      </c>
      <c r="B3198" t="s">
        <v>1429</v>
      </c>
      <c r="C3198" t="s">
        <v>1431</v>
      </c>
      <c r="D3198" t="s">
        <v>1433</v>
      </c>
      <c r="E3198" t="s">
        <v>884</v>
      </c>
      <c r="F3198" s="9" t="s">
        <v>1369</v>
      </c>
      <c r="G3198" s="18">
        <v>35839.43</v>
      </c>
      <c r="H3198">
        <v>0</v>
      </c>
      <c r="I3198" s="29">
        <f t="shared" si="49"/>
        <v>35839.43</v>
      </c>
      <c r="J3198" t="str">
        <f>IFERROR(VLOOKUP(E3198,'LEAID Match'!$A$2:$B$168,2,FALSE),"")</f>
        <v/>
      </c>
    </row>
    <row r="3199" spans="1:10">
      <c r="A3199">
        <v>2016</v>
      </c>
      <c r="B3199" t="s">
        <v>1429</v>
      </c>
      <c r="C3199" t="s">
        <v>1431</v>
      </c>
      <c r="D3199" t="s">
        <v>1433</v>
      </c>
      <c r="E3199" t="s">
        <v>884</v>
      </c>
      <c r="F3199" t="s">
        <v>884</v>
      </c>
      <c r="G3199" s="28">
        <v>38991</v>
      </c>
      <c r="H3199">
        <v>0</v>
      </c>
      <c r="I3199" s="29">
        <f t="shared" si="49"/>
        <v>38991</v>
      </c>
      <c r="J3199" t="str">
        <f>IFERROR(VLOOKUP(E3199,'LEAID Match'!$A$2:$B$168,2,FALSE),"")</f>
        <v/>
      </c>
    </row>
    <row r="3200" spans="1:10">
      <c r="A3200">
        <v>2017</v>
      </c>
      <c r="B3200" t="s">
        <v>1429</v>
      </c>
      <c r="C3200" t="s">
        <v>1431</v>
      </c>
      <c r="D3200" t="s">
        <v>1433</v>
      </c>
      <c r="E3200" t="s">
        <v>884</v>
      </c>
      <c r="F3200" t="s">
        <v>884</v>
      </c>
      <c r="G3200" s="28">
        <v>41254</v>
      </c>
      <c r="H3200">
        <v>0</v>
      </c>
      <c r="I3200" s="29">
        <f t="shared" si="49"/>
        <v>41254</v>
      </c>
      <c r="J3200" t="str">
        <f>IFERROR(VLOOKUP(E3200,'LEAID Match'!$A$2:$B$168,2,FALSE),"")</f>
        <v/>
      </c>
    </row>
    <row r="3201" spans="1:10">
      <c r="A3201" s="27">
        <v>2018</v>
      </c>
      <c r="B3201" t="s">
        <v>1429</v>
      </c>
      <c r="C3201" t="s">
        <v>1431</v>
      </c>
      <c r="D3201" t="s">
        <v>1433</v>
      </c>
      <c r="E3201" t="s">
        <v>884</v>
      </c>
      <c r="F3201" s="9" t="s">
        <v>884</v>
      </c>
      <c r="G3201" s="18">
        <v>49318</v>
      </c>
      <c r="H3201">
        <v>0</v>
      </c>
      <c r="I3201" s="29">
        <f t="shared" si="49"/>
        <v>49318</v>
      </c>
      <c r="J3201" t="str">
        <f>IFERROR(VLOOKUP(E3201,'LEAID Match'!$A$2:$B$168,2,FALSE),"")</f>
        <v/>
      </c>
    </row>
    <row r="3202" spans="1:10">
      <c r="A3202">
        <v>2019</v>
      </c>
      <c r="B3202" t="s">
        <v>1429</v>
      </c>
      <c r="C3202" t="s">
        <v>1431</v>
      </c>
      <c r="D3202" t="s">
        <v>1433</v>
      </c>
      <c r="E3202" t="s">
        <v>884</v>
      </c>
      <c r="F3202" s="9" t="s">
        <v>884</v>
      </c>
      <c r="G3202" s="18">
        <v>52925</v>
      </c>
      <c r="H3202">
        <v>0</v>
      </c>
      <c r="I3202" s="29">
        <f t="shared" si="49"/>
        <v>52925</v>
      </c>
      <c r="J3202" t="str">
        <f>IFERROR(VLOOKUP(E3202,'LEAID Match'!$A$2:$B$168,2,FALSE),"")</f>
        <v/>
      </c>
    </row>
    <row r="3203" spans="1:10">
      <c r="A3203">
        <v>2015</v>
      </c>
      <c r="B3203" t="s">
        <v>1429</v>
      </c>
      <c r="C3203" t="s">
        <v>1431</v>
      </c>
      <c r="D3203" t="s">
        <v>1433</v>
      </c>
      <c r="E3203" t="s">
        <v>885</v>
      </c>
      <c r="F3203" s="9" t="s">
        <v>1370</v>
      </c>
      <c r="G3203" s="18">
        <v>160496.28</v>
      </c>
      <c r="H3203">
        <v>0</v>
      </c>
      <c r="I3203" s="29">
        <f t="shared" ref="I3203:I3266" si="50">SUM(G3203:H3203)</f>
        <v>160496.28</v>
      </c>
      <c r="J3203" t="str">
        <f>IFERROR(VLOOKUP(E3203,'LEAID Match'!$A$2:$B$168,2,FALSE),"")</f>
        <v/>
      </c>
    </row>
    <row r="3204" spans="1:10">
      <c r="A3204">
        <v>2016</v>
      </c>
      <c r="B3204" t="s">
        <v>1429</v>
      </c>
      <c r="C3204" t="s">
        <v>1431</v>
      </c>
      <c r="D3204" t="s">
        <v>1433</v>
      </c>
      <c r="E3204" t="s">
        <v>885</v>
      </c>
      <c r="F3204" t="s">
        <v>885</v>
      </c>
      <c r="G3204" s="28">
        <v>180987</v>
      </c>
      <c r="H3204">
        <v>0</v>
      </c>
      <c r="I3204" s="29">
        <f t="shared" si="50"/>
        <v>180987</v>
      </c>
      <c r="J3204" t="str">
        <f>IFERROR(VLOOKUP(E3204,'LEAID Match'!$A$2:$B$168,2,FALSE),"")</f>
        <v/>
      </c>
    </row>
    <row r="3205" spans="1:10">
      <c r="A3205">
        <v>2017</v>
      </c>
      <c r="B3205" t="s">
        <v>1429</v>
      </c>
      <c r="C3205" t="s">
        <v>1431</v>
      </c>
      <c r="D3205" t="s">
        <v>1433</v>
      </c>
      <c r="E3205" t="s">
        <v>885</v>
      </c>
      <c r="F3205" t="s">
        <v>885</v>
      </c>
      <c r="G3205" s="28">
        <v>197747</v>
      </c>
      <c r="H3205">
        <v>0</v>
      </c>
      <c r="I3205" s="29">
        <f t="shared" si="50"/>
        <v>197747</v>
      </c>
      <c r="J3205" t="str">
        <f>IFERROR(VLOOKUP(E3205,'LEAID Match'!$A$2:$B$168,2,FALSE),"")</f>
        <v/>
      </c>
    </row>
    <row r="3206" spans="1:10">
      <c r="A3206" s="27">
        <v>2018</v>
      </c>
      <c r="B3206" t="s">
        <v>1429</v>
      </c>
      <c r="C3206" t="s">
        <v>1431</v>
      </c>
      <c r="D3206" t="s">
        <v>1433</v>
      </c>
      <c r="E3206" t="s">
        <v>885</v>
      </c>
      <c r="F3206" s="9" t="s">
        <v>885</v>
      </c>
      <c r="G3206" s="18">
        <v>220458</v>
      </c>
      <c r="H3206">
        <v>0</v>
      </c>
      <c r="I3206" s="29">
        <f t="shared" si="50"/>
        <v>220458</v>
      </c>
      <c r="J3206" t="str">
        <f>IFERROR(VLOOKUP(E3206,'LEAID Match'!$A$2:$B$168,2,FALSE),"")</f>
        <v/>
      </c>
    </row>
    <row r="3207" spans="1:10">
      <c r="A3207">
        <v>2019</v>
      </c>
      <c r="B3207" t="s">
        <v>1429</v>
      </c>
      <c r="C3207" t="s">
        <v>1431</v>
      </c>
      <c r="D3207" t="s">
        <v>1433</v>
      </c>
      <c r="E3207" t="s">
        <v>885</v>
      </c>
      <c r="F3207" s="9" t="s">
        <v>885</v>
      </c>
      <c r="G3207" s="18">
        <v>226177</v>
      </c>
      <c r="H3207">
        <v>0</v>
      </c>
      <c r="I3207" s="29">
        <f t="shared" si="50"/>
        <v>226177</v>
      </c>
      <c r="J3207" t="str">
        <f>IFERROR(VLOOKUP(E3207,'LEAID Match'!$A$2:$B$168,2,FALSE),"")</f>
        <v/>
      </c>
    </row>
    <row r="3208" spans="1:10">
      <c r="A3208">
        <v>2015</v>
      </c>
      <c r="B3208" t="s">
        <v>1429</v>
      </c>
      <c r="C3208" t="s">
        <v>1431</v>
      </c>
      <c r="D3208" t="s">
        <v>1433</v>
      </c>
      <c r="E3208" t="s">
        <v>203</v>
      </c>
      <c r="F3208" s="9" t="s">
        <v>1371</v>
      </c>
      <c r="G3208" s="18">
        <v>111564.67</v>
      </c>
      <c r="H3208">
        <v>0</v>
      </c>
      <c r="I3208" s="29">
        <f t="shared" si="50"/>
        <v>111564.67</v>
      </c>
      <c r="J3208" t="str">
        <f>IFERROR(VLOOKUP(E3208,'LEAID Match'!$A$2:$B$168,2,FALSE),"")</f>
        <v/>
      </c>
    </row>
    <row r="3209" spans="1:10">
      <c r="A3209">
        <v>2016</v>
      </c>
      <c r="B3209" t="s">
        <v>1429</v>
      </c>
      <c r="C3209" t="s">
        <v>1431</v>
      </c>
      <c r="D3209" t="s">
        <v>1433</v>
      </c>
      <c r="E3209" t="s">
        <v>203</v>
      </c>
      <c r="F3209" t="s">
        <v>203</v>
      </c>
      <c r="G3209" s="28">
        <v>127819</v>
      </c>
      <c r="H3209">
        <v>0</v>
      </c>
      <c r="I3209" s="29">
        <f t="shared" si="50"/>
        <v>127819</v>
      </c>
      <c r="J3209" t="str">
        <f>IFERROR(VLOOKUP(E3209,'LEAID Match'!$A$2:$B$168,2,FALSE),"")</f>
        <v/>
      </c>
    </row>
    <row r="3210" spans="1:10">
      <c r="A3210">
        <v>2017</v>
      </c>
      <c r="B3210" t="s">
        <v>1429</v>
      </c>
      <c r="C3210" t="s">
        <v>1431</v>
      </c>
      <c r="D3210" t="s">
        <v>1433</v>
      </c>
      <c r="E3210" t="s">
        <v>203</v>
      </c>
      <c r="F3210" t="s">
        <v>203</v>
      </c>
      <c r="G3210" s="28">
        <v>119009</v>
      </c>
      <c r="H3210">
        <v>0</v>
      </c>
      <c r="I3210" s="29">
        <f t="shared" si="50"/>
        <v>119009</v>
      </c>
      <c r="J3210" t="str">
        <f>IFERROR(VLOOKUP(E3210,'LEAID Match'!$A$2:$B$168,2,FALSE),"")</f>
        <v/>
      </c>
    </row>
    <row r="3211" spans="1:10">
      <c r="A3211" s="27">
        <v>2018</v>
      </c>
      <c r="B3211" t="s">
        <v>1429</v>
      </c>
      <c r="C3211" t="s">
        <v>1431</v>
      </c>
      <c r="D3211" t="s">
        <v>1433</v>
      </c>
      <c r="E3211" t="s">
        <v>203</v>
      </c>
      <c r="F3211" s="9" t="s">
        <v>203</v>
      </c>
      <c r="G3211" s="18">
        <v>140342</v>
      </c>
      <c r="H3211">
        <v>0</v>
      </c>
      <c r="I3211" s="29">
        <f t="shared" si="50"/>
        <v>140342</v>
      </c>
      <c r="J3211" t="str">
        <f>IFERROR(VLOOKUP(E3211,'LEAID Match'!$A$2:$B$168,2,FALSE),"")</f>
        <v/>
      </c>
    </row>
    <row r="3212" spans="1:10">
      <c r="A3212">
        <v>2019</v>
      </c>
      <c r="B3212" t="s">
        <v>1429</v>
      </c>
      <c r="C3212" t="s">
        <v>1431</v>
      </c>
      <c r="D3212" t="s">
        <v>1433</v>
      </c>
      <c r="E3212" t="s">
        <v>203</v>
      </c>
      <c r="F3212" s="9" t="s">
        <v>203</v>
      </c>
      <c r="G3212" s="18">
        <v>114709</v>
      </c>
      <c r="H3212">
        <v>0</v>
      </c>
      <c r="I3212" s="29">
        <f t="shared" si="50"/>
        <v>114709</v>
      </c>
      <c r="J3212" t="str">
        <f>IFERROR(VLOOKUP(E3212,'LEAID Match'!$A$2:$B$168,2,FALSE),"")</f>
        <v/>
      </c>
    </row>
    <row r="3213" spans="1:10">
      <c r="A3213" s="27">
        <v>2020</v>
      </c>
      <c r="B3213" t="s">
        <v>1429</v>
      </c>
      <c r="C3213" t="s">
        <v>1431</v>
      </c>
      <c r="D3213" t="s">
        <v>1433</v>
      </c>
      <c r="E3213" t="s">
        <v>203</v>
      </c>
      <c r="F3213" s="9" t="s">
        <v>203</v>
      </c>
      <c r="G3213" s="18">
        <v>116547</v>
      </c>
      <c r="H3213">
        <v>0</v>
      </c>
      <c r="I3213" s="29">
        <f t="shared" si="50"/>
        <v>116547</v>
      </c>
      <c r="J3213" t="str">
        <f>IFERROR(VLOOKUP(E3213,'LEAID Match'!$A$2:$B$168,2,FALSE),"")</f>
        <v/>
      </c>
    </row>
    <row r="3214" spans="1:10">
      <c r="A3214">
        <v>2021</v>
      </c>
      <c r="B3214" t="s">
        <v>1429</v>
      </c>
      <c r="C3214" t="s">
        <v>1431</v>
      </c>
      <c r="D3214" t="s">
        <v>1433</v>
      </c>
      <c r="E3214" t="s">
        <v>203</v>
      </c>
      <c r="F3214" s="9" t="s">
        <v>203</v>
      </c>
      <c r="G3214" s="18">
        <v>117013</v>
      </c>
      <c r="H3214">
        <v>0</v>
      </c>
      <c r="I3214" s="29">
        <f t="shared" si="50"/>
        <v>117013</v>
      </c>
      <c r="J3214" t="str">
        <f>IFERROR(VLOOKUP(E3214,'LEAID Match'!$A$2:$B$168,2,FALSE),"")</f>
        <v/>
      </c>
    </row>
    <row r="3215" spans="1:10">
      <c r="A3215">
        <v>2022</v>
      </c>
      <c r="B3215" t="s">
        <v>1429</v>
      </c>
      <c r="C3215" t="s">
        <v>1431</v>
      </c>
      <c r="D3215" t="s">
        <v>1433</v>
      </c>
      <c r="E3215" t="s">
        <v>203</v>
      </c>
      <c r="F3215" s="9" t="s">
        <v>203</v>
      </c>
      <c r="G3215" s="18">
        <v>144459</v>
      </c>
      <c r="H3215">
        <v>0</v>
      </c>
      <c r="I3215" s="29">
        <f t="shared" si="50"/>
        <v>144459</v>
      </c>
      <c r="J3215" t="str">
        <f>IFERROR(VLOOKUP(E3215,'LEAID Match'!$A$2:$B$168,2,FALSE),"")</f>
        <v/>
      </c>
    </row>
    <row r="3216" spans="1:10">
      <c r="A3216">
        <v>2023</v>
      </c>
      <c r="B3216" t="s">
        <v>1429</v>
      </c>
      <c r="C3216" t="s">
        <v>1431</v>
      </c>
      <c r="D3216" t="s">
        <v>1433</v>
      </c>
      <c r="E3216" t="s">
        <v>203</v>
      </c>
      <c r="F3216" t="s">
        <v>203</v>
      </c>
      <c r="G3216" s="28">
        <v>146005</v>
      </c>
      <c r="H3216">
        <v>0</v>
      </c>
      <c r="I3216" s="29">
        <f t="shared" si="50"/>
        <v>146005</v>
      </c>
      <c r="J3216" t="str">
        <f>IFERROR(VLOOKUP(E3216,'LEAID Match'!$A$2:$B$168,2,FALSE),"")</f>
        <v/>
      </c>
    </row>
    <row r="3217" spans="1:10">
      <c r="A3217">
        <v>2015</v>
      </c>
      <c r="B3217" t="s">
        <v>1429</v>
      </c>
      <c r="C3217" t="s">
        <v>1431</v>
      </c>
      <c r="D3217" t="s">
        <v>1433</v>
      </c>
      <c r="E3217" t="s">
        <v>886</v>
      </c>
      <c r="F3217" s="9" t="s">
        <v>1372</v>
      </c>
      <c r="G3217" s="18">
        <v>82231.73</v>
      </c>
      <c r="H3217">
        <v>0</v>
      </c>
      <c r="I3217" s="29">
        <f t="shared" si="50"/>
        <v>82231.73</v>
      </c>
      <c r="J3217" t="str">
        <f>IFERROR(VLOOKUP(E3217,'LEAID Match'!$A$2:$B$168,2,FALSE),"")</f>
        <v/>
      </c>
    </row>
    <row r="3218" spans="1:10">
      <c r="A3218">
        <v>2016</v>
      </c>
      <c r="B3218" t="s">
        <v>1429</v>
      </c>
      <c r="C3218" t="s">
        <v>1431</v>
      </c>
      <c r="D3218" t="s">
        <v>1433</v>
      </c>
      <c r="E3218" t="s">
        <v>886</v>
      </c>
      <c r="F3218" t="s">
        <v>886</v>
      </c>
      <c r="G3218" s="28">
        <v>85584</v>
      </c>
      <c r="H3218">
        <v>0</v>
      </c>
      <c r="I3218" s="29">
        <f t="shared" si="50"/>
        <v>85584</v>
      </c>
      <c r="J3218" t="str">
        <f>IFERROR(VLOOKUP(E3218,'LEAID Match'!$A$2:$B$168,2,FALSE),"")</f>
        <v/>
      </c>
    </row>
    <row r="3219" spans="1:10">
      <c r="A3219">
        <v>2017</v>
      </c>
      <c r="B3219" t="s">
        <v>1429</v>
      </c>
      <c r="C3219" t="s">
        <v>1431</v>
      </c>
      <c r="D3219" t="s">
        <v>1433</v>
      </c>
      <c r="E3219" t="s">
        <v>886</v>
      </c>
      <c r="F3219" t="s">
        <v>886</v>
      </c>
      <c r="G3219" s="28">
        <v>72226</v>
      </c>
      <c r="H3219">
        <v>0</v>
      </c>
      <c r="I3219" s="29">
        <f t="shared" si="50"/>
        <v>72226</v>
      </c>
      <c r="J3219" t="str">
        <f>IFERROR(VLOOKUP(E3219,'LEAID Match'!$A$2:$B$168,2,FALSE),"")</f>
        <v/>
      </c>
    </row>
    <row r="3220" spans="1:10">
      <c r="A3220" s="27">
        <v>2018</v>
      </c>
      <c r="B3220" t="s">
        <v>1429</v>
      </c>
      <c r="C3220" t="s">
        <v>1431</v>
      </c>
      <c r="D3220" t="s">
        <v>1433</v>
      </c>
      <c r="E3220" t="s">
        <v>886</v>
      </c>
      <c r="F3220" s="9" t="s">
        <v>886</v>
      </c>
      <c r="G3220" s="18">
        <v>87666</v>
      </c>
      <c r="H3220">
        <v>0</v>
      </c>
      <c r="I3220" s="29">
        <f t="shared" si="50"/>
        <v>87666</v>
      </c>
      <c r="J3220" t="str">
        <f>IFERROR(VLOOKUP(E3220,'LEAID Match'!$A$2:$B$168,2,FALSE),"")</f>
        <v/>
      </c>
    </row>
    <row r="3221" spans="1:10">
      <c r="A3221">
        <v>2019</v>
      </c>
      <c r="B3221" t="s">
        <v>1429</v>
      </c>
      <c r="C3221" t="s">
        <v>1431</v>
      </c>
      <c r="D3221" t="s">
        <v>1433</v>
      </c>
      <c r="E3221" t="s">
        <v>886</v>
      </c>
      <c r="F3221" s="9" t="s">
        <v>886</v>
      </c>
      <c r="G3221" s="18">
        <v>109273</v>
      </c>
      <c r="H3221">
        <v>0</v>
      </c>
      <c r="I3221" s="29">
        <f t="shared" si="50"/>
        <v>109273</v>
      </c>
      <c r="J3221" t="str">
        <f>IFERROR(VLOOKUP(E3221,'LEAID Match'!$A$2:$B$168,2,FALSE),"")</f>
        <v/>
      </c>
    </row>
    <row r="3222" spans="1:10">
      <c r="A3222">
        <v>2015</v>
      </c>
      <c r="B3222" t="s">
        <v>1429</v>
      </c>
      <c r="C3222" t="s">
        <v>1431</v>
      </c>
      <c r="D3222" t="s">
        <v>1433</v>
      </c>
      <c r="E3222" t="s">
        <v>204</v>
      </c>
      <c r="F3222" s="9" t="s">
        <v>1373</v>
      </c>
      <c r="G3222" s="18">
        <v>270087.62</v>
      </c>
      <c r="H3222">
        <v>0</v>
      </c>
      <c r="I3222" s="29">
        <f t="shared" si="50"/>
        <v>270087.62</v>
      </c>
      <c r="J3222">
        <f>IFERROR(VLOOKUP(E3222,'LEAID Match'!$A$2:$B$168,2,FALSE),"")</f>
        <v>3306600</v>
      </c>
    </row>
    <row r="3223" spans="1:10">
      <c r="A3223">
        <v>2016</v>
      </c>
      <c r="B3223" t="s">
        <v>1429</v>
      </c>
      <c r="C3223" t="s">
        <v>1431</v>
      </c>
      <c r="D3223" t="s">
        <v>1433</v>
      </c>
      <c r="E3223" t="s">
        <v>204</v>
      </c>
      <c r="F3223" t="s">
        <v>887</v>
      </c>
      <c r="G3223" s="28">
        <v>287073</v>
      </c>
      <c r="H3223">
        <v>0</v>
      </c>
      <c r="I3223" s="29">
        <f t="shared" si="50"/>
        <v>287073</v>
      </c>
      <c r="J3223">
        <f>IFERROR(VLOOKUP(E3223,'LEAID Match'!$A$2:$B$168,2,FALSE),"")</f>
        <v>3306600</v>
      </c>
    </row>
    <row r="3224" spans="1:10">
      <c r="A3224">
        <v>2017</v>
      </c>
      <c r="B3224" t="s">
        <v>1429</v>
      </c>
      <c r="C3224" t="s">
        <v>1431</v>
      </c>
      <c r="D3224" t="s">
        <v>1433</v>
      </c>
      <c r="E3224" t="s">
        <v>204</v>
      </c>
      <c r="F3224" t="s">
        <v>887</v>
      </c>
      <c r="G3224" s="28">
        <v>301008</v>
      </c>
      <c r="H3224">
        <v>0</v>
      </c>
      <c r="I3224" s="29">
        <f t="shared" si="50"/>
        <v>301008</v>
      </c>
      <c r="J3224">
        <f>IFERROR(VLOOKUP(E3224,'LEAID Match'!$A$2:$B$168,2,FALSE),"")</f>
        <v>3306600</v>
      </c>
    </row>
    <row r="3225" spans="1:10">
      <c r="A3225" s="27">
        <v>2018</v>
      </c>
      <c r="B3225" t="s">
        <v>1429</v>
      </c>
      <c r="C3225" t="s">
        <v>1431</v>
      </c>
      <c r="D3225" t="s">
        <v>1433</v>
      </c>
      <c r="E3225" t="s">
        <v>204</v>
      </c>
      <c r="F3225" s="9" t="s">
        <v>887</v>
      </c>
      <c r="G3225" s="18">
        <v>369624</v>
      </c>
      <c r="H3225">
        <v>0</v>
      </c>
      <c r="I3225" s="29">
        <f t="shared" si="50"/>
        <v>369624</v>
      </c>
      <c r="J3225">
        <f>IFERROR(VLOOKUP(E3225,'LEAID Match'!$A$2:$B$168,2,FALSE),"")</f>
        <v>3306600</v>
      </c>
    </row>
    <row r="3226" spans="1:10">
      <c r="A3226">
        <v>2019</v>
      </c>
      <c r="B3226" t="s">
        <v>1429</v>
      </c>
      <c r="C3226" t="s">
        <v>1431</v>
      </c>
      <c r="D3226" t="s">
        <v>1433</v>
      </c>
      <c r="E3226" t="s">
        <v>204</v>
      </c>
      <c r="F3226" s="9" t="s">
        <v>887</v>
      </c>
      <c r="G3226" s="18">
        <v>354987</v>
      </c>
      <c r="H3226">
        <v>0</v>
      </c>
      <c r="I3226" s="29">
        <f t="shared" si="50"/>
        <v>354987</v>
      </c>
      <c r="J3226">
        <f>IFERROR(VLOOKUP(E3226,'LEAID Match'!$A$2:$B$168,2,FALSE),"")</f>
        <v>3306600</v>
      </c>
    </row>
    <row r="3227" spans="1:10">
      <c r="A3227" s="27">
        <v>2020</v>
      </c>
      <c r="B3227" t="s">
        <v>1429</v>
      </c>
      <c r="C3227" t="s">
        <v>1431</v>
      </c>
      <c r="D3227" t="s">
        <v>1433</v>
      </c>
      <c r="E3227" t="s">
        <v>204</v>
      </c>
      <c r="F3227" s="9" t="s">
        <v>204</v>
      </c>
      <c r="G3227" s="18">
        <v>344853</v>
      </c>
      <c r="H3227">
        <v>0</v>
      </c>
      <c r="I3227" s="29">
        <f t="shared" si="50"/>
        <v>344853</v>
      </c>
      <c r="J3227">
        <f>IFERROR(VLOOKUP(E3227,'LEAID Match'!$A$2:$B$168,2,FALSE),"")</f>
        <v>3306600</v>
      </c>
    </row>
    <row r="3228" spans="1:10">
      <c r="A3228">
        <v>2021</v>
      </c>
      <c r="B3228" t="s">
        <v>1429</v>
      </c>
      <c r="C3228" t="s">
        <v>1431</v>
      </c>
      <c r="D3228" t="s">
        <v>1433</v>
      </c>
      <c r="E3228" t="s">
        <v>204</v>
      </c>
      <c r="F3228" s="9" t="s">
        <v>204</v>
      </c>
      <c r="G3228" s="18">
        <v>342081</v>
      </c>
      <c r="H3228">
        <v>0</v>
      </c>
      <c r="I3228" s="29">
        <f t="shared" si="50"/>
        <v>342081</v>
      </c>
      <c r="J3228">
        <f>IFERROR(VLOOKUP(E3228,'LEAID Match'!$A$2:$B$168,2,FALSE),"")</f>
        <v>3306600</v>
      </c>
    </row>
    <row r="3229" spans="1:10">
      <c r="A3229">
        <v>2022</v>
      </c>
      <c r="B3229" t="s">
        <v>1429</v>
      </c>
      <c r="C3229" t="s">
        <v>1431</v>
      </c>
      <c r="D3229" t="s">
        <v>1433</v>
      </c>
      <c r="E3229" t="s">
        <v>204</v>
      </c>
      <c r="F3229" s="9" t="s">
        <v>204</v>
      </c>
      <c r="G3229" s="18">
        <v>441689</v>
      </c>
      <c r="H3229">
        <v>0</v>
      </c>
      <c r="I3229" s="29">
        <f t="shared" si="50"/>
        <v>441689</v>
      </c>
      <c r="J3229">
        <f>IFERROR(VLOOKUP(E3229,'LEAID Match'!$A$2:$B$168,2,FALSE),"")</f>
        <v>3306600</v>
      </c>
    </row>
    <row r="3230" spans="1:10">
      <c r="A3230">
        <v>2023</v>
      </c>
      <c r="B3230" t="s">
        <v>1429</v>
      </c>
      <c r="C3230" t="s">
        <v>1431</v>
      </c>
      <c r="D3230" t="s">
        <v>1433</v>
      </c>
      <c r="E3230" t="s">
        <v>204</v>
      </c>
      <c r="F3230" t="s">
        <v>204</v>
      </c>
      <c r="G3230" s="28">
        <v>469647</v>
      </c>
      <c r="H3230">
        <v>0</v>
      </c>
      <c r="I3230" s="29">
        <f t="shared" si="50"/>
        <v>469647</v>
      </c>
      <c r="J3230">
        <f>IFERROR(VLOOKUP(E3230,'LEAID Match'!$A$2:$B$168,2,FALSE),"")</f>
        <v>3306600</v>
      </c>
    </row>
    <row r="3231" spans="1:10">
      <c r="A3231">
        <v>2015</v>
      </c>
      <c r="B3231" t="s">
        <v>1429</v>
      </c>
      <c r="C3231" t="s">
        <v>1431</v>
      </c>
      <c r="D3231" t="s">
        <v>1433</v>
      </c>
      <c r="E3231" t="s">
        <v>888</v>
      </c>
      <c r="F3231" s="9" t="s">
        <v>1374</v>
      </c>
      <c r="G3231" s="18">
        <v>76227.679999999993</v>
      </c>
      <c r="H3231">
        <v>0</v>
      </c>
      <c r="I3231" s="29">
        <f t="shared" si="50"/>
        <v>76227.679999999993</v>
      </c>
      <c r="J3231" t="str">
        <f>IFERROR(VLOOKUP(E3231,'LEAID Match'!$A$2:$B$168,2,FALSE),"")</f>
        <v/>
      </c>
    </row>
    <row r="3232" spans="1:10">
      <c r="A3232">
        <v>2016</v>
      </c>
      <c r="B3232" t="s">
        <v>1429</v>
      </c>
      <c r="C3232" t="s">
        <v>1431</v>
      </c>
      <c r="D3232" t="s">
        <v>1433</v>
      </c>
      <c r="E3232" t="s">
        <v>888</v>
      </c>
      <c r="F3232" t="s">
        <v>888</v>
      </c>
      <c r="G3232" s="28">
        <v>84758</v>
      </c>
      <c r="H3232">
        <v>0</v>
      </c>
      <c r="I3232" s="29">
        <f t="shared" si="50"/>
        <v>84758</v>
      </c>
      <c r="J3232" t="str">
        <f>IFERROR(VLOOKUP(E3232,'LEAID Match'!$A$2:$B$168,2,FALSE),"")</f>
        <v/>
      </c>
    </row>
    <row r="3233" spans="1:10">
      <c r="A3233">
        <v>2017</v>
      </c>
      <c r="B3233" t="s">
        <v>1429</v>
      </c>
      <c r="C3233" t="s">
        <v>1431</v>
      </c>
      <c r="D3233" t="s">
        <v>1433</v>
      </c>
      <c r="E3233" t="s">
        <v>888</v>
      </c>
      <c r="F3233" t="s">
        <v>888</v>
      </c>
      <c r="G3233" s="28">
        <v>86621</v>
      </c>
      <c r="H3233">
        <v>0</v>
      </c>
      <c r="I3233" s="29">
        <f t="shared" si="50"/>
        <v>86621</v>
      </c>
      <c r="J3233" t="str">
        <f>IFERROR(VLOOKUP(E3233,'LEAID Match'!$A$2:$B$168,2,FALSE),"")</f>
        <v/>
      </c>
    </row>
    <row r="3234" spans="1:10">
      <c r="A3234" s="27">
        <v>2018</v>
      </c>
      <c r="B3234" t="s">
        <v>1429</v>
      </c>
      <c r="C3234" t="s">
        <v>1431</v>
      </c>
      <c r="D3234" t="s">
        <v>1433</v>
      </c>
      <c r="E3234" t="s">
        <v>888</v>
      </c>
      <c r="F3234" s="9" t="s">
        <v>888</v>
      </c>
      <c r="G3234" s="18">
        <v>116507</v>
      </c>
      <c r="H3234">
        <v>0</v>
      </c>
      <c r="I3234" s="29">
        <f t="shared" si="50"/>
        <v>116507</v>
      </c>
      <c r="J3234" t="str">
        <f>IFERROR(VLOOKUP(E3234,'LEAID Match'!$A$2:$B$168,2,FALSE),"")</f>
        <v/>
      </c>
    </row>
    <row r="3235" spans="1:10">
      <c r="A3235">
        <v>2019</v>
      </c>
      <c r="B3235" t="s">
        <v>1429</v>
      </c>
      <c r="C3235" t="s">
        <v>1431</v>
      </c>
      <c r="D3235" t="s">
        <v>1433</v>
      </c>
      <c r="E3235" t="s">
        <v>888</v>
      </c>
      <c r="F3235" s="9" t="s">
        <v>888</v>
      </c>
      <c r="G3235" s="18">
        <v>120353</v>
      </c>
      <c r="H3235">
        <v>0</v>
      </c>
      <c r="I3235" s="29">
        <f t="shared" si="50"/>
        <v>120353</v>
      </c>
      <c r="J3235" t="str">
        <f>IFERROR(VLOOKUP(E3235,'LEAID Match'!$A$2:$B$168,2,FALSE),"")</f>
        <v/>
      </c>
    </row>
    <row r="3236" spans="1:10">
      <c r="A3236">
        <v>2016</v>
      </c>
      <c r="B3236" t="s">
        <v>1429</v>
      </c>
      <c r="C3236" t="s">
        <v>1431</v>
      </c>
      <c r="D3236" t="s">
        <v>1433</v>
      </c>
      <c r="E3236" t="s">
        <v>889</v>
      </c>
      <c r="F3236" t="s">
        <v>889</v>
      </c>
      <c r="H3236">
        <v>0</v>
      </c>
      <c r="I3236" s="29">
        <f t="shared" si="50"/>
        <v>0</v>
      </c>
      <c r="J3236" t="str">
        <f>IFERROR(VLOOKUP(E3236,'LEAID Match'!$A$2:$B$168,2,FALSE),"")</f>
        <v/>
      </c>
    </row>
    <row r="3237" spans="1:10">
      <c r="A3237">
        <v>2017</v>
      </c>
      <c r="B3237" t="s">
        <v>1429</v>
      </c>
      <c r="C3237" t="s">
        <v>1431</v>
      </c>
      <c r="D3237" t="s">
        <v>1433</v>
      </c>
      <c r="E3237" t="s">
        <v>889</v>
      </c>
      <c r="F3237" t="s">
        <v>889</v>
      </c>
      <c r="G3237" s="28">
        <v>2358</v>
      </c>
      <c r="H3237">
        <v>0</v>
      </c>
      <c r="I3237" s="29">
        <f t="shared" si="50"/>
        <v>2358</v>
      </c>
      <c r="J3237" t="str">
        <f>IFERROR(VLOOKUP(E3237,'LEAID Match'!$A$2:$B$168,2,FALSE),"")</f>
        <v/>
      </c>
    </row>
    <row r="3238" spans="1:10">
      <c r="A3238" s="27">
        <v>2018</v>
      </c>
      <c r="B3238" t="s">
        <v>1429</v>
      </c>
      <c r="C3238" t="s">
        <v>1431</v>
      </c>
      <c r="D3238" t="s">
        <v>1433</v>
      </c>
      <c r="E3238" t="s">
        <v>889</v>
      </c>
      <c r="F3238" s="9" t="s">
        <v>889</v>
      </c>
      <c r="G3238" s="18">
        <v>2950</v>
      </c>
      <c r="H3238">
        <v>0</v>
      </c>
      <c r="I3238" s="29">
        <f t="shared" si="50"/>
        <v>2950</v>
      </c>
      <c r="J3238" t="str">
        <f>IFERROR(VLOOKUP(E3238,'LEAID Match'!$A$2:$B$168,2,FALSE),"")</f>
        <v/>
      </c>
    </row>
    <row r="3239" spans="1:10">
      <c r="A3239">
        <v>2019</v>
      </c>
      <c r="B3239" t="s">
        <v>1429</v>
      </c>
      <c r="C3239" t="s">
        <v>1431</v>
      </c>
      <c r="D3239" t="s">
        <v>1433</v>
      </c>
      <c r="E3239" t="s">
        <v>889</v>
      </c>
      <c r="F3239" s="9" t="s">
        <v>889</v>
      </c>
      <c r="G3239" s="18">
        <v>3073</v>
      </c>
      <c r="H3239">
        <v>0</v>
      </c>
      <c r="I3239" s="29">
        <f t="shared" si="50"/>
        <v>3073</v>
      </c>
      <c r="J3239" t="str">
        <f>IFERROR(VLOOKUP(E3239,'LEAID Match'!$A$2:$B$168,2,FALSE),"")</f>
        <v/>
      </c>
    </row>
    <row r="3240" spans="1:10">
      <c r="A3240" s="27">
        <v>2020</v>
      </c>
      <c r="B3240" t="s">
        <v>1429</v>
      </c>
      <c r="C3240" t="s">
        <v>1431</v>
      </c>
      <c r="D3240" t="s">
        <v>1433</v>
      </c>
      <c r="E3240" t="s">
        <v>889</v>
      </c>
      <c r="F3240" s="9" t="s">
        <v>205</v>
      </c>
      <c r="G3240" s="18">
        <v>3137</v>
      </c>
      <c r="H3240">
        <v>0</v>
      </c>
      <c r="I3240" s="29">
        <f t="shared" si="50"/>
        <v>3137</v>
      </c>
      <c r="J3240" t="str">
        <f>IFERROR(VLOOKUP(E3240,'LEAID Match'!$A$2:$B$168,2,FALSE),"")</f>
        <v/>
      </c>
    </row>
    <row r="3241" spans="1:10">
      <c r="A3241">
        <v>2021</v>
      </c>
      <c r="B3241" t="s">
        <v>1429</v>
      </c>
      <c r="C3241" t="s">
        <v>1431</v>
      </c>
      <c r="D3241" t="s">
        <v>1433</v>
      </c>
      <c r="E3241" t="s">
        <v>889</v>
      </c>
      <c r="F3241" s="9" t="s">
        <v>205</v>
      </c>
      <c r="G3241" s="18">
        <v>3146</v>
      </c>
      <c r="H3241">
        <v>0</v>
      </c>
      <c r="I3241" s="29">
        <f t="shared" si="50"/>
        <v>3146</v>
      </c>
      <c r="J3241" t="str">
        <f>IFERROR(VLOOKUP(E3241,'LEAID Match'!$A$2:$B$168,2,FALSE),"")</f>
        <v/>
      </c>
    </row>
    <row r="3242" spans="1:10">
      <c r="A3242">
        <v>2022</v>
      </c>
      <c r="B3242" t="s">
        <v>1429</v>
      </c>
      <c r="C3242" t="s">
        <v>1431</v>
      </c>
      <c r="D3242" t="s">
        <v>1433</v>
      </c>
      <c r="E3242" t="s">
        <v>889</v>
      </c>
      <c r="F3242" s="9" t="s">
        <v>205</v>
      </c>
      <c r="G3242" s="18">
        <v>3367</v>
      </c>
      <c r="H3242">
        <v>0</v>
      </c>
      <c r="I3242" s="29">
        <f t="shared" si="50"/>
        <v>3367</v>
      </c>
      <c r="J3242" t="str">
        <f>IFERROR(VLOOKUP(E3242,'LEAID Match'!$A$2:$B$168,2,FALSE),"")</f>
        <v/>
      </c>
    </row>
    <row r="3243" spans="1:10">
      <c r="A3243">
        <v>2023</v>
      </c>
      <c r="B3243" t="s">
        <v>1429</v>
      </c>
      <c r="C3243" t="s">
        <v>1431</v>
      </c>
      <c r="D3243" t="s">
        <v>1433</v>
      </c>
      <c r="E3243" t="s">
        <v>889</v>
      </c>
      <c r="F3243" t="s">
        <v>205</v>
      </c>
      <c r="G3243" s="28">
        <v>5142</v>
      </c>
      <c r="H3243">
        <v>0</v>
      </c>
      <c r="I3243" s="29">
        <f t="shared" si="50"/>
        <v>5142</v>
      </c>
      <c r="J3243" t="str">
        <f>IFERROR(VLOOKUP(E3243,'LEAID Match'!$A$2:$B$168,2,FALSE),"")</f>
        <v/>
      </c>
    </row>
    <row r="3244" spans="1:10">
      <c r="A3244">
        <v>2015</v>
      </c>
      <c r="B3244" t="s">
        <v>1429</v>
      </c>
      <c r="C3244" t="s">
        <v>1431</v>
      </c>
      <c r="D3244" t="s">
        <v>1433</v>
      </c>
      <c r="E3244" t="s">
        <v>206</v>
      </c>
      <c r="F3244" s="9" t="s">
        <v>1375</v>
      </c>
      <c r="G3244" s="18">
        <v>215281.37</v>
      </c>
      <c r="H3244">
        <v>0</v>
      </c>
      <c r="I3244" s="29">
        <f t="shared" si="50"/>
        <v>215281.37</v>
      </c>
      <c r="J3244">
        <f>IFERROR(VLOOKUP(E3244,'LEAID Match'!$A$2:$B$168,2,FALSE),"")</f>
        <v>3306660</v>
      </c>
    </row>
    <row r="3245" spans="1:10">
      <c r="A3245">
        <v>2016</v>
      </c>
      <c r="B3245" t="s">
        <v>1429</v>
      </c>
      <c r="C3245" t="s">
        <v>1431</v>
      </c>
      <c r="D3245" t="s">
        <v>1433</v>
      </c>
      <c r="E3245" t="s">
        <v>206</v>
      </c>
      <c r="F3245" t="s">
        <v>890</v>
      </c>
      <c r="G3245" s="28">
        <v>226646</v>
      </c>
      <c r="H3245">
        <v>0</v>
      </c>
      <c r="I3245" s="29">
        <f t="shared" si="50"/>
        <v>226646</v>
      </c>
      <c r="J3245">
        <f>IFERROR(VLOOKUP(E3245,'LEAID Match'!$A$2:$B$168,2,FALSE),"")</f>
        <v>3306660</v>
      </c>
    </row>
    <row r="3246" spans="1:10">
      <c r="A3246">
        <v>2017</v>
      </c>
      <c r="B3246" t="s">
        <v>1429</v>
      </c>
      <c r="C3246" t="s">
        <v>1431</v>
      </c>
      <c r="D3246" t="s">
        <v>1433</v>
      </c>
      <c r="E3246" t="s">
        <v>206</v>
      </c>
      <c r="F3246" t="s">
        <v>890</v>
      </c>
      <c r="G3246" s="28">
        <v>217216</v>
      </c>
      <c r="H3246">
        <v>0</v>
      </c>
      <c r="I3246" s="29">
        <f t="shared" si="50"/>
        <v>217216</v>
      </c>
      <c r="J3246">
        <f>IFERROR(VLOOKUP(E3246,'LEAID Match'!$A$2:$B$168,2,FALSE),"")</f>
        <v>3306660</v>
      </c>
    </row>
    <row r="3247" spans="1:10">
      <c r="A3247" s="27">
        <v>2018</v>
      </c>
      <c r="B3247" t="s">
        <v>1429</v>
      </c>
      <c r="C3247" t="s">
        <v>1431</v>
      </c>
      <c r="D3247" t="s">
        <v>1433</v>
      </c>
      <c r="E3247" t="s">
        <v>206</v>
      </c>
      <c r="F3247" s="9" t="s">
        <v>890</v>
      </c>
      <c r="G3247" s="18">
        <v>288921</v>
      </c>
      <c r="H3247">
        <v>0</v>
      </c>
      <c r="I3247" s="29">
        <f t="shared" si="50"/>
        <v>288921</v>
      </c>
      <c r="J3247">
        <f>IFERROR(VLOOKUP(E3247,'LEAID Match'!$A$2:$B$168,2,FALSE),"")</f>
        <v>3306660</v>
      </c>
    </row>
    <row r="3248" spans="1:10">
      <c r="A3248">
        <v>2019</v>
      </c>
      <c r="B3248" t="s">
        <v>1429</v>
      </c>
      <c r="C3248" t="s">
        <v>1431</v>
      </c>
      <c r="D3248" t="s">
        <v>1433</v>
      </c>
      <c r="E3248" t="s">
        <v>206</v>
      </c>
      <c r="F3248" s="9" t="s">
        <v>890</v>
      </c>
      <c r="G3248" s="18">
        <v>290052</v>
      </c>
      <c r="H3248">
        <v>0</v>
      </c>
      <c r="I3248" s="29">
        <f t="shared" si="50"/>
        <v>290052</v>
      </c>
      <c r="J3248">
        <f>IFERROR(VLOOKUP(E3248,'LEAID Match'!$A$2:$B$168,2,FALSE),"")</f>
        <v>3306660</v>
      </c>
    </row>
    <row r="3249" spans="1:10">
      <c r="A3249" s="27">
        <v>2020</v>
      </c>
      <c r="B3249" t="s">
        <v>1429</v>
      </c>
      <c r="C3249" t="s">
        <v>1431</v>
      </c>
      <c r="D3249" t="s">
        <v>1433</v>
      </c>
      <c r="E3249" t="s">
        <v>206</v>
      </c>
      <c r="F3249" s="9" t="s">
        <v>206</v>
      </c>
      <c r="G3249" s="18">
        <v>320981</v>
      </c>
      <c r="H3249">
        <v>0</v>
      </c>
      <c r="I3249" s="29">
        <f t="shared" si="50"/>
        <v>320981</v>
      </c>
      <c r="J3249">
        <f>IFERROR(VLOOKUP(E3249,'LEAID Match'!$A$2:$B$168,2,FALSE),"")</f>
        <v>3306660</v>
      </c>
    </row>
    <row r="3250" spans="1:10">
      <c r="A3250">
        <v>2021</v>
      </c>
      <c r="B3250" t="s">
        <v>1429</v>
      </c>
      <c r="C3250" t="s">
        <v>1431</v>
      </c>
      <c r="D3250" t="s">
        <v>1433</v>
      </c>
      <c r="E3250" t="s">
        <v>206</v>
      </c>
      <c r="F3250" s="9" t="s">
        <v>206</v>
      </c>
      <c r="G3250" s="18">
        <v>336320</v>
      </c>
      <c r="H3250">
        <v>0</v>
      </c>
      <c r="I3250" s="29">
        <f t="shared" si="50"/>
        <v>336320</v>
      </c>
      <c r="J3250">
        <f>IFERROR(VLOOKUP(E3250,'LEAID Match'!$A$2:$B$168,2,FALSE),"")</f>
        <v>3306660</v>
      </c>
    </row>
    <row r="3251" spans="1:10">
      <c r="A3251">
        <v>2022</v>
      </c>
      <c r="B3251" t="s">
        <v>1429</v>
      </c>
      <c r="C3251" t="s">
        <v>1431</v>
      </c>
      <c r="D3251" t="s">
        <v>1433</v>
      </c>
      <c r="E3251" t="s">
        <v>206</v>
      </c>
      <c r="F3251" s="9" t="s">
        <v>206</v>
      </c>
      <c r="G3251" s="18">
        <v>409578</v>
      </c>
      <c r="H3251">
        <v>0</v>
      </c>
      <c r="I3251" s="29">
        <f t="shared" si="50"/>
        <v>409578</v>
      </c>
      <c r="J3251">
        <f>IFERROR(VLOOKUP(E3251,'LEAID Match'!$A$2:$B$168,2,FALSE),"")</f>
        <v>3306660</v>
      </c>
    </row>
    <row r="3252" spans="1:10">
      <c r="A3252">
        <v>2023</v>
      </c>
      <c r="B3252" t="s">
        <v>1429</v>
      </c>
      <c r="C3252" t="s">
        <v>1431</v>
      </c>
      <c r="D3252" t="s">
        <v>1433</v>
      </c>
      <c r="E3252" t="s">
        <v>206</v>
      </c>
      <c r="F3252" t="s">
        <v>206</v>
      </c>
      <c r="G3252" s="28">
        <v>420271</v>
      </c>
      <c r="H3252">
        <v>0</v>
      </c>
      <c r="I3252" s="29">
        <f t="shared" si="50"/>
        <v>420271</v>
      </c>
      <c r="J3252">
        <f>IFERROR(VLOOKUP(E3252,'LEAID Match'!$A$2:$B$168,2,FALSE),"")</f>
        <v>3306660</v>
      </c>
    </row>
    <row r="3253" spans="1:10">
      <c r="A3253">
        <v>2015</v>
      </c>
      <c r="B3253" t="s">
        <v>1429</v>
      </c>
      <c r="C3253" t="s">
        <v>1431</v>
      </c>
      <c r="D3253" t="s">
        <v>1433</v>
      </c>
      <c r="E3253" t="s">
        <v>891</v>
      </c>
      <c r="F3253" s="9" t="s">
        <v>1376</v>
      </c>
      <c r="G3253" s="18">
        <v>310966.36</v>
      </c>
      <c r="H3253">
        <v>0</v>
      </c>
      <c r="I3253" s="29">
        <f t="shared" si="50"/>
        <v>310966.36</v>
      </c>
      <c r="J3253" t="str">
        <f>IFERROR(VLOOKUP(E3253,'LEAID Match'!$A$2:$B$168,2,FALSE),"")</f>
        <v/>
      </c>
    </row>
    <row r="3254" spans="1:10">
      <c r="A3254">
        <v>2016</v>
      </c>
      <c r="B3254" t="s">
        <v>1429</v>
      </c>
      <c r="C3254" t="s">
        <v>1431</v>
      </c>
      <c r="D3254" t="s">
        <v>1433</v>
      </c>
      <c r="E3254" t="s">
        <v>891</v>
      </c>
      <c r="F3254" t="s">
        <v>891</v>
      </c>
      <c r="G3254" s="28">
        <v>335737</v>
      </c>
      <c r="H3254">
        <v>0</v>
      </c>
      <c r="I3254" s="29">
        <f t="shared" si="50"/>
        <v>335737</v>
      </c>
      <c r="J3254" t="str">
        <f>IFERROR(VLOOKUP(E3254,'LEAID Match'!$A$2:$B$168,2,FALSE),"")</f>
        <v/>
      </c>
    </row>
    <row r="3255" spans="1:10">
      <c r="A3255">
        <v>2017</v>
      </c>
      <c r="B3255" t="s">
        <v>1429</v>
      </c>
      <c r="C3255" t="s">
        <v>1431</v>
      </c>
      <c r="D3255" t="s">
        <v>1433</v>
      </c>
      <c r="E3255" t="s">
        <v>891</v>
      </c>
      <c r="F3255" t="s">
        <v>891</v>
      </c>
      <c r="G3255" s="28">
        <v>351167</v>
      </c>
      <c r="H3255">
        <v>0</v>
      </c>
      <c r="I3255" s="29">
        <f t="shared" si="50"/>
        <v>351167</v>
      </c>
      <c r="J3255" t="str">
        <f>IFERROR(VLOOKUP(E3255,'LEAID Match'!$A$2:$B$168,2,FALSE),"")</f>
        <v/>
      </c>
    </row>
    <row r="3256" spans="1:10">
      <c r="A3256" s="27">
        <v>2018</v>
      </c>
      <c r="B3256" t="s">
        <v>1429</v>
      </c>
      <c r="C3256" t="s">
        <v>1431</v>
      </c>
      <c r="D3256" t="s">
        <v>1433</v>
      </c>
      <c r="E3256" t="s">
        <v>891</v>
      </c>
      <c r="F3256" s="9" t="s">
        <v>891</v>
      </c>
      <c r="G3256" s="18">
        <v>371708</v>
      </c>
      <c r="H3256">
        <v>0</v>
      </c>
      <c r="I3256" s="29">
        <f t="shared" si="50"/>
        <v>371708</v>
      </c>
      <c r="J3256" t="str">
        <f>IFERROR(VLOOKUP(E3256,'LEAID Match'!$A$2:$B$168,2,FALSE),"")</f>
        <v/>
      </c>
    </row>
    <row r="3257" spans="1:10">
      <c r="A3257">
        <v>2019</v>
      </c>
      <c r="B3257" t="s">
        <v>1429</v>
      </c>
      <c r="C3257" t="s">
        <v>1431</v>
      </c>
      <c r="D3257" t="s">
        <v>1433</v>
      </c>
      <c r="E3257" t="s">
        <v>891</v>
      </c>
      <c r="F3257" s="9" t="s">
        <v>891</v>
      </c>
      <c r="G3257" s="18">
        <v>376808</v>
      </c>
      <c r="H3257">
        <v>0</v>
      </c>
      <c r="I3257" s="29">
        <f t="shared" si="50"/>
        <v>376808</v>
      </c>
      <c r="J3257" t="str">
        <f>IFERROR(VLOOKUP(E3257,'LEAID Match'!$A$2:$B$168,2,FALSE),"")</f>
        <v/>
      </c>
    </row>
    <row r="3258" spans="1:10">
      <c r="A3258">
        <v>2015</v>
      </c>
      <c r="B3258" t="s">
        <v>1429</v>
      </c>
      <c r="C3258" t="s">
        <v>1431</v>
      </c>
      <c r="D3258" t="s">
        <v>1433</v>
      </c>
      <c r="E3258" t="s">
        <v>207</v>
      </c>
      <c r="F3258" s="9" t="s">
        <v>1377</v>
      </c>
      <c r="G3258" s="18">
        <v>197042.51</v>
      </c>
      <c r="H3258">
        <v>0</v>
      </c>
      <c r="I3258" s="29">
        <f t="shared" si="50"/>
        <v>197042.51</v>
      </c>
      <c r="J3258" t="str">
        <f>IFERROR(VLOOKUP(E3258,'LEAID Match'!$A$2:$B$168,2,FALSE),"")</f>
        <v/>
      </c>
    </row>
    <row r="3259" spans="1:10">
      <c r="A3259">
        <v>2016</v>
      </c>
      <c r="B3259" t="s">
        <v>1429</v>
      </c>
      <c r="C3259" t="s">
        <v>1431</v>
      </c>
      <c r="D3259" t="s">
        <v>1433</v>
      </c>
      <c r="E3259" t="s">
        <v>207</v>
      </c>
      <c r="F3259" t="s">
        <v>207</v>
      </c>
      <c r="G3259" s="28">
        <v>211544</v>
      </c>
      <c r="H3259">
        <v>0</v>
      </c>
      <c r="I3259" s="29">
        <f t="shared" si="50"/>
        <v>211544</v>
      </c>
      <c r="J3259" t="str">
        <f>IFERROR(VLOOKUP(E3259,'LEAID Match'!$A$2:$B$168,2,FALSE),"")</f>
        <v/>
      </c>
    </row>
    <row r="3260" spans="1:10">
      <c r="A3260">
        <v>2017</v>
      </c>
      <c r="B3260" t="s">
        <v>1429</v>
      </c>
      <c r="C3260" t="s">
        <v>1431</v>
      </c>
      <c r="D3260" t="s">
        <v>1433</v>
      </c>
      <c r="E3260" t="s">
        <v>207</v>
      </c>
      <c r="F3260" t="s">
        <v>207</v>
      </c>
      <c r="G3260" s="28">
        <v>227401</v>
      </c>
      <c r="H3260">
        <v>0</v>
      </c>
      <c r="I3260" s="29">
        <f t="shared" si="50"/>
        <v>227401</v>
      </c>
      <c r="J3260" t="str">
        <f>IFERROR(VLOOKUP(E3260,'LEAID Match'!$A$2:$B$168,2,FALSE),"")</f>
        <v/>
      </c>
    </row>
    <row r="3261" spans="1:10">
      <c r="A3261" s="27">
        <v>2018</v>
      </c>
      <c r="B3261" t="s">
        <v>1429</v>
      </c>
      <c r="C3261" t="s">
        <v>1431</v>
      </c>
      <c r="D3261" t="s">
        <v>1433</v>
      </c>
      <c r="E3261" t="s">
        <v>207</v>
      </c>
      <c r="F3261" s="9" t="s">
        <v>207</v>
      </c>
      <c r="G3261" s="18">
        <v>263181</v>
      </c>
      <c r="H3261">
        <v>0</v>
      </c>
      <c r="I3261" s="29">
        <f t="shared" si="50"/>
        <v>263181</v>
      </c>
      <c r="J3261" t="str">
        <f>IFERROR(VLOOKUP(E3261,'LEAID Match'!$A$2:$B$168,2,FALSE),"")</f>
        <v/>
      </c>
    </row>
    <row r="3262" spans="1:10">
      <c r="A3262">
        <v>2019</v>
      </c>
      <c r="B3262" t="s">
        <v>1429</v>
      </c>
      <c r="C3262" t="s">
        <v>1431</v>
      </c>
      <c r="D3262" t="s">
        <v>1433</v>
      </c>
      <c r="E3262" t="s">
        <v>207</v>
      </c>
      <c r="F3262" s="9" t="s">
        <v>207</v>
      </c>
      <c r="G3262" s="18">
        <v>276508</v>
      </c>
      <c r="H3262">
        <v>0</v>
      </c>
      <c r="I3262" s="29">
        <f t="shared" si="50"/>
        <v>276508</v>
      </c>
      <c r="J3262" t="str">
        <f>IFERROR(VLOOKUP(E3262,'LEAID Match'!$A$2:$B$168,2,FALSE),"")</f>
        <v/>
      </c>
    </row>
    <row r="3263" spans="1:10">
      <c r="A3263" s="27">
        <v>2020</v>
      </c>
      <c r="B3263" t="s">
        <v>1429</v>
      </c>
      <c r="C3263" t="s">
        <v>1431</v>
      </c>
      <c r="D3263" t="s">
        <v>1433</v>
      </c>
      <c r="E3263" t="s">
        <v>207</v>
      </c>
      <c r="F3263" s="9" t="s">
        <v>207</v>
      </c>
      <c r="G3263" s="18">
        <v>271808</v>
      </c>
      <c r="H3263">
        <v>0</v>
      </c>
      <c r="I3263" s="29">
        <f t="shared" si="50"/>
        <v>271808</v>
      </c>
      <c r="J3263" t="str">
        <f>IFERROR(VLOOKUP(E3263,'LEAID Match'!$A$2:$B$168,2,FALSE),"")</f>
        <v/>
      </c>
    </row>
    <row r="3264" spans="1:10">
      <c r="A3264">
        <v>2021</v>
      </c>
      <c r="B3264" t="s">
        <v>1429</v>
      </c>
      <c r="C3264" t="s">
        <v>1431</v>
      </c>
      <c r="D3264" t="s">
        <v>1433</v>
      </c>
      <c r="E3264" t="s">
        <v>207</v>
      </c>
      <c r="F3264" s="9" t="s">
        <v>207</v>
      </c>
      <c r="G3264" s="18">
        <v>308271</v>
      </c>
      <c r="H3264">
        <v>0</v>
      </c>
      <c r="I3264" s="29">
        <f t="shared" si="50"/>
        <v>308271</v>
      </c>
      <c r="J3264" t="str">
        <f>IFERROR(VLOOKUP(E3264,'LEAID Match'!$A$2:$B$168,2,FALSE),"")</f>
        <v/>
      </c>
    </row>
    <row r="3265" spans="1:10">
      <c r="A3265">
        <v>2022</v>
      </c>
      <c r="B3265" t="s">
        <v>1429</v>
      </c>
      <c r="C3265" t="s">
        <v>1431</v>
      </c>
      <c r="D3265" t="s">
        <v>1433</v>
      </c>
      <c r="E3265" t="s">
        <v>207</v>
      </c>
      <c r="F3265" s="9" t="s">
        <v>207</v>
      </c>
      <c r="G3265" s="18">
        <v>412049</v>
      </c>
      <c r="H3265">
        <v>0</v>
      </c>
      <c r="I3265" s="29">
        <f t="shared" si="50"/>
        <v>412049</v>
      </c>
      <c r="J3265" t="str">
        <f>IFERROR(VLOOKUP(E3265,'LEAID Match'!$A$2:$B$168,2,FALSE),"")</f>
        <v/>
      </c>
    </row>
    <row r="3266" spans="1:10">
      <c r="A3266">
        <v>2023</v>
      </c>
      <c r="B3266" t="s">
        <v>1429</v>
      </c>
      <c r="C3266" t="s">
        <v>1431</v>
      </c>
      <c r="D3266" t="s">
        <v>1433</v>
      </c>
      <c r="E3266" t="s">
        <v>207</v>
      </c>
      <c r="F3266" t="s">
        <v>207</v>
      </c>
      <c r="G3266" s="28">
        <v>449622</v>
      </c>
      <c r="H3266">
        <v>0</v>
      </c>
      <c r="I3266" s="29">
        <f t="shared" si="50"/>
        <v>449622</v>
      </c>
      <c r="J3266" t="str">
        <f>IFERROR(VLOOKUP(E3266,'LEAID Match'!$A$2:$B$168,2,FALSE),"")</f>
        <v/>
      </c>
    </row>
    <row r="3267" spans="1:10">
      <c r="A3267">
        <v>2015</v>
      </c>
      <c r="B3267" t="s">
        <v>1429</v>
      </c>
      <c r="C3267" t="s">
        <v>1431</v>
      </c>
      <c r="D3267" t="s">
        <v>1433</v>
      </c>
      <c r="E3267" t="s">
        <v>208</v>
      </c>
      <c r="F3267" s="9" t="s">
        <v>1378</v>
      </c>
      <c r="G3267" s="18">
        <v>3659664.35</v>
      </c>
      <c r="H3267">
        <v>0</v>
      </c>
      <c r="I3267" s="29">
        <f t="shared" ref="I3267:I3330" si="51">SUM(G3267:H3267)</f>
        <v>3659664.35</v>
      </c>
      <c r="J3267">
        <f>IFERROR(VLOOKUP(E3267,'LEAID Match'!$A$2:$B$168,2,FALSE),"")</f>
        <v>3306720</v>
      </c>
    </row>
    <row r="3268" spans="1:10">
      <c r="A3268">
        <v>2016</v>
      </c>
      <c r="B3268" t="s">
        <v>1429</v>
      </c>
      <c r="C3268" t="s">
        <v>1431</v>
      </c>
      <c r="D3268" t="s">
        <v>1433</v>
      </c>
      <c r="E3268" t="s">
        <v>208</v>
      </c>
      <c r="F3268" t="s">
        <v>892</v>
      </c>
      <c r="G3268" s="28">
        <v>3949328</v>
      </c>
      <c r="H3268">
        <v>0</v>
      </c>
      <c r="I3268" s="29">
        <f t="shared" si="51"/>
        <v>3949328</v>
      </c>
      <c r="J3268">
        <f>IFERROR(VLOOKUP(E3268,'LEAID Match'!$A$2:$B$168,2,FALSE),"")</f>
        <v>3306720</v>
      </c>
    </row>
    <row r="3269" spans="1:10">
      <c r="A3269">
        <v>2017</v>
      </c>
      <c r="B3269" t="s">
        <v>1429</v>
      </c>
      <c r="C3269" t="s">
        <v>1431</v>
      </c>
      <c r="D3269" t="s">
        <v>1433</v>
      </c>
      <c r="E3269" t="s">
        <v>208</v>
      </c>
      <c r="F3269" t="s">
        <v>892</v>
      </c>
      <c r="G3269" s="28">
        <v>4007708</v>
      </c>
      <c r="H3269">
        <v>0</v>
      </c>
      <c r="I3269" s="29">
        <f t="shared" si="51"/>
        <v>4007708</v>
      </c>
      <c r="J3269">
        <f>IFERROR(VLOOKUP(E3269,'LEAID Match'!$A$2:$B$168,2,FALSE),"")</f>
        <v>3306720</v>
      </c>
    </row>
    <row r="3270" spans="1:10">
      <c r="A3270" s="27">
        <v>2018</v>
      </c>
      <c r="B3270" t="s">
        <v>1429</v>
      </c>
      <c r="C3270" t="s">
        <v>1431</v>
      </c>
      <c r="D3270" t="s">
        <v>1433</v>
      </c>
      <c r="E3270" t="s">
        <v>208</v>
      </c>
      <c r="F3270" s="9" t="s">
        <v>892</v>
      </c>
      <c r="G3270" s="18">
        <v>4866804</v>
      </c>
      <c r="H3270">
        <v>0</v>
      </c>
      <c r="I3270" s="29">
        <f t="shared" si="51"/>
        <v>4866804</v>
      </c>
      <c r="J3270">
        <f>IFERROR(VLOOKUP(E3270,'LEAID Match'!$A$2:$B$168,2,FALSE),"")</f>
        <v>3306720</v>
      </c>
    </row>
    <row r="3271" spans="1:10">
      <c r="A3271">
        <v>2019</v>
      </c>
      <c r="B3271" t="s">
        <v>1429</v>
      </c>
      <c r="C3271" t="s">
        <v>1431</v>
      </c>
      <c r="D3271" t="s">
        <v>1433</v>
      </c>
      <c r="E3271" t="s">
        <v>208</v>
      </c>
      <c r="F3271" s="9" t="s">
        <v>892</v>
      </c>
      <c r="G3271" s="18">
        <v>4764603</v>
      </c>
      <c r="H3271">
        <v>0</v>
      </c>
      <c r="I3271" s="29">
        <f t="shared" si="51"/>
        <v>4764603</v>
      </c>
      <c r="J3271">
        <f>IFERROR(VLOOKUP(E3271,'LEAID Match'!$A$2:$B$168,2,FALSE),"")</f>
        <v>3306720</v>
      </c>
    </row>
    <row r="3272" spans="1:10">
      <c r="A3272" s="27">
        <v>2020</v>
      </c>
      <c r="B3272" t="s">
        <v>1429</v>
      </c>
      <c r="C3272" t="s">
        <v>1431</v>
      </c>
      <c r="D3272" t="s">
        <v>1433</v>
      </c>
      <c r="E3272" t="s">
        <v>208</v>
      </c>
      <c r="F3272" s="9" t="s">
        <v>208</v>
      </c>
      <c r="G3272" s="18">
        <v>4986559</v>
      </c>
      <c r="H3272">
        <v>0</v>
      </c>
      <c r="I3272" s="29">
        <f t="shared" si="51"/>
        <v>4986559</v>
      </c>
      <c r="J3272">
        <f>IFERROR(VLOOKUP(E3272,'LEAID Match'!$A$2:$B$168,2,FALSE),"")</f>
        <v>3306720</v>
      </c>
    </row>
    <row r="3273" spans="1:10">
      <c r="A3273">
        <v>2021</v>
      </c>
      <c r="B3273" t="s">
        <v>1429</v>
      </c>
      <c r="C3273" t="s">
        <v>1431</v>
      </c>
      <c r="D3273" t="s">
        <v>1433</v>
      </c>
      <c r="E3273" t="s">
        <v>208</v>
      </c>
      <c r="F3273" s="9" t="s">
        <v>208</v>
      </c>
      <c r="G3273" s="18">
        <v>5080448</v>
      </c>
      <c r="H3273">
        <v>0</v>
      </c>
      <c r="I3273" s="29">
        <f t="shared" si="51"/>
        <v>5080448</v>
      </c>
      <c r="J3273">
        <f>IFERROR(VLOOKUP(E3273,'LEAID Match'!$A$2:$B$168,2,FALSE),"")</f>
        <v>3306720</v>
      </c>
    </row>
    <row r="3274" spans="1:10">
      <c r="A3274">
        <v>2022</v>
      </c>
      <c r="B3274" t="s">
        <v>1429</v>
      </c>
      <c r="C3274" t="s">
        <v>1431</v>
      </c>
      <c r="D3274" t="s">
        <v>1433</v>
      </c>
      <c r="E3274" t="s">
        <v>208</v>
      </c>
      <c r="F3274" s="9" t="s">
        <v>208</v>
      </c>
      <c r="G3274" s="18">
        <v>6163133</v>
      </c>
      <c r="H3274">
        <v>0</v>
      </c>
      <c r="I3274" s="29">
        <f t="shared" si="51"/>
        <v>6163133</v>
      </c>
      <c r="J3274">
        <f>IFERROR(VLOOKUP(E3274,'LEAID Match'!$A$2:$B$168,2,FALSE),"")</f>
        <v>3306720</v>
      </c>
    </row>
    <row r="3275" spans="1:10">
      <c r="A3275">
        <v>2023</v>
      </c>
      <c r="B3275" t="s">
        <v>1429</v>
      </c>
      <c r="C3275" t="s">
        <v>1431</v>
      </c>
      <c r="D3275" t="s">
        <v>1433</v>
      </c>
      <c r="E3275" t="s">
        <v>208</v>
      </c>
      <c r="F3275" t="s">
        <v>208</v>
      </c>
      <c r="G3275" s="28">
        <v>6297668</v>
      </c>
      <c r="H3275">
        <v>0</v>
      </c>
      <c r="I3275" s="29">
        <f t="shared" si="51"/>
        <v>6297668</v>
      </c>
      <c r="J3275">
        <f>IFERROR(VLOOKUP(E3275,'LEAID Match'!$A$2:$B$168,2,FALSE),"")</f>
        <v>3306720</v>
      </c>
    </row>
    <row r="3276" spans="1:10">
      <c r="A3276" s="27">
        <v>2020</v>
      </c>
      <c r="B3276" t="s">
        <v>1429</v>
      </c>
      <c r="C3276" t="s">
        <v>1431</v>
      </c>
      <c r="D3276" t="s">
        <v>1433</v>
      </c>
      <c r="E3276" t="s">
        <v>491</v>
      </c>
      <c r="F3276" s="9" t="s">
        <v>491</v>
      </c>
      <c r="G3276" s="18">
        <v>2358</v>
      </c>
      <c r="H3276">
        <v>0</v>
      </c>
      <c r="I3276" s="29">
        <f t="shared" si="51"/>
        <v>2358</v>
      </c>
      <c r="J3276" t="str">
        <f>IFERROR(VLOOKUP(E3276,'LEAID Match'!$A$2:$B$168,2,FALSE),"")</f>
        <v/>
      </c>
    </row>
    <row r="3277" spans="1:10">
      <c r="A3277">
        <v>2021</v>
      </c>
      <c r="B3277" t="s">
        <v>1429</v>
      </c>
      <c r="C3277" t="s">
        <v>1431</v>
      </c>
      <c r="D3277" t="s">
        <v>1433</v>
      </c>
      <c r="E3277" t="s">
        <v>491</v>
      </c>
      <c r="F3277" s="9" t="s">
        <v>491</v>
      </c>
      <c r="G3277" s="18"/>
      <c r="H3277">
        <v>0</v>
      </c>
      <c r="I3277" s="29">
        <f t="shared" si="51"/>
        <v>0</v>
      </c>
      <c r="J3277" t="str">
        <f>IFERROR(VLOOKUP(E3277,'LEAID Match'!$A$2:$B$168,2,FALSE),"")</f>
        <v/>
      </c>
    </row>
    <row r="3278" spans="1:10">
      <c r="A3278" s="27">
        <v>2020</v>
      </c>
      <c r="B3278" t="s">
        <v>1429</v>
      </c>
      <c r="C3278" t="s">
        <v>1431</v>
      </c>
      <c r="D3278" t="s">
        <v>1433</v>
      </c>
      <c r="E3278" t="s">
        <v>209</v>
      </c>
      <c r="F3278" s="9" t="s">
        <v>209</v>
      </c>
      <c r="G3278" s="18">
        <v>56179</v>
      </c>
      <c r="H3278">
        <v>0</v>
      </c>
      <c r="I3278" s="29">
        <f t="shared" si="51"/>
        <v>56179</v>
      </c>
      <c r="J3278" t="str">
        <f>IFERROR(VLOOKUP(E3278,'LEAID Match'!$A$2:$B$168,2,FALSE),"")</f>
        <v/>
      </c>
    </row>
    <row r="3279" spans="1:10">
      <c r="A3279">
        <v>2021</v>
      </c>
      <c r="B3279" t="s">
        <v>1429</v>
      </c>
      <c r="C3279" t="s">
        <v>1431</v>
      </c>
      <c r="D3279" t="s">
        <v>1433</v>
      </c>
      <c r="E3279" t="s">
        <v>209</v>
      </c>
      <c r="F3279" s="9" t="s">
        <v>209</v>
      </c>
      <c r="G3279" s="18">
        <v>47937</v>
      </c>
      <c r="H3279">
        <v>0</v>
      </c>
      <c r="I3279" s="29">
        <f t="shared" si="51"/>
        <v>47937</v>
      </c>
      <c r="J3279" t="str">
        <f>IFERROR(VLOOKUP(E3279,'LEAID Match'!$A$2:$B$168,2,FALSE),"")</f>
        <v/>
      </c>
    </row>
    <row r="3280" spans="1:10">
      <c r="A3280">
        <v>2022</v>
      </c>
      <c r="B3280" t="s">
        <v>1429</v>
      </c>
      <c r="C3280" t="s">
        <v>1431</v>
      </c>
      <c r="D3280" t="s">
        <v>1433</v>
      </c>
      <c r="E3280" t="s">
        <v>209</v>
      </c>
      <c r="F3280" s="9" t="s">
        <v>209</v>
      </c>
      <c r="G3280" s="18">
        <v>69372</v>
      </c>
      <c r="H3280">
        <v>0</v>
      </c>
      <c r="I3280" s="29">
        <f t="shared" si="51"/>
        <v>69372</v>
      </c>
      <c r="J3280" t="str">
        <f>IFERROR(VLOOKUP(E3280,'LEAID Match'!$A$2:$B$168,2,FALSE),"")</f>
        <v/>
      </c>
    </row>
    <row r="3281" spans="1:10">
      <c r="A3281">
        <v>2023</v>
      </c>
      <c r="B3281" t="s">
        <v>1429</v>
      </c>
      <c r="C3281" t="s">
        <v>1431</v>
      </c>
      <c r="D3281" t="s">
        <v>1433</v>
      </c>
      <c r="E3281" t="s">
        <v>209</v>
      </c>
      <c r="F3281" t="s">
        <v>209</v>
      </c>
      <c r="G3281" s="28">
        <v>76469</v>
      </c>
      <c r="H3281">
        <v>0</v>
      </c>
      <c r="I3281" s="29">
        <f t="shared" si="51"/>
        <v>76469</v>
      </c>
      <c r="J3281" t="str">
        <f>IFERROR(VLOOKUP(E3281,'LEAID Match'!$A$2:$B$168,2,FALSE),"")</f>
        <v/>
      </c>
    </row>
    <row r="3282" spans="1:10">
      <c r="A3282" s="27">
        <v>2020</v>
      </c>
      <c r="B3282" t="s">
        <v>1429</v>
      </c>
      <c r="C3282" t="s">
        <v>1431</v>
      </c>
      <c r="D3282" t="s">
        <v>1433</v>
      </c>
      <c r="E3282" t="s">
        <v>210</v>
      </c>
      <c r="F3282" s="9" t="s">
        <v>210</v>
      </c>
      <c r="G3282" s="18">
        <v>279297</v>
      </c>
      <c r="H3282">
        <v>0</v>
      </c>
      <c r="I3282" s="29">
        <f t="shared" si="51"/>
        <v>279297</v>
      </c>
      <c r="J3282" t="str">
        <f>IFERROR(VLOOKUP(E3282,'LEAID Match'!$A$2:$B$168,2,FALSE),"")</f>
        <v/>
      </c>
    </row>
    <row r="3283" spans="1:10">
      <c r="A3283">
        <v>2021</v>
      </c>
      <c r="B3283" t="s">
        <v>1429</v>
      </c>
      <c r="C3283" t="s">
        <v>1431</v>
      </c>
      <c r="D3283" t="s">
        <v>1433</v>
      </c>
      <c r="E3283" t="s">
        <v>210</v>
      </c>
      <c r="F3283" s="9" t="s">
        <v>210</v>
      </c>
      <c r="G3283" s="18">
        <v>294277</v>
      </c>
      <c r="H3283">
        <v>0</v>
      </c>
      <c r="I3283" s="29">
        <f t="shared" si="51"/>
        <v>294277</v>
      </c>
      <c r="J3283" t="str">
        <f>IFERROR(VLOOKUP(E3283,'LEAID Match'!$A$2:$B$168,2,FALSE),"")</f>
        <v/>
      </c>
    </row>
    <row r="3284" spans="1:10">
      <c r="A3284">
        <v>2022</v>
      </c>
      <c r="B3284" t="s">
        <v>1429</v>
      </c>
      <c r="C3284" t="s">
        <v>1431</v>
      </c>
      <c r="D3284" t="s">
        <v>1433</v>
      </c>
      <c r="E3284" t="s">
        <v>210</v>
      </c>
      <c r="F3284" s="9" t="s">
        <v>210</v>
      </c>
      <c r="G3284" s="18">
        <v>407228</v>
      </c>
      <c r="H3284">
        <v>0</v>
      </c>
      <c r="I3284" s="29">
        <f t="shared" si="51"/>
        <v>407228</v>
      </c>
      <c r="J3284" t="str">
        <f>IFERROR(VLOOKUP(E3284,'LEAID Match'!$A$2:$B$168,2,FALSE),"")</f>
        <v/>
      </c>
    </row>
    <row r="3285" spans="1:10">
      <c r="A3285">
        <v>2023</v>
      </c>
      <c r="B3285" t="s">
        <v>1429</v>
      </c>
      <c r="C3285" t="s">
        <v>1431</v>
      </c>
      <c r="D3285" t="s">
        <v>1433</v>
      </c>
      <c r="E3285" t="s">
        <v>210</v>
      </c>
      <c r="F3285" t="s">
        <v>210</v>
      </c>
      <c r="G3285" s="28">
        <v>368105</v>
      </c>
      <c r="H3285">
        <v>0</v>
      </c>
      <c r="I3285" s="29">
        <f t="shared" si="51"/>
        <v>368105</v>
      </c>
      <c r="J3285" t="str">
        <f>IFERROR(VLOOKUP(E3285,'LEAID Match'!$A$2:$B$168,2,FALSE),"")</f>
        <v/>
      </c>
    </row>
    <row r="3286" spans="1:10">
      <c r="A3286" s="27">
        <v>2020</v>
      </c>
      <c r="B3286" t="s">
        <v>1429</v>
      </c>
      <c r="C3286" t="s">
        <v>1431</v>
      </c>
      <c r="D3286" t="s">
        <v>1433</v>
      </c>
      <c r="E3286" t="s">
        <v>211</v>
      </c>
      <c r="F3286" s="9" t="s">
        <v>211</v>
      </c>
      <c r="G3286" s="18">
        <v>26202</v>
      </c>
      <c r="H3286">
        <v>0</v>
      </c>
      <c r="I3286" s="29">
        <f t="shared" si="51"/>
        <v>26202</v>
      </c>
      <c r="J3286" t="str">
        <f>IFERROR(VLOOKUP(E3286,'LEAID Match'!$A$2:$B$168,2,FALSE),"")</f>
        <v/>
      </c>
    </row>
    <row r="3287" spans="1:10">
      <c r="A3287">
        <v>2021</v>
      </c>
      <c r="B3287" t="s">
        <v>1429</v>
      </c>
      <c r="C3287" t="s">
        <v>1431</v>
      </c>
      <c r="D3287" t="s">
        <v>1433</v>
      </c>
      <c r="E3287" t="s">
        <v>211</v>
      </c>
      <c r="F3287" s="9" t="s">
        <v>211</v>
      </c>
      <c r="G3287" s="18">
        <v>27607</v>
      </c>
      <c r="H3287">
        <v>0</v>
      </c>
      <c r="I3287" s="29">
        <f t="shared" si="51"/>
        <v>27607</v>
      </c>
      <c r="J3287" t="str">
        <f>IFERROR(VLOOKUP(E3287,'LEAID Match'!$A$2:$B$168,2,FALSE),"")</f>
        <v/>
      </c>
    </row>
    <row r="3288" spans="1:10">
      <c r="A3288">
        <v>2022</v>
      </c>
      <c r="B3288" t="s">
        <v>1429</v>
      </c>
      <c r="C3288" t="s">
        <v>1431</v>
      </c>
      <c r="D3288" t="s">
        <v>1433</v>
      </c>
      <c r="E3288" t="s">
        <v>211</v>
      </c>
      <c r="F3288" s="9" t="s">
        <v>211</v>
      </c>
      <c r="G3288" s="18">
        <v>35421</v>
      </c>
      <c r="H3288">
        <v>0</v>
      </c>
      <c r="I3288" s="29">
        <f t="shared" si="51"/>
        <v>35421</v>
      </c>
      <c r="J3288" t="str">
        <f>IFERROR(VLOOKUP(E3288,'LEAID Match'!$A$2:$B$168,2,FALSE),"")</f>
        <v/>
      </c>
    </row>
    <row r="3289" spans="1:10">
      <c r="A3289">
        <v>2023</v>
      </c>
      <c r="B3289" t="s">
        <v>1429</v>
      </c>
      <c r="C3289" t="s">
        <v>1431</v>
      </c>
      <c r="D3289" t="s">
        <v>1433</v>
      </c>
      <c r="E3289" t="s">
        <v>211</v>
      </c>
      <c r="F3289" t="s">
        <v>211</v>
      </c>
      <c r="G3289" s="28">
        <v>40339</v>
      </c>
      <c r="H3289">
        <v>0</v>
      </c>
      <c r="I3289" s="29">
        <f t="shared" si="51"/>
        <v>40339</v>
      </c>
      <c r="J3289" t="str">
        <f>IFERROR(VLOOKUP(E3289,'LEAID Match'!$A$2:$B$168,2,FALSE),"")</f>
        <v/>
      </c>
    </row>
    <row r="3290" spans="1:10">
      <c r="A3290" s="27">
        <v>2020</v>
      </c>
      <c r="B3290" t="s">
        <v>1429</v>
      </c>
      <c r="C3290" t="s">
        <v>1431</v>
      </c>
      <c r="D3290" t="s">
        <v>1433</v>
      </c>
      <c r="E3290" t="s">
        <v>212</v>
      </c>
      <c r="F3290" s="9" t="s">
        <v>212</v>
      </c>
      <c r="G3290" s="18">
        <v>471574</v>
      </c>
      <c r="H3290">
        <v>0</v>
      </c>
      <c r="I3290" s="29">
        <f t="shared" si="51"/>
        <v>471574</v>
      </c>
      <c r="J3290" t="str">
        <f>IFERROR(VLOOKUP(E3290,'LEAID Match'!$A$2:$B$168,2,FALSE),"")</f>
        <v/>
      </c>
    </row>
    <row r="3291" spans="1:10">
      <c r="A3291">
        <v>2021</v>
      </c>
      <c r="B3291" t="s">
        <v>1429</v>
      </c>
      <c r="C3291" t="s">
        <v>1431</v>
      </c>
      <c r="D3291" t="s">
        <v>1433</v>
      </c>
      <c r="E3291" t="s">
        <v>212</v>
      </c>
      <c r="F3291" s="9" t="s">
        <v>212</v>
      </c>
      <c r="G3291" s="18">
        <v>504924</v>
      </c>
      <c r="H3291">
        <v>0</v>
      </c>
      <c r="I3291" s="29">
        <f t="shared" si="51"/>
        <v>504924</v>
      </c>
      <c r="J3291" t="str">
        <f>IFERROR(VLOOKUP(E3291,'LEAID Match'!$A$2:$B$168,2,FALSE),"")</f>
        <v/>
      </c>
    </row>
    <row r="3292" spans="1:10">
      <c r="A3292">
        <v>2022</v>
      </c>
      <c r="B3292" t="s">
        <v>1429</v>
      </c>
      <c r="C3292" t="s">
        <v>1431</v>
      </c>
      <c r="D3292" t="s">
        <v>1433</v>
      </c>
      <c r="E3292" t="s">
        <v>212</v>
      </c>
      <c r="F3292" s="9" t="s">
        <v>212</v>
      </c>
      <c r="G3292" s="18">
        <v>696985</v>
      </c>
      <c r="H3292">
        <v>0</v>
      </c>
      <c r="I3292" s="29">
        <f t="shared" si="51"/>
        <v>696985</v>
      </c>
      <c r="J3292" t="str">
        <f>IFERROR(VLOOKUP(E3292,'LEAID Match'!$A$2:$B$168,2,FALSE),"")</f>
        <v/>
      </c>
    </row>
    <row r="3293" spans="1:10">
      <c r="A3293">
        <v>2023</v>
      </c>
      <c r="B3293" t="s">
        <v>1429</v>
      </c>
      <c r="C3293" t="s">
        <v>1431</v>
      </c>
      <c r="D3293" t="s">
        <v>1433</v>
      </c>
      <c r="E3293" t="s">
        <v>212</v>
      </c>
      <c r="F3293" t="s">
        <v>212</v>
      </c>
      <c r="G3293" s="28">
        <v>735933</v>
      </c>
      <c r="H3293">
        <v>0</v>
      </c>
      <c r="I3293" s="29">
        <f t="shared" si="51"/>
        <v>735933</v>
      </c>
      <c r="J3293" t="str">
        <f>IFERROR(VLOOKUP(E3293,'LEAID Match'!$A$2:$B$168,2,FALSE),"")</f>
        <v/>
      </c>
    </row>
    <row r="3294" spans="1:10">
      <c r="A3294" s="27">
        <v>2020</v>
      </c>
      <c r="B3294" t="s">
        <v>1429</v>
      </c>
      <c r="C3294" t="s">
        <v>1431</v>
      </c>
      <c r="D3294" t="s">
        <v>1433</v>
      </c>
      <c r="E3294" t="s">
        <v>213</v>
      </c>
      <c r="F3294" s="9" t="s">
        <v>213</v>
      </c>
      <c r="G3294" s="18">
        <v>423226</v>
      </c>
      <c r="H3294">
        <v>0</v>
      </c>
      <c r="I3294" s="29">
        <f t="shared" si="51"/>
        <v>423226</v>
      </c>
      <c r="J3294" t="str">
        <f>IFERROR(VLOOKUP(E3294,'LEAID Match'!$A$2:$B$168,2,FALSE),"")</f>
        <v/>
      </c>
    </row>
    <row r="3295" spans="1:10">
      <c r="A3295">
        <v>2021</v>
      </c>
      <c r="B3295" t="s">
        <v>1429</v>
      </c>
      <c r="C3295" t="s">
        <v>1431</v>
      </c>
      <c r="D3295" t="s">
        <v>1433</v>
      </c>
      <c r="E3295" t="s">
        <v>213</v>
      </c>
      <c r="F3295" s="9" t="s">
        <v>213</v>
      </c>
      <c r="G3295" s="18">
        <v>438628</v>
      </c>
      <c r="H3295">
        <v>0</v>
      </c>
      <c r="I3295" s="29">
        <f t="shared" si="51"/>
        <v>438628</v>
      </c>
      <c r="J3295" t="str">
        <f>IFERROR(VLOOKUP(E3295,'LEAID Match'!$A$2:$B$168,2,FALSE),"")</f>
        <v/>
      </c>
    </row>
    <row r="3296" spans="1:10">
      <c r="A3296">
        <v>2022</v>
      </c>
      <c r="B3296" t="s">
        <v>1429</v>
      </c>
      <c r="C3296" t="s">
        <v>1431</v>
      </c>
      <c r="D3296" t="s">
        <v>1433</v>
      </c>
      <c r="E3296" t="s">
        <v>213</v>
      </c>
      <c r="F3296" s="9" t="s">
        <v>213</v>
      </c>
      <c r="G3296" s="18">
        <v>554196</v>
      </c>
      <c r="H3296">
        <v>0</v>
      </c>
      <c r="I3296" s="29">
        <f t="shared" si="51"/>
        <v>554196</v>
      </c>
      <c r="J3296" t="str">
        <f>IFERROR(VLOOKUP(E3296,'LEAID Match'!$A$2:$B$168,2,FALSE),"")</f>
        <v/>
      </c>
    </row>
    <row r="3297" spans="1:10">
      <c r="A3297">
        <v>2023</v>
      </c>
      <c r="B3297" t="s">
        <v>1429</v>
      </c>
      <c r="C3297" t="s">
        <v>1431</v>
      </c>
      <c r="D3297" t="s">
        <v>1433</v>
      </c>
      <c r="E3297" t="s">
        <v>213</v>
      </c>
      <c r="F3297" t="s">
        <v>213</v>
      </c>
      <c r="G3297" s="28">
        <v>552180</v>
      </c>
      <c r="H3297">
        <v>0</v>
      </c>
      <c r="I3297" s="29">
        <f t="shared" si="51"/>
        <v>552180</v>
      </c>
      <c r="J3297" t="str">
        <f>IFERROR(VLOOKUP(E3297,'LEAID Match'!$A$2:$B$168,2,FALSE),"")</f>
        <v/>
      </c>
    </row>
    <row r="3298" spans="1:10">
      <c r="A3298" s="27">
        <v>2020</v>
      </c>
      <c r="B3298" t="s">
        <v>1429</v>
      </c>
      <c r="C3298" t="s">
        <v>1431</v>
      </c>
      <c r="D3298" t="s">
        <v>1433</v>
      </c>
      <c r="E3298" t="s">
        <v>214</v>
      </c>
      <c r="F3298" s="9" t="s">
        <v>214</v>
      </c>
      <c r="G3298" s="18">
        <v>27460</v>
      </c>
      <c r="H3298">
        <v>0</v>
      </c>
      <c r="I3298" s="29">
        <f t="shared" si="51"/>
        <v>27460</v>
      </c>
      <c r="J3298" t="str">
        <f>IFERROR(VLOOKUP(E3298,'LEAID Match'!$A$2:$B$168,2,FALSE),"")</f>
        <v/>
      </c>
    </row>
    <row r="3299" spans="1:10">
      <c r="A3299">
        <v>2021</v>
      </c>
      <c r="B3299" t="s">
        <v>1429</v>
      </c>
      <c r="C3299" t="s">
        <v>1431</v>
      </c>
      <c r="D3299" t="s">
        <v>1433</v>
      </c>
      <c r="E3299" t="s">
        <v>214</v>
      </c>
      <c r="F3299" s="9" t="s">
        <v>214</v>
      </c>
      <c r="G3299" s="18">
        <v>29951</v>
      </c>
      <c r="H3299">
        <v>0</v>
      </c>
      <c r="I3299" s="29">
        <f t="shared" si="51"/>
        <v>29951</v>
      </c>
      <c r="J3299" t="str">
        <f>IFERROR(VLOOKUP(E3299,'LEAID Match'!$A$2:$B$168,2,FALSE),"")</f>
        <v/>
      </c>
    </row>
    <row r="3300" spans="1:10">
      <c r="A3300">
        <v>2022</v>
      </c>
      <c r="B3300" t="s">
        <v>1429</v>
      </c>
      <c r="C3300" t="s">
        <v>1431</v>
      </c>
      <c r="D3300" t="s">
        <v>1433</v>
      </c>
      <c r="E3300" t="s">
        <v>214</v>
      </c>
      <c r="F3300" s="9" t="s">
        <v>214</v>
      </c>
      <c r="G3300" s="18">
        <v>39664</v>
      </c>
      <c r="H3300">
        <v>0</v>
      </c>
      <c r="I3300" s="29">
        <f t="shared" si="51"/>
        <v>39664</v>
      </c>
      <c r="J3300" t="str">
        <f>IFERROR(VLOOKUP(E3300,'LEAID Match'!$A$2:$B$168,2,FALSE),"")</f>
        <v/>
      </c>
    </row>
    <row r="3301" spans="1:10">
      <c r="A3301">
        <v>2023</v>
      </c>
      <c r="B3301" t="s">
        <v>1429</v>
      </c>
      <c r="C3301" t="s">
        <v>1431</v>
      </c>
      <c r="D3301" t="s">
        <v>1433</v>
      </c>
      <c r="E3301" t="s">
        <v>214</v>
      </c>
      <c r="F3301" t="s">
        <v>214</v>
      </c>
      <c r="G3301" s="28">
        <v>42525</v>
      </c>
      <c r="H3301">
        <v>0</v>
      </c>
      <c r="I3301" s="29">
        <f t="shared" si="51"/>
        <v>42525</v>
      </c>
      <c r="J3301" t="str">
        <f>IFERROR(VLOOKUP(E3301,'LEAID Match'!$A$2:$B$168,2,FALSE),"")</f>
        <v/>
      </c>
    </row>
    <row r="3302" spans="1:10">
      <c r="A3302" s="27">
        <v>2020</v>
      </c>
      <c r="B3302" t="s">
        <v>1429</v>
      </c>
      <c r="C3302" t="s">
        <v>1431</v>
      </c>
      <c r="D3302" t="s">
        <v>1433</v>
      </c>
      <c r="E3302" t="s">
        <v>215</v>
      </c>
      <c r="F3302" s="9" t="s">
        <v>215</v>
      </c>
      <c r="G3302" s="18">
        <v>166501</v>
      </c>
      <c r="H3302">
        <v>0</v>
      </c>
      <c r="I3302" s="29">
        <f t="shared" si="51"/>
        <v>166501</v>
      </c>
      <c r="J3302" t="str">
        <f>IFERROR(VLOOKUP(E3302,'LEAID Match'!$A$2:$B$168,2,FALSE),"")</f>
        <v/>
      </c>
    </row>
    <row r="3303" spans="1:10">
      <c r="A3303">
        <v>2021</v>
      </c>
      <c r="B3303" t="s">
        <v>1429</v>
      </c>
      <c r="C3303" t="s">
        <v>1431</v>
      </c>
      <c r="D3303" t="s">
        <v>1433</v>
      </c>
      <c r="E3303" t="s">
        <v>215</v>
      </c>
      <c r="F3303" s="9" t="s">
        <v>215</v>
      </c>
      <c r="G3303" s="18">
        <v>188916</v>
      </c>
      <c r="H3303">
        <v>0</v>
      </c>
      <c r="I3303" s="29">
        <f t="shared" si="51"/>
        <v>188916</v>
      </c>
      <c r="J3303" t="str">
        <f>IFERROR(VLOOKUP(E3303,'LEAID Match'!$A$2:$B$168,2,FALSE),"")</f>
        <v/>
      </c>
    </row>
    <row r="3304" spans="1:10">
      <c r="A3304">
        <v>2022</v>
      </c>
      <c r="B3304" t="s">
        <v>1429</v>
      </c>
      <c r="C3304" t="s">
        <v>1431</v>
      </c>
      <c r="D3304" t="s">
        <v>1433</v>
      </c>
      <c r="E3304" t="s">
        <v>215</v>
      </c>
      <c r="F3304" s="9" t="s">
        <v>215</v>
      </c>
      <c r="G3304" s="18">
        <v>215187</v>
      </c>
      <c r="H3304">
        <v>0</v>
      </c>
      <c r="I3304" s="29">
        <f t="shared" si="51"/>
        <v>215187</v>
      </c>
      <c r="J3304" t="str">
        <f>IFERROR(VLOOKUP(E3304,'LEAID Match'!$A$2:$B$168,2,FALSE),"")</f>
        <v/>
      </c>
    </row>
    <row r="3305" spans="1:10">
      <c r="A3305">
        <v>2023</v>
      </c>
      <c r="B3305" t="s">
        <v>1429</v>
      </c>
      <c r="C3305" t="s">
        <v>1431</v>
      </c>
      <c r="D3305" t="s">
        <v>1433</v>
      </c>
      <c r="E3305" t="s">
        <v>215</v>
      </c>
      <c r="F3305" t="s">
        <v>215</v>
      </c>
      <c r="G3305" s="28">
        <v>221714</v>
      </c>
      <c r="H3305">
        <v>0</v>
      </c>
      <c r="I3305" s="29">
        <f t="shared" si="51"/>
        <v>221714</v>
      </c>
      <c r="J3305" t="str">
        <f>IFERROR(VLOOKUP(E3305,'LEAID Match'!$A$2:$B$168,2,FALSE),"")</f>
        <v/>
      </c>
    </row>
    <row r="3306" spans="1:10">
      <c r="A3306" s="27">
        <v>2020</v>
      </c>
      <c r="B3306" t="s">
        <v>1429</v>
      </c>
      <c r="C3306" t="s">
        <v>1431</v>
      </c>
      <c r="D3306" t="s">
        <v>1433</v>
      </c>
      <c r="E3306" t="s">
        <v>216</v>
      </c>
      <c r="F3306" s="9" t="s">
        <v>216</v>
      </c>
      <c r="G3306" s="18">
        <v>155734</v>
      </c>
      <c r="H3306">
        <v>0</v>
      </c>
      <c r="I3306" s="29">
        <f t="shared" si="51"/>
        <v>155734</v>
      </c>
      <c r="J3306" t="str">
        <f>IFERROR(VLOOKUP(E3306,'LEAID Match'!$A$2:$B$168,2,FALSE),"")</f>
        <v/>
      </c>
    </row>
    <row r="3307" spans="1:10">
      <c r="A3307">
        <v>2021</v>
      </c>
      <c r="B3307" t="s">
        <v>1429</v>
      </c>
      <c r="C3307" t="s">
        <v>1431</v>
      </c>
      <c r="D3307" t="s">
        <v>1433</v>
      </c>
      <c r="E3307" t="s">
        <v>216</v>
      </c>
      <c r="F3307" s="9" t="s">
        <v>216</v>
      </c>
      <c r="G3307" s="18">
        <v>179643</v>
      </c>
      <c r="H3307">
        <v>0</v>
      </c>
      <c r="I3307" s="29">
        <f t="shared" si="51"/>
        <v>179643</v>
      </c>
      <c r="J3307" t="str">
        <f>IFERROR(VLOOKUP(E3307,'LEAID Match'!$A$2:$B$168,2,FALSE),"")</f>
        <v/>
      </c>
    </row>
    <row r="3308" spans="1:10">
      <c r="A3308">
        <v>2022</v>
      </c>
      <c r="B3308" t="s">
        <v>1429</v>
      </c>
      <c r="C3308" t="s">
        <v>1431</v>
      </c>
      <c r="D3308" t="s">
        <v>1433</v>
      </c>
      <c r="E3308" t="s">
        <v>216</v>
      </c>
      <c r="F3308" s="9" t="s">
        <v>216</v>
      </c>
      <c r="G3308" s="18">
        <v>220584</v>
      </c>
      <c r="H3308">
        <v>0</v>
      </c>
      <c r="I3308" s="29">
        <f t="shared" si="51"/>
        <v>220584</v>
      </c>
      <c r="J3308" t="str">
        <f>IFERROR(VLOOKUP(E3308,'LEAID Match'!$A$2:$B$168,2,FALSE),"")</f>
        <v/>
      </c>
    </row>
    <row r="3309" spans="1:10">
      <c r="A3309">
        <v>2023</v>
      </c>
      <c r="B3309" t="s">
        <v>1429</v>
      </c>
      <c r="C3309" t="s">
        <v>1431</v>
      </c>
      <c r="D3309" t="s">
        <v>1433</v>
      </c>
      <c r="E3309" t="s">
        <v>216</v>
      </c>
      <c r="F3309" t="s">
        <v>216</v>
      </c>
      <c r="G3309" s="28">
        <v>235396</v>
      </c>
      <c r="H3309">
        <v>0</v>
      </c>
      <c r="I3309" s="29">
        <f t="shared" si="51"/>
        <v>235396</v>
      </c>
      <c r="J3309" t="str">
        <f>IFERROR(VLOOKUP(E3309,'LEAID Match'!$A$2:$B$168,2,FALSE),"")</f>
        <v/>
      </c>
    </row>
    <row r="3310" spans="1:10">
      <c r="A3310" s="27">
        <v>2020</v>
      </c>
      <c r="B3310" t="s">
        <v>1429</v>
      </c>
      <c r="C3310" t="s">
        <v>1431</v>
      </c>
      <c r="D3310" t="s">
        <v>1433</v>
      </c>
      <c r="E3310" t="s">
        <v>217</v>
      </c>
      <c r="F3310" s="9" t="s">
        <v>217</v>
      </c>
      <c r="G3310" s="18">
        <v>225684</v>
      </c>
      <c r="H3310">
        <v>0</v>
      </c>
      <c r="I3310" s="29">
        <f t="shared" si="51"/>
        <v>225684</v>
      </c>
      <c r="J3310" t="str">
        <f>IFERROR(VLOOKUP(E3310,'LEAID Match'!$A$2:$B$168,2,FALSE),"")</f>
        <v/>
      </c>
    </row>
    <row r="3311" spans="1:10">
      <c r="A3311">
        <v>2021</v>
      </c>
      <c r="B3311" t="s">
        <v>1429</v>
      </c>
      <c r="C3311" t="s">
        <v>1431</v>
      </c>
      <c r="D3311" t="s">
        <v>1433</v>
      </c>
      <c r="E3311" t="s">
        <v>217</v>
      </c>
      <c r="F3311" s="9" t="s">
        <v>217</v>
      </c>
      <c r="G3311" s="18">
        <v>242486</v>
      </c>
      <c r="H3311">
        <v>0</v>
      </c>
      <c r="I3311" s="29">
        <f t="shared" si="51"/>
        <v>242486</v>
      </c>
      <c r="J3311" t="str">
        <f>IFERROR(VLOOKUP(E3311,'LEAID Match'!$A$2:$B$168,2,FALSE),"")</f>
        <v/>
      </c>
    </row>
    <row r="3312" spans="1:10">
      <c r="A3312">
        <v>2022</v>
      </c>
      <c r="B3312" t="s">
        <v>1429</v>
      </c>
      <c r="C3312" t="s">
        <v>1431</v>
      </c>
      <c r="D3312" t="s">
        <v>1433</v>
      </c>
      <c r="E3312" t="s">
        <v>217</v>
      </c>
      <c r="F3312" s="9" t="s">
        <v>217</v>
      </c>
      <c r="G3312" s="18">
        <v>347040</v>
      </c>
      <c r="H3312">
        <v>0</v>
      </c>
      <c r="I3312" s="29">
        <f t="shared" si="51"/>
        <v>347040</v>
      </c>
      <c r="J3312" t="str">
        <f>IFERROR(VLOOKUP(E3312,'LEAID Match'!$A$2:$B$168,2,FALSE),"")</f>
        <v/>
      </c>
    </row>
    <row r="3313" spans="1:10">
      <c r="A3313">
        <v>2023</v>
      </c>
      <c r="B3313" t="s">
        <v>1429</v>
      </c>
      <c r="C3313" t="s">
        <v>1431</v>
      </c>
      <c r="D3313" t="s">
        <v>1433</v>
      </c>
      <c r="E3313" t="s">
        <v>217</v>
      </c>
      <c r="F3313" t="s">
        <v>217</v>
      </c>
      <c r="G3313" s="28">
        <v>386493</v>
      </c>
      <c r="H3313">
        <v>0</v>
      </c>
      <c r="I3313" s="29">
        <f t="shared" si="51"/>
        <v>386493</v>
      </c>
      <c r="J3313" t="str">
        <f>IFERROR(VLOOKUP(E3313,'LEAID Match'!$A$2:$B$168,2,FALSE),"")</f>
        <v/>
      </c>
    </row>
    <row r="3314" spans="1:10">
      <c r="A3314" s="27">
        <v>2020</v>
      </c>
      <c r="B3314" t="s">
        <v>1429</v>
      </c>
      <c r="C3314" t="s">
        <v>1431</v>
      </c>
      <c r="D3314" t="s">
        <v>1433</v>
      </c>
      <c r="E3314" t="s">
        <v>218</v>
      </c>
      <c r="F3314" s="9" t="s">
        <v>218</v>
      </c>
      <c r="G3314" s="18">
        <v>251764</v>
      </c>
      <c r="H3314">
        <v>0</v>
      </c>
      <c r="I3314" s="29">
        <f t="shared" si="51"/>
        <v>251764</v>
      </c>
      <c r="J3314" t="str">
        <f>IFERROR(VLOOKUP(E3314,'LEAID Match'!$A$2:$B$168,2,FALSE),"")</f>
        <v/>
      </c>
    </row>
    <row r="3315" spans="1:10">
      <c r="A3315">
        <v>2021</v>
      </c>
      <c r="B3315" t="s">
        <v>1429</v>
      </c>
      <c r="C3315" t="s">
        <v>1431</v>
      </c>
      <c r="D3315" t="s">
        <v>1433</v>
      </c>
      <c r="E3315" t="s">
        <v>218</v>
      </c>
      <c r="F3315" s="9" t="s">
        <v>218</v>
      </c>
      <c r="G3315" s="18">
        <v>270883</v>
      </c>
      <c r="H3315">
        <v>0</v>
      </c>
      <c r="I3315" s="29">
        <f t="shared" si="51"/>
        <v>270883</v>
      </c>
      <c r="J3315" t="str">
        <f>IFERROR(VLOOKUP(E3315,'LEAID Match'!$A$2:$B$168,2,FALSE),"")</f>
        <v/>
      </c>
    </row>
    <row r="3316" spans="1:10">
      <c r="A3316">
        <v>2022</v>
      </c>
      <c r="B3316" t="s">
        <v>1429</v>
      </c>
      <c r="C3316" t="s">
        <v>1431</v>
      </c>
      <c r="D3316" t="s">
        <v>1433</v>
      </c>
      <c r="E3316" t="s">
        <v>218</v>
      </c>
      <c r="F3316" s="9" t="s">
        <v>218</v>
      </c>
      <c r="G3316" s="18">
        <v>327083</v>
      </c>
      <c r="H3316">
        <v>0</v>
      </c>
      <c r="I3316" s="29">
        <f t="shared" si="51"/>
        <v>327083</v>
      </c>
      <c r="J3316" t="str">
        <f>IFERROR(VLOOKUP(E3316,'LEAID Match'!$A$2:$B$168,2,FALSE),"")</f>
        <v/>
      </c>
    </row>
    <row r="3317" spans="1:10">
      <c r="A3317">
        <v>2023</v>
      </c>
      <c r="B3317" t="s">
        <v>1429</v>
      </c>
      <c r="C3317" t="s">
        <v>1431</v>
      </c>
      <c r="D3317" t="s">
        <v>1433</v>
      </c>
      <c r="E3317" t="s">
        <v>218</v>
      </c>
      <c r="F3317" t="s">
        <v>218</v>
      </c>
      <c r="G3317" s="28">
        <v>348396</v>
      </c>
      <c r="H3317">
        <v>0</v>
      </c>
      <c r="I3317" s="29">
        <f t="shared" si="51"/>
        <v>348396</v>
      </c>
      <c r="J3317" t="str">
        <f>IFERROR(VLOOKUP(E3317,'LEAID Match'!$A$2:$B$168,2,FALSE),"")</f>
        <v/>
      </c>
    </row>
    <row r="3318" spans="1:10">
      <c r="A3318" s="27">
        <v>2020</v>
      </c>
      <c r="B3318" t="s">
        <v>1429</v>
      </c>
      <c r="C3318" t="s">
        <v>1431</v>
      </c>
      <c r="D3318" t="s">
        <v>1433</v>
      </c>
      <c r="E3318" t="s">
        <v>219</v>
      </c>
      <c r="F3318" s="9" t="s">
        <v>219</v>
      </c>
      <c r="G3318" s="18">
        <v>213460</v>
      </c>
      <c r="H3318">
        <v>0</v>
      </c>
      <c r="I3318" s="29">
        <f t="shared" si="51"/>
        <v>213460</v>
      </c>
      <c r="J3318" t="str">
        <f>IFERROR(VLOOKUP(E3318,'LEAID Match'!$A$2:$B$168,2,FALSE),"")</f>
        <v/>
      </c>
    </row>
    <row r="3319" spans="1:10">
      <c r="A3319">
        <v>2021</v>
      </c>
      <c r="B3319" t="s">
        <v>1429</v>
      </c>
      <c r="C3319" t="s">
        <v>1431</v>
      </c>
      <c r="D3319" t="s">
        <v>1433</v>
      </c>
      <c r="E3319" t="s">
        <v>219</v>
      </c>
      <c r="F3319" s="9" t="s">
        <v>219</v>
      </c>
      <c r="G3319" s="18">
        <v>235912</v>
      </c>
      <c r="H3319">
        <v>0</v>
      </c>
      <c r="I3319" s="29">
        <f t="shared" si="51"/>
        <v>235912</v>
      </c>
      <c r="J3319" t="str">
        <f>IFERROR(VLOOKUP(E3319,'LEAID Match'!$A$2:$B$168,2,FALSE),"")</f>
        <v/>
      </c>
    </row>
    <row r="3320" spans="1:10">
      <c r="A3320">
        <v>2022</v>
      </c>
      <c r="B3320" t="s">
        <v>1429</v>
      </c>
      <c r="C3320" t="s">
        <v>1431</v>
      </c>
      <c r="D3320" t="s">
        <v>1433</v>
      </c>
      <c r="E3320" t="s">
        <v>219</v>
      </c>
      <c r="F3320" s="9" t="s">
        <v>219</v>
      </c>
      <c r="G3320" s="18">
        <v>300116</v>
      </c>
      <c r="H3320">
        <v>0</v>
      </c>
      <c r="I3320" s="29">
        <f t="shared" si="51"/>
        <v>300116</v>
      </c>
      <c r="J3320" t="str">
        <f>IFERROR(VLOOKUP(E3320,'LEAID Match'!$A$2:$B$168,2,FALSE),"")</f>
        <v/>
      </c>
    </row>
    <row r="3321" spans="1:10">
      <c r="A3321">
        <v>2023</v>
      </c>
      <c r="B3321" t="s">
        <v>1429</v>
      </c>
      <c r="C3321" t="s">
        <v>1431</v>
      </c>
      <c r="D3321" t="s">
        <v>1433</v>
      </c>
      <c r="E3321" t="s">
        <v>219</v>
      </c>
      <c r="F3321" t="s">
        <v>219</v>
      </c>
      <c r="G3321" s="28">
        <v>332796</v>
      </c>
      <c r="H3321">
        <v>0</v>
      </c>
      <c r="I3321" s="29">
        <f t="shared" si="51"/>
        <v>332796</v>
      </c>
      <c r="J3321" t="str">
        <f>IFERROR(VLOOKUP(E3321,'LEAID Match'!$A$2:$B$168,2,FALSE),"")</f>
        <v/>
      </c>
    </row>
    <row r="3322" spans="1:10">
      <c r="A3322" s="27">
        <v>2020</v>
      </c>
      <c r="B3322" t="s">
        <v>1429</v>
      </c>
      <c r="C3322" t="s">
        <v>1431</v>
      </c>
      <c r="D3322" t="s">
        <v>1433</v>
      </c>
      <c r="E3322" t="s">
        <v>220</v>
      </c>
      <c r="F3322" s="9" t="s">
        <v>220</v>
      </c>
      <c r="G3322" s="18">
        <v>352579</v>
      </c>
      <c r="H3322">
        <v>0</v>
      </c>
      <c r="I3322" s="29">
        <f t="shared" si="51"/>
        <v>352579</v>
      </c>
      <c r="J3322" t="str">
        <f>IFERROR(VLOOKUP(E3322,'LEAID Match'!$A$2:$B$168,2,FALSE),"")</f>
        <v/>
      </c>
    </row>
    <row r="3323" spans="1:10">
      <c r="A3323">
        <v>2021</v>
      </c>
      <c r="B3323" t="s">
        <v>1429</v>
      </c>
      <c r="C3323" t="s">
        <v>1431</v>
      </c>
      <c r="D3323" t="s">
        <v>1433</v>
      </c>
      <c r="E3323" t="s">
        <v>220</v>
      </c>
      <c r="F3323" s="9" t="s">
        <v>220</v>
      </c>
      <c r="G3323" s="18">
        <v>375360</v>
      </c>
      <c r="H3323">
        <v>0</v>
      </c>
      <c r="I3323" s="29">
        <f t="shared" si="51"/>
        <v>375360</v>
      </c>
      <c r="J3323" t="str">
        <f>IFERROR(VLOOKUP(E3323,'LEAID Match'!$A$2:$B$168,2,FALSE),"")</f>
        <v/>
      </c>
    </row>
    <row r="3324" spans="1:10">
      <c r="A3324">
        <v>2022</v>
      </c>
      <c r="B3324" t="s">
        <v>1429</v>
      </c>
      <c r="C3324" t="s">
        <v>1431</v>
      </c>
      <c r="D3324" t="s">
        <v>1433</v>
      </c>
      <c r="E3324" t="s">
        <v>220</v>
      </c>
      <c r="F3324" s="9" t="s">
        <v>220</v>
      </c>
      <c r="G3324" s="18">
        <v>483213</v>
      </c>
      <c r="H3324">
        <v>0</v>
      </c>
      <c r="I3324" s="29">
        <f t="shared" si="51"/>
        <v>483213</v>
      </c>
      <c r="J3324" t="str">
        <f>IFERROR(VLOOKUP(E3324,'LEAID Match'!$A$2:$B$168,2,FALSE),"")</f>
        <v/>
      </c>
    </row>
    <row r="3325" spans="1:10">
      <c r="A3325">
        <v>2023</v>
      </c>
      <c r="B3325" t="s">
        <v>1429</v>
      </c>
      <c r="C3325" t="s">
        <v>1431</v>
      </c>
      <c r="D3325" t="s">
        <v>1433</v>
      </c>
      <c r="E3325" t="s">
        <v>220</v>
      </c>
      <c r="F3325" t="s">
        <v>220</v>
      </c>
      <c r="G3325" s="28">
        <v>550869</v>
      </c>
      <c r="H3325">
        <v>0</v>
      </c>
      <c r="I3325" s="29">
        <f t="shared" si="51"/>
        <v>550869</v>
      </c>
      <c r="J3325" t="str">
        <f>IFERROR(VLOOKUP(E3325,'LEAID Match'!$A$2:$B$168,2,FALSE),"")</f>
        <v/>
      </c>
    </row>
    <row r="3326" spans="1:10">
      <c r="A3326" s="27">
        <v>2020</v>
      </c>
      <c r="B3326" t="s">
        <v>1429</v>
      </c>
      <c r="C3326" t="s">
        <v>1431</v>
      </c>
      <c r="D3326" t="s">
        <v>1433</v>
      </c>
      <c r="E3326" t="s">
        <v>221</v>
      </c>
      <c r="F3326" s="9" t="s">
        <v>221</v>
      </c>
      <c r="G3326" s="18">
        <v>74069</v>
      </c>
      <c r="H3326">
        <v>0</v>
      </c>
      <c r="I3326" s="29">
        <f t="shared" si="51"/>
        <v>74069</v>
      </c>
      <c r="J3326" t="str">
        <f>IFERROR(VLOOKUP(E3326,'LEAID Match'!$A$2:$B$168,2,FALSE),"")</f>
        <v/>
      </c>
    </row>
    <row r="3327" spans="1:10">
      <c r="A3327">
        <v>2021</v>
      </c>
      <c r="B3327" t="s">
        <v>1429</v>
      </c>
      <c r="C3327" t="s">
        <v>1431</v>
      </c>
      <c r="D3327" t="s">
        <v>1433</v>
      </c>
      <c r="E3327" t="s">
        <v>221</v>
      </c>
      <c r="F3327" s="9" t="s">
        <v>221</v>
      </c>
      <c r="G3327" s="18">
        <v>70214</v>
      </c>
      <c r="H3327">
        <v>0</v>
      </c>
      <c r="I3327" s="29">
        <f t="shared" si="51"/>
        <v>70214</v>
      </c>
      <c r="J3327" t="str">
        <f>IFERROR(VLOOKUP(E3327,'LEAID Match'!$A$2:$B$168,2,FALSE),"")</f>
        <v/>
      </c>
    </row>
    <row r="3328" spans="1:10">
      <c r="A3328">
        <v>2022</v>
      </c>
      <c r="B3328" t="s">
        <v>1429</v>
      </c>
      <c r="C3328" t="s">
        <v>1431</v>
      </c>
      <c r="D3328" t="s">
        <v>1433</v>
      </c>
      <c r="E3328" t="s">
        <v>221</v>
      </c>
      <c r="F3328" s="9" t="s">
        <v>221</v>
      </c>
      <c r="G3328" s="18">
        <v>83695</v>
      </c>
      <c r="H3328">
        <v>0</v>
      </c>
      <c r="I3328" s="29">
        <f t="shared" si="51"/>
        <v>83695</v>
      </c>
      <c r="J3328" t="str">
        <f>IFERROR(VLOOKUP(E3328,'LEAID Match'!$A$2:$B$168,2,FALSE),"")</f>
        <v/>
      </c>
    </row>
    <row r="3329" spans="1:10">
      <c r="A3329">
        <v>2023</v>
      </c>
      <c r="B3329" t="s">
        <v>1429</v>
      </c>
      <c r="C3329" t="s">
        <v>1431</v>
      </c>
      <c r="D3329" t="s">
        <v>1433</v>
      </c>
      <c r="E3329" t="s">
        <v>221</v>
      </c>
      <c r="F3329" t="s">
        <v>221</v>
      </c>
      <c r="G3329" s="28">
        <v>93176</v>
      </c>
      <c r="H3329">
        <v>0</v>
      </c>
      <c r="I3329" s="29">
        <f t="shared" si="51"/>
        <v>93176</v>
      </c>
      <c r="J3329" t="str">
        <f>IFERROR(VLOOKUP(E3329,'LEAID Match'!$A$2:$B$168,2,FALSE),"")</f>
        <v/>
      </c>
    </row>
    <row r="3330" spans="1:10">
      <c r="A3330" s="27">
        <v>2020</v>
      </c>
      <c r="B3330" t="s">
        <v>1429</v>
      </c>
      <c r="C3330" t="s">
        <v>1431</v>
      </c>
      <c r="D3330" t="s">
        <v>1433</v>
      </c>
      <c r="E3330" t="s">
        <v>222</v>
      </c>
      <c r="F3330" s="9" t="s">
        <v>222</v>
      </c>
      <c r="G3330" s="18">
        <v>1876010</v>
      </c>
      <c r="H3330">
        <v>0</v>
      </c>
      <c r="I3330" s="29">
        <f t="shared" si="51"/>
        <v>1876010</v>
      </c>
      <c r="J3330" t="str">
        <f>IFERROR(VLOOKUP(E3330,'LEAID Match'!$A$2:$B$168,2,FALSE),"")</f>
        <v/>
      </c>
    </row>
    <row r="3331" spans="1:10">
      <c r="A3331">
        <v>2021</v>
      </c>
      <c r="B3331" t="s">
        <v>1429</v>
      </c>
      <c r="C3331" t="s">
        <v>1431</v>
      </c>
      <c r="D3331" t="s">
        <v>1433</v>
      </c>
      <c r="E3331" t="s">
        <v>222</v>
      </c>
      <c r="F3331" s="9" t="s">
        <v>222</v>
      </c>
      <c r="G3331" s="18">
        <v>1994209</v>
      </c>
      <c r="H3331">
        <v>0</v>
      </c>
      <c r="I3331" s="29">
        <f t="shared" ref="I3331:I3394" si="52">SUM(G3331:H3331)</f>
        <v>1994209</v>
      </c>
      <c r="J3331" t="str">
        <f>IFERROR(VLOOKUP(E3331,'LEAID Match'!$A$2:$B$168,2,FALSE),"")</f>
        <v/>
      </c>
    </row>
    <row r="3332" spans="1:10">
      <c r="A3332">
        <v>2022</v>
      </c>
      <c r="B3332" t="s">
        <v>1429</v>
      </c>
      <c r="C3332" t="s">
        <v>1431</v>
      </c>
      <c r="D3332" t="s">
        <v>1433</v>
      </c>
      <c r="E3332" t="s">
        <v>222</v>
      </c>
      <c r="F3332" s="9" t="s">
        <v>222</v>
      </c>
      <c r="G3332" s="18">
        <v>2556572</v>
      </c>
      <c r="H3332">
        <v>0</v>
      </c>
      <c r="I3332" s="29">
        <f t="shared" si="52"/>
        <v>2556572</v>
      </c>
      <c r="J3332" t="str">
        <f>IFERROR(VLOOKUP(E3332,'LEAID Match'!$A$2:$B$168,2,FALSE),"")</f>
        <v/>
      </c>
    </row>
    <row r="3333" spans="1:10">
      <c r="A3333">
        <v>2023</v>
      </c>
      <c r="B3333" t="s">
        <v>1429</v>
      </c>
      <c r="C3333" t="s">
        <v>1431</v>
      </c>
      <c r="D3333" t="s">
        <v>1433</v>
      </c>
      <c r="E3333" t="s">
        <v>222</v>
      </c>
      <c r="F3333" t="s">
        <v>222</v>
      </c>
      <c r="G3333" s="28">
        <v>2585761</v>
      </c>
      <c r="H3333">
        <v>0</v>
      </c>
      <c r="I3333" s="29">
        <f t="shared" si="52"/>
        <v>2585761</v>
      </c>
      <c r="J3333" t="str">
        <f>IFERROR(VLOOKUP(E3333,'LEAID Match'!$A$2:$B$168,2,FALSE),"")</f>
        <v/>
      </c>
    </row>
    <row r="3334" spans="1:10">
      <c r="A3334" s="27">
        <v>2020</v>
      </c>
      <c r="B3334" t="s">
        <v>1429</v>
      </c>
      <c r="C3334" t="s">
        <v>1431</v>
      </c>
      <c r="D3334" t="s">
        <v>1433</v>
      </c>
      <c r="E3334" t="s">
        <v>223</v>
      </c>
      <c r="F3334" s="9" t="s">
        <v>223</v>
      </c>
      <c r="G3334" s="18">
        <v>583579</v>
      </c>
      <c r="H3334">
        <v>0</v>
      </c>
      <c r="I3334" s="29">
        <f t="shared" si="52"/>
        <v>583579</v>
      </c>
      <c r="J3334" t="str">
        <f>IFERROR(VLOOKUP(E3334,'LEAID Match'!$A$2:$B$168,2,FALSE),"")</f>
        <v/>
      </c>
    </row>
    <row r="3335" spans="1:10">
      <c r="A3335">
        <v>2021</v>
      </c>
      <c r="B3335" t="s">
        <v>1429</v>
      </c>
      <c r="C3335" t="s">
        <v>1431</v>
      </c>
      <c r="D3335" t="s">
        <v>1433</v>
      </c>
      <c r="E3335" t="s">
        <v>223</v>
      </c>
      <c r="F3335" s="9" t="s">
        <v>223</v>
      </c>
      <c r="G3335" s="18">
        <v>627047</v>
      </c>
      <c r="H3335">
        <v>0</v>
      </c>
      <c r="I3335" s="29">
        <f t="shared" si="52"/>
        <v>627047</v>
      </c>
      <c r="J3335" t="str">
        <f>IFERROR(VLOOKUP(E3335,'LEAID Match'!$A$2:$B$168,2,FALSE),"")</f>
        <v/>
      </c>
    </row>
    <row r="3336" spans="1:10">
      <c r="A3336">
        <v>2022</v>
      </c>
      <c r="B3336" t="s">
        <v>1429</v>
      </c>
      <c r="C3336" t="s">
        <v>1431</v>
      </c>
      <c r="D3336" t="s">
        <v>1433</v>
      </c>
      <c r="E3336" t="s">
        <v>223</v>
      </c>
      <c r="F3336" s="9" t="s">
        <v>223</v>
      </c>
      <c r="G3336" s="18">
        <v>729273</v>
      </c>
      <c r="H3336">
        <v>0</v>
      </c>
      <c r="I3336" s="29">
        <f t="shared" si="52"/>
        <v>729273</v>
      </c>
      <c r="J3336" t="str">
        <f>IFERROR(VLOOKUP(E3336,'LEAID Match'!$A$2:$B$168,2,FALSE),"")</f>
        <v/>
      </c>
    </row>
    <row r="3337" spans="1:10">
      <c r="A3337">
        <v>2023</v>
      </c>
      <c r="B3337" t="s">
        <v>1429</v>
      </c>
      <c r="C3337" t="s">
        <v>1431</v>
      </c>
      <c r="D3337" t="s">
        <v>1433</v>
      </c>
      <c r="E3337" t="s">
        <v>223</v>
      </c>
      <c r="F3337" t="s">
        <v>223</v>
      </c>
      <c r="G3337" s="28">
        <v>812564</v>
      </c>
      <c r="H3337">
        <v>0</v>
      </c>
      <c r="I3337" s="29">
        <f t="shared" si="52"/>
        <v>812564</v>
      </c>
      <c r="J3337" t="str">
        <f>IFERROR(VLOOKUP(E3337,'LEAID Match'!$A$2:$B$168,2,FALSE),"")</f>
        <v/>
      </c>
    </row>
    <row r="3338" spans="1:10">
      <c r="A3338" s="27">
        <v>2020</v>
      </c>
      <c r="B3338" t="s">
        <v>1429</v>
      </c>
      <c r="C3338" t="s">
        <v>1431</v>
      </c>
      <c r="D3338" t="s">
        <v>1433</v>
      </c>
      <c r="E3338" t="s">
        <v>224</v>
      </c>
      <c r="F3338" s="9" t="s">
        <v>224</v>
      </c>
      <c r="G3338" s="18">
        <v>63509</v>
      </c>
      <c r="H3338">
        <v>0</v>
      </c>
      <c r="I3338" s="29">
        <f t="shared" si="52"/>
        <v>63509</v>
      </c>
      <c r="J3338" t="str">
        <f>IFERROR(VLOOKUP(E3338,'LEAID Match'!$A$2:$B$168,2,FALSE),"")</f>
        <v/>
      </c>
    </row>
    <row r="3339" spans="1:10">
      <c r="A3339">
        <v>2021</v>
      </c>
      <c r="B3339" t="s">
        <v>1429</v>
      </c>
      <c r="C3339" t="s">
        <v>1431</v>
      </c>
      <c r="D3339" t="s">
        <v>1433</v>
      </c>
      <c r="E3339" t="s">
        <v>224</v>
      </c>
      <c r="F3339" s="9" t="s">
        <v>224</v>
      </c>
      <c r="G3339" s="18">
        <v>62303</v>
      </c>
      <c r="H3339">
        <v>0</v>
      </c>
      <c r="I3339" s="29">
        <f t="shared" si="52"/>
        <v>62303</v>
      </c>
      <c r="J3339" t="str">
        <f>IFERROR(VLOOKUP(E3339,'LEAID Match'!$A$2:$B$168,2,FALSE),"")</f>
        <v/>
      </c>
    </row>
    <row r="3340" spans="1:10">
      <c r="A3340">
        <v>2022</v>
      </c>
      <c r="B3340" t="s">
        <v>1429</v>
      </c>
      <c r="C3340" t="s">
        <v>1431</v>
      </c>
      <c r="D3340" t="s">
        <v>1433</v>
      </c>
      <c r="E3340" t="s">
        <v>224</v>
      </c>
      <c r="F3340" s="9" t="s">
        <v>224</v>
      </c>
      <c r="G3340" s="18">
        <v>72237</v>
      </c>
      <c r="H3340">
        <v>0</v>
      </c>
      <c r="I3340" s="29">
        <f t="shared" si="52"/>
        <v>72237</v>
      </c>
      <c r="J3340" t="str">
        <f>IFERROR(VLOOKUP(E3340,'LEAID Match'!$A$2:$B$168,2,FALSE),"")</f>
        <v/>
      </c>
    </row>
    <row r="3341" spans="1:10">
      <c r="A3341">
        <v>2023</v>
      </c>
      <c r="B3341" t="s">
        <v>1429</v>
      </c>
      <c r="C3341" t="s">
        <v>1431</v>
      </c>
      <c r="D3341" t="s">
        <v>1433</v>
      </c>
      <c r="E3341" t="s">
        <v>224</v>
      </c>
      <c r="F3341" t="s">
        <v>224</v>
      </c>
      <c r="G3341" s="28">
        <v>90566</v>
      </c>
      <c r="H3341">
        <v>0</v>
      </c>
      <c r="I3341" s="29">
        <f t="shared" si="52"/>
        <v>90566</v>
      </c>
      <c r="J3341" t="str">
        <f>IFERROR(VLOOKUP(E3341,'LEAID Match'!$A$2:$B$168,2,FALSE),"")</f>
        <v/>
      </c>
    </row>
    <row r="3342" spans="1:10">
      <c r="A3342" s="27">
        <v>2020</v>
      </c>
      <c r="B3342" t="s">
        <v>1429</v>
      </c>
      <c r="C3342" t="s">
        <v>1431</v>
      </c>
      <c r="D3342" t="s">
        <v>1433</v>
      </c>
      <c r="E3342" t="s">
        <v>225</v>
      </c>
      <c r="F3342" s="9" t="s">
        <v>225</v>
      </c>
      <c r="G3342" s="18">
        <v>138412</v>
      </c>
      <c r="H3342">
        <v>0</v>
      </c>
      <c r="I3342" s="29">
        <f t="shared" si="52"/>
        <v>138412</v>
      </c>
      <c r="J3342" t="str">
        <f>IFERROR(VLOOKUP(E3342,'LEAID Match'!$A$2:$B$168,2,FALSE),"")</f>
        <v/>
      </c>
    </row>
    <row r="3343" spans="1:10">
      <c r="A3343">
        <v>2021</v>
      </c>
      <c r="B3343" t="s">
        <v>1429</v>
      </c>
      <c r="C3343" t="s">
        <v>1431</v>
      </c>
      <c r="D3343" t="s">
        <v>1433</v>
      </c>
      <c r="E3343" t="s">
        <v>225</v>
      </c>
      <c r="F3343" s="9" t="s">
        <v>225</v>
      </c>
      <c r="G3343" s="18">
        <v>141314</v>
      </c>
      <c r="H3343">
        <v>0</v>
      </c>
      <c r="I3343" s="29">
        <f t="shared" si="52"/>
        <v>141314</v>
      </c>
      <c r="J3343" t="str">
        <f>IFERROR(VLOOKUP(E3343,'LEAID Match'!$A$2:$B$168,2,FALSE),"")</f>
        <v/>
      </c>
    </row>
    <row r="3344" spans="1:10">
      <c r="A3344">
        <v>2022</v>
      </c>
      <c r="B3344" t="s">
        <v>1429</v>
      </c>
      <c r="C3344" t="s">
        <v>1431</v>
      </c>
      <c r="D3344" t="s">
        <v>1433</v>
      </c>
      <c r="E3344" t="s">
        <v>225</v>
      </c>
      <c r="F3344" s="9" t="s">
        <v>225</v>
      </c>
      <c r="G3344" s="18">
        <v>181521</v>
      </c>
      <c r="H3344">
        <v>0</v>
      </c>
      <c r="I3344" s="29">
        <f t="shared" si="52"/>
        <v>181521</v>
      </c>
      <c r="J3344" t="str">
        <f>IFERROR(VLOOKUP(E3344,'LEAID Match'!$A$2:$B$168,2,FALSE),"")</f>
        <v/>
      </c>
    </row>
    <row r="3345" spans="1:10">
      <c r="A3345">
        <v>2023</v>
      </c>
      <c r="B3345" t="s">
        <v>1429</v>
      </c>
      <c r="C3345" t="s">
        <v>1431</v>
      </c>
      <c r="D3345" t="s">
        <v>1433</v>
      </c>
      <c r="E3345" t="s">
        <v>225</v>
      </c>
      <c r="F3345" t="s">
        <v>225</v>
      </c>
      <c r="G3345" s="28">
        <v>208368</v>
      </c>
      <c r="H3345">
        <v>0</v>
      </c>
      <c r="I3345" s="29">
        <f t="shared" si="52"/>
        <v>208368</v>
      </c>
      <c r="J3345" t="str">
        <f>IFERROR(VLOOKUP(E3345,'LEAID Match'!$A$2:$B$168,2,FALSE),"")</f>
        <v/>
      </c>
    </row>
    <row r="3346" spans="1:10">
      <c r="A3346" s="27">
        <v>2020</v>
      </c>
      <c r="B3346" t="s">
        <v>1429</v>
      </c>
      <c r="C3346" t="s">
        <v>1431</v>
      </c>
      <c r="D3346" t="s">
        <v>1433</v>
      </c>
      <c r="E3346" t="s">
        <v>226</v>
      </c>
      <c r="F3346" s="9" t="s">
        <v>226</v>
      </c>
      <c r="G3346" s="18">
        <v>191644</v>
      </c>
      <c r="H3346">
        <v>0</v>
      </c>
      <c r="I3346" s="29">
        <f t="shared" si="52"/>
        <v>191644</v>
      </c>
      <c r="J3346" t="str">
        <f>IFERROR(VLOOKUP(E3346,'LEAID Match'!$A$2:$B$168,2,FALSE),"")</f>
        <v/>
      </c>
    </row>
    <row r="3347" spans="1:10">
      <c r="A3347">
        <v>2021</v>
      </c>
      <c r="B3347" t="s">
        <v>1429</v>
      </c>
      <c r="C3347" t="s">
        <v>1431</v>
      </c>
      <c r="D3347" t="s">
        <v>1433</v>
      </c>
      <c r="E3347" t="s">
        <v>226</v>
      </c>
      <c r="F3347" s="9" t="s">
        <v>226</v>
      </c>
      <c r="G3347" s="18">
        <v>191097</v>
      </c>
      <c r="H3347">
        <v>0</v>
      </c>
      <c r="I3347" s="29">
        <f t="shared" si="52"/>
        <v>191097</v>
      </c>
      <c r="J3347" t="str">
        <f>IFERROR(VLOOKUP(E3347,'LEAID Match'!$A$2:$B$168,2,FALSE),"")</f>
        <v/>
      </c>
    </row>
    <row r="3348" spans="1:10">
      <c r="A3348">
        <v>2022</v>
      </c>
      <c r="B3348" t="s">
        <v>1429</v>
      </c>
      <c r="C3348" t="s">
        <v>1431</v>
      </c>
      <c r="D3348" t="s">
        <v>1433</v>
      </c>
      <c r="E3348" t="s">
        <v>226</v>
      </c>
      <c r="F3348" s="9" t="s">
        <v>226</v>
      </c>
      <c r="G3348" s="18">
        <v>252611</v>
      </c>
      <c r="H3348">
        <v>0</v>
      </c>
      <c r="I3348" s="29">
        <f t="shared" si="52"/>
        <v>252611</v>
      </c>
      <c r="J3348" t="str">
        <f>IFERROR(VLOOKUP(E3348,'LEAID Match'!$A$2:$B$168,2,FALSE),"")</f>
        <v/>
      </c>
    </row>
    <row r="3349" spans="1:10">
      <c r="A3349">
        <v>2023</v>
      </c>
      <c r="B3349" t="s">
        <v>1429</v>
      </c>
      <c r="C3349" t="s">
        <v>1431</v>
      </c>
      <c r="D3349" t="s">
        <v>1433</v>
      </c>
      <c r="E3349" t="s">
        <v>226</v>
      </c>
      <c r="F3349" t="s">
        <v>226</v>
      </c>
      <c r="G3349" s="28">
        <v>284261</v>
      </c>
      <c r="H3349">
        <v>0</v>
      </c>
      <c r="I3349" s="29">
        <f t="shared" si="52"/>
        <v>284261</v>
      </c>
      <c r="J3349" t="str">
        <f>IFERROR(VLOOKUP(E3349,'LEAID Match'!$A$2:$B$168,2,FALSE),"")</f>
        <v/>
      </c>
    </row>
    <row r="3350" spans="1:10">
      <c r="A3350" s="27">
        <v>2020</v>
      </c>
      <c r="B3350" t="s">
        <v>1429</v>
      </c>
      <c r="C3350" t="s">
        <v>1431</v>
      </c>
      <c r="D3350" t="s">
        <v>1433</v>
      </c>
      <c r="E3350" t="s">
        <v>227</v>
      </c>
      <c r="F3350" s="9" t="s">
        <v>227</v>
      </c>
      <c r="G3350" s="18">
        <v>587422</v>
      </c>
      <c r="H3350">
        <v>0</v>
      </c>
      <c r="I3350" s="29">
        <f t="shared" si="52"/>
        <v>587422</v>
      </c>
      <c r="J3350" t="str">
        <f>IFERROR(VLOOKUP(E3350,'LEAID Match'!$A$2:$B$168,2,FALSE),"")</f>
        <v/>
      </c>
    </row>
    <row r="3351" spans="1:10">
      <c r="A3351">
        <v>2021</v>
      </c>
      <c r="B3351" t="s">
        <v>1429</v>
      </c>
      <c r="C3351" t="s">
        <v>1431</v>
      </c>
      <c r="D3351" t="s">
        <v>1433</v>
      </c>
      <c r="E3351" t="s">
        <v>227</v>
      </c>
      <c r="F3351" s="9" t="s">
        <v>227</v>
      </c>
      <c r="G3351" s="18">
        <v>600017</v>
      </c>
      <c r="H3351">
        <v>0</v>
      </c>
      <c r="I3351" s="29">
        <f t="shared" si="52"/>
        <v>600017</v>
      </c>
      <c r="J3351" t="str">
        <f>IFERROR(VLOOKUP(E3351,'LEAID Match'!$A$2:$B$168,2,FALSE),"")</f>
        <v/>
      </c>
    </row>
    <row r="3352" spans="1:10">
      <c r="A3352">
        <v>2022</v>
      </c>
      <c r="B3352" t="s">
        <v>1429</v>
      </c>
      <c r="C3352" t="s">
        <v>1431</v>
      </c>
      <c r="D3352" t="s">
        <v>1433</v>
      </c>
      <c r="E3352" t="s">
        <v>227</v>
      </c>
      <c r="F3352" s="9" t="s">
        <v>227</v>
      </c>
      <c r="G3352" s="18">
        <v>733460</v>
      </c>
      <c r="H3352">
        <v>0</v>
      </c>
      <c r="I3352" s="29">
        <f t="shared" si="52"/>
        <v>733460</v>
      </c>
      <c r="J3352" t="str">
        <f>IFERROR(VLOOKUP(E3352,'LEAID Match'!$A$2:$B$168,2,FALSE),"")</f>
        <v/>
      </c>
    </row>
    <row r="3353" spans="1:10">
      <c r="A3353">
        <v>2023</v>
      </c>
      <c r="B3353" t="s">
        <v>1429</v>
      </c>
      <c r="C3353" t="s">
        <v>1431</v>
      </c>
      <c r="D3353" t="s">
        <v>1433</v>
      </c>
      <c r="E3353" t="s">
        <v>227</v>
      </c>
      <c r="F3353" t="s">
        <v>227</v>
      </c>
      <c r="G3353" s="28">
        <v>759648</v>
      </c>
      <c r="H3353">
        <v>0</v>
      </c>
      <c r="I3353" s="29">
        <f t="shared" si="52"/>
        <v>759648</v>
      </c>
      <c r="J3353" t="str">
        <f>IFERROR(VLOOKUP(E3353,'LEAID Match'!$A$2:$B$168,2,FALSE),"")</f>
        <v/>
      </c>
    </row>
    <row r="3354" spans="1:10">
      <c r="A3354" s="27">
        <v>2020</v>
      </c>
      <c r="B3354" t="s">
        <v>1429</v>
      </c>
      <c r="C3354" t="s">
        <v>1431</v>
      </c>
      <c r="D3354" t="s">
        <v>1433</v>
      </c>
      <c r="E3354" t="s">
        <v>228</v>
      </c>
      <c r="F3354" s="9" t="s">
        <v>228</v>
      </c>
      <c r="G3354" s="18">
        <v>54334</v>
      </c>
      <c r="H3354">
        <v>0</v>
      </c>
      <c r="I3354" s="29">
        <f t="shared" si="52"/>
        <v>54334</v>
      </c>
      <c r="J3354" t="str">
        <f>IFERROR(VLOOKUP(E3354,'LEAID Match'!$A$2:$B$168,2,FALSE),"")</f>
        <v/>
      </c>
    </row>
    <row r="3355" spans="1:10">
      <c r="A3355">
        <v>2021</v>
      </c>
      <c r="B3355" t="s">
        <v>1429</v>
      </c>
      <c r="C3355" t="s">
        <v>1431</v>
      </c>
      <c r="D3355" t="s">
        <v>1433</v>
      </c>
      <c r="E3355" t="s">
        <v>228</v>
      </c>
      <c r="F3355" s="9" t="s">
        <v>228</v>
      </c>
      <c r="G3355" s="18">
        <v>59442</v>
      </c>
      <c r="H3355">
        <v>0</v>
      </c>
      <c r="I3355" s="29">
        <f t="shared" si="52"/>
        <v>59442</v>
      </c>
      <c r="J3355" t="str">
        <f>IFERROR(VLOOKUP(E3355,'LEAID Match'!$A$2:$B$168,2,FALSE),"")</f>
        <v/>
      </c>
    </row>
    <row r="3356" spans="1:10">
      <c r="A3356">
        <v>2022</v>
      </c>
      <c r="B3356" t="s">
        <v>1429</v>
      </c>
      <c r="C3356" t="s">
        <v>1431</v>
      </c>
      <c r="D3356" t="s">
        <v>1433</v>
      </c>
      <c r="E3356" t="s">
        <v>228</v>
      </c>
      <c r="F3356" s="9" t="s">
        <v>228</v>
      </c>
      <c r="G3356" s="18">
        <v>83445</v>
      </c>
      <c r="H3356">
        <v>0</v>
      </c>
      <c r="I3356" s="29">
        <f t="shared" si="52"/>
        <v>83445</v>
      </c>
      <c r="J3356" t="str">
        <f>IFERROR(VLOOKUP(E3356,'LEAID Match'!$A$2:$B$168,2,FALSE),"")</f>
        <v/>
      </c>
    </row>
    <row r="3357" spans="1:10">
      <c r="A3357">
        <v>2023</v>
      </c>
      <c r="B3357" t="s">
        <v>1429</v>
      </c>
      <c r="C3357" t="s">
        <v>1431</v>
      </c>
      <c r="D3357" t="s">
        <v>1433</v>
      </c>
      <c r="E3357" t="s">
        <v>228</v>
      </c>
      <c r="F3357" t="s">
        <v>228</v>
      </c>
      <c r="G3357" s="28">
        <v>90960</v>
      </c>
      <c r="H3357">
        <v>0</v>
      </c>
      <c r="I3357" s="29">
        <f t="shared" si="52"/>
        <v>90960</v>
      </c>
      <c r="J3357" t="str">
        <f>IFERROR(VLOOKUP(E3357,'LEAID Match'!$A$2:$B$168,2,FALSE),"")</f>
        <v/>
      </c>
    </row>
    <row r="3358" spans="1:10">
      <c r="A3358" s="27">
        <v>2020</v>
      </c>
      <c r="B3358" t="s">
        <v>1429</v>
      </c>
      <c r="C3358" t="s">
        <v>1431</v>
      </c>
      <c r="D3358" t="s">
        <v>1433</v>
      </c>
      <c r="E3358" t="s">
        <v>229</v>
      </c>
      <c r="F3358" s="9" t="s">
        <v>229</v>
      </c>
      <c r="G3358" s="18">
        <v>169470</v>
      </c>
      <c r="H3358">
        <v>0</v>
      </c>
      <c r="I3358" s="29">
        <f t="shared" si="52"/>
        <v>169470</v>
      </c>
      <c r="J3358" t="str">
        <f>IFERROR(VLOOKUP(E3358,'LEAID Match'!$A$2:$B$168,2,FALSE),"")</f>
        <v/>
      </c>
    </row>
    <row r="3359" spans="1:10">
      <c r="A3359">
        <v>2021</v>
      </c>
      <c r="B3359" t="s">
        <v>1429</v>
      </c>
      <c r="C3359" t="s">
        <v>1431</v>
      </c>
      <c r="D3359" t="s">
        <v>1433</v>
      </c>
      <c r="E3359" t="s">
        <v>229</v>
      </c>
      <c r="F3359" s="9" t="s">
        <v>229</v>
      </c>
      <c r="G3359" s="18">
        <v>174431</v>
      </c>
      <c r="H3359">
        <v>0</v>
      </c>
      <c r="I3359" s="29">
        <f t="shared" si="52"/>
        <v>174431</v>
      </c>
      <c r="J3359" t="str">
        <f>IFERROR(VLOOKUP(E3359,'LEAID Match'!$A$2:$B$168,2,FALSE),"")</f>
        <v/>
      </c>
    </row>
    <row r="3360" spans="1:10">
      <c r="A3360">
        <v>2022</v>
      </c>
      <c r="B3360" t="s">
        <v>1429</v>
      </c>
      <c r="C3360" t="s">
        <v>1431</v>
      </c>
      <c r="D3360" t="s">
        <v>1433</v>
      </c>
      <c r="E3360" t="s">
        <v>229</v>
      </c>
      <c r="F3360" s="9" t="s">
        <v>229</v>
      </c>
      <c r="G3360" s="18">
        <v>226995</v>
      </c>
      <c r="H3360">
        <v>0</v>
      </c>
      <c r="I3360" s="29">
        <f t="shared" si="52"/>
        <v>226995</v>
      </c>
      <c r="J3360" t="str">
        <f>IFERROR(VLOOKUP(E3360,'LEAID Match'!$A$2:$B$168,2,FALSE),"")</f>
        <v/>
      </c>
    </row>
    <row r="3361" spans="1:10">
      <c r="A3361">
        <v>2023</v>
      </c>
      <c r="B3361" t="s">
        <v>1429</v>
      </c>
      <c r="C3361" t="s">
        <v>1431</v>
      </c>
      <c r="D3361" t="s">
        <v>1433</v>
      </c>
      <c r="E3361" t="s">
        <v>229</v>
      </c>
      <c r="F3361" t="s">
        <v>229</v>
      </c>
      <c r="G3361" s="28">
        <v>349313</v>
      </c>
      <c r="H3361">
        <v>0</v>
      </c>
      <c r="I3361" s="29">
        <f t="shared" si="52"/>
        <v>349313</v>
      </c>
      <c r="J3361" t="str">
        <f>IFERROR(VLOOKUP(E3361,'LEAID Match'!$A$2:$B$168,2,FALSE),"")</f>
        <v/>
      </c>
    </row>
    <row r="3362" spans="1:10">
      <c r="A3362" s="27">
        <v>2020</v>
      </c>
      <c r="B3362" t="s">
        <v>1429</v>
      </c>
      <c r="C3362" t="s">
        <v>1431</v>
      </c>
      <c r="D3362" t="s">
        <v>1433</v>
      </c>
      <c r="E3362" t="s">
        <v>230</v>
      </c>
      <c r="F3362" s="9" t="s">
        <v>230</v>
      </c>
      <c r="G3362" s="18">
        <v>403285</v>
      </c>
      <c r="H3362">
        <v>0</v>
      </c>
      <c r="I3362" s="29">
        <f t="shared" si="52"/>
        <v>403285</v>
      </c>
      <c r="J3362" t="str">
        <f>IFERROR(VLOOKUP(E3362,'LEAID Match'!$A$2:$B$168,2,FALSE),"")</f>
        <v/>
      </c>
    </row>
    <row r="3363" spans="1:10">
      <c r="A3363">
        <v>2021</v>
      </c>
      <c r="B3363" t="s">
        <v>1429</v>
      </c>
      <c r="C3363" t="s">
        <v>1431</v>
      </c>
      <c r="D3363" t="s">
        <v>1433</v>
      </c>
      <c r="E3363" t="s">
        <v>230</v>
      </c>
      <c r="F3363" s="9" t="s">
        <v>230</v>
      </c>
      <c r="G3363" s="18">
        <v>416579</v>
      </c>
      <c r="H3363">
        <v>0</v>
      </c>
      <c r="I3363" s="29">
        <f t="shared" si="52"/>
        <v>416579</v>
      </c>
      <c r="J3363" t="str">
        <f>IFERROR(VLOOKUP(E3363,'LEAID Match'!$A$2:$B$168,2,FALSE),"")</f>
        <v/>
      </c>
    </row>
    <row r="3364" spans="1:10">
      <c r="A3364">
        <v>2022</v>
      </c>
      <c r="B3364" t="s">
        <v>1429</v>
      </c>
      <c r="C3364" t="s">
        <v>1431</v>
      </c>
      <c r="D3364" t="s">
        <v>1433</v>
      </c>
      <c r="E3364" t="s">
        <v>230</v>
      </c>
      <c r="F3364" s="9" t="s">
        <v>230</v>
      </c>
      <c r="G3364" s="18">
        <v>539050</v>
      </c>
      <c r="H3364">
        <v>0</v>
      </c>
      <c r="I3364" s="29">
        <f t="shared" si="52"/>
        <v>539050</v>
      </c>
      <c r="J3364" t="str">
        <f>IFERROR(VLOOKUP(E3364,'LEAID Match'!$A$2:$B$168,2,FALSE),"")</f>
        <v/>
      </c>
    </row>
    <row r="3365" spans="1:10">
      <c r="A3365">
        <v>2023</v>
      </c>
      <c r="B3365" t="s">
        <v>1429</v>
      </c>
      <c r="C3365" t="s">
        <v>1431</v>
      </c>
      <c r="D3365" t="s">
        <v>1433</v>
      </c>
      <c r="E3365" t="s">
        <v>230</v>
      </c>
      <c r="F3365" t="s">
        <v>230</v>
      </c>
      <c r="G3365" s="28">
        <v>587005</v>
      </c>
      <c r="H3365">
        <v>0</v>
      </c>
      <c r="I3365" s="29">
        <f t="shared" si="52"/>
        <v>587005</v>
      </c>
      <c r="J3365" t="str">
        <f>IFERROR(VLOOKUP(E3365,'LEAID Match'!$A$2:$B$168,2,FALSE),"")</f>
        <v/>
      </c>
    </row>
    <row r="3366" spans="1:10">
      <c r="A3366" s="27">
        <v>2020</v>
      </c>
      <c r="B3366" t="s">
        <v>1429</v>
      </c>
      <c r="C3366" t="s">
        <v>1431</v>
      </c>
      <c r="D3366" t="s">
        <v>1433</v>
      </c>
      <c r="E3366" t="s">
        <v>231</v>
      </c>
      <c r="F3366" s="9" t="s">
        <v>231</v>
      </c>
      <c r="G3366" s="18">
        <v>264418</v>
      </c>
      <c r="H3366">
        <v>0</v>
      </c>
      <c r="I3366" s="29">
        <f t="shared" si="52"/>
        <v>264418</v>
      </c>
      <c r="J3366" t="str">
        <f>IFERROR(VLOOKUP(E3366,'LEAID Match'!$A$2:$B$168,2,FALSE),"")</f>
        <v/>
      </c>
    </row>
    <row r="3367" spans="1:10">
      <c r="A3367">
        <v>2021</v>
      </c>
      <c r="B3367" t="s">
        <v>1429</v>
      </c>
      <c r="C3367" t="s">
        <v>1431</v>
      </c>
      <c r="D3367" t="s">
        <v>1433</v>
      </c>
      <c r="E3367" t="s">
        <v>231</v>
      </c>
      <c r="F3367" s="9" t="s">
        <v>231</v>
      </c>
      <c r="G3367" s="18">
        <v>275844</v>
      </c>
      <c r="H3367">
        <v>0</v>
      </c>
      <c r="I3367" s="29">
        <f t="shared" si="52"/>
        <v>275844</v>
      </c>
      <c r="J3367" t="str">
        <f>IFERROR(VLOOKUP(E3367,'LEAID Match'!$A$2:$B$168,2,FALSE),"")</f>
        <v/>
      </c>
    </row>
    <row r="3368" spans="1:10">
      <c r="A3368">
        <v>2022</v>
      </c>
      <c r="B3368" t="s">
        <v>1429</v>
      </c>
      <c r="C3368" t="s">
        <v>1431</v>
      </c>
      <c r="D3368" t="s">
        <v>1433</v>
      </c>
      <c r="E3368" t="s">
        <v>231</v>
      </c>
      <c r="F3368" s="9" t="s">
        <v>231</v>
      </c>
      <c r="G3368" s="18">
        <v>347069</v>
      </c>
      <c r="H3368">
        <v>0</v>
      </c>
      <c r="I3368" s="29">
        <f t="shared" si="52"/>
        <v>347069</v>
      </c>
      <c r="J3368" t="str">
        <f>IFERROR(VLOOKUP(E3368,'LEAID Match'!$A$2:$B$168,2,FALSE),"")</f>
        <v/>
      </c>
    </row>
    <row r="3369" spans="1:10">
      <c r="A3369">
        <v>2023</v>
      </c>
      <c r="B3369" t="s">
        <v>1429</v>
      </c>
      <c r="C3369" t="s">
        <v>1431</v>
      </c>
      <c r="D3369" t="s">
        <v>1433</v>
      </c>
      <c r="E3369" t="s">
        <v>231</v>
      </c>
      <c r="F3369" t="s">
        <v>231</v>
      </c>
      <c r="G3369" s="28">
        <v>368522</v>
      </c>
      <c r="H3369">
        <v>0</v>
      </c>
      <c r="I3369" s="29">
        <f t="shared" si="52"/>
        <v>368522</v>
      </c>
      <c r="J3369" t="str">
        <f>IFERROR(VLOOKUP(E3369,'LEAID Match'!$A$2:$B$168,2,FALSE),"")</f>
        <v/>
      </c>
    </row>
    <row r="3370" spans="1:10">
      <c r="A3370" s="27">
        <v>2020</v>
      </c>
      <c r="B3370" t="s">
        <v>1429</v>
      </c>
      <c r="C3370" t="s">
        <v>1431</v>
      </c>
      <c r="D3370" t="s">
        <v>1433</v>
      </c>
      <c r="E3370" t="s">
        <v>232</v>
      </c>
      <c r="F3370" s="9" t="s">
        <v>232</v>
      </c>
      <c r="G3370" s="18">
        <v>233090</v>
      </c>
      <c r="H3370">
        <v>0</v>
      </c>
      <c r="I3370" s="29">
        <f t="shared" si="52"/>
        <v>233090</v>
      </c>
      <c r="J3370" t="str">
        <f>IFERROR(VLOOKUP(E3370,'LEAID Match'!$A$2:$B$168,2,FALSE),"")</f>
        <v/>
      </c>
    </row>
    <row r="3371" spans="1:10">
      <c r="A3371">
        <v>2021</v>
      </c>
      <c r="B3371" t="s">
        <v>1429</v>
      </c>
      <c r="C3371" t="s">
        <v>1431</v>
      </c>
      <c r="D3371" t="s">
        <v>1433</v>
      </c>
      <c r="E3371" t="s">
        <v>232</v>
      </c>
      <c r="F3371" s="9" t="s">
        <v>232</v>
      </c>
      <c r="G3371" s="18">
        <v>231078</v>
      </c>
      <c r="H3371">
        <v>0</v>
      </c>
      <c r="I3371" s="29">
        <f t="shared" si="52"/>
        <v>231078</v>
      </c>
      <c r="J3371" t="str">
        <f>IFERROR(VLOOKUP(E3371,'LEAID Match'!$A$2:$B$168,2,FALSE),"")</f>
        <v/>
      </c>
    </row>
    <row r="3372" spans="1:10">
      <c r="A3372">
        <v>2022</v>
      </c>
      <c r="B3372" t="s">
        <v>1429</v>
      </c>
      <c r="C3372" t="s">
        <v>1431</v>
      </c>
      <c r="D3372" t="s">
        <v>1433</v>
      </c>
      <c r="E3372" t="s">
        <v>232</v>
      </c>
      <c r="F3372" s="9" t="s">
        <v>232</v>
      </c>
      <c r="G3372" s="18">
        <v>315428</v>
      </c>
      <c r="H3372">
        <v>0</v>
      </c>
      <c r="I3372" s="29">
        <f t="shared" si="52"/>
        <v>315428</v>
      </c>
      <c r="J3372" t="str">
        <f>IFERROR(VLOOKUP(E3372,'LEAID Match'!$A$2:$B$168,2,FALSE),"")</f>
        <v/>
      </c>
    </row>
    <row r="3373" spans="1:10">
      <c r="A3373">
        <v>2023</v>
      </c>
      <c r="B3373" t="s">
        <v>1429</v>
      </c>
      <c r="C3373" t="s">
        <v>1431</v>
      </c>
      <c r="D3373" t="s">
        <v>1433</v>
      </c>
      <c r="E3373" t="s">
        <v>232</v>
      </c>
      <c r="F3373" t="s">
        <v>232</v>
      </c>
      <c r="G3373" s="28">
        <v>361295</v>
      </c>
      <c r="H3373">
        <v>0</v>
      </c>
      <c r="I3373" s="29">
        <f t="shared" si="52"/>
        <v>361295</v>
      </c>
      <c r="J3373" t="str">
        <f>IFERROR(VLOOKUP(E3373,'LEAID Match'!$A$2:$B$168,2,FALSE),"")</f>
        <v/>
      </c>
    </row>
    <row r="3374" spans="1:10">
      <c r="A3374" s="27">
        <v>2020</v>
      </c>
      <c r="B3374" t="s">
        <v>1429</v>
      </c>
      <c r="C3374" t="s">
        <v>1431</v>
      </c>
      <c r="D3374" t="s">
        <v>1433</v>
      </c>
      <c r="E3374" t="s">
        <v>233</v>
      </c>
      <c r="F3374" s="9" t="s">
        <v>233</v>
      </c>
      <c r="G3374" s="18">
        <v>192328</v>
      </c>
      <c r="H3374">
        <v>0</v>
      </c>
      <c r="I3374" s="29">
        <f t="shared" si="52"/>
        <v>192328</v>
      </c>
      <c r="J3374" t="str">
        <f>IFERROR(VLOOKUP(E3374,'LEAID Match'!$A$2:$B$168,2,FALSE),"")</f>
        <v/>
      </c>
    </row>
    <row r="3375" spans="1:10">
      <c r="A3375">
        <v>2021</v>
      </c>
      <c r="B3375" t="s">
        <v>1429</v>
      </c>
      <c r="C3375" t="s">
        <v>1431</v>
      </c>
      <c r="D3375" t="s">
        <v>1433</v>
      </c>
      <c r="E3375" t="s">
        <v>233</v>
      </c>
      <c r="F3375" s="9" t="s">
        <v>233</v>
      </c>
      <c r="G3375" s="18">
        <v>180540</v>
      </c>
      <c r="H3375">
        <v>0</v>
      </c>
      <c r="I3375" s="29">
        <f t="shared" si="52"/>
        <v>180540</v>
      </c>
      <c r="J3375" t="str">
        <f>IFERROR(VLOOKUP(E3375,'LEAID Match'!$A$2:$B$168,2,FALSE),"")</f>
        <v/>
      </c>
    </row>
    <row r="3376" spans="1:10">
      <c r="A3376">
        <v>2022</v>
      </c>
      <c r="B3376" t="s">
        <v>1429</v>
      </c>
      <c r="C3376" t="s">
        <v>1431</v>
      </c>
      <c r="D3376" t="s">
        <v>1433</v>
      </c>
      <c r="E3376" t="s">
        <v>233</v>
      </c>
      <c r="F3376" s="9" t="s">
        <v>233</v>
      </c>
      <c r="G3376" s="18">
        <v>235302</v>
      </c>
      <c r="H3376">
        <v>0</v>
      </c>
      <c r="I3376" s="29">
        <f t="shared" si="52"/>
        <v>235302</v>
      </c>
      <c r="J3376" t="str">
        <f>IFERROR(VLOOKUP(E3376,'LEAID Match'!$A$2:$B$168,2,FALSE),"")</f>
        <v/>
      </c>
    </row>
    <row r="3377" spans="1:10">
      <c r="A3377">
        <v>2023</v>
      </c>
      <c r="B3377" t="s">
        <v>1429</v>
      </c>
      <c r="C3377" t="s">
        <v>1431</v>
      </c>
      <c r="D3377" t="s">
        <v>1433</v>
      </c>
      <c r="E3377" t="s">
        <v>233</v>
      </c>
      <c r="F3377" t="s">
        <v>233</v>
      </c>
      <c r="G3377" s="28">
        <v>291072</v>
      </c>
      <c r="H3377">
        <v>0</v>
      </c>
      <c r="I3377" s="29">
        <f t="shared" si="52"/>
        <v>291072</v>
      </c>
      <c r="J3377" t="str">
        <f>IFERROR(VLOOKUP(E3377,'LEAID Match'!$A$2:$B$168,2,FALSE),"")</f>
        <v/>
      </c>
    </row>
    <row r="3378" spans="1:10">
      <c r="A3378" s="27">
        <v>2020</v>
      </c>
      <c r="B3378" t="s">
        <v>1429</v>
      </c>
      <c r="C3378" t="s">
        <v>1431</v>
      </c>
      <c r="D3378" t="s">
        <v>1433</v>
      </c>
      <c r="E3378" t="s">
        <v>234</v>
      </c>
      <c r="F3378" s="9" t="s">
        <v>234</v>
      </c>
      <c r="G3378" s="18">
        <v>92896</v>
      </c>
      <c r="H3378">
        <v>0</v>
      </c>
      <c r="I3378" s="29">
        <f t="shared" si="52"/>
        <v>92896</v>
      </c>
      <c r="J3378" t="str">
        <f>IFERROR(VLOOKUP(E3378,'LEAID Match'!$A$2:$B$168,2,FALSE),"")</f>
        <v/>
      </c>
    </row>
    <row r="3379" spans="1:10">
      <c r="A3379">
        <v>2021</v>
      </c>
      <c r="B3379" t="s">
        <v>1429</v>
      </c>
      <c r="C3379" t="s">
        <v>1431</v>
      </c>
      <c r="D3379" t="s">
        <v>1433</v>
      </c>
      <c r="E3379" t="s">
        <v>234</v>
      </c>
      <c r="F3379" s="9" t="s">
        <v>234</v>
      </c>
      <c r="G3379" s="18">
        <v>106318</v>
      </c>
      <c r="H3379">
        <v>0</v>
      </c>
      <c r="I3379" s="29">
        <f t="shared" si="52"/>
        <v>106318</v>
      </c>
      <c r="J3379" t="str">
        <f>IFERROR(VLOOKUP(E3379,'LEAID Match'!$A$2:$B$168,2,FALSE),"")</f>
        <v/>
      </c>
    </row>
    <row r="3380" spans="1:10">
      <c r="A3380">
        <v>2022</v>
      </c>
      <c r="B3380" t="s">
        <v>1429</v>
      </c>
      <c r="C3380" t="s">
        <v>1431</v>
      </c>
      <c r="D3380" t="s">
        <v>1433</v>
      </c>
      <c r="E3380" t="s">
        <v>234</v>
      </c>
      <c r="F3380" s="9" t="s">
        <v>234</v>
      </c>
      <c r="G3380" s="18">
        <v>147281</v>
      </c>
      <c r="H3380">
        <v>0</v>
      </c>
      <c r="I3380" s="29">
        <f t="shared" si="52"/>
        <v>147281</v>
      </c>
      <c r="J3380" t="str">
        <f>IFERROR(VLOOKUP(E3380,'LEAID Match'!$A$2:$B$168,2,FALSE),"")</f>
        <v/>
      </c>
    </row>
    <row r="3381" spans="1:10">
      <c r="A3381">
        <v>2023</v>
      </c>
      <c r="B3381" t="s">
        <v>1429</v>
      </c>
      <c r="C3381" t="s">
        <v>1431</v>
      </c>
      <c r="D3381" t="s">
        <v>1433</v>
      </c>
      <c r="E3381" t="s">
        <v>234</v>
      </c>
      <c r="F3381" t="s">
        <v>234</v>
      </c>
      <c r="G3381" s="28">
        <v>134385</v>
      </c>
      <c r="H3381">
        <v>0</v>
      </c>
      <c r="I3381" s="29">
        <f t="shared" si="52"/>
        <v>134385</v>
      </c>
      <c r="J3381" t="str">
        <f>IFERROR(VLOOKUP(E3381,'LEAID Match'!$A$2:$B$168,2,FALSE),"")</f>
        <v/>
      </c>
    </row>
    <row r="3382" spans="1:10">
      <c r="A3382" s="27">
        <v>2020</v>
      </c>
      <c r="B3382" t="s">
        <v>1429</v>
      </c>
      <c r="C3382" t="s">
        <v>1431</v>
      </c>
      <c r="D3382" t="s">
        <v>1433</v>
      </c>
      <c r="E3382" t="s">
        <v>235</v>
      </c>
      <c r="F3382" s="9" t="s">
        <v>235</v>
      </c>
      <c r="G3382" s="18">
        <v>63552</v>
      </c>
      <c r="H3382">
        <v>0</v>
      </c>
      <c r="I3382" s="29">
        <f t="shared" si="52"/>
        <v>63552</v>
      </c>
      <c r="J3382" t="str">
        <f>IFERROR(VLOOKUP(E3382,'LEAID Match'!$A$2:$B$168,2,FALSE),"")</f>
        <v/>
      </c>
    </row>
    <row r="3383" spans="1:10">
      <c r="A3383">
        <v>2021</v>
      </c>
      <c r="B3383" t="s">
        <v>1429</v>
      </c>
      <c r="C3383" t="s">
        <v>1431</v>
      </c>
      <c r="D3383" t="s">
        <v>1433</v>
      </c>
      <c r="E3383" t="s">
        <v>235</v>
      </c>
      <c r="F3383" s="9" t="s">
        <v>235</v>
      </c>
      <c r="G3383" s="18">
        <v>57293</v>
      </c>
      <c r="H3383">
        <v>0</v>
      </c>
      <c r="I3383" s="29">
        <f t="shared" si="52"/>
        <v>57293</v>
      </c>
      <c r="J3383" t="str">
        <f>IFERROR(VLOOKUP(E3383,'LEAID Match'!$A$2:$B$168,2,FALSE),"")</f>
        <v/>
      </c>
    </row>
    <row r="3384" spans="1:10">
      <c r="A3384">
        <v>2022</v>
      </c>
      <c r="B3384" t="s">
        <v>1429</v>
      </c>
      <c r="C3384" t="s">
        <v>1431</v>
      </c>
      <c r="D3384" t="s">
        <v>1433</v>
      </c>
      <c r="E3384" t="s">
        <v>235</v>
      </c>
      <c r="F3384" s="9" t="s">
        <v>235</v>
      </c>
      <c r="G3384" s="18">
        <v>85464</v>
      </c>
      <c r="H3384">
        <v>0</v>
      </c>
      <c r="I3384" s="29">
        <f t="shared" si="52"/>
        <v>85464</v>
      </c>
      <c r="J3384" t="str">
        <f>IFERROR(VLOOKUP(E3384,'LEAID Match'!$A$2:$B$168,2,FALSE),"")</f>
        <v/>
      </c>
    </row>
    <row r="3385" spans="1:10">
      <c r="A3385">
        <v>2023</v>
      </c>
      <c r="B3385" t="s">
        <v>1429</v>
      </c>
      <c r="C3385" t="s">
        <v>1431</v>
      </c>
      <c r="D3385" t="s">
        <v>1433</v>
      </c>
      <c r="E3385" t="s">
        <v>235</v>
      </c>
      <c r="F3385" t="s">
        <v>235</v>
      </c>
      <c r="G3385" s="28">
        <v>100068</v>
      </c>
      <c r="H3385">
        <v>0</v>
      </c>
      <c r="I3385" s="29">
        <f t="shared" si="52"/>
        <v>100068</v>
      </c>
      <c r="J3385" t="str">
        <f>IFERROR(VLOOKUP(E3385,'LEAID Match'!$A$2:$B$168,2,FALSE),"")</f>
        <v/>
      </c>
    </row>
    <row r="3386" spans="1:10">
      <c r="A3386" s="27">
        <v>2020</v>
      </c>
      <c r="B3386" t="s">
        <v>1429</v>
      </c>
      <c r="C3386" t="s">
        <v>1431</v>
      </c>
      <c r="D3386" t="s">
        <v>1433</v>
      </c>
      <c r="E3386" t="s">
        <v>236</v>
      </c>
      <c r="F3386" s="9" t="s">
        <v>236</v>
      </c>
      <c r="G3386" s="18">
        <v>119021</v>
      </c>
      <c r="H3386">
        <v>0</v>
      </c>
      <c r="I3386" s="29">
        <f t="shared" si="52"/>
        <v>119021</v>
      </c>
      <c r="J3386" t="str">
        <f>IFERROR(VLOOKUP(E3386,'LEAID Match'!$A$2:$B$168,2,FALSE),"")</f>
        <v/>
      </c>
    </row>
    <row r="3387" spans="1:10">
      <c r="A3387">
        <v>2021</v>
      </c>
      <c r="B3387" t="s">
        <v>1429</v>
      </c>
      <c r="C3387" t="s">
        <v>1431</v>
      </c>
      <c r="D3387" t="s">
        <v>1433</v>
      </c>
      <c r="E3387" t="s">
        <v>236</v>
      </c>
      <c r="F3387" s="9" t="s">
        <v>236</v>
      </c>
      <c r="G3387" s="18">
        <v>115855</v>
      </c>
      <c r="H3387">
        <v>0</v>
      </c>
      <c r="I3387" s="29">
        <f t="shared" si="52"/>
        <v>115855</v>
      </c>
      <c r="J3387" t="str">
        <f>IFERROR(VLOOKUP(E3387,'LEAID Match'!$A$2:$B$168,2,FALSE),"")</f>
        <v/>
      </c>
    </row>
    <row r="3388" spans="1:10">
      <c r="A3388">
        <v>2022</v>
      </c>
      <c r="B3388" t="s">
        <v>1429</v>
      </c>
      <c r="C3388" t="s">
        <v>1431</v>
      </c>
      <c r="D3388" t="s">
        <v>1433</v>
      </c>
      <c r="E3388" t="s">
        <v>236</v>
      </c>
      <c r="F3388" s="9" t="s">
        <v>236</v>
      </c>
      <c r="G3388" s="18">
        <v>141040</v>
      </c>
      <c r="H3388">
        <v>0</v>
      </c>
      <c r="I3388" s="29">
        <f t="shared" si="52"/>
        <v>141040</v>
      </c>
      <c r="J3388" t="str">
        <f>IFERROR(VLOOKUP(E3388,'LEAID Match'!$A$2:$B$168,2,FALSE),"")</f>
        <v/>
      </c>
    </row>
    <row r="3389" spans="1:10">
      <c r="A3389">
        <v>2023</v>
      </c>
      <c r="B3389" t="s">
        <v>1429</v>
      </c>
      <c r="C3389" t="s">
        <v>1431</v>
      </c>
      <c r="D3389" t="s">
        <v>1433</v>
      </c>
      <c r="E3389" t="s">
        <v>236</v>
      </c>
      <c r="F3389" t="s">
        <v>236</v>
      </c>
      <c r="G3389" s="28">
        <v>151717</v>
      </c>
      <c r="H3389">
        <v>0</v>
      </c>
      <c r="I3389" s="29">
        <f t="shared" si="52"/>
        <v>151717</v>
      </c>
      <c r="J3389" t="str">
        <f>IFERROR(VLOOKUP(E3389,'LEAID Match'!$A$2:$B$168,2,FALSE),"")</f>
        <v/>
      </c>
    </row>
    <row r="3390" spans="1:10">
      <c r="A3390" s="27">
        <v>2020</v>
      </c>
      <c r="B3390" t="s">
        <v>1429</v>
      </c>
      <c r="C3390" t="s">
        <v>1431</v>
      </c>
      <c r="D3390" t="s">
        <v>1433</v>
      </c>
      <c r="E3390" t="s">
        <v>237</v>
      </c>
      <c r="F3390" s="9" t="s">
        <v>237</v>
      </c>
      <c r="G3390" s="18">
        <v>61382</v>
      </c>
      <c r="H3390">
        <v>0</v>
      </c>
      <c r="I3390" s="29">
        <f t="shared" si="52"/>
        <v>61382</v>
      </c>
      <c r="J3390" t="str">
        <f>IFERROR(VLOOKUP(E3390,'LEAID Match'!$A$2:$B$168,2,FALSE),"")</f>
        <v/>
      </c>
    </row>
    <row r="3391" spans="1:10">
      <c r="A3391">
        <v>2021</v>
      </c>
      <c r="B3391" t="s">
        <v>1429</v>
      </c>
      <c r="C3391" t="s">
        <v>1431</v>
      </c>
      <c r="D3391" t="s">
        <v>1433</v>
      </c>
      <c r="E3391" t="s">
        <v>237</v>
      </c>
      <c r="F3391" s="9" t="s">
        <v>237</v>
      </c>
      <c r="G3391" s="18">
        <v>84562</v>
      </c>
      <c r="H3391">
        <v>0</v>
      </c>
      <c r="I3391" s="29">
        <f t="shared" si="52"/>
        <v>84562</v>
      </c>
      <c r="J3391" t="str">
        <f>IFERROR(VLOOKUP(E3391,'LEAID Match'!$A$2:$B$168,2,FALSE),"")</f>
        <v/>
      </c>
    </row>
    <row r="3392" spans="1:10">
      <c r="A3392">
        <v>2022</v>
      </c>
      <c r="B3392" t="s">
        <v>1429</v>
      </c>
      <c r="C3392" t="s">
        <v>1431</v>
      </c>
      <c r="D3392" t="s">
        <v>1433</v>
      </c>
      <c r="E3392" t="s">
        <v>237</v>
      </c>
      <c r="F3392" s="9" t="s">
        <v>237</v>
      </c>
      <c r="G3392" s="18">
        <v>121102</v>
      </c>
      <c r="H3392">
        <v>0</v>
      </c>
      <c r="I3392" s="29">
        <f t="shared" si="52"/>
        <v>121102</v>
      </c>
      <c r="J3392" t="str">
        <f>IFERROR(VLOOKUP(E3392,'LEAID Match'!$A$2:$B$168,2,FALSE),"")</f>
        <v/>
      </c>
    </row>
    <row r="3393" spans="1:10">
      <c r="A3393">
        <v>2023</v>
      </c>
      <c r="B3393" t="s">
        <v>1429</v>
      </c>
      <c r="C3393" t="s">
        <v>1431</v>
      </c>
      <c r="D3393" t="s">
        <v>1433</v>
      </c>
      <c r="E3393" t="s">
        <v>237</v>
      </c>
      <c r="F3393" t="s">
        <v>237</v>
      </c>
      <c r="G3393" s="28">
        <v>127833</v>
      </c>
      <c r="H3393">
        <v>0</v>
      </c>
      <c r="I3393" s="29">
        <f t="shared" si="52"/>
        <v>127833</v>
      </c>
      <c r="J3393" t="str">
        <f>IFERROR(VLOOKUP(E3393,'LEAID Match'!$A$2:$B$168,2,FALSE),"")</f>
        <v/>
      </c>
    </row>
    <row r="3394" spans="1:10">
      <c r="A3394" s="27">
        <v>2020</v>
      </c>
      <c r="B3394" t="s">
        <v>1429</v>
      </c>
      <c r="C3394" t="s">
        <v>1431</v>
      </c>
      <c r="D3394" t="s">
        <v>1433</v>
      </c>
      <c r="E3394" t="s">
        <v>238</v>
      </c>
      <c r="F3394" s="9" t="s">
        <v>238</v>
      </c>
      <c r="G3394" s="18">
        <v>199867</v>
      </c>
      <c r="H3394">
        <v>0</v>
      </c>
      <c r="I3394" s="29">
        <f t="shared" si="52"/>
        <v>199867</v>
      </c>
      <c r="J3394" t="str">
        <f>IFERROR(VLOOKUP(E3394,'LEAID Match'!$A$2:$B$168,2,FALSE),"")</f>
        <v/>
      </c>
    </row>
    <row r="3395" spans="1:10">
      <c r="A3395">
        <v>2021</v>
      </c>
      <c r="B3395" t="s">
        <v>1429</v>
      </c>
      <c r="C3395" t="s">
        <v>1431</v>
      </c>
      <c r="D3395" t="s">
        <v>1433</v>
      </c>
      <c r="E3395" t="s">
        <v>238</v>
      </c>
      <c r="F3395" s="9" t="s">
        <v>238</v>
      </c>
      <c r="G3395" s="18">
        <v>210068</v>
      </c>
      <c r="H3395">
        <v>0</v>
      </c>
      <c r="I3395" s="29">
        <f t="shared" ref="I3395:I3458" si="53">SUM(G3395:H3395)</f>
        <v>210068</v>
      </c>
      <c r="J3395" t="str">
        <f>IFERROR(VLOOKUP(E3395,'LEAID Match'!$A$2:$B$168,2,FALSE),"")</f>
        <v/>
      </c>
    </row>
    <row r="3396" spans="1:10">
      <c r="A3396">
        <v>2022</v>
      </c>
      <c r="B3396" t="s">
        <v>1429</v>
      </c>
      <c r="C3396" t="s">
        <v>1431</v>
      </c>
      <c r="D3396" t="s">
        <v>1433</v>
      </c>
      <c r="E3396" t="s">
        <v>238</v>
      </c>
      <c r="F3396" s="9" t="s">
        <v>238</v>
      </c>
      <c r="G3396" s="18">
        <v>267307</v>
      </c>
      <c r="H3396">
        <v>0</v>
      </c>
      <c r="I3396" s="29">
        <f t="shared" si="53"/>
        <v>267307</v>
      </c>
      <c r="J3396" t="str">
        <f>IFERROR(VLOOKUP(E3396,'LEAID Match'!$A$2:$B$168,2,FALSE),"")</f>
        <v/>
      </c>
    </row>
    <row r="3397" spans="1:10">
      <c r="A3397">
        <v>2023</v>
      </c>
      <c r="B3397" t="s">
        <v>1429</v>
      </c>
      <c r="C3397" t="s">
        <v>1431</v>
      </c>
      <c r="D3397" t="s">
        <v>1433</v>
      </c>
      <c r="E3397" t="s">
        <v>238</v>
      </c>
      <c r="F3397" t="s">
        <v>238</v>
      </c>
      <c r="G3397" s="28">
        <v>272309</v>
      </c>
      <c r="H3397">
        <v>0</v>
      </c>
      <c r="I3397" s="29">
        <f t="shared" si="53"/>
        <v>272309</v>
      </c>
      <c r="J3397" t="str">
        <f>IFERROR(VLOOKUP(E3397,'LEAID Match'!$A$2:$B$168,2,FALSE),"")</f>
        <v/>
      </c>
    </row>
    <row r="3398" spans="1:10">
      <c r="A3398" s="27">
        <v>2020</v>
      </c>
      <c r="B3398" t="s">
        <v>1429</v>
      </c>
      <c r="C3398" t="s">
        <v>1431</v>
      </c>
      <c r="D3398" t="s">
        <v>1433</v>
      </c>
      <c r="E3398" t="s">
        <v>239</v>
      </c>
      <c r="F3398" s="9" t="s">
        <v>239</v>
      </c>
      <c r="G3398" s="18">
        <v>222425</v>
      </c>
      <c r="H3398">
        <v>0</v>
      </c>
      <c r="I3398" s="29">
        <f t="shared" si="53"/>
        <v>222425</v>
      </c>
      <c r="J3398" t="str">
        <f>IFERROR(VLOOKUP(E3398,'LEAID Match'!$A$2:$B$168,2,FALSE),"")</f>
        <v/>
      </c>
    </row>
    <row r="3399" spans="1:10">
      <c r="A3399">
        <v>2021</v>
      </c>
      <c r="B3399" t="s">
        <v>1429</v>
      </c>
      <c r="C3399" t="s">
        <v>1431</v>
      </c>
      <c r="D3399" t="s">
        <v>1433</v>
      </c>
      <c r="E3399" t="s">
        <v>239</v>
      </c>
      <c r="F3399" s="9" t="s">
        <v>239</v>
      </c>
      <c r="G3399" s="18">
        <v>276581</v>
      </c>
      <c r="H3399">
        <v>0</v>
      </c>
      <c r="I3399" s="29">
        <f t="shared" si="53"/>
        <v>276581</v>
      </c>
      <c r="J3399" t="str">
        <f>IFERROR(VLOOKUP(E3399,'LEAID Match'!$A$2:$B$168,2,FALSE),"")</f>
        <v/>
      </c>
    </row>
    <row r="3400" spans="1:10">
      <c r="A3400">
        <v>2022</v>
      </c>
      <c r="B3400" t="s">
        <v>1429</v>
      </c>
      <c r="C3400" t="s">
        <v>1431</v>
      </c>
      <c r="D3400" t="s">
        <v>1433</v>
      </c>
      <c r="E3400" t="s">
        <v>239</v>
      </c>
      <c r="F3400" s="9" t="s">
        <v>239</v>
      </c>
      <c r="G3400" s="18">
        <v>373428</v>
      </c>
      <c r="H3400">
        <v>0</v>
      </c>
      <c r="I3400" s="29">
        <f t="shared" si="53"/>
        <v>373428</v>
      </c>
      <c r="J3400" t="str">
        <f>IFERROR(VLOOKUP(E3400,'LEAID Match'!$A$2:$B$168,2,FALSE),"")</f>
        <v/>
      </c>
    </row>
    <row r="3401" spans="1:10">
      <c r="A3401">
        <v>2023</v>
      </c>
      <c r="B3401" t="s">
        <v>1429</v>
      </c>
      <c r="C3401" t="s">
        <v>1431</v>
      </c>
      <c r="D3401" t="s">
        <v>1433</v>
      </c>
      <c r="E3401" t="s">
        <v>239</v>
      </c>
      <c r="F3401" t="s">
        <v>239</v>
      </c>
      <c r="G3401" s="28">
        <v>378220</v>
      </c>
      <c r="H3401">
        <v>0</v>
      </c>
      <c r="I3401" s="29">
        <f t="shared" si="53"/>
        <v>378220</v>
      </c>
      <c r="J3401" t="str">
        <f>IFERROR(VLOOKUP(E3401,'LEAID Match'!$A$2:$B$168,2,FALSE),"")</f>
        <v/>
      </c>
    </row>
    <row r="3402" spans="1:10">
      <c r="A3402" s="27">
        <v>2020</v>
      </c>
      <c r="B3402" t="s">
        <v>1429</v>
      </c>
      <c r="C3402" t="s">
        <v>1431</v>
      </c>
      <c r="D3402" t="s">
        <v>1433</v>
      </c>
      <c r="E3402" t="s">
        <v>240</v>
      </c>
      <c r="F3402" s="9" t="s">
        <v>240</v>
      </c>
      <c r="G3402" s="18">
        <v>158192</v>
      </c>
      <c r="H3402">
        <v>0</v>
      </c>
      <c r="I3402" s="29">
        <f t="shared" si="53"/>
        <v>158192</v>
      </c>
      <c r="J3402" t="str">
        <f>IFERROR(VLOOKUP(E3402,'LEAID Match'!$A$2:$B$168,2,FALSE),"")</f>
        <v/>
      </c>
    </row>
    <row r="3403" spans="1:10">
      <c r="A3403">
        <v>2021</v>
      </c>
      <c r="B3403" t="s">
        <v>1429</v>
      </c>
      <c r="C3403" t="s">
        <v>1431</v>
      </c>
      <c r="D3403" t="s">
        <v>1433</v>
      </c>
      <c r="E3403" t="s">
        <v>240</v>
      </c>
      <c r="F3403" s="9" t="s">
        <v>240</v>
      </c>
      <c r="G3403" s="18">
        <v>153831</v>
      </c>
      <c r="H3403">
        <v>0</v>
      </c>
      <c r="I3403" s="29">
        <f t="shared" si="53"/>
        <v>153831</v>
      </c>
      <c r="J3403" t="str">
        <f>IFERROR(VLOOKUP(E3403,'LEAID Match'!$A$2:$B$168,2,FALSE),"")</f>
        <v/>
      </c>
    </row>
    <row r="3404" spans="1:10">
      <c r="A3404">
        <v>2022</v>
      </c>
      <c r="B3404" t="s">
        <v>1429</v>
      </c>
      <c r="C3404" t="s">
        <v>1431</v>
      </c>
      <c r="D3404" t="s">
        <v>1433</v>
      </c>
      <c r="E3404" t="s">
        <v>240</v>
      </c>
      <c r="F3404" s="9" t="s">
        <v>240</v>
      </c>
      <c r="G3404" s="18">
        <v>215275</v>
      </c>
      <c r="H3404">
        <v>0</v>
      </c>
      <c r="I3404" s="29">
        <f t="shared" si="53"/>
        <v>215275</v>
      </c>
      <c r="J3404" t="str">
        <f>IFERROR(VLOOKUP(E3404,'LEAID Match'!$A$2:$B$168,2,FALSE),"")</f>
        <v/>
      </c>
    </row>
    <row r="3405" spans="1:10">
      <c r="A3405">
        <v>2023</v>
      </c>
      <c r="B3405" t="s">
        <v>1429</v>
      </c>
      <c r="C3405" t="s">
        <v>1431</v>
      </c>
      <c r="D3405" t="s">
        <v>1433</v>
      </c>
      <c r="E3405" t="s">
        <v>240</v>
      </c>
      <c r="F3405" t="s">
        <v>240</v>
      </c>
      <c r="G3405" s="28">
        <v>201790</v>
      </c>
      <c r="H3405">
        <v>0</v>
      </c>
      <c r="I3405" s="29">
        <f t="shared" si="53"/>
        <v>201790</v>
      </c>
      <c r="J3405" t="str">
        <f>IFERROR(VLOOKUP(E3405,'LEAID Match'!$A$2:$B$168,2,FALSE),"")</f>
        <v/>
      </c>
    </row>
    <row r="3406" spans="1:10">
      <c r="A3406" s="27">
        <v>2020</v>
      </c>
      <c r="B3406" t="s">
        <v>1429</v>
      </c>
      <c r="C3406" t="s">
        <v>1431</v>
      </c>
      <c r="D3406" t="s">
        <v>1433</v>
      </c>
      <c r="E3406" t="s">
        <v>241</v>
      </c>
      <c r="F3406" s="9" t="s">
        <v>241</v>
      </c>
      <c r="G3406" s="18">
        <v>103010</v>
      </c>
      <c r="H3406">
        <v>0</v>
      </c>
      <c r="I3406" s="29">
        <f t="shared" si="53"/>
        <v>103010</v>
      </c>
      <c r="J3406" t="str">
        <f>IFERROR(VLOOKUP(E3406,'LEAID Match'!$A$2:$B$168,2,FALSE),"")</f>
        <v/>
      </c>
    </row>
    <row r="3407" spans="1:10">
      <c r="A3407">
        <v>2021</v>
      </c>
      <c r="B3407" t="s">
        <v>1429</v>
      </c>
      <c r="C3407" t="s">
        <v>1431</v>
      </c>
      <c r="D3407" t="s">
        <v>1433</v>
      </c>
      <c r="E3407" t="s">
        <v>241</v>
      </c>
      <c r="F3407" s="9" t="s">
        <v>241</v>
      </c>
      <c r="G3407" s="18">
        <v>102286</v>
      </c>
      <c r="H3407">
        <v>0</v>
      </c>
      <c r="I3407" s="29">
        <f t="shared" si="53"/>
        <v>102286</v>
      </c>
      <c r="J3407" t="str">
        <f>IFERROR(VLOOKUP(E3407,'LEAID Match'!$A$2:$B$168,2,FALSE),"")</f>
        <v/>
      </c>
    </row>
    <row r="3408" spans="1:10">
      <c r="A3408">
        <v>2022</v>
      </c>
      <c r="B3408" t="s">
        <v>1429</v>
      </c>
      <c r="C3408" t="s">
        <v>1431</v>
      </c>
      <c r="D3408" t="s">
        <v>1433</v>
      </c>
      <c r="E3408" t="s">
        <v>241</v>
      </c>
      <c r="F3408" s="9" t="s">
        <v>241</v>
      </c>
      <c r="G3408" s="18">
        <v>118903</v>
      </c>
      <c r="H3408">
        <v>0</v>
      </c>
      <c r="I3408" s="29">
        <f t="shared" si="53"/>
        <v>118903</v>
      </c>
      <c r="J3408" t="str">
        <f>IFERROR(VLOOKUP(E3408,'LEAID Match'!$A$2:$B$168,2,FALSE),"")</f>
        <v/>
      </c>
    </row>
    <row r="3409" spans="1:10">
      <c r="A3409">
        <v>2023</v>
      </c>
      <c r="B3409" t="s">
        <v>1429</v>
      </c>
      <c r="C3409" t="s">
        <v>1431</v>
      </c>
      <c r="D3409" t="s">
        <v>1433</v>
      </c>
      <c r="E3409" t="s">
        <v>241</v>
      </c>
      <c r="F3409" t="s">
        <v>241</v>
      </c>
      <c r="G3409" s="28">
        <v>141621</v>
      </c>
      <c r="H3409">
        <v>0</v>
      </c>
      <c r="I3409" s="29">
        <f t="shared" si="53"/>
        <v>141621</v>
      </c>
      <c r="J3409" t="str">
        <f>IFERROR(VLOOKUP(E3409,'LEAID Match'!$A$2:$B$168,2,FALSE),"")</f>
        <v/>
      </c>
    </row>
    <row r="3410" spans="1:10">
      <c r="A3410" s="27">
        <v>2020</v>
      </c>
      <c r="B3410" t="s">
        <v>1429</v>
      </c>
      <c r="C3410" t="s">
        <v>1431</v>
      </c>
      <c r="D3410" t="s">
        <v>1433</v>
      </c>
      <c r="E3410" t="s">
        <v>242</v>
      </c>
      <c r="F3410" s="9" t="s">
        <v>242</v>
      </c>
      <c r="G3410" s="18">
        <v>4512</v>
      </c>
      <c r="H3410">
        <v>0</v>
      </c>
      <c r="I3410" s="29">
        <f t="shared" si="53"/>
        <v>4512</v>
      </c>
      <c r="J3410" t="str">
        <f>IFERROR(VLOOKUP(E3410,'LEAID Match'!$A$2:$B$168,2,FALSE),"")</f>
        <v/>
      </c>
    </row>
    <row r="3411" spans="1:10">
      <c r="A3411">
        <v>2021</v>
      </c>
      <c r="B3411" t="s">
        <v>1429</v>
      </c>
      <c r="C3411" t="s">
        <v>1431</v>
      </c>
      <c r="D3411" t="s">
        <v>1433</v>
      </c>
      <c r="E3411" t="s">
        <v>242</v>
      </c>
      <c r="F3411" s="9" t="s">
        <v>242</v>
      </c>
      <c r="G3411" s="18">
        <v>4578</v>
      </c>
      <c r="H3411">
        <v>0</v>
      </c>
      <c r="I3411" s="29">
        <f t="shared" si="53"/>
        <v>4578</v>
      </c>
      <c r="J3411" t="str">
        <f>IFERROR(VLOOKUP(E3411,'LEAID Match'!$A$2:$B$168,2,FALSE),"")</f>
        <v/>
      </c>
    </row>
    <row r="3412" spans="1:10">
      <c r="A3412">
        <v>2022</v>
      </c>
      <c r="B3412" t="s">
        <v>1429</v>
      </c>
      <c r="C3412" t="s">
        <v>1431</v>
      </c>
      <c r="D3412" t="s">
        <v>1433</v>
      </c>
      <c r="E3412" t="s">
        <v>242</v>
      </c>
      <c r="F3412" s="9" t="s">
        <v>242</v>
      </c>
      <c r="G3412" s="18">
        <v>5979</v>
      </c>
      <c r="H3412">
        <v>0</v>
      </c>
      <c r="I3412" s="29">
        <f t="shared" si="53"/>
        <v>5979</v>
      </c>
      <c r="J3412" t="str">
        <f>IFERROR(VLOOKUP(E3412,'LEAID Match'!$A$2:$B$168,2,FALSE),"")</f>
        <v/>
      </c>
    </row>
    <row r="3413" spans="1:10">
      <c r="A3413">
        <v>2023</v>
      </c>
      <c r="B3413" t="s">
        <v>1429</v>
      </c>
      <c r="C3413" t="s">
        <v>1431</v>
      </c>
      <c r="D3413" t="s">
        <v>1433</v>
      </c>
      <c r="E3413" t="s">
        <v>242</v>
      </c>
      <c r="F3413" t="s">
        <v>242</v>
      </c>
      <c r="G3413" s="28">
        <v>6227</v>
      </c>
      <c r="H3413">
        <v>0</v>
      </c>
      <c r="I3413" s="29">
        <f t="shared" si="53"/>
        <v>6227</v>
      </c>
      <c r="J3413" t="str">
        <f>IFERROR(VLOOKUP(E3413,'LEAID Match'!$A$2:$B$168,2,FALSE),"")</f>
        <v/>
      </c>
    </row>
    <row r="3414" spans="1:10">
      <c r="A3414" s="27">
        <v>2020</v>
      </c>
      <c r="B3414" t="s">
        <v>1429</v>
      </c>
      <c r="C3414" t="s">
        <v>1431</v>
      </c>
      <c r="D3414" t="s">
        <v>1433</v>
      </c>
      <c r="E3414" t="s">
        <v>243</v>
      </c>
      <c r="F3414" s="9" t="s">
        <v>243</v>
      </c>
      <c r="G3414" s="18">
        <v>164002</v>
      </c>
      <c r="H3414">
        <v>0</v>
      </c>
      <c r="I3414" s="29">
        <f t="shared" si="53"/>
        <v>164002</v>
      </c>
      <c r="J3414" t="str">
        <f>IFERROR(VLOOKUP(E3414,'LEAID Match'!$A$2:$B$168,2,FALSE),"")</f>
        <v/>
      </c>
    </row>
    <row r="3415" spans="1:10">
      <c r="A3415">
        <v>2021</v>
      </c>
      <c r="B3415" t="s">
        <v>1429</v>
      </c>
      <c r="C3415" t="s">
        <v>1431</v>
      </c>
      <c r="D3415" t="s">
        <v>1433</v>
      </c>
      <c r="E3415" t="s">
        <v>243</v>
      </c>
      <c r="F3415" s="9" t="s">
        <v>243</v>
      </c>
      <c r="G3415" s="18">
        <v>158530</v>
      </c>
      <c r="H3415">
        <v>0</v>
      </c>
      <c r="I3415" s="29">
        <f t="shared" si="53"/>
        <v>158530</v>
      </c>
      <c r="J3415" t="str">
        <f>IFERROR(VLOOKUP(E3415,'LEAID Match'!$A$2:$B$168,2,FALSE),"")</f>
        <v/>
      </c>
    </row>
    <row r="3416" spans="1:10">
      <c r="A3416">
        <v>2022</v>
      </c>
      <c r="B3416" t="s">
        <v>1429</v>
      </c>
      <c r="C3416" t="s">
        <v>1431</v>
      </c>
      <c r="D3416" t="s">
        <v>1433</v>
      </c>
      <c r="E3416" t="s">
        <v>243</v>
      </c>
      <c r="F3416" s="9" t="s">
        <v>243</v>
      </c>
      <c r="G3416" s="18">
        <v>200959</v>
      </c>
      <c r="H3416">
        <v>0</v>
      </c>
      <c r="I3416" s="29">
        <f t="shared" si="53"/>
        <v>200959</v>
      </c>
      <c r="J3416" t="str">
        <f>IFERROR(VLOOKUP(E3416,'LEAID Match'!$A$2:$B$168,2,FALSE),"")</f>
        <v/>
      </c>
    </row>
    <row r="3417" spans="1:10">
      <c r="A3417">
        <v>2023</v>
      </c>
      <c r="B3417" t="s">
        <v>1429</v>
      </c>
      <c r="C3417" t="s">
        <v>1431</v>
      </c>
      <c r="D3417" t="s">
        <v>1433</v>
      </c>
      <c r="E3417" t="s">
        <v>243</v>
      </c>
      <c r="F3417" t="s">
        <v>243</v>
      </c>
      <c r="G3417" s="28">
        <v>216792</v>
      </c>
      <c r="H3417">
        <v>0</v>
      </c>
      <c r="I3417" s="29">
        <f t="shared" si="53"/>
        <v>216792</v>
      </c>
      <c r="J3417" t="str">
        <f>IFERROR(VLOOKUP(E3417,'LEAID Match'!$A$2:$B$168,2,FALSE),"")</f>
        <v/>
      </c>
    </row>
    <row r="3418" spans="1:10">
      <c r="A3418" s="27">
        <v>2020</v>
      </c>
      <c r="B3418" t="s">
        <v>1429</v>
      </c>
      <c r="C3418" t="s">
        <v>1431</v>
      </c>
      <c r="D3418" t="s">
        <v>1433</v>
      </c>
      <c r="E3418" t="s">
        <v>244</v>
      </c>
      <c r="F3418" s="9" t="s">
        <v>244</v>
      </c>
      <c r="G3418" s="18">
        <v>805449</v>
      </c>
      <c r="H3418">
        <v>0</v>
      </c>
      <c r="I3418" s="29">
        <f t="shared" si="53"/>
        <v>805449</v>
      </c>
      <c r="J3418" t="str">
        <f>IFERROR(VLOOKUP(E3418,'LEAID Match'!$A$2:$B$168,2,FALSE),"")</f>
        <v/>
      </c>
    </row>
    <row r="3419" spans="1:10">
      <c r="A3419">
        <v>2021</v>
      </c>
      <c r="B3419" t="s">
        <v>1429</v>
      </c>
      <c r="C3419" t="s">
        <v>1431</v>
      </c>
      <c r="D3419" t="s">
        <v>1433</v>
      </c>
      <c r="E3419" t="s">
        <v>244</v>
      </c>
      <c r="F3419" s="9" t="s">
        <v>244</v>
      </c>
      <c r="G3419" s="18">
        <v>859476</v>
      </c>
      <c r="H3419">
        <v>0</v>
      </c>
      <c r="I3419" s="29">
        <f t="shared" si="53"/>
        <v>859476</v>
      </c>
      <c r="J3419" t="str">
        <f>IFERROR(VLOOKUP(E3419,'LEAID Match'!$A$2:$B$168,2,FALSE),"")</f>
        <v/>
      </c>
    </row>
    <row r="3420" spans="1:10">
      <c r="A3420">
        <v>2022</v>
      </c>
      <c r="B3420" t="s">
        <v>1429</v>
      </c>
      <c r="C3420" t="s">
        <v>1431</v>
      </c>
      <c r="D3420" t="s">
        <v>1433</v>
      </c>
      <c r="E3420" t="s">
        <v>244</v>
      </c>
      <c r="F3420" s="9" t="s">
        <v>244</v>
      </c>
      <c r="G3420" s="18">
        <v>1027474</v>
      </c>
      <c r="H3420">
        <v>0</v>
      </c>
      <c r="I3420" s="29">
        <f t="shared" si="53"/>
        <v>1027474</v>
      </c>
      <c r="J3420" t="str">
        <f>IFERROR(VLOOKUP(E3420,'LEAID Match'!$A$2:$B$168,2,FALSE),"")</f>
        <v/>
      </c>
    </row>
    <row r="3421" spans="1:10">
      <c r="A3421">
        <v>2023</v>
      </c>
      <c r="B3421" t="s">
        <v>1429</v>
      </c>
      <c r="C3421" t="s">
        <v>1431</v>
      </c>
      <c r="D3421" t="s">
        <v>1433</v>
      </c>
      <c r="E3421" t="s">
        <v>244</v>
      </c>
      <c r="F3421" t="s">
        <v>244</v>
      </c>
      <c r="G3421" s="28">
        <v>1063113</v>
      </c>
      <c r="H3421">
        <v>0</v>
      </c>
      <c r="I3421" s="29">
        <f t="shared" si="53"/>
        <v>1063113</v>
      </c>
      <c r="J3421" t="str">
        <f>IFERROR(VLOOKUP(E3421,'LEAID Match'!$A$2:$B$168,2,FALSE),"")</f>
        <v/>
      </c>
    </row>
    <row r="3422" spans="1:10">
      <c r="A3422" s="27">
        <v>2020</v>
      </c>
      <c r="B3422" t="s">
        <v>1429</v>
      </c>
      <c r="C3422" t="s">
        <v>1431</v>
      </c>
      <c r="D3422" t="s">
        <v>1433</v>
      </c>
      <c r="E3422" t="s">
        <v>245</v>
      </c>
      <c r="F3422" s="9" t="s">
        <v>245</v>
      </c>
      <c r="G3422" s="18">
        <v>23515</v>
      </c>
      <c r="H3422">
        <v>0</v>
      </c>
      <c r="I3422" s="29">
        <f t="shared" si="53"/>
        <v>23515</v>
      </c>
      <c r="J3422" t="str">
        <f>IFERROR(VLOOKUP(E3422,'LEAID Match'!$A$2:$B$168,2,FALSE),"")</f>
        <v/>
      </c>
    </row>
    <row r="3423" spans="1:10">
      <c r="A3423">
        <v>2021</v>
      </c>
      <c r="B3423" t="s">
        <v>1429</v>
      </c>
      <c r="C3423" t="s">
        <v>1431</v>
      </c>
      <c r="D3423" t="s">
        <v>1433</v>
      </c>
      <c r="E3423" t="s">
        <v>245</v>
      </c>
      <c r="F3423" s="9" t="s">
        <v>245</v>
      </c>
      <c r="G3423" s="18">
        <v>25928</v>
      </c>
      <c r="H3423">
        <v>0</v>
      </c>
      <c r="I3423" s="29">
        <f t="shared" si="53"/>
        <v>25928</v>
      </c>
      <c r="J3423" t="str">
        <f>IFERROR(VLOOKUP(E3423,'LEAID Match'!$A$2:$B$168,2,FALSE),"")</f>
        <v/>
      </c>
    </row>
    <row r="3424" spans="1:10">
      <c r="A3424">
        <v>2022</v>
      </c>
      <c r="B3424" t="s">
        <v>1429</v>
      </c>
      <c r="C3424" t="s">
        <v>1431</v>
      </c>
      <c r="D3424" t="s">
        <v>1433</v>
      </c>
      <c r="E3424" t="s">
        <v>245</v>
      </c>
      <c r="F3424" s="9" t="s">
        <v>245</v>
      </c>
      <c r="G3424" s="18">
        <v>33187</v>
      </c>
      <c r="H3424">
        <v>0</v>
      </c>
      <c r="I3424" s="29">
        <f t="shared" si="53"/>
        <v>33187</v>
      </c>
      <c r="J3424" t="str">
        <f>IFERROR(VLOOKUP(E3424,'LEAID Match'!$A$2:$B$168,2,FALSE),"")</f>
        <v/>
      </c>
    </row>
    <row r="3425" spans="1:10">
      <c r="A3425">
        <v>2023</v>
      </c>
      <c r="B3425" t="s">
        <v>1429</v>
      </c>
      <c r="C3425" t="s">
        <v>1431</v>
      </c>
      <c r="D3425" t="s">
        <v>1433</v>
      </c>
      <c r="E3425" t="s">
        <v>245</v>
      </c>
      <c r="F3425" t="s">
        <v>245</v>
      </c>
      <c r="G3425" s="28">
        <v>49592</v>
      </c>
      <c r="H3425">
        <v>0</v>
      </c>
      <c r="I3425" s="29">
        <f t="shared" si="53"/>
        <v>49592</v>
      </c>
      <c r="J3425" t="str">
        <f>IFERROR(VLOOKUP(E3425,'LEAID Match'!$A$2:$B$168,2,FALSE),"")</f>
        <v/>
      </c>
    </row>
    <row r="3426" spans="1:10">
      <c r="A3426" s="27">
        <v>2020</v>
      </c>
      <c r="B3426" t="s">
        <v>1429</v>
      </c>
      <c r="C3426" t="s">
        <v>1431</v>
      </c>
      <c r="D3426" t="s">
        <v>1433</v>
      </c>
      <c r="E3426" t="s">
        <v>246</v>
      </c>
      <c r="F3426" s="9" t="s">
        <v>246</v>
      </c>
      <c r="G3426" s="18">
        <v>6030</v>
      </c>
      <c r="H3426">
        <v>0</v>
      </c>
      <c r="I3426" s="29">
        <f t="shared" si="53"/>
        <v>6030</v>
      </c>
      <c r="J3426" t="str">
        <f>IFERROR(VLOOKUP(E3426,'LEAID Match'!$A$2:$B$168,2,FALSE),"")</f>
        <v/>
      </c>
    </row>
    <row r="3427" spans="1:10">
      <c r="A3427">
        <v>2021</v>
      </c>
      <c r="B3427" t="s">
        <v>1429</v>
      </c>
      <c r="C3427" t="s">
        <v>1431</v>
      </c>
      <c r="D3427" t="s">
        <v>1433</v>
      </c>
      <c r="E3427" t="s">
        <v>246</v>
      </c>
      <c r="F3427" s="9" t="s">
        <v>246</v>
      </c>
      <c r="G3427" s="18">
        <v>4454</v>
      </c>
      <c r="H3427">
        <v>0</v>
      </c>
      <c r="I3427" s="29">
        <f t="shared" si="53"/>
        <v>4454</v>
      </c>
      <c r="J3427" t="str">
        <f>IFERROR(VLOOKUP(E3427,'LEAID Match'!$A$2:$B$168,2,FALSE),"")</f>
        <v/>
      </c>
    </row>
    <row r="3428" spans="1:10">
      <c r="A3428">
        <v>2022</v>
      </c>
      <c r="B3428" t="s">
        <v>1429</v>
      </c>
      <c r="C3428" t="s">
        <v>1431</v>
      </c>
      <c r="D3428" t="s">
        <v>1433</v>
      </c>
      <c r="E3428" t="s">
        <v>246</v>
      </c>
      <c r="F3428" s="9" t="s">
        <v>246</v>
      </c>
      <c r="G3428" s="18">
        <v>6931</v>
      </c>
      <c r="H3428">
        <v>0</v>
      </c>
      <c r="I3428" s="29">
        <f t="shared" si="53"/>
        <v>6931</v>
      </c>
      <c r="J3428" t="str">
        <f>IFERROR(VLOOKUP(E3428,'LEAID Match'!$A$2:$B$168,2,FALSE),"")</f>
        <v/>
      </c>
    </row>
    <row r="3429" spans="1:10">
      <c r="A3429">
        <v>2023</v>
      </c>
      <c r="B3429" t="s">
        <v>1429</v>
      </c>
      <c r="C3429" t="s">
        <v>1431</v>
      </c>
      <c r="D3429" t="s">
        <v>1433</v>
      </c>
      <c r="E3429" t="s">
        <v>246</v>
      </c>
      <c r="F3429" t="s">
        <v>246</v>
      </c>
      <c r="G3429" s="28">
        <v>6971</v>
      </c>
      <c r="H3429">
        <v>0</v>
      </c>
      <c r="I3429" s="29">
        <f t="shared" si="53"/>
        <v>6971</v>
      </c>
      <c r="J3429" t="str">
        <f>IFERROR(VLOOKUP(E3429,'LEAID Match'!$A$2:$B$168,2,FALSE),"")</f>
        <v/>
      </c>
    </row>
    <row r="3430" spans="1:10">
      <c r="A3430" s="27">
        <v>2020</v>
      </c>
      <c r="B3430" t="s">
        <v>1429</v>
      </c>
      <c r="C3430" t="s">
        <v>1431</v>
      </c>
      <c r="D3430" t="s">
        <v>1433</v>
      </c>
      <c r="E3430" t="s">
        <v>247</v>
      </c>
      <c r="F3430" s="9" t="s">
        <v>247</v>
      </c>
      <c r="G3430" s="18">
        <v>98751</v>
      </c>
      <c r="H3430">
        <v>0</v>
      </c>
      <c r="I3430" s="29">
        <f t="shared" si="53"/>
        <v>98751</v>
      </c>
      <c r="J3430" t="str">
        <f>IFERROR(VLOOKUP(E3430,'LEAID Match'!$A$2:$B$168,2,FALSE),"")</f>
        <v/>
      </c>
    </row>
    <row r="3431" spans="1:10">
      <c r="A3431">
        <v>2021</v>
      </c>
      <c r="B3431" t="s">
        <v>1429</v>
      </c>
      <c r="C3431" t="s">
        <v>1431</v>
      </c>
      <c r="D3431" t="s">
        <v>1433</v>
      </c>
      <c r="E3431" t="s">
        <v>247</v>
      </c>
      <c r="F3431" s="9" t="s">
        <v>247</v>
      </c>
      <c r="G3431" s="18">
        <v>94651</v>
      </c>
      <c r="H3431">
        <v>0</v>
      </c>
      <c r="I3431" s="29">
        <f t="shared" si="53"/>
        <v>94651</v>
      </c>
      <c r="J3431" t="str">
        <f>IFERROR(VLOOKUP(E3431,'LEAID Match'!$A$2:$B$168,2,FALSE),"")</f>
        <v/>
      </c>
    </row>
    <row r="3432" spans="1:10">
      <c r="A3432">
        <v>2022</v>
      </c>
      <c r="B3432" t="s">
        <v>1429</v>
      </c>
      <c r="C3432" t="s">
        <v>1431</v>
      </c>
      <c r="D3432" t="s">
        <v>1433</v>
      </c>
      <c r="E3432" t="s">
        <v>247</v>
      </c>
      <c r="F3432" s="9" t="s">
        <v>247</v>
      </c>
      <c r="G3432" s="18">
        <v>129956</v>
      </c>
      <c r="H3432">
        <v>0</v>
      </c>
      <c r="I3432" s="29">
        <f t="shared" si="53"/>
        <v>129956</v>
      </c>
      <c r="J3432" t="str">
        <f>IFERROR(VLOOKUP(E3432,'LEAID Match'!$A$2:$B$168,2,FALSE),"")</f>
        <v/>
      </c>
    </row>
    <row r="3433" spans="1:10">
      <c r="A3433">
        <v>2023</v>
      </c>
      <c r="B3433" t="s">
        <v>1429</v>
      </c>
      <c r="C3433" t="s">
        <v>1431</v>
      </c>
      <c r="D3433" t="s">
        <v>1433</v>
      </c>
      <c r="E3433" t="s">
        <v>247</v>
      </c>
      <c r="F3433" t="s">
        <v>247</v>
      </c>
      <c r="G3433" s="28">
        <v>125338</v>
      </c>
      <c r="H3433">
        <v>0</v>
      </c>
      <c r="I3433" s="29">
        <f t="shared" si="53"/>
        <v>125338</v>
      </c>
      <c r="J3433" t="str">
        <f>IFERROR(VLOOKUP(E3433,'LEAID Match'!$A$2:$B$168,2,FALSE),"")</f>
        <v/>
      </c>
    </row>
    <row r="3434" spans="1:10">
      <c r="A3434" s="27">
        <v>2020</v>
      </c>
      <c r="B3434" t="s">
        <v>1429</v>
      </c>
      <c r="C3434" t="s">
        <v>1431</v>
      </c>
      <c r="D3434" t="s">
        <v>1433</v>
      </c>
      <c r="E3434" t="s">
        <v>248</v>
      </c>
      <c r="F3434" s="9" t="s">
        <v>248</v>
      </c>
      <c r="G3434" s="18">
        <v>200741</v>
      </c>
      <c r="H3434">
        <v>0</v>
      </c>
      <c r="I3434" s="29">
        <f t="shared" si="53"/>
        <v>200741</v>
      </c>
      <c r="J3434" t="str">
        <f>IFERROR(VLOOKUP(E3434,'LEAID Match'!$A$2:$B$168,2,FALSE),"")</f>
        <v/>
      </c>
    </row>
    <row r="3435" spans="1:10">
      <c r="A3435">
        <v>2021</v>
      </c>
      <c r="B3435" t="s">
        <v>1429</v>
      </c>
      <c r="C3435" t="s">
        <v>1431</v>
      </c>
      <c r="D3435" t="s">
        <v>1433</v>
      </c>
      <c r="E3435" t="s">
        <v>248</v>
      </c>
      <c r="F3435" s="9" t="s">
        <v>248</v>
      </c>
      <c r="G3435" s="18">
        <v>194677</v>
      </c>
      <c r="H3435">
        <v>0</v>
      </c>
      <c r="I3435" s="29">
        <f t="shared" si="53"/>
        <v>194677</v>
      </c>
      <c r="J3435" t="str">
        <f>IFERROR(VLOOKUP(E3435,'LEAID Match'!$A$2:$B$168,2,FALSE),"")</f>
        <v/>
      </c>
    </row>
    <row r="3436" spans="1:10">
      <c r="A3436">
        <v>2022</v>
      </c>
      <c r="B3436" t="s">
        <v>1429</v>
      </c>
      <c r="C3436" t="s">
        <v>1431</v>
      </c>
      <c r="D3436" t="s">
        <v>1433</v>
      </c>
      <c r="E3436" t="s">
        <v>248</v>
      </c>
      <c r="F3436" s="9" t="s">
        <v>248</v>
      </c>
      <c r="G3436" s="18">
        <v>255428</v>
      </c>
      <c r="H3436">
        <v>0</v>
      </c>
      <c r="I3436" s="29">
        <f t="shared" si="53"/>
        <v>255428</v>
      </c>
      <c r="J3436" t="str">
        <f>IFERROR(VLOOKUP(E3436,'LEAID Match'!$A$2:$B$168,2,FALSE),"")</f>
        <v/>
      </c>
    </row>
    <row r="3437" spans="1:10">
      <c r="A3437">
        <v>2023</v>
      </c>
      <c r="B3437" t="s">
        <v>1429</v>
      </c>
      <c r="C3437" t="s">
        <v>1431</v>
      </c>
      <c r="D3437" t="s">
        <v>1433</v>
      </c>
      <c r="E3437" t="s">
        <v>248</v>
      </c>
      <c r="F3437" t="s">
        <v>248</v>
      </c>
      <c r="G3437" s="28">
        <v>254160</v>
      </c>
      <c r="H3437">
        <v>0</v>
      </c>
      <c r="I3437" s="29">
        <f t="shared" si="53"/>
        <v>254160</v>
      </c>
      <c r="J3437" t="str">
        <f>IFERROR(VLOOKUP(E3437,'LEAID Match'!$A$2:$B$168,2,FALSE),"")</f>
        <v/>
      </c>
    </row>
    <row r="3438" spans="1:10">
      <c r="A3438" s="27">
        <v>2020</v>
      </c>
      <c r="B3438" t="s">
        <v>1429</v>
      </c>
      <c r="C3438" t="s">
        <v>1431</v>
      </c>
      <c r="D3438" t="s">
        <v>1433</v>
      </c>
      <c r="E3438" t="s">
        <v>249</v>
      </c>
      <c r="F3438" s="9" t="s">
        <v>249</v>
      </c>
      <c r="G3438" s="18">
        <v>23005</v>
      </c>
      <c r="H3438">
        <v>0</v>
      </c>
      <c r="I3438" s="29">
        <f t="shared" si="53"/>
        <v>23005</v>
      </c>
      <c r="J3438" t="str">
        <f>IFERROR(VLOOKUP(E3438,'LEAID Match'!$A$2:$B$168,2,FALSE),"")</f>
        <v/>
      </c>
    </row>
    <row r="3439" spans="1:10">
      <c r="A3439">
        <v>2021</v>
      </c>
      <c r="B3439" t="s">
        <v>1429</v>
      </c>
      <c r="C3439" t="s">
        <v>1431</v>
      </c>
      <c r="D3439" t="s">
        <v>1433</v>
      </c>
      <c r="E3439" t="s">
        <v>249</v>
      </c>
      <c r="F3439" s="9" t="s">
        <v>249</v>
      </c>
      <c r="G3439" s="18">
        <v>29639</v>
      </c>
      <c r="H3439">
        <v>0</v>
      </c>
      <c r="I3439" s="29">
        <f t="shared" si="53"/>
        <v>29639</v>
      </c>
      <c r="J3439" t="str">
        <f>IFERROR(VLOOKUP(E3439,'LEAID Match'!$A$2:$B$168,2,FALSE),"")</f>
        <v/>
      </c>
    </row>
    <row r="3440" spans="1:10">
      <c r="A3440">
        <v>2022</v>
      </c>
      <c r="B3440" t="s">
        <v>1429</v>
      </c>
      <c r="C3440" t="s">
        <v>1431</v>
      </c>
      <c r="D3440" t="s">
        <v>1433</v>
      </c>
      <c r="E3440" t="s">
        <v>249</v>
      </c>
      <c r="F3440" s="9" t="s">
        <v>249</v>
      </c>
      <c r="G3440" s="18">
        <v>38793</v>
      </c>
      <c r="H3440">
        <v>0</v>
      </c>
      <c r="I3440" s="29">
        <f t="shared" si="53"/>
        <v>38793</v>
      </c>
      <c r="J3440" t="str">
        <f>IFERROR(VLOOKUP(E3440,'LEAID Match'!$A$2:$B$168,2,FALSE),"")</f>
        <v/>
      </c>
    </row>
    <row r="3441" spans="1:10">
      <c r="A3441">
        <v>2023</v>
      </c>
      <c r="B3441" t="s">
        <v>1429</v>
      </c>
      <c r="C3441" t="s">
        <v>1431</v>
      </c>
      <c r="D3441" t="s">
        <v>1433</v>
      </c>
      <c r="E3441" t="s">
        <v>249</v>
      </c>
      <c r="F3441" t="s">
        <v>249</v>
      </c>
      <c r="G3441" s="28">
        <v>13857</v>
      </c>
      <c r="H3441">
        <v>0</v>
      </c>
      <c r="I3441" s="29">
        <f t="shared" si="53"/>
        <v>13857</v>
      </c>
      <c r="J3441" t="str">
        <f>IFERROR(VLOOKUP(E3441,'LEAID Match'!$A$2:$B$168,2,FALSE),"")</f>
        <v/>
      </c>
    </row>
    <row r="3442" spans="1:10">
      <c r="A3442" s="27">
        <v>2020</v>
      </c>
      <c r="B3442" t="s">
        <v>1429</v>
      </c>
      <c r="C3442" t="s">
        <v>1431</v>
      </c>
      <c r="D3442" t="s">
        <v>1433</v>
      </c>
      <c r="E3442" t="s">
        <v>250</v>
      </c>
      <c r="F3442" s="9" t="s">
        <v>250</v>
      </c>
      <c r="G3442" s="18">
        <v>3670011</v>
      </c>
      <c r="H3442">
        <v>0</v>
      </c>
      <c r="I3442" s="29">
        <f t="shared" si="53"/>
        <v>3670011</v>
      </c>
      <c r="J3442" t="str">
        <f>IFERROR(VLOOKUP(E3442,'LEAID Match'!$A$2:$B$168,2,FALSE),"")</f>
        <v/>
      </c>
    </row>
    <row r="3443" spans="1:10">
      <c r="A3443">
        <v>2021</v>
      </c>
      <c r="B3443" t="s">
        <v>1429</v>
      </c>
      <c r="C3443" t="s">
        <v>1431</v>
      </c>
      <c r="D3443" t="s">
        <v>1433</v>
      </c>
      <c r="E3443" t="s">
        <v>250</v>
      </c>
      <c r="F3443" s="9" t="s">
        <v>250</v>
      </c>
      <c r="G3443" s="18">
        <v>3831884</v>
      </c>
      <c r="H3443">
        <v>0</v>
      </c>
      <c r="I3443" s="29">
        <f t="shared" si="53"/>
        <v>3831884</v>
      </c>
      <c r="J3443" t="str">
        <f>IFERROR(VLOOKUP(E3443,'LEAID Match'!$A$2:$B$168,2,FALSE),"")</f>
        <v/>
      </c>
    </row>
    <row r="3444" spans="1:10">
      <c r="A3444">
        <v>2022</v>
      </c>
      <c r="B3444" t="s">
        <v>1429</v>
      </c>
      <c r="C3444" t="s">
        <v>1431</v>
      </c>
      <c r="D3444" t="s">
        <v>1433</v>
      </c>
      <c r="E3444" t="s">
        <v>250</v>
      </c>
      <c r="F3444" s="9" t="s">
        <v>250</v>
      </c>
      <c r="G3444" s="18">
        <v>4748621</v>
      </c>
      <c r="H3444">
        <v>0</v>
      </c>
      <c r="I3444" s="29">
        <f t="shared" si="53"/>
        <v>4748621</v>
      </c>
      <c r="J3444" t="str">
        <f>IFERROR(VLOOKUP(E3444,'LEAID Match'!$A$2:$B$168,2,FALSE),"")</f>
        <v/>
      </c>
    </row>
    <row r="3445" spans="1:10">
      <c r="A3445">
        <v>2023</v>
      </c>
      <c r="B3445" t="s">
        <v>1429</v>
      </c>
      <c r="C3445" t="s">
        <v>1431</v>
      </c>
      <c r="D3445" t="s">
        <v>1433</v>
      </c>
      <c r="E3445" t="s">
        <v>250</v>
      </c>
      <c r="F3445" t="s">
        <v>250</v>
      </c>
      <c r="G3445" s="28">
        <v>4724562</v>
      </c>
      <c r="H3445">
        <v>0</v>
      </c>
      <c r="I3445" s="29">
        <f t="shared" si="53"/>
        <v>4724562</v>
      </c>
      <c r="J3445" t="str">
        <f>IFERROR(VLOOKUP(E3445,'LEAID Match'!$A$2:$B$168,2,FALSE),"")</f>
        <v/>
      </c>
    </row>
    <row r="3446" spans="1:10">
      <c r="A3446" s="27">
        <v>2020</v>
      </c>
      <c r="B3446" t="s">
        <v>1429</v>
      </c>
      <c r="C3446" t="s">
        <v>1431</v>
      </c>
      <c r="D3446" t="s">
        <v>1433</v>
      </c>
      <c r="E3446" t="s">
        <v>251</v>
      </c>
      <c r="F3446" s="9" t="s">
        <v>251</v>
      </c>
      <c r="G3446" s="18">
        <v>6001</v>
      </c>
      <c r="H3446">
        <v>0</v>
      </c>
      <c r="I3446" s="29">
        <f t="shared" si="53"/>
        <v>6001</v>
      </c>
      <c r="J3446" t="str">
        <f>IFERROR(VLOOKUP(E3446,'LEAID Match'!$A$2:$B$168,2,FALSE),"")</f>
        <v/>
      </c>
    </row>
    <row r="3447" spans="1:10">
      <c r="A3447">
        <v>2021</v>
      </c>
      <c r="B3447" t="s">
        <v>1429</v>
      </c>
      <c r="C3447" t="s">
        <v>1431</v>
      </c>
      <c r="D3447" t="s">
        <v>1433</v>
      </c>
      <c r="E3447" t="s">
        <v>251</v>
      </c>
      <c r="F3447" s="9" t="s">
        <v>251</v>
      </c>
      <c r="G3447" s="18">
        <v>9530</v>
      </c>
      <c r="H3447">
        <v>0</v>
      </c>
      <c r="I3447" s="29">
        <f t="shared" si="53"/>
        <v>9530</v>
      </c>
      <c r="J3447" t="str">
        <f>IFERROR(VLOOKUP(E3447,'LEAID Match'!$A$2:$B$168,2,FALSE),"")</f>
        <v/>
      </c>
    </row>
    <row r="3448" spans="1:10">
      <c r="A3448">
        <v>2022</v>
      </c>
      <c r="B3448" t="s">
        <v>1429</v>
      </c>
      <c r="C3448" t="s">
        <v>1431</v>
      </c>
      <c r="D3448" t="s">
        <v>1433</v>
      </c>
      <c r="E3448" t="s">
        <v>251</v>
      </c>
      <c r="F3448" s="9" t="s">
        <v>251</v>
      </c>
      <c r="G3448" s="18">
        <v>12646</v>
      </c>
      <c r="H3448">
        <v>0</v>
      </c>
      <c r="I3448" s="29">
        <f t="shared" si="53"/>
        <v>12646</v>
      </c>
      <c r="J3448" t="str">
        <f>IFERROR(VLOOKUP(E3448,'LEAID Match'!$A$2:$B$168,2,FALSE),"")</f>
        <v/>
      </c>
    </row>
    <row r="3449" spans="1:10">
      <c r="A3449">
        <v>2023</v>
      </c>
      <c r="B3449" t="s">
        <v>1429</v>
      </c>
      <c r="C3449" t="s">
        <v>1431</v>
      </c>
      <c r="D3449" t="s">
        <v>1433</v>
      </c>
      <c r="E3449" t="s">
        <v>251</v>
      </c>
      <c r="F3449" t="s">
        <v>251</v>
      </c>
      <c r="G3449" s="28">
        <v>13703</v>
      </c>
      <c r="H3449">
        <v>0</v>
      </c>
      <c r="I3449" s="29">
        <f t="shared" si="53"/>
        <v>13703</v>
      </c>
      <c r="J3449" t="str">
        <f>IFERROR(VLOOKUP(E3449,'LEAID Match'!$A$2:$B$168,2,FALSE),"")</f>
        <v/>
      </c>
    </row>
    <row r="3450" spans="1:10">
      <c r="A3450" s="27">
        <v>2020</v>
      </c>
      <c r="B3450" t="s">
        <v>1429</v>
      </c>
      <c r="C3450" t="s">
        <v>1431</v>
      </c>
      <c r="D3450" t="s">
        <v>1433</v>
      </c>
      <c r="E3450" t="s">
        <v>252</v>
      </c>
      <c r="F3450" s="9" t="s">
        <v>252</v>
      </c>
      <c r="G3450" s="18">
        <v>76947</v>
      </c>
      <c r="H3450">
        <v>0</v>
      </c>
      <c r="I3450" s="29">
        <f t="shared" si="53"/>
        <v>76947</v>
      </c>
      <c r="J3450" t="str">
        <f>IFERROR(VLOOKUP(E3450,'LEAID Match'!$A$2:$B$168,2,FALSE),"")</f>
        <v/>
      </c>
    </row>
    <row r="3451" spans="1:10">
      <c r="A3451">
        <v>2021</v>
      </c>
      <c r="B3451" t="s">
        <v>1429</v>
      </c>
      <c r="C3451" t="s">
        <v>1431</v>
      </c>
      <c r="D3451" t="s">
        <v>1433</v>
      </c>
      <c r="E3451" t="s">
        <v>252</v>
      </c>
      <c r="F3451" s="9" t="s">
        <v>252</v>
      </c>
      <c r="G3451" s="18">
        <v>84227</v>
      </c>
      <c r="H3451">
        <v>0</v>
      </c>
      <c r="I3451" s="29">
        <f t="shared" si="53"/>
        <v>84227</v>
      </c>
      <c r="J3451" t="str">
        <f>IFERROR(VLOOKUP(E3451,'LEAID Match'!$A$2:$B$168,2,FALSE),"")</f>
        <v/>
      </c>
    </row>
    <row r="3452" spans="1:10">
      <c r="A3452">
        <v>2022</v>
      </c>
      <c r="B3452" t="s">
        <v>1429</v>
      </c>
      <c r="C3452" t="s">
        <v>1431</v>
      </c>
      <c r="D3452" t="s">
        <v>1433</v>
      </c>
      <c r="E3452" t="s">
        <v>252</v>
      </c>
      <c r="F3452" s="9" t="s">
        <v>252</v>
      </c>
      <c r="G3452" s="18">
        <v>111256</v>
      </c>
      <c r="H3452">
        <v>0</v>
      </c>
      <c r="I3452" s="29">
        <f t="shared" si="53"/>
        <v>111256</v>
      </c>
      <c r="J3452" t="str">
        <f>IFERROR(VLOOKUP(E3452,'LEAID Match'!$A$2:$B$168,2,FALSE),"")</f>
        <v/>
      </c>
    </row>
    <row r="3453" spans="1:10">
      <c r="A3453">
        <v>2023</v>
      </c>
      <c r="B3453" t="s">
        <v>1429</v>
      </c>
      <c r="C3453" t="s">
        <v>1431</v>
      </c>
      <c r="D3453" t="s">
        <v>1433</v>
      </c>
      <c r="E3453" t="s">
        <v>252</v>
      </c>
      <c r="F3453" t="s">
        <v>252</v>
      </c>
      <c r="G3453" s="28">
        <v>122771</v>
      </c>
      <c r="H3453">
        <v>0</v>
      </c>
      <c r="I3453" s="29">
        <f t="shared" si="53"/>
        <v>122771</v>
      </c>
      <c r="J3453" t="str">
        <f>IFERROR(VLOOKUP(E3453,'LEAID Match'!$A$2:$B$168,2,FALSE),"")</f>
        <v/>
      </c>
    </row>
    <row r="3454" spans="1:10">
      <c r="A3454" s="27">
        <v>2020</v>
      </c>
      <c r="B3454" t="s">
        <v>1429</v>
      </c>
      <c r="C3454" t="s">
        <v>1431</v>
      </c>
      <c r="D3454" t="s">
        <v>1433</v>
      </c>
      <c r="E3454" t="s">
        <v>253</v>
      </c>
      <c r="F3454" s="9" t="s">
        <v>253</v>
      </c>
      <c r="G3454" s="18">
        <v>108504</v>
      </c>
      <c r="H3454">
        <v>0</v>
      </c>
      <c r="I3454" s="29">
        <f t="shared" si="53"/>
        <v>108504</v>
      </c>
      <c r="J3454" t="str">
        <f>IFERROR(VLOOKUP(E3454,'LEAID Match'!$A$2:$B$168,2,FALSE),"")</f>
        <v/>
      </c>
    </row>
    <row r="3455" spans="1:10">
      <c r="A3455">
        <v>2021</v>
      </c>
      <c r="B3455" t="s">
        <v>1429</v>
      </c>
      <c r="C3455" t="s">
        <v>1431</v>
      </c>
      <c r="D3455" t="s">
        <v>1433</v>
      </c>
      <c r="E3455" t="s">
        <v>253</v>
      </c>
      <c r="F3455" s="9" t="s">
        <v>253</v>
      </c>
      <c r="G3455" s="18">
        <v>112410</v>
      </c>
      <c r="H3455">
        <v>0</v>
      </c>
      <c r="I3455" s="29">
        <f t="shared" si="53"/>
        <v>112410</v>
      </c>
      <c r="J3455" t="str">
        <f>IFERROR(VLOOKUP(E3455,'LEAID Match'!$A$2:$B$168,2,FALSE),"")</f>
        <v/>
      </c>
    </row>
    <row r="3456" spans="1:10">
      <c r="A3456">
        <v>2022</v>
      </c>
      <c r="B3456" t="s">
        <v>1429</v>
      </c>
      <c r="C3456" t="s">
        <v>1431</v>
      </c>
      <c r="D3456" t="s">
        <v>1433</v>
      </c>
      <c r="E3456" t="s">
        <v>253</v>
      </c>
      <c r="F3456" s="9" t="s">
        <v>253</v>
      </c>
      <c r="G3456" s="18">
        <v>148143</v>
      </c>
      <c r="H3456">
        <v>0</v>
      </c>
      <c r="I3456" s="29">
        <f t="shared" si="53"/>
        <v>148143</v>
      </c>
      <c r="J3456" t="str">
        <f>IFERROR(VLOOKUP(E3456,'LEAID Match'!$A$2:$B$168,2,FALSE),"")</f>
        <v/>
      </c>
    </row>
    <row r="3457" spans="1:10">
      <c r="A3457">
        <v>2023</v>
      </c>
      <c r="B3457" t="s">
        <v>1429</v>
      </c>
      <c r="C3457" t="s">
        <v>1431</v>
      </c>
      <c r="D3457" t="s">
        <v>1433</v>
      </c>
      <c r="E3457" t="s">
        <v>253</v>
      </c>
      <c r="F3457" t="s">
        <v>253</v>
      </c>
      <c r="G3457" s="28">
        <v>127775</v>
      </c>
      <c r="H3457">
        <v>0</v>
      </c>
      <c r="I3457" s="29">
        <f t="shared" si="53"/>
        <v>127775</v>
      </c>
      <c r="J3457" t="str">
        <f>IFERROR(VLOOKUP(E3457,'LEAID Match'!$A$2:$B$168,2,FALSE),"")</f>
        <v/>
      </c>
    </row>
    <row r="3458" spans="1:10">
      <c r="A3458" s="27">
        <v>2020</v>
      </c>
      <c r="B3458" t="s">
        <v>1429</v>
      </c>
      <c r="C3458" t="s">
        <v>1431</v>
      </c>
      <c r="D3458" t="s">
        <v>1433</v>
      </c>
      <c r="E3458" t="s">
        <v>254</v>
      </c>
      <c r="F3458" s="9" t="s">
        <v>254</v>
      </c>
      <c r="G3458" s="18">
        <v>1294821</v>
      </c>
      <c r="H3458">
        <v>0</v>
      </c>
      <c r="I3458" s="29">
        <f t="shared" si="53"/>
        <v>1294821</v>
      </c>
      <c r="J3458" t="str">
        <f>IFERROR(VLOOKUP(E3458,'LEAID Match'!$A$2:$B$168,2,FALSE),"")</f>
        <v/>
      </c>
    </row>
    <row r="3459" spans="1:10">
      <c r="A3459">
        <v>2021</v>
      </c>
      <c r="B3459" t="s">
        <v>1429</v>
      </c>
      <c r="C3459" t="s">
        <v>1431</v>
      </c>
      <c r="D3459" t="s">
        <v>1433</v>
      </c>
      <c r="E3459" t="s">
        <v>254</v>
      </c>
      <c r="F3459" s="9" t="s">
        <v>254</v>
      </c>
      <c r="G3459" s="18">
        <v>1330693</v>
      </c>
      <c r="H3459">
        <v>0</v>
      </c>
      <c r="I3459" s="29">
        <f t="shared" ref="I3459:I3522" si="54">SUM(G3459:H3459)</f>
        <v>1330693</v>
      </c>
      <c r="J3459" t="str">
        <f>IFERROR(VLOOKUP(E3459,'LEAID Match'!$A$2:$B$168,2,FALSE),"")</f>
        <v/>
      </c>
    </row>
    <row r="3460" spans="1:10">
      <c r="A3460">
        <v>2022</v>
      </c>
      <c r="B3460" t="s">
        <v>1429</v>
      </c>
      <c r="C3460" t="s">
        <v>1431</v>
      </c>
      <c r="D3460" t="s">
        <v>1433</v>
      </c>
      <c r="E3460" t="s">
        <v>254</v>
      </c>
      <c r="F3460" s="9" t="s">
        <v>254</v>
      </c>
      <c r="G3460" s="18">
        <v>1652240</v>
      </c>
      <c r="H3460">
        <v>0</v>
      </c>
      <c r="I3460" s="29">
        <f t="shared" si="54"/>
        <v>1652240</v>
      </c>
      <c r="J3460" t="str">
        <f>IFERROR(VLOOKUP(E3460,'LEAID Match'!$A$2:$B$168,2,FALSE),"")</f>
        <v/>
      </c>
    </row>
    <row r="3461" spans="1:10">
      <c r="A3461">
        <v>2023</v>
      </c>
      <c r="B3461" t="s">
        <v>1429</v>
      </c>
      <c r="C3461" t="s">
        <v>1431</v>
      </c>
      <c r="D3461" t="s">
        <v>1433</v>
      </c>
      <c r="E3461" t="s">
        <v>254</v>
      </c>
      <c r="F3461" t="s">
        <v>254</v>
      </c>
      <c r="G3461" s="28">
        <v>1758933</v>
      </c>
      <c r="H3461">
        <v>0</v>
      </c>
      <c r="I3461" s="29">
        <f t="shared" si="54"/>
        <v>1758933</v>
      </c>
      <c r="J3461" t="str">
        <f>IFERROR(VLOOKUP(E3461,'LEAID Match'!$A$2:$B$168,2,FALSE),"")</f>
        <v/>
      </c>
    </row>
    <row r="3462" spans="1:10">
      <c r="A3462" s="27">
        <v>2020</v>
      </c>
      <c r="B3462" t="s">
        <v>1429</v>
      </c>
      <c r="C3462" t="s">
        <v>1431</v>
      </c>
      <c r="D3462" t="s">
        <v>1433</v>
      </c>
      <c r="E3462" t="s">
        <v>255</v>
      </c>
      <c r="F3462" s="9" t="s">
        <v>255</v>
      </c>
      <c r="G3462" s="18">
        <v>104396</v>
      </c>
      <c r="H3462">
        <v>0</v>
      </c>
      <c r="I3462" s="29">
        <f t="shared" si="54"/>
        <v>104396</v>
      </c>
      <c r="J3462" t="str">
        <f>IFERROR(VLOOKUP(E3462,'LEAID Match'!$A$2:$B$168,2,FALSE),"")</f>
        <v/>
      </c>
    </row>
    <row r="3463" spans="1:10">
      <c r="A3463">
        <v>2021</v>
      </c>
      <c r="B3463" t="s">
        <v>1429</v>
      </c>
      <c r="C3463" t="s">
        <v>1431</v>
      </c>
      <c r="D3463" t="s">
        <v>1433</v>
      </c>
      <c r="E3463" t="s">
        <v>255</v>
      </c>
      <c r="F3463" s="9" t="s">
        <v>255</v>
      </c>
      <c r="G3463" s="18">
        <v>113183</v>
      </c>
      <c r="H3463">
        <v>0</v>
      </c>
      <c r="I3463" s="29">
        <f t="shared" si="54"/>
        <v>113183</v>
      </c>
      <c r="J3463" t="str">
        <f>IFERROR(VLOOKUP(E3463,'LEAID Match'!$A$2:$B$168,2,FALSE),"")</f>
        <v/>
      </c>
    </row>
    <row r="3464" spans="1:10">
      <c r="A3464">
        <v>2022</v>
      </c>
      <c r="B3464" t="s">
        <v>1429</v>
      </c>
      <c r="C3464" t="s">
        <v>1431</v>
      </c>
      <c r="D3464" t="s">
        <v>1433</v>
      </c>
      <c r="E3464" t="s">
        <v>255</v>
      </c>
      <c r="F3464" s="9" t="s">
        <v>255</v>
      </c>
      <c r="G3464" s="18">
        <v>147985</v>
      </c>
      <c r="H3464">
        <v>0</v>
      </c>
      <c r="I3464" s="29">
        <f t="shared" si="54"/>
        <v>147985</v>
      </c>
      <c r="J3464" t="str">
        <f>IFERROR(VLOOKUP(E3464,'LEAID Match'!$A$2:$B$168,2,FALSE),"")</f>
        <v/>
      </c>
    </row>
    <row r="3465" spans="1:10">
      <c r="A3465">
        <v>2023</v>
      </c>
      <c r="B3465" t="s">
        <v>1429</v>
      </c>
      <c r="C3465" t="s">
        <v>1431</v>
      </c>
      <c r="D3465" t="s">
        <v>1433</v>
      </c>
      <c r="E3465" t="s">
        <v>255</v>
      </c>
      <c r="F3465" t="s">
        <v>255</v>
      </c>
      <c r="G3465" s="28">
        <v>166997</v>
      </c>
      <c r="H3465">
        <v>0</v>
      </c>
      <c r="I3465" s="29">
        <f t="shared" si="54"/>
        <v>166997</v>
      </c>
      <c r="J3465" t="str">
        <f>IFERROR(VLOOKUP(E3465,'LEAID Match'!$A$2:$B$168,2,FALSE),"")</f>
        <v/>
      </c>
    </row>
    <row r="3466" spans="1:10">
      <c r="A3466" s="27">
        <v>2020</v>
      </c>
      <c r="B3466" t="s">
        <v>1429</v>
      </c>
      <c r="C3466" t="s">
        <v>1431</v>
      </c>
      <c r="D3466" t="s">
        <v>1433</v>
      </c>
      <c r="E3466" t="s">
        <v>256</v>
      </c>
      <c r="F3466" s="9" t="s">
        <v>256</v>
      </c>
      <c r="G3466" s="18">
        <v>29119</v>
      </c>
      <c r="H3466">
        <v>0</v>
      </c>
      <c r="I3466" s="29">
        <f t="shared" si="54"/>
        <v>29119</v>
      </c>
      <c r="J3466" t="str">
        <f>IFERROR(VLOOKUP(E3466,'LEAID Match'!$A$2:$B$168,2,FALSE),"")</f>
        <v/>
      </c>
    </row>
    <row r="3467" spans="1:10">
      <c r="A3467">
        <v>2021</v>
      </c>
      <c r="B3467" t="s">
        <v>1429</v>
      </c>
      <c r="C3467" t="s">
        <v>1431</v>
      </c>
      <c r="D3467" t="s">
        <v>1433</v>
      </c>
      <c r="E3467" t="s">
        <v>256</v>
      </c>
      <c r="F3467" s="9" t="s">
        <v>256</v>
      </c>
      <c r="G3467" s="18">
        <v>16123</v>
      </c>
      <c r="H3467">
        <v>0</v>
      </c>
      <c r="I3467" s="29">
        <f t="shared" si="54"/>
        <v>16123</v>
      </c>
      <c r="J3467" t="str">
        <f>IFERROR(VLOOKUP(E3467,'LEAID Match'!$A$2:$B$168,2,FALSE),"")</f>
        <v/>
      </c>
    </row>
    <row r="3468" spans="1:10">
      <c r="A3468">
        <v>2022</v>
      </c>
      <c r="B3468" t="s">
        <v>1429</v>
      </c>
      <c r="C3468" t="s">
        <v>1431</v>
      </c>
      <c r="D3468" t="s">
        <v>1433</v>
      </c>
      <c r="E3468" t="s">
        <v>256</v>
      </c>
      <c r="F3468" s="9" t="s">
        <v>256</v>
      </c>
      <c r="G3468" s="18">
        <v>38550</v>
      </c>
      <c r="H3468">
        <v>0</v>
      </c>
      <c r="I3468" s="29">
        <f t="shared" si="54"/>
        <v>38550</v>
      </c>
      <c r="J3468" t="str">
        <f>IFERROR(VLOOKUP(E3468,'LEAID Match'!$A$2:$B$168,2,FALSE),"")</f>
        <v/>
      </c>
    </row>
    <row r="3469" spans="1:10">
      <c r="A3469">
        <v>2023</v>
      </c>
      <c r="B3469" t="s">
        <v>1429</v>
      </c>
      <c r="C3469" t="s">
        <v>1431</v>
      </c>
      <c r="D3469" t="s">
        <v>1433</v>
      </c>
      <c r="E3469" t="s">
        <v>256</v>
      </c>
      <c r="F3469" t="s">
        <v>256</v>
      </c>
      <c r="G3469" s="28">
        <v>45446</v>
      </c>
      <c r="H3469">
        <v>0</v>
      </c>
      <c r="I3469" s="29">
        <f t="shared" si="54"/>
        <v>45446</v>
      </c>
      <c r="J3469" t="str">
        <f>IFERROR(VLOOKUP(E3469,'LEAID Match'!$A$2:$B$168,2,FALSE),"")</f>
        <v/>
      </c>
    </row>
    <row r="3470" spans="1:10">
      <c r="A3470" s="27">
        <v>2020</v>
      </c>
      <c r="B3470" t="s">
        <v>1429</v>
      </c>
      <c r="C3470" t="s">
        <v>1431</v>
      </c>
      <c r="D3470" t="s">
        <v>1433</v>
      </c>
      <c r="E3470" t="s">
        <v>257</v>
      </c>
      <c r="F3470" s="9" t="s">
        <v>257</v>
      </c>
      <c r="G3470" s="18">
        <v>256842</v>
      </c>
      <c r="H3470">
        <v>0</v>
      </c>
      <c r="I3470" s="29">
        <f t="shared" si="54"/>
        <v>256842</v>
      </c>
      <c r="J3470" t="str">
        <f>IFERROR(VLOOKUP(E3470,'LEAID Match'!$A$2:$B$168,2,FALSE),"")</f>
        <v/>
      </c>
    </row>
    <row r="3471" spans="1:10">
      <c r="A3471">
        <v>2021</v>
      </c>
      <c r="B3471" t="s">
        <v>1429</v>
      </c>
      <c r="C3471" t="s">
        <v>1431</v>
      </c>
      <c r="D3471" t="s">
        <v>1433</v>
      </c>
      <c r="E3471" t="s">
        <v>257</v>
      </c>
      <c r="F3471" s="9" t="s">
        <v>257</v>
      </c>
      <c r="G3471" s="18">
        <v>265198</v>
      </c>
      <c r="H3471">
        <v>0</v>
      </c>
      <c r="I3471" s="29">
        <f t="shared" si="54"/>
        <v>265198</v>
      </c>
      <c r="J3471" t="str">
        <f>IFERROR(VLOOKUP(E3471,'LEAID Match'!$A$2:$B$168,2,FALSE),"")</f>
        <v/>
      </c>
    </row>
    <row r="3472" spans="1:10">
      <c r="A3472">
        <v>2022</v>
      </c>
      <c r="B3472" t="s">
        <v>1429</v>
      </c>
      <c r="C3472" t="s">
        <v>1431</v>
      </c>
      <c r="D3472" t="s">
        <v>1433</v>
      </c>
      <c r="E3472" t="s">
        <v>257</v>
      </c>
      <c r="F3472" s="9" t="s">
        <v>257</v>
      </c>
      <c r="G3472" s="18">
        <v>323166</v>
      </c>
      <c r="H3472">
        <v>0</v>
      </c>
      <c r="I3472" s="29">
        <f t="shared" si="54"/>
        <v>323166</v>
      </c>
      <c r="J3472" t="str">
        <f>IFERROR(VLOOKUP(E3472,'LEAID Match'!$A$2:$B$168,2,FALSE),"")</f>
        <v/>
      </c>
    </row>
    <row r="3473" spans="1:10">
      <c r="A3473">
        <v>2023</v>
      </c>
      <c r="B3473" t="s">
        <v>1429</v>
      </c>
      <c r="C3473" t="s">
        <v>1431</v>
      </c>
      <c r="D3473" t="s">
        <v>1433</v>
      </c>
      <c r="E3473" t="s">
        <v>257</v>
      </c>
      <c r="F3473" t="s">
        <v>257</v>
      </c>
      <c r="G3473" s="28">
        <v>355332</v>
      </c>
      <c r="H3473">
        <v>0</v>
      </c>
      <c r="I3473" s="29">
        <f t="shared" si="54"/>
        <v>355332</v>
      </c>
      <c r="J3473" t="str">
        <f>IFERROR(VLOOKUP(E3473,'LEAID Match'!$A$2:$B$168,2,FALSE),"")</f>
        <v/>
      </c>
    </row>
    <row r="3474" spans="1:10">
      <c r="A3474" s="27">
        <v>2020</v>
      </c>
      <c r="B3474" t="s">
        <v>1429</v>
      </c>
      <c r="C3474" t="s">
        <v>1431</v>
      </c>
      <c r="D3474" t="s">
        <v>1433</v>
      </c>
      <c r="E3474" t="s">
        <v>258</v>
      </c>
      <c r="F3474" s="9" t="s">
        <v>258</v>
      </c>
      <c r="G3474" s="18">
        <v>547209</v>
      </c>
      <c r="H3474">
        <v>0</v>
      </c>
      <c r="I3474" s="29">
        <f t="shared" si="54"/>
        <v>547209</v>
      </c>
      <c r="J3474" t="str">
        <f>IFERROR(VLOOKUP(E3474,'LEAID Match'!$A$2:$B$168,2,FALSE),"")</f>
        <v/>
      </c>
    </row>
    <row r="3475" spans="1:10">
      <c r="A3475">
        <v>2021</v>
      </c>
      <c r="B3475" t="s">
        <v>1429</v>
      </c>
      <c r="C3475" t="s">
        <v>1431</v>
      </c>
      <c r="D3475" t="s">
        <v>1433</v>
      </c>
      <c r="E3475" t="s">
        <v>258</v>
      </c>
      <c r="F3475" s="9" t="s">
        <v>258</v>
      </c>
      <c r="G3475" s="18">
        <v>577223</v>
      </c>
      <c r="H3475">
        <v>0</v>
      </c>
      <c r="I3475" s="29">
        <f t="shared" si="54"/>
        <v>577223</v>
      </c>
      <c r="J3475" t="str">
        <f>IFERROR(VLOOKUP(E3475,'LEAID Match'!$A$2:$B$168,2,FALSE),"")</f>
        <v/>
      </c>
    </row>
    <row r="3476" spans="1:10">
      <c r="A3476">
        <v>2022</v>
      </c>
      <c r="B3476" t="s">
        <v>1429</v>
      </c>
      <c r="C3476" t="s">
        <v>1431</v>
      </c>
      <c r="D3476" t="s">
        <v>1433</v>
      </c>
      <c r="E3476" t="s">
        <v>258</v>
      </c>
      <c r="F3476" s="9" t="s">
        <v>258</v>
      </c>
      <c r="G3476" s="18">
        <v>735374</v>
      </c>
      <c r="H3476">
        <v>0</v>
      </c>
      <c r="I3476" s="29">
        <f t="shared" si="54"/>
        <v>735374</v>
      </c>
      <c r="J3476" t="str">
        <f>IFERROR(VLOOKUP(E3476,'LEAID Match'!$A$2:$B$168,2,FALSE),"")</f>
        <v/>
      </c>
    </row>
    <row r="3477" spans="1:10">
      <c r="A3477">
        <v>2023</v>
      </c>
      <c r="B3477" t="s">
        <v>1429</v>
      </c>
      <c r="C3477" t="s">
        <v>1431</v>
      </c>
      <c r="D3477" t="s">
        <v>1433</v>
      </c>
      <c r="E3477" t="s">
        <v>258</v>
      </c>
      <c r="F3477" t="s">
        <v>258</v>
      </c>
      <c r="G3477" s="28">
        <v>797765</v>
      </c>
      <c r="H3477">
        <v>0</v>
      </c>
      <c r="I3477" s="29">
        <f t="shared" si="54"/>
        <v>797765</v>
      </c>
      <c r="J3477" t="str">
        <f>IFERROR(VLOOKUP(E3477,'LEAID Match'!$A$2:$B$168,2,FALSE),"")</f>
        <v/>
      </c>
    </row>
    <row r="3478" spans="1:10">
      <c r="A3478" s="27">
        <v>2020</v>
      </c>
      <c r="B3478" t="s">
        <v>1429</v>
      </c>
      <c r="C3478" t="s">
        <v>1431</v>
      </c>
      <c r="D3478" t="s">
        <v>1433</v>
      </c>
      <c r="E3478" t="s">
        <v>259</v>
      </c>
      <c r="F3478" s="9" t="s">
        <v>259</v>
      </c>
      <c r="G3478" s="18">
        <v>193812</v>
      </c>
      <c r="H3478">
        <v>0</v>
      </c>
      <c r="I3478" s="29">
        <f t="shared" si="54"/>
        <v>193812</v>
      </c>
      <c r="J3478" t="str">
        <f>IFERROR(VLOOKUP(E3478,'LEAID Match'!$A$2:$B$168,2,FALSE),"")</f>
        <v/>
      </c>
    </row>
    <row r="3479" spans="1:10">
      <c r="A3479">
        <v>2021</v>
      </c>
      <c r="B3479" t="s">
        <v>1429</v>
      </c>
      <c r="C3479" t="s">
        <v>1431</v>
      </c>
      <c r="D3479" t="s">
        <v>1433</v>
      </c>
      <c r="E3479" t="s">
        <v>259</v>
      </c>
      <c r="F3479" s="9" t="s">
        <v>259</v>
      </c>
      <c r="G3479" s="18">
        <v>197316</v>
      </c>
      <c r="H3479">
        <v>0</v>
      </c>
      <c r="I3479" s="29">
        <f t="shared" si="54"/>
        <v>197316</v>
      </c>
      <c r="J3479" t="str">
        <f>IFERROR(VLOOKUP(E3479,'LEAID Match'!$A$2:$B$168,2,FALSE),"")</f>
        <v/>
      </c>
    </row>
    <row r="3480" spans="1:10">
      <c r="A3480">
        <v>2022</v>
      </c>
      <c r="B3480" t="s">
        <v>1429</v>
      </c>
      <c r="C3480" t="s">
        <v>1431</v>
      </c>
      <c r="D3480" t="s">
        <v>1433</v>
      </c>
      <c r="E3480" t="s">
        <v>259</v>
      </c>
      <c r="F3480" s="9" t="s">
        <v>259</v>
      </c>
      <c r="G3480" s="18">
        <v>264043</v>
      </c>
      <c r="H3480">
        <v>0</v>
      </c>
      <c r="I3480" s="29">
        <f t="shared" si="54"/>
        <v>264043</v>
      </c>
      <c r="J3480" t="str">
        <f>IFERROR(VLOOKUP(E3480,'LEAID Match'!$A$2:$B$168,2,FALSE),"")</f>
        <v/>
      </c>
    </row>
    <row r="3481" spans="1:10">
      <c r="A3481">
        <v>2023</v>
      </c>
      <c r="B3481" t="s">
        <v>1429</v>
      </c>
      <c r="C3481" t="s">
        <v>1431</v>
      </c>
      <c r="D3481" t="s">
        <v>1433</v>
      </c>
      <c r="E3481" t="s">
        <v>259</v>
      </c>
      <c r="F3481" t="s">
        <v>259</v>
      </c>
      <c r="G3481" s="28">
        <v>278456</v>
      </c>
      <c r="H3481">
        <v>0</v>
      </c>
      <c r="I3481" s="29">
        <f t="shared" si="54"/>
        <v>278456</v>
      </c>
      <c r="J3481" t="str">
        <f>IFERROR(VLOOKUP(E3481,'LEAID Match'!$A$2:$B$168,2,FALSE),"")</f>
        <v/>
      </c>
    </row>
    <row r="3482" spans="1:10">
      <c r="A3482" s="27">
        <v>2020</v>
      </c>
      <c r="B3482" t="s">
        <v>1429</v>
      </c>
      <c r="C3482" t="s">
        <v>1431</v>
      </c>
      <c r="D3482" t="s">
        <v>1433</v>
      </c>
      <c r="E3482" t="s">
        <v>260</v>
      </c>
      <c r="F3482" s="9" t="s">
        <v>260</v>
      </c>
      <c r="G3482" s="18">
        <v>1606136</v>
      </c>
      <c r="H3482">
        <v>0</v>
      </c>
      <c r="I3482" s="29">
        <f t="shared" si="54"/>
        <v>1606136</v>
      </c>
      <c r="J3482" t="str">
        <f>IFERROR(VLOOKUP(E3482,'LEAID Match'!$A$2:$B$168,2,FALSE),"")</f>
        <v/>
      </c>
    </row>
    <row r="3483" spans="1:10">
      <c r="A3483">
        <v>2021</v>
      </c>
      <c r="B3483" t="s">
        <v>1429</v>
      </c>
      <c r="C3483" t="s">
        <v>1431</v>
      </c>
      <c r="D3483" t="s">
        <v>1433</v>
      </c>
      <c r="E3483" t="s">
        <v>260</v>
      </c>
      <c r="F3483" s="9" t="s">
        <v>260</v>
      </c>
      <c r="G3483" s="18">
        <v>1625983</v>
      </c>
      <c r="H3483">
        <v>0</v>
      </c>
      <c r="I3483" s="29">
        <f t="shared" si="54"/>
        <v>1625983</v>
      </c>
      <c r="J3483" t="str">
        <f>IFERROR(VLOOKUP(E3483,'LEAID Match'!$A$2:$B$168,2,FALSE),"")</f>
        <v/>
      </c>
    </row>
    <row r="3484" spans="1:10">
      <c r="A3484">
        <v>2022</v>
      </c>
      <c r="B3484" t="s">
        <v>1429</v>
      </c>
      <c r="C3484" t="s">
        <v>1431</v>
      </c>
      <c r="D3484" t="s">
        <v>1433</v>
      </c>
      <c r="E3484" t="s">
        <v>260</v>
      </c>
      <c r="F3484" s="9" t="s">
        <v>260</v>
      </c>
      <c r="G3484" s="18">
        <v>1970081</v>
      </c>
      <c r="H3484">
        <v>0</v>
      </c>
      <c r="I3484" s="29">
        <f t="shared" si="54"/>
        <v>1970081</v>
      </c>
      <c r="J3484" t="str">
        <f>IFERROR(VLOOKUP(E3484,'LEAID Match'!$A$2:$B$168,2,FALSE),"")</f>
        <v/>
      </c>
    </row>
    <row r="3485" spans="1:10">
      <c r="A3485">
        <v>2023</v>
      </c>
      <c r="B3485" t="s">
        <v>1429</v>
      </c>
      <c r="C3485" t="s">
        <v>1431</v>
      </c>
      <c r="D3485" t="s">
        <v>1433</v>
      </c>
      <c r="E3485" t="s">
        <v>260</v>
      </c>
      <c r="F3485" t="s">
        <v>260</v>
      </c>
      <c r="G3485" s="28">
        <v>2097179</v>
      </c>
      <c r="H3485">
        <v>0</v>
      </c>
      <c r="I3485" s="29">
        <f t="shared" si="54"/>
        <v>2097179</v>
      </c>
      <c r="J3485" t="str">
        <f>IFERROR(VLOOKUP(E3485,'LEAID Match'!$A$2:$B$168,2,FALSE),"")</f>
        <v/>
      </c>
    </row>
    <row r="3486" spans="1:10">
      <c r="A3486" s="27">
        <v>2020</v>
      </c>
      <c r="B3486" t="s">
        <v>1429</v>
      </c>
      <c r="C3486" t="s">
        <v>1431</v>
      </c>
      <c r="D3486" t="s">
        <v>1433</v>
      </c>
      <c r="E3486" t="s">
        <v>261</v>
      </c>
      <c r="F3486" s="9" t="s">
        <v>261</v>
      </c>
      <c r="G3486" s="18">
        <v>216082</v>
      </c>
      <c r="H3486">
        <v>0</v>
      </c>
      <c r="I3486" s="29">
        <f t="shared" si="54"/>
        <v>216082</v>
      </c>
      <c r="J3486" t="str">
        <f>IFERROR(VLOOKUP(E3486,'LEAID Match'!$A$2:$B$168,2,FALSE),"")</f>
        <v/>
      </c>
    </row>
    <row r="3487" spans="1:10">
      <c r="A3487">
        <v>2021</v>
      </c>
      <c r="B3487" t="s">
        <v>1429</v>
      </c>
      <c r="C3487" t="s">
        <v>1431</v>
      </c>
      <c r="D3487" t="s">
        <v>1433</v>
      </c>
      <c r="E3487" t="s">
        <v>261</v>
      </c>
      <c r="F3487" s="9" t="s">
        <v>261</v>
      </c>
      <c r="G3487" s="18">
        <v>212649</v>
      </c>
      <c r="H3487">
        <v>0</v>
      </c>
      <c r="I3487" s="29">
        <f t="shared" si="54"/>
        <v>212649</v>
      </c>
      <c r="J3487" t="str">
        <f>IFERROR(VLOOKUP(E3487,'LEAID Match'!$A$2:$B$168,2,FALSE),"")</f>
        <v/>
      </c>
    </row>
    <row r="3488" spans="1:10">
      <c r="A3488">
        <v>2022</v>
      </c>
      <c r="B3488" t="s">
        <v>1429</v>
      </c>
      <c r="C3488" t="s">
        <v>1431</v>
      </c>
      <c r="D3488" t="s">
        <v>1433</v>
      </c>
      <c r="E3488" t="s">
        <v>261</v>
      </c>
      <c r="F3488" s="9" t="s">
        <v>261</v>
      </c>
      <c r="G3488" s="18">
        <v>267330</v>
      </c>
      <c r="H3488">
        <v>0</v>
      </c>
      <c r="I3488" s="29">
        <f t="shared" si="54"/>
        <v>267330</v>
      </c>
      <c r="J3488" t="str">
        <f>IFERROR(VLOOKUP(E3488,'LEAID Match'!$A$2:$B$168,2,FALSE),"")</f>
        <v/>
      </c>
    </row>
    <row r="3489" spans="1:10">
      <c r="A3489">
        <v>2023</v>
      </c>
      <c r="B3489" t="s">
        <v>1429</v>
      </c>
      <c r="C3489" t="s">
        <v>1431</v>
      </c>
      <c r="D3489" t="s">
        <v>1433</v>
      </c>
      <c r="E3489" t="s">
        <v>261</v>
      </c>
      <c r="F3489" t="s">
        <v>261</v>
      </c>
      <c r="G3489" s="28">
        <v>347941</v>
      </c>
      <c r="H3489">
        <v>0</v>
      </c>
      <c r="I3489" s="29">
        <f t="shared" si="54"/>
        <v>347941</v>
      </c>
      <c r="J3489" t="str">
        <f>IFERROR(VLOOKUP(E3489,'LEAID Match'!$A$2:$B$168,2,FALSE),"")</f>
        <v/>
      </c>
    </row>
    <row r="3490" spans="1:10">
      <c r="A3490" s="27">
        <v>2020</v>
      </c>
      <c r="B3490" t="s">
        <v>1429</v>
      </c>
      <c r="C3490" t="s">
        <v>1431</v>
      </c>
      <c r="D3490" t="s">
        <v>1433</v>
      </c>
      <c r="E3490" t="s">
        <v>262</v>
      </c>
      <c r="F3490" s="9" t="s">
        <v>262</v>
      </c>
      <c r="G3490" s="18">
        <v>83023</v>
      </c>
      <c r="H3490">
        <v>0</v>
      </c>
      <c r="I3490" s="29">
        <f t="shared" si="54"/>
        <v>83023</v>
      </c>
      <c r="J3490" t="str">
        <f>IFERROR(VLOOKUP(E3490,'LEAID Match'!$A$2:$B$168,2,FALSE),"")</f>
        <v/>
      </c>
    </row>
    <row r="3491" spans="1:10">
      <c r="A3491">
        <v>2021</v>
      </c>
      <c r="B3491" t="s">
        <v>1429</v>
      </c>
      <c r="C3491" t="s">
        <v>1431</v>
      </c>
      <c r="D3491" t="s">
        <v>1433</v>
      </c>
      <c r="E3491" t="s">
        <v>262</v>
      </c>
      <c r="F3491" s="9" t="s">
        <v>262</v>
      </c>
      <c r="G3491" s="18">
        <v>89737</v>
      </c>
      <c r="H3491">
        <v>0</v>
      </c>
      <c r="I3491" s="29">
        <f t="shared" si="54"/>
        <v>89737</v>
      </c>
      <c r="J3491" t="str">
        <f>IFERROR(VLOOKUP(E3491,'LEAID Match'!$A$2:$B$168,2,FALSE),"")</f>
        <v/>
      </c>
    </row>
    <row r="3492" spans="1:10">
      <c r="A3492">
        <v>2022</v>
      </c>
      <c r="B3492" t="s">
        <v>1429</v>
      </c>
      <c r="C3492" t="s">
        <v>1431</v>
      </c>
      <c r="D3492" t="s">
        <v>1433</v>
      </c>
      <c r="E3492" t="s">
        <v>262</v>
      </c>
      <c r="F3492" s="9" t="s">
        <v>262</v>
      </c>
      <c r="G3492" s="18">
        <v>126107</v>
      </c>
      <c r="H3492">
        <v>0</v>
      </c>
      <c r="I3492" s="29">
        <f t="shared" si="54"/>
        <v>126107</v>
      </c>
      <c r="J3492" t="str">
        <f>IFERROR(VLOOKUP(E3492,'LEAID Match'!$A$2:$B$168,2,FALSE),"")</f>
        <v/>
      </c>
    </row>
    <row r="3493" spans="1:10">
      <c r="A3493">
        <v>2023</v>
      </c>
      <c r="B3493" t="s">
        <v>1429</v>
      </c>
      <c r="C3493" t="s">
        <v>1431</v>
      </c>
      <c r="D3493" t="s">
        <v>1433</v>
      </c>
      <c r="E3493" t="s">
        <v>262</v>
      </c>
      <c r="F3493" t="s">
        <v>262</v>
      </c>
      <c r="G3493" s="28">
        <v>131037</v>
      </c>
      <c r="H3493">
        <v>0</v>
      </c>
      <c r="I3493" s="29">
        <f t="shared" si="54"/>
        <v>131037</v>
      </c>
      <c r="J3493" t="str">
        <f>IFERROR(VLOOKUP(E3493,'LEAID Match'!$A$2:$B$168,2,FALSE),"")</f>
        <v/>
      </c>
    </row>
    <row r="3494" spans="1:10">
      <c r="A3494" s="27">
        <v>2020</v>
      </c>
      <c r="B3494" t="s">
        <v>1429</v>
      </c>
      <c r="C3494" t="s">
        <v>1431</v>
      </c>
      <c r="D3494" t="s">
        <v>1433</v>
      </c>
      <c r="E3494" t="s">
        <v>263</v>
      </c>
      <c r="F3494" s="9" t="s">
        <v>263</v>
      </c>
      <c r="G3494" s="18">
        <v>23814</v>
      </c>
      <c r="H3494">
        <v>0</v>
      </c>
      <c r="I3494" s="29">
        <f t="shared" si="54"/>
        <v>23814</v>
      </c>
      <c r="J3494" t="str">
        <f>IFERROR(VLOOKUP(E3494,'LEAID Match'!$A$2:$B$168,2,FALSE),"")</f>
        <v/>
      </c>
    </row>
    <row r="3495" spans="1:10">
      <c r="A3495">
        <v>2021</v>
      </c>
      <c r="B3495" t="s">
        <v>1429</v>
      </c>
      <c r="C3495" t="s">
        <v>1431</v>
      </c>
      <c r="D3495" t="s">
        <v>1433</v>
      </c>
      <c r="E3495" t="s">
        <v>263</v>
      </c>
      <c r="F3495" s="9" t="s">
        <v>263</v>
      </c>
      <c r="G3495" s="18">
        <v>24379</v>
      </c>
      <c r="H3495">
        <v>0</v>
      </c>
      <c r="I3495" s="29">
        <f t="shared" si="54"/>
        <v>24379</v>
      </c>
      <c r="J3495" t="str">
        <f>IFERROR(VLOOKUP(E3495,'LEAID Match'!$A$2:$B$168,2,FALSE),"")</f>
        <v/>
      </c>
    </row>
    <row r="3496" spans="1:10">
      <c r="A3496">
        <v>2022</v>
      </c>
      <c r="B3496" t="s">
        <v>1429</v>
      </c>
      <c r="C3496" t="s">
        <v>1431</v>
      </c>
      <c r="D3496" t="s">
        <v>1433</v>
      </c>
      <c r="E3496" t="s">
        <v>263</v>
      </c>
      <c r="F3496" s="9" t="s">
        <v>263</v>
      </c>
      <c r="G3496" s="18">
        <v>42649</v>
      </c>
      <c r="H3496">
        <v>0</v>
      </c>
      <c r="I3496" s="29">
        <f t="shared" si="54"/>
        <v>42649</v>
      </c>
      <c r="J3496" t="str">
        <f>IFERROR(VLOOKUP(E3496,'LEAID Match'!$A$2:$B$168,2,FALSE),"")</f>
        <v/>
      </c>
    </row>
    <row r="3497" spans="1:10">
      <c r="A3497">
        <v>2023</v>
      </c>
      <c r="B3497" t="s">
        <v>1429</v>
      </c>
      <c r="C3497" t="s">
        <v>1431</v>
      </c>
      <c r="D3497" t="s">
        <v>1433</v>
      </c>
      <c r="E3497" t="s">
        <v>263</v>
      </c>
      <c r="F3497" t="s">
        <v>263</v>
      </c>
      <c r="G3497" s="28">
        <v>49983</v>
      </c>
      <c r="H3497">
        <v>0</v>
      </c>
      <c r="I3497" s="29">
        <f t="shared" si="54"/>
        <v>49983</v>
      </c>
      <c r="J3497" t="str">
        <f>IFERROR(VLOOKUP(E3497,'LEAID Match'!$A$2:$B$168,2,FALSE),"")</f>
        <v/>
      </c>
    </row>
    <row r="3498" spans="1:10">
      <c r="A3498" s="27">
        <v>2020</v>
      </c>
      <c r="B3498" t="s">
        <v>1429</v>
      </c>
      <c r="C3498" t="s">
        <v>1431</v>
      </c>
      <c r="D3498" t="s">
        <v>1433</v>
      </c>
      <c r="E3498" t="s">
        <v>264</v>
      </c>
      <c r="F3498" s="9" t="s">
        <v>264</v>
      </c>
      <c r="G3498" s="18">
        <v>51061</v>
      </c>
      <c r="H3498">
        <v>0</v>
      </c>
      <c r="I3498" s="29">
        <f t="shared" si="54"/>
        <v>51061</v>
      </c>
      <c r="J3498" t="str">
        <f>IFERROR(VLOOKUP(E3498,'LEAID Match'!$A$2:$B$168,2,FALSE),"")</f>
        <v/>
      </c>
    </row>
    <row r="3499" spans="1:10">
      <c r="A3499">
        <v>2021</v>
      </c>
      <c r="B3499" t="s">
        <v>1429</v>
      </c>
      <c r="C3499" t="s">
        <v>1431</v>
      </c>
      <c r="D3499" t="s">
        <v>1433</v>
      </c>
      <c r="E3499" t="s">
        <v>264</v>
      </c>
      <c r="F3499" s="9" t="s">
        <v>264</v>
      </c>
      <c r="G3499" s="18">
        <v>55391</v>
      </c>
      <c r="H3499">
        <v>0</v>
      </c>
      <c r="I3499" s="29">
        <f t="shared" si="54"/>
        <v>55391</v>
      </c>
      <c r="J3499" t="str">
        <f>IFERROR(VLOOKUP(E3499,'LEAID Match'!$A$2:$B$168,2,FALSE),"")</f>
        <v/>
      </c>
    </row>
    <row r="3500" spans="1:10">
      <c r="A3500">
        <v>2022</v>
      </c>
      <c r="B3500" t="s">
        <v>1429</v>
      </c>
      <c r="C3500" t="s">
        <v>1431</v>
      </c>
      <c r="D3500" t="s">
        <v>1433</v>
      </c>
      <c r="E3500" t="s">
        <v>264</v>
      </c>
      <c r="F3500" s="9" t="s">
        <v>264</v>
      </c>
      <c r="G3500" s="18">
        <v>79534</v>
      </c>
      <c r="H3500">
        <v>0</v>
      </c>
      <c r="I3500" s="29">
        <f t="shared" si="54"/>
        <v>79534</v>
      </c>
      <c r="J3500" t="str">
        <f>IFERROR(VLOOKUP(E3500,'LEAID Match'!$A$2:$B$168,2,FALSE),"")</f>
        <v/>
      </c>
    </row>
    <row r="3501" spans="1:10">
      <c r="A3501">
        <v>2023</v>
      </c>
      <c r="B3501" t="s">
        <v>1429</v>
      </c>
      <c r="C3501" t="s">
        <v>1431</v>
      </c>
      <c r="D3501" t="s">
        <v>1433</v>
      </c>
      <c r="E3501" t="s">
        <v>264</v>
      </c>
      <c r="F3501" t="s">
        <v>264</v>
      </c>
      <c r="G3501" s="28">
        <v>84000</v>
      </c>
      <c r="H3501">
        <v>0</v>
      </c>
      <c r="I3501" s="29">
        <f t="shared" si="54"/>
        <v>84000</v>
      </c>
      <c r="J3501" t="str">
        <f>IFERROR(VLOOKUP(E3501,'LEAID Match'!$A$2:$B$168,2,FALSE),"")</f>
        <v/>
      </c>
    </row>
    <row r="3502" spans="1:10">
      <c r="A3502" s="27">
        <v>2020</v>
      </c>
      <c r="B3502" t="s">
        <v>1429</v>
      </c>
      <c r="C3502" t="s">
        <v>1431</v>
      </c>
      <c r="D3502" t="s">
        <v>1433</v>
      </c>
      <c r="E3502" t="s">
        <v>265</v>
      </c>
      <c r="F3502" s="9" t="s">
        <v>265</v>
      </c>
      <c r="G3502" s="18">
        <v>39697</v>
      </c>
      <c r="H3502">
        <v>0</v>
      </c>
      <c r="I3502" s="29">
        <f t="shared" si="54"/>
        <v>39697</v>
      </c>
      <c r="J3502" t="str">
        <f>IFERROR(VLOOKUP(E3502,'LEAID Match'!$A$2:$B$168,2,FALSE),"")</f>
        <v/>
      </c>
    </row>
    <row r="3503" spans="1:10">
      <c r="A3503">
        <v>2021</v>
      </c>
      <c r="B3503" t="s">
        <v>1429</v>
      </c>
      <c r="C3503" t="s">
        <v>1431</v>
      </c>
      <c r="D3503" t="s">
        <v>1433</v>
      </c>
      <c r="E3503" t="s">
        <v>265</v>
      </c>
      <c r="F3503" s="9" t="s">
        <v>265</v>
      </c>
      <c r="G3503" s="18">
        <v>44355</v>
      </c>
      <c r="H3503">
        <v>0</v>
      </c>
      <c r="I3503" s="29">
        <f t="shared" si="54"/>
        <v>44355</v>
      </c>
      <c r="J3503" t="str">
        <f>IFERROR(VLOOKUP(E3503,'LEAID Match'!$A$2:$B$168,2,FALSE),"")</f>
        <v/>
      </c>
    </row>
    <row r="3504" spans="1:10">
      <c r="A3504">
        <v>2022</v>
      </c>
      <c r="B3504" t="s">
        <v>1429</v>
      </c>
      <c r="C3504" t="s">
        <v>1431</v>
      </c>
      <c r="D3504" t="s">
        <v>1433</v>
      </c>
      <c r="E3504" t="s">
        <v>265</v>
      </c>
      <c r="F3504" s="9" t="s">
        <v>265</v>
      </c>
      <c r="G3504" s="18">
        <v>47336</v>
      </c>
      <c r="H3504">
        <v>0</v>
      </c>
      <c r="I3504" s="29">
        <f t="shared" si="54"/>
        <v>47336</v>
      </c>
      <c r="J3504" t="str">
        <f>IFERROR(VLOOKUP(E3504,'LEAID Match'!$A$2:$B$168,2,FALSE),"")</f>
        <v/>
      </c>
    </row>
    <row r="3505" spans="1:10">
      <c r="A3505">
        <v>2023</v>
      </c>
      <c r="B3505" t="s">
        <v>1429</v>
      </c>
      <c r="C3505" t="s">
        <v>1431</v>
      </c>
      <c r="D3505" t="s">
        <v>1433</v>
      </c>
      <c r="E3505" t="s">
        <v>265</v>
      </c>
      <c r="F3505" t="s">
        <v>265</v>
      </c>
      <c r="G3505" s="28">
        <v>62744</v>
      </c>
      <c r="H3505">
        <v>0</v>
      </c>
      <c r="I3505" s="29">
        <f t="shared" si="54"/>
        <v>62744</v>
      </c>
      <c r="J3505" t="str">
        <f>IFERROR(VLOOKUP(E3505,'LEAID Match'!$A$2:$B$168,2,FALSE),"")</f>
        <v/>
      </c>
    </row>
    <row r="3506" spans="1:10">
      <c r="A3506">
        <v>2022</v>
      </c>
      <c r="B3506" t="s">
        <v>1429</v>
      </c>
      <c r="C3506" t="s">
        <v>1431</v>
      </c>
      <c r="D3506" t="s">
        <v>1433</v>
      </c>
      <c r="E3506" t="s">
        <v>266</v>
      </c>
      <c r="F3506" s="9" t="s">
        <v>266</v>
      </c>
      <c r="G3506" s="18">
        <v>128946</v>
      </c>
      <c r="H3506">
        <v>0</v>
      </c>
      <c r="I3506" s="29">
        <f t="shared" si="54"/>
        <v>128946</v>
      </c>
      <c r="J3506" t="str">
        <f>IFERROR(VLOOKUP(E3506,'LEAID Match'!$A$2:$B$168,2,FALSE),"")</f>
        <v/>
      </c>
    </row>
    <row r="3507" spans="1:10">
      <c r="A3507">
        <v>2023</v>
      </c>
      <c r="B3507" t="s">
        <v>1429</v>
      </c>
      <c r="C3507" t="s">
        <v>1431</v>
      </c>
      <c r="D3507" t="s">
        <v>1433</v>
      </c>
      <c r="E3507" t="s">
        <v>266</v>
      </c>
      <c r="F3507" t="s">
        <v>266</v>
      </c>
      <c r="G3507" s="28">
        <v>133562</v>
      </c>
      <c r="H3507">
        <v>0</v>
      </c>
      <c r="I3507" s="29">
        <f t="shared" si="54"/>
        <v>133562</v>
      </c>
      <c r="J3507" t="str">
        <f>IFERROR(VLOOKUP(E3507,'LEAID Match'!$A$2:$B$168,2,FALSE),"")</f>
        <v/>
      </c>
    </row>
    <row r="3508" spans="1:10">
      <c r="A3508" s="27">
        <v>2020</v>
      </c>
      <c r="B3508" t="s">
        <v>1429</v>
      </c>
      <c r="C3508" t="s">
        <v>1431</v>
      </c>
      <c r="D3508" t="s">
        <v>1433</v>
      </c>
      <c r="E3508" t="s">
        <v>267</v>
      </c>
      <c r="F3508" s="9" t="s">
        <v>267</v>
      </c>
      <c r="G3508" s="18">
        <v>841134</v>
      </c>
      <c r="H3508">
        <v>0</v>
      </c>
      <c r="I3508" s="29">
        <f t="shared" si="54"/>
        <v>841134</v>
      </c>
      <c r="J3508" t="str">
        <f>IFERROR(VLOOKUP(E3508,'LEAID Match'!$A$2:$B$168,2,FALSE),"")</f>
        <v/>
      </c>
    </row>
    <row r="3509" spans="1:10">
      <c r="A3509">
        <v>2021</v>
      </c>
      <c r="B3509" t="s">
        <v>1429</v>
      </c>
      <c r="C3509" t="s">
        <v>1431</v>
      </c>
      <c r="D3509" t="s">
        <v>1433</v>
      </c>
      <c r="E3509" t="s">
        <v>267</v>
      </c>
      <c r="F3509" s="9" t="s">
        <v>267</v>
      </c>
      <c r="G3509" s="18">
        <v>922984</v>
      </c>
      <c r="H3509">
        <v>0</v>
      </c>
      <c r="I3509" s="29">
        <f t="shared" si="54"/>
        <v>922984</v>
      </c>
      <c r="J3509" t="str">
        <f>IFERROR(VLOOKUP(E3509,'LEAID Match'!$A$2:$B$168,2,FALSE),"")</f>
        <v/>
      </c>
    </row>
    <row r="3510" spans="1:10">
      <c r="A3510">
        <v>2022</v>
      </c>
      <c r="B3510" t="s">
        <v>1429</v>
      </c>
      <c r="C3510" t="s">
        <v>1431</v>
      </c>
      <c r="D3510" t="s">
        <v>1433</v>
      </c>
      <c r="E3510" t="s">
        <v>267</v>
      </c>
      <c r="F3510" s="9" t="s">
        <v>267</v>
      </c>
      <c r="G3510" s="18">
        <v>1160686</v>
      </c>
      <c r="H3510">
        <v>0</v>
      </c>
      <c r="I3510" s="29">
        <f t="shared" si="54"/>
        <v>1160686</v>
      </c>
      <c r="J3510" t="str">
        <f>IFERROR(VLOOKUP(E3510,'LEAID Match'!$A$2:$B$168,2,FALSE),"")</f>
        <v/>
      </c>
    </row>
    <row r="3511" spans="1:10">
      <c r="A3511">
        <v>2023</v>
      </c>
      <c r="B3511" t="s">
        <v>1429</v>
      </c>
      <c r="C3511" t="s">
        <v>1431</v>
      </c>
      <c r="D3511" t="s">
        <v>1433</v>
      </c>
      <c r="E3511" t="s">
        <v>267</v>
      </c>
      <c r="F3511" t="s">
        <v>267</v>
      </c>
      <c r="G3511" s="28">
        <v>1290100</v>
      </c>
      <c r="H3511">
        <v>0</v>
      </c>
      <c r="I3511" s="29">
        <f t="shared" si="54"/>
        <v>1290100</v>
      </c>
      <c r="J3511" t="str">
        <f>IFERROR(VLOOKUP(E3511,'LEAID Match'!$A$2:$B$168,2,FALSE),"")</f>
        <v/>
      </c>
    </row>
    <row r="3512" spans="1:10">
      <c r="A3512" s="27">
        <v>2020</v>
      </c>
      <c r="B3512" t="s">
        <v>1429</v>
      </c>
      <c r="C3512" t="s">
        <v>1431</v>
      </c>
      <c r="D3512" t="s">
        <v>1433</v>
      </c>
      <c r="E3512" t="s">
        <v>268</v>
      </c>
      <c r="F3512" s="9" t="s">
        <v>268</v>
      </c>
      <c r="G3512" s="18">
        <v>187538</v>
      </c>
      <c r="H3512">
        <v>0</v>
      </c>
      <c r="I3512" s="29">
        <f t="shared" si="54"/>
        <v>187538</v>
      </c>
      <c r="J3512" t="str">
        <f>IFERROR(VLOOKUP(E3512,'LEAID Match'!$A$2:$B$168,2,FALSE),"")</f>
        <v/>
      </c>
    </row>
    <row r="3513" spans="1:10">
      <c r="A3513">
        <v>2021</v>
      </c>
      <c r="B3513" t="s">
        <v>1429</v>
      </c>
      <c r="C3513" t="s">
        <v>1431</v>
      </c>
      <c r="D3513" t="s">
        <v>1433</v>
      </c>
      <c r="E3513" t="s">
        <v>268</v>
      </c>
      <c r="F3513" s="9" t="s">
        <v>268</v>
      </c>
      <c r="G3513" s="18">
        <v>201706</v>
      </c>
      <c r="H3513">
        <v>0</v>
      </c>
      <c r="I3513" s="29">
        <f t="shared" si="54"/>
        <v>201706</v>
      </c>
      <c r="J3513" t="str">
        <f>IFERROR(VLOOKUP(E3513,'LEAID Match'!$A$2:$B$168,2,FALSE),"")</f>
        <v/>
      </c>
    </row>
    <row r="3514" spans="1:10">
      <c r="A3514">
        <v>2022</v>
      </c>
      <c r="B3514" t="s">
        <v>1429</v>
      </c>
      <c r="C3514" t="s">
        <v>1431</v>
      </c>
      <c r="D3514" t="s">
        <v>1433</v>
      </c>
      <c r="E3514" t="s">
        <v>268</v>
      </c>
      <c r="F3514" s="9" t="s">
        <v>268</v>
      </c>
      <c r="G3514" s="18">
        <v>288428</v>
      </c>
      <c r="H3514">
        <v>0</v>
      </c>
      <c r="I3514" s="29">
        <f t="shared" si="54"/>
        <v>288428</v>
      </c>
      <c r="J3514" t="str">
        <f>IFERROR(VLOOKUP(E3514,'LEAID Match'!$A$2:$B$168,2,FALSE),"")</f>
        <v/>
      </c>
    </row>
    <row r="3515" spans="1:10">
      <c r="A3515">
        <v>2023</v>
      </c>
      <c r="B3515" t="s">
        <v>1429</v>
      </c>
      <c r="C3515" t="s">
        <v>1431</v>
      </c>
      <c r="D3515" t="s">
        <v>1433</v>
      </c>
      <c r="E3515" t="s">
        <v>268</v>
      </c>
      <c r="F3515" t="s">
        <v>268</v>
      </c>
      <c r="G3515" s="28">
        <v>334539</v>
      </c>
      <c r="H3515">
        <v>0</v>
      </c>
      <c r="I3515" s="29">
        <f t="shared" si="54"/>
        <v>334539</v>
      </c>
      <c r="J3515" t="str">
        <f>IFERROR(VLOOKUP(E3515,'LEAID Match'!$A$2:$B$168,2,FALSE),"")</f>
        <v/>
      </c>
    </row>
    <row r="3516" spans="1:10">
      <c r="A3516" s="27">
        <v>2020</v>
      </c>
      <c r="B3516" t="s">
        <v>1429</v>
      </c>
      <c r="C3516" t="s">
        <v>1431</v>
      </c>
      <c r="D3516" t="s">
        <v>1433</v>
      </c>
      <c r="E3516" t="s">
        <v>269</v>
      </c>
      <c r="F3516" s="9" t="s">
        <v>269</v>
      </c>
      <c r="G3516" s="18">
        <v>1332897</v>
      </c>
      <c r="H3516">
        <v>0</v>
      </c>
      <c r="I3516" s="29">
        <f t="shared" si="54"/>
        <v>1332897</v>
      </c>
      <c r="J3516" t="str">
        <f>IFERROR(VLOOKUP(E3516,'LEAID Match'!$A$2:$B$168,2,FALSE),"")</f>
        <v/>
      </c>
    </row>
    <row r="3517" spans="1:10">
      <c r="A3517">
        <v>2021</v>
      </c>
      <c r="B3517" t="s">
        <v>1429</v>
      </c>
      <c r="C3517" t="s">
        <v>1431</v>
      </c>
      <c r="D3517" t="s">
        <v>1433</v>
      </c>
      <c r="E3517" t="s">
        <v>269</v>
      </c>
      <c r="F3517" s="9" t="s">
        <v>269</v>
      </c>
      <c r="G3517" s="18">
        <v>1466614</v>
      </c>
      <c r="H3517">
        <v>0</v>
      </c>
      <c r="I3517" s="29">
        <f t="shared" si="54"/>
        <v>1466614</v>
      </c>
      <c r="J3517" t="str">
        <f>IFERROR(VLOOKUP(E3517,'LEAID Match'!$A$2:$B$168,2,FALSE),"")</f>
        <v/>
      </c>
    </row>
    <row r="3518" spans="1:10">
      <c r="A3518">
        <v>2022</v>
      </c>
      <c r="B3518" t="s">
        <v>1429</v>
      </c>
      <c r="C3518" t="s">
        <v>1431</v>
      </c>
      <c r="D3518" t="s">
        <v>1433</v>
      </c>
      <c r="E3518" t="s">
        <v>269</v>
      </c>
      <c r="F3518" s="9" t="s">
        <v>269</v>
      </c>
      <c r="G3518" s="18">
        <v>1968694</v>
      </c>
      <c r="H3518">
        <v>0</v>
      </c>
      <c r="I3518" s="29">
        <f t="shared" si="54"/>
        <v>1968694</v>
      </c>
      <c r="J3518" t="str">
        <f>IFERROR(VLOOKUP(E3518,'LEAID Match'!$A$2:$B$168,2,FALSE),"")</f>
        <v/>
      </c>
    </row>
    <row r="3519" spans="1:10">
      <c r="A3519">
        <v>2023</v>
      </c>
      <c r="B3519" t="s">
        <v>1429</v>
      </c>
      <c r="C3519" t="s">
        <v>1431</v>
      </c>
      <c r="D3519" t="s">
        <v>1433</v>
      </c>
      <c r="E3519" t="s">
        <v>269</v>
      </c>
      <c r="F3519" t="s">
        <v>269</v>
      </c>
      <c r="G3519" s="28">
        <v>2103033</v>
      </c>
      <c r="H3519">
        <v>0</v>
      </c>
      <c r="I3519" s="29">
        <f t="shared" si="54"/>
        <v>2103033</v>
      </c>
      <c r="J3519" t="str">
        <f>IFERROR(VLOOKUP(E3519,'LEAID Match'!$A$2:$B$168,2,FALSE),"")</f>
        <v/>
      </c>
    </row>
    <row r="3520" spans="1:10">
      <c r="A3520" s="27">
        <v>2020</v>
      </c>
      <c r="B3520" t="s">
        <v>1429</v>
      </c>
      <c r="C3520" t="s">
        <v>1431</v>
      </c>
      <c r="D3520" t="s">
        <v>1433</v>
      </c>
      <c r="E3520" t="s">
        <v>270</v>
      </c>
      <c r="F3520" s="9" t="s">
        <v>270</v>
      </c>
      <c r="G3520" s="18">
        <v>269860</v>
      </c>
      <c r="H3520">
        <v>0</v>
      </c>
      <c r="I3520" s="29">
        <f t="shared" si="54"/>
        <v>269860</v>
      </c>
      <c r="J3520" t="str">
        <f>IFERROR(VLOOKUP(E3520,'LEAID Match'!$A$2:$B$168,2,FALSE),"")</f>
        <v/>
      </c>
    </row>
    <row r="3521" spans="1:10">
      <c r="A3521">
        <v>2021</v>
      </c>
      <c r="B3521" t="s">
        <v>1429</v>
      </c>
      <c r="C3521" t="s">
        <v>1431</v>
      </c>
      <c r="D3521" t="s">
        <v>1433</v>
      </c>
      <c r="E3521" t="s">
        <v>270</v>
      </c>
      <c r="F3521" s="9" t="s">
        <v>270</v>
      </c>
      <c r="G3521" s="18">
        <v>284591</v>
      </c>
      <c r="H3521">
        <v>0</v>
      </c>
      <c r="I3521" s="29">
        <f t="shared" si="54"/>
        <v>284591</v>
      </c>
      <c r="J3521" t="str">
        <f>IFERROR(VLOOKUP(E3521,'LEAID Match'!$A$2:$B$168,2,FALSE),"")</f>
        <v/>
      </c>
    </row>
    <row r="3522" spans="1:10">
      <c r="A3522">
        <v>2022</v>
      </c>
      <c r="B3522" t="s">
        <v>1429</v>
      </c>
      <c r="C3522" t="s">
        <v>1431</v>
      </c>
      <c r="D3522" t="s">
        <v>1433</v>
      </c>
      <c r="E3522" t="s">
        <v>270</v>
      </c>
      <c r="F3522" s="9" t="s">
        <v>270</v>
      </c>
      <c r="G3522" s="18">
        <v>379350</v>
      </c>
      <c r="H3522">
        <v>0</v>
      </c>
      <c r="I3522" s="29">
        <f t="shared" si="54"/>
        <v>379350</v>
      </c>
      <c r="J3522" t="str">
        <f>IFERROR(VLOOKUP(E3522,'LEAID Match'!$A$2:$B$168,2,FALSE),"")</f>
        <v/>
      </c>
    </row>
    <row r="3523" spans="1:10">
      <c r="A3523">
        <v>2023</v>
      </c>
      <c r="B3523" t="s">
        <v>1429</v>
      </c>
      <c r="C3523" t="s">
        <v>1431</v>
      </c>
      <c r="D3523" t="s">
        <v>1433</v>
      </c>
      <c r="E3523" t="s">
        <v>270</v>
      </c>
      <c r="F3523" t="s">
        <v>270</v>
      </c>
      <c r="G3523" s="28">
        <v>422708</v>
      </c>
      <c r="H3523">
        <v>0</v>
      </c>
      <c r="I3523" s="29">
        <f t="shared" ref="I3523:I3586" si="55">SUM(G3523:H3523)</f>
        <v>422708</v>
      </c>
      <c r="J3523" t="str">
        <f>IFERROR(VLOOKUP(E3523,'LEAID Match'!$A$2:$B$168,2,FALSE),"")</f>
        <v/>
      </c>
    </row>
    <row r="3524" spans="1:10">
      <c r="A3524" s="27">
        <v>2020</v>
      </c>
      <c r="B3524" t="s">
        <v>1429</v>
      </c>
      <c r="C3524" t="s">
        <v>1431</v>
      </c>
      <c r="D3524" t="s">
        <v>1433</v>
      </c>
      <c r="E3524" t="s">
        <v>271</v>
      </c>
      <c r="F3524" s="9" t="s">
        <v>271</v>
      </c>
      <c r="G3524" s="18">
        <v>17006</v>
      </c>
      <c r="H3524">
        <v>0</v>
      </c>
      <c r="I3524" s="29">
        <f t="shared" si="55"/>
        <v>17006</v>
      </c>
      <c r="J3524" t="str">
        <f>IFERROR(VLOOKUP(E3524,'LEAID Match'!$A$2:$B$168,2,FALSE),"")</f>
        <v/>
      </c>
    </row>
    <row r="3525" spans="1:10">
      <c r="A3525">
        <v>2021</v>
      </c>
      <c r="B3525" t="s">
        <v>1429</v>
      </c>
      <c r="C3525" t="s">
        <v>1431</v>
      </c>
      <c r="D3525" t="s">
        <v>1433</v>
      </c>
      <c r="E3525" t="s">
        <v>271</v>
      </c>
      <c r="F3525" s="9" t="s">
        <v>271</v>
      </c>
      <c r="G3525" s="18">
        <v>17985</v>
      </c>
      <c r="H3525">
        <v>0</v>
      </c>
      <c r="I3525" s="29">
        <f t="shared" si="55"/>
        <v>17985</v>
      </c>
      <c r="J3525" t="str">
        <f>IFERROR(VLOOKUP(E3525,'LEAID Match'!$A$2:$B$168,2,FALSE),"")</f>
        <v/>
      </c>
    </row>
    <row r="3526" spans="1:10">
      <c r="A3526">
        <v>2022</v>
      </c>
      <c r="B3526" t="s">
        <v>1429</v>
      </c>
      <c r="C3526" t="s">
        <v>1431</v>
      </c>
      <c r="D3526" t="s">
        <v>1433</v>
      </c>
      <c r="E3526" t="s">
        <v>271</v>
      </c>
      <c r="F3526" s="9" t="s">
        <v>271</v>
      </c>
      <c r="G3526" s="18">
        <v>23302</v>
      </c>
      <c r="H3526">
        <v>0</v>
      </c>
      <c r="I3526" s="29">
        <f t="shared" si="55"/>
        <v>23302</v>
      </c>
      <c r="J3526" t="str">
        <f>IFERROR(VLOOKUP(E3526,'LEAID Match'!$A$2:$B$168,2,FALSE),"")</f>
        <v/>
      </c>
    </row>
    <row r="3527" spans="1:10">
      <c r="A3527">
        <v>2023</v>
      </c>
      <c r="B3527" t="s">
        <v>1429</v>
      </c>
      <c r="C3527" t="s">
        <v>1431</v>
      </c>
      <c r="D3527" t="s">
        <v>1433</v>
      </c>
      <c r="E3527" t="s">
        <v>271</v>
      </c>
      <c r="F3527" t="s">
        <v>271</v>
      </c>
      <c r="G3527" s="28">
        <v>22257</v>
      </c>
      <c r="H3527">
        <v>0</v>
      </c>
      <c r="I3527" s="29">
        <f t="shared" si="55"/>
        <v>22257</v>
      </c>
      <c r="J3527" t="str">
        <f>IFERROR(VLOOKUP(E3527,'LEAID Match'!$A$2:$B$168,2,FALSE),"")</f>
        <v/>
      </c>
    </row>
    <row r="3528" spans="1:10">
      <c r="A3528" s="27">
        <v>2020</v>
      </c>
      <c r="B3528" t="s">
        <v>1429</v>
      </c>
      <c r="C3528" t="s">
        <v>1431</v>
      </c>
      <c r="D3528" t="s">
        <v>1433</v>
      </c>
      <c r="E3528" t="s">
        <v>272</v>
      </c>
      <c r="F3528" s="9" t="s">
        <v>272</v>
      </c>
      <c r="G3528" s="18">
        <v>48129</v>
      </c>
      <c r="H3528">
        <v>0</v>
      </c>
      <c r="I3528" s="29">
        <f t="shared" si="55"/>
        <v>48129</v>
      </c>
      <c r="J3528" t="str">
        <f>IFERROR(VLOOKUP(E3528,'LEAID Match'!$A$2:$B$168,2,FALSE),"")</f>
        <v/>
      </c>
    </row>
    <row r="3529" spans="1:10">
      <c r="A3529">
        <v>2021</v>
      </c>
      <c r="B3529" t="s">
        <v>1429</v>
      </c>
      <c r="C3529" t="s">
        <v>1431</v>
      </c>
      <c r="D3529" t="s">
        <v>1433</v>
      </c>
      <c r="E3529" t="s">
        <v>272</v>
      </c>
      <c r="F3529" s="9" t="s">
        <v>272</v>
      </c>
      <c r="G3529" s="18">
        <v>50329</v>
      </c>
      <c r="H3529">
        <v>0</v>
      </c>
      <c r="I3529" s="29">
        <f t="shared" si="55"/>
        <v>50329</v>
      </c>
      <c r="J3529" t="str">
        <f>IFERROR(VLOOKUP(E3529,'LEAID Match'!$A$2:$B$168,2,FALSE),"")</f>
        <v/>
      </c>
    </row>
    <row r="3530" spans="1:10">
      <c r="A3530">
        <v>2022</v>
      </c>
      <c r="B3530" t="s">
        <v>1429</v>
      </c>
      <c r="C3530" t="s">
        <v>1431</v>
      </c>
      <c r="D3530" t="s">
        <v>1433</v>
      </c>
      <c r="E3530" t="s">
        <v>272</v>
      </c>
      <c r="F3530" s="9" t="s">
        <v>272</v>
      </c>
      <c r="G3530" s="18">
        <v>57926</v>
      </c>
      <c r="H3530">
        <v>0</v>
      </c>
      <c r="I3530" s="29">
        <f t="shared" si="55"/>
        <v>57926</v>
      </c>
      <c r="J3530" t="str">
        <f>IFERROR(VLOOKUP(E3530,'LEAID Match'!$A$2:$B$168,2,FALSE),"")</f>
        <v/>
      </c>
    </row>
    <row r="3531" spans="1:10">
      <c r="A3531">
        <v>2023</v>
      </c>
      <c r="B3531" t="s">
        <v>1429</v>
      </c>
      <c r="C3531" t="s">
        <v>1431</v>
      </c>
      <c r="D3531" t="s">
        <v>1433</v>
      </c>
      <c r="E3531" t="s">
        <v>272</v>
      </c>
      <c r="F3531" t="s">
        <v>272</v>
      </c>
      <c r="G3531" s="28">
        <v>45938</v>
      </c>
      <c r="H3531">
        <v>0</v>
      </c>
      <c r="I3531" s="29">
        <f t="shared" si="55"/>
        <v>45938</v>
      </c>
      <c r="J3531" t="str">
        <f>IFERROR(VLOOKUP(E3531,'LEAID Match'!$A$2:$B$168,2,FALSE),"")</f>
        <v/>
      </c>
    </row>
    <row r="3532" spans="1:10">
      <c r="A3532" s="27">
        <v>2020</v>
      </c>
      <c r="B3532" t="s">
        <v>1429</v>
      </c>
      <c r="C3532" t="s">
        <v>1431</v>
      </c>
      <c r="D3532" t="s">
        <v>1433</v>
      </c>
      <c r="E3532" t="s">
        <v>273</v>
      </c>
      <c r="F3532" s="9" t="s">
        <v>273</v>
      </c>
      <c r="G3532" s="18">
        <v>138071</v>
      </c>
      <c r="H3532">
        <v>0</v>
      </c>
      <c r="I3532" s="29">
        <f t="shared" si="55"/>
        <v>138071</v>
      </c>
      <c r="J3532" t="str">
        <f>IFERROR(VLOOKUP(E3532,'LEAID Match'!$A$2:$B$168,2,FALSE),"")</f>
        <v/>
      </c>
    </row>
    <row r="3533" spans="1:10">
      <c r="A3533">
        <v>2021</v>
      </c>
      <c r="B3533" t="s">
        <v>1429</v>
      </c>
      <c r="C3533" t="s">
        <v>1431</v>
      </c>
      <c r="D3533" t="s">
        <v>1433</v>
      </c>
      <c r="E3533" t="s">
        <v>273</v>
      </c>
      <c r="F3533" s="9" t="s">
        <v>273</v>
      </c>
      <c r="G3533" s="18">
        <v>158837</v>
      </c>
      <c r="H3533">
        <v>0</v>
      </c>
      <c r="I3533" s="29">
        <f t="shared" si="55"/>
        <v>158837</v>
      </c>
      <c r="J3533" t="str">
        <f>IFERROR(VLOOKUP(E3533,'LEAID Match'!$A$2:$B$168,2,FALSE),"")</f>
        <v/>
      </c>
    </row>
    <row r="3534" spans="1:10">
      <c r="A3534">
        <v>2022</v>
      </c>
      <c r="B3534" t="s">
        <v>1429</v>
      </c>
      <c r="C3534" t="s">
        <v>1431</v>
      </c>
      <c r="D3534" t="s">
        <v>1433</v>
      </c>
      <c r="E3534" t="s">
        <v>273</v>
      </c>
      <c r="F3534" s="9" t="s">
        <v>273</v>
      </c>
      <c r="G3534" s="18">
        <v>211223</v>
      </c>
      <c r="H3534">
        <v>0</v>
      </c>
      <c r="I3534" s="29">
        <f t="shared" si="55"/>
        <v>211223</v>
      </c>
      <c r="J3534" t="str">
        <f>IFERROR(VLOOKUP(E3534,'LEAID Match'!$A$2:$B$168,2,FALSE),"")</f>
        <v/>
      </c>
    </row>
    <row r="3535" spans="1:10">
      <c r="A3535">
        <v>2023</v>
      </c>
      <c r="B3535" t="s">
        <v>1429</v>
      </c>
      <c r="C3535" t="s">
        <v>1431</v>
      </c>
      <c r="D3535" t="s">
        <v>1433</v>
      </c>
      <c r="E3535" t="s">
        <v>273</v>
      </c>
      <c r="F3535" t="s">
        <v>273</v>
      </c>
      <c r="G3535" s="28">
        <v>229635</v>
      </c>
      <c r="H3535">
        <v>0</v>
      </c>
      <c r="I3535" s="29">
        <f t="shared" si="55"/>
        <v>229635</v>
      </c>
      <c r="J3535" t="str">
        <f>IFERROR(VLOOKUP(E3535,'LEAID Match'!$A$2:$B$168,2,FALSE),"")</f>
        <v/>
      </c>
    </row>
    <row r="3536" spans="1:10">
      <c r="A3536" s="27">
        <v>2020</v>
      </c>
      <c r="B3536" t="s">
        <v>1429</v>
      </c>
      <c r="C3536" t="s">
        <v>1431</v>
      </c>
      <c r="D3536" t="s">
        <v>1433</v>
      </c>
      <c r="E3536" t="s">
        <v>274</v>
      </c>
      <c r="F3536" s="9" t="s">
        <v>274</v>
      </c>
      <c r="G3536" s="18">
        <v>89834</v>
      </c>
      <c r="H3536">
        <v>0</v>
      </c>
      <c r="I3536" s="29">
        <f t="shared" si="55"/>
        <v>89834</v>
      </c>
      <c r="J3536" t="str">
        <f>IFERROR(VLOOKUP(E3536,'LEAID Match'!$A$2:$B$168,2,FALSE),"")</f>
        <v/>
      </c>
    </row>
    <row r="3537" spans="1:10">
      <c r="A3537">
        <v>2021</v>
      </c>
      <c r="B3537" t="s">
        <v>1429</v>
      </c>
      <c r="C3537" t="s">
        <v>1431</v>
      </c>
      <c r="D3537" t="s">
        <v>1433</v>
      </c>
      <c r="E3537" t="s">
        <v>274</v>
      </c>
      <c r="F3537" s="9" t="s">
        <v>274</v>
      </c>
      <c r="G3537" s="18">
        <v>82984</v>
      </c>
      <c r="H3537">
        <v>0</v>
      </c>
      <c r="I3537" s="29">
        <f t="shared" si="55"/>
        <v>82984</v>
      </c>
      <c r="J3537" t="str">
        <f>IFERROR(VLOOKUP(E3537,'LEAID Match'!$A$2:$B$168,2,FALSE),"")</f>
        <v/>
      </c>
    </row>
    <row r="3538" spans="1:10">
      <c r="A3538">
        <v>2022</v>
      </c>
      <c r="B3538" t="s">
        <v>1429</v>
      </c>
      <c r="C3538" t="s">
        <v>1431</v>
      </c>
      <c r="D3538" t="s">
        <v>1433</v>
      </c>
      <c r="E3538" t="s">
        <v>274</v>
      </c>
      <c r="F3538" s="9" t="s">
        <v>274</v>
      </c>
      <c r="G3538" s="18">
        <v>116487</v>
      </c>
      <c r="H3538">
        <v>0</v>
      </c>
      <c r="I3538" s="29">
        <f t="shared" si="55"/>
        <v>116487</v>
      </c>
      <c r="J3538" t="str">
        <f>IFERROR(VLOOKUP(E3538,'LEAID Match'!$A$2:$B$168,2,FALSE),"")</f>
        <v/>
      </c>
    </row>
    <row r="3539" spans="1:10">
      <c r="A3539">
        <v>2023</v>
      </c>
      <c r="B3539" t="s">
        <v>1429</v>
      </c>
      <c r="C3539" t="s">
        <v>1431</v>
      </c>
      <c r="D3539" t="s">
        <v>1433</v>
      </c>
      <c r="E3539" t="s">
        <v>274</v>
      </c>
      <c r="F3539" t="s">
        <v>274</v>
      </c>
      <c r="G3539" s="28">
        <v>129090</v>
      </c>
      <c r="H3539">
        <v>0</v>
      </c>
      <c r="I3539" s="29">
        <f t="shared" si="55"/>
        <v>129090</v>
      </c>
      <c r="J3539" t="str">
        <f>IFERROR(VLOOKUP(E3539,'LEAID Match'!$A$2:$B$168,2,FALSE),"")</f>
        <v/>
      </c>
    </row>
    <row r="3540" spans="1:10">
      <c r="A3540" s="27">
        <v>2020</v>
      </c>
      <c r="B3540" t="s">
        <v>1429</v>
      </c>
      <c r="C3540" t="s">
        <v>1431</v>
      </c>
      <c r="D3540" t="s">
        <v>1433</v>
      </c>
      <c r="E3540" t="s">
        <v>275</v>
      </c>
      <c r="F3540" s="9" t="s">
        <v>275</v>
      </c>
      <c r="G3540" s="18">
        <v>242772</v>
      </c>
      <c r="H3540">
        <v>0</v>
      </c>
      <c r="I3540" s="29">
        <f t="shared" si="55"/>
        <v>242772</v>
      </c>
      <c r="J3540" t="str">
        <f>IFERROR(VLOOKUP(E3540,'LEAID Match'!$A$2:$B$168,2,FALSE),"")</f>
        <v/>
      </c>
    </row>
    <row r="3541" spans="1:10">
      <c r="A3541">
        <v>2021</v>
      </c>
      <c r="B3541" t="s">
        <v>1429</v>
      </c>
      <c r="C3541" t="s">
        <v>1431</v>
      </c>
      <c r="D3541" t="s">
        <v>1433</v>
      </c>
      <c r="E3541" t="s">
        <v>275</v>
      </c>
      <c r="F3541" s="9" t="s">
        <v>275</v>
      </c>
      <c r="G3541" s="18">
        <v>266993</v>
      </c>
      <c r="H3541">
        <v>0</v>
      </c>
      <c r="I3541" s="29">
        <f t="shared" si="55"/>
        <v>266993</v>
      </c>
      <c r="J3541" t="str">
        <f>IFERROR(VLOOKUP(E3541,'LEAID Match'!$A$2:$B$168,2,FALSE),"")</f>
        <v/>
      </c>
    </row>
    <row r="3542" spans="1:10">
      <c r="A3542">
        <v>2022</v>
      </c>
      <c r="B3542" t="s">
        <v>1429</v>
      </c>
      <c r="C3542" t="s">
        <v>1431</v>
      </c>
      <c r="D3542" t="s">
        <v>1433</v>
      </c>
      <c r="E3542" t="s">
        <v>275</v>
      </c>
      <c r="F3542" s="9" t="s">
        <v>275</v>
      </c>
      <c r="G3542" s="18">
        <v>355493</v>
      </c>
      <c r="H3542">
        <v>0</v>
      </c>
      <c r="I3542" s="29">
        <f t="shared" si="55"/>
        <v>355493</v>
      </c>
      <c r="J3542" t="str">
        <f>IFERROR(VLOOKUP(E3542,'LEAID Match'!$A$2:$B$168,2,FALSE),"")</f>
        <v/>
      </c>
    </row>
    <row r="3543" spans="1:10">
      <c r="A3543">
        <v>2023</v>
      </c>
      <c r="B3543" t="s">
        <v>1429</v>
      </c>
      <c r="C3543" t="s">
        <v>1431</v>
      </c>
      <c r="D3543" t="s">
        <v>1433</v>
      </c>
      <c r="E3543" t="s">
        <v>275</v>
      </c>
      <c r="F3543" t="s">
        <v>275</v>
      </c>
      <c r="G3543" s="28">
        <v>392317</v>
      </c>
      <c r="H3543">
        <v>0</v>
      </c>
      <c r="I3543" s="29">
        <f t="shared" si="55"/>
        <v>392317</v>
      </c>
      <c r="J3543" t="str">
        <f>IFERROR(VLOOKUP(E3543,'LEAID Match'!$A$2:$B$168,2,FALSE),"")</f>
        <v/>
      </c>
    </row>
    <row r="3544" spans="1:10">
      <c r="A3544" s="27">
        <v>2020</v>
      </c>
      <c r="B3544" t="s">
        <v>1429</v>
      </c>
      <c r="C3544" t="s">
        <v>1431</v>
      </c>
      <c r="D3544" t="s">
        <v>1433</v>
      </c>
      <c r="E3544" t="s">
        <v>276</v>
      </c>
      <c r="F3544" s="9" t="s">
        <v>276</v>
      </c>
      <c r="G3544" s="18">
        <v>112035</v>
      </c>
      <c r="H3544">
        <v>0</v>
      </c>
      <c r="I3544" s="29">
        <f t="shared" si="55"/>
        <v>112035</v>
      </c>
      <c r="J3544" t="str">
        <f>IFERROR(VLOOKUP(E3544,'LEAID Match'!$A$2:$B$168,2,FALSE),"")</f>
        <v/>
      </c>
    </row>
    <row r="3545" spans="1:10">
      <c r="A3545">
        <v>2021</v>
      </c>
      <c r="B3545" t="s">
        <v>1429</v>
      </c>
      <c r="C3545" t="s">
        <v>1431</v>
      </c>
      <c r="D3545" t="s">
        <v>1433</v>
      </c>
      <c r="E3545" t="s">
        <v>276</v>
      </c>
      <c r="F3545" s="9" t="s">
        <v>276</v>
      </c>
      <c r="G3545" s="18">
        <v>120007</v>
      </c>
      <c r="H3545">
        <v>0</v>
      </c>
      <c r="I3545" s="29">
        <f t="shared" si="55"/>
        <v>120007</v>
      </c>
      <c r="J3545" t="str">
        <f>IFERROR(VLOOKUP(E3545,'LEAID Match'!$A$2:$B$168,2,FALSE),"")</f>
        <v/>
      </c>
    </row>
    <row r="3546" spans="1:10">
      <c r="A3546">
        <v>2022</v>
      </c>
      <c r="B3546" t="s">
        <v>1429</v>
      </c>
      <c r="C3546" t="s">
        <v>1431</v>
      </c>
      <c r="D3546" t="s">
        <v>1433</v>
      </c>
      <c r="E3546" t="s">
        <v>276</v>
      </c>
      <c r="F3546" s="9" t="s">
        <v>276</v>
      </c>
      <c r="G3546" s="18">
        <v>155305</v>
      </c>
      <c r="H3546">
        <v>0</v>
      </c>
      <c r="I3546" s="29">
        <f t="shared" si="55"/>
        <v>155305</v>
      </c>
      <c r="J3546" t="str">
        <f>IFERROR(VLOOKUP(E3546,'LEAID Match'!$A$2:$B$168,2,FALSE),"")</f>
        <v/>
      </c>
    </row>
    <row r="3547" spans="1:10">
      <c r="A3547">
        <v>2023</v>
      </c>
      <c r="B3547" t="s">
        <v>1429</v>
      </c>
      <c r="C3547" t="s">
        <v>1431</v>
      </c>
      <c r="D3547" t="s">
        <v>1433</v>
      </c>
      <c r="E3547" t="s">
        <v>276</v>
      </c>
      <c r="F3547" t="s">
        <v>276</v>
      </c>
      <c r="G3547" s="28">
        <v>148035</v>
      </c>
      <c r="H3547">
        <v>0</v>
      </c>
      <c r="I3547" s="29">
        <f t="shared" si="55"/>
        <v>148035</v>
      </c>
      <c r="J3547" t="str">
        <f>IFERROR(VLOOKUP(E3547,'LEAID Match'!$A$2:$B$168,2,FALSE),"")</f>
        <v/>
      </c>
    </row>
    <row r="3548" spans="1:10">
      <c r="A3548" s="27">
        <v>2020</v>
      </c>
      <c r="B3548" t="s">
        <v>1429</v>
      </c>
      <c r="C3548" t="s">
        <v>1431</v>
      </c>
      <c r="D3548" t="s">
        <v>1433</v>
      </c>
      <c r="E3548" t="s">
        <v>277</v>
      </c>
      <c r="F3548" s="9" t="s">
        <v>277</v>
      </c>
      <c r="G3548" s="18">
        <v>10369</v>
      </c>
      <c r="H3548">
        <v>0</v>
      </c>
      <c r="I3548" s="29">
        <f t="shared" si="55"/>
        <v>10369</v>
      </c>
      <c r="J3548" t="str">
        <f>IFERROR(VLOOKUP(E3548,'LEAID Match'!$A$2:$B$168,2,FALSE),"")</f>
        <v/>
      </c>
    </row>
    <row r="3549" spans="1:10">
      <c r="A3549">
        <v>2021</v>
      </c>
      <c r="B3549" t="s">
        <v>1429</v>
      </c>
      <c r="C3549" t="s">
        <v>1431</v>
      </c>
      <c r="D3549" t="s">
        <v>1433</v>
      </c>
      <c r="E3549" t="s">
        <v>277</v>
      </c>
      <c r="F3549" s="9" t="s">
        <v>277</v>
      </c>
      <c r="G3549" s="18">
        <v>10476</v>
      </c>
      <c r="H3549">
        <v>0</v>
      </c>
      <c r="I3549" s="29">
        <f t="shared" si="55"/>
        <v>10476</v>
      </c>
      <c r="J3549" t="str">
        <f>IFERROR(VLOOKUP(E3549,'LEAID Match'!$A$2:$B$168,2,FALSE),"")</f>
        <v/>
      </c>
    </row>
    <row r="3550" spans="1:10">
      <c r="A3550">
        <v>2022</v>
      </c>
      <c r="B3550" t="s">
        <v>1429</v>
      </c>
      <c r="C3550" t="s">
        <v>1431</v>
      </c>
      <c r="D3550" t="s">
        <v>1433</v>
      </c>
      <c r="E3550" t="s">
        <v>277</v>
      </c>
      <c r="F3550" s="9" t="s">
        <v>277</v>
      </c>
      <c r="G3550" s="18">
        <v>13566</v>
      </c>
      <c r="H3550">
        <v>0</v>
      </c>
      <c r="I3550" s="29">
        <f t="shared" si="55"/>
        <v>13566</v>
      </c>
      <c r="J3550" t="str">
        <f>IFERROR(VLOOKUP(E3550,'LEAID Match'!$A$2:$B$168,2,FALSE),"")</f>
        <v/>
      </c>
    </row>
    <row r="3551" spans="1:10">
      <c r="A3551">
        <v>2023</v>
      </c>
      <c r="B3551" t="s">
        <v>1429</v>
      </c>
      <c r="C3551" t="s">
        <v>1431</v>
      </c>
      <c r="D3551" t="s">
        <v>1433</v>
      </c>
      <c r="E3551" t="s">
        <v>277</v>
      </c>
      <c r="F3551" t="s">
        <v>277</v>
      </c>
      <c r="G3551" s="28">
        <v>12738</v>
      </c>
      <c r="H3551">
        <v>0</v>
      </c>
      <c r="I3551" s="29">
        <f t="shared" si="55"/>
        <v>12738</v>
      </c>
      <c r="J3551" t="str">
        <f>IFERROR(VLOOKUP(E3551,'LEAID Match'!$A$2:$B$168,2,FALSE),"")</f>
        <v/>
      </c>
    </row>
    <row r="3552" spans="1:10">
      <c r="A3552" s="27">
        <v>2020</v>
      </c>
      <c r="B3552" t="s">
        <v>1429</v>
      </c>
      <c r="C3552" t="s">
        <v>1431</v>
      </c>
      <c r="D3552" t="s">
        <v>1433</v>
      </c>
      <c r="E3552" t="s">
        <v>278</v>
      </c>
      <c r="F3552" s="9" t="s">
        <v>278</v>
      </c>
      <c r="G3552" s="18">
        <v>381438</v>
      </c>
      <c r="H3552">
        <v>0</v>
      </c>
      <c r="I3552" s="29">
        <f t="shared" si="55"/>
        <v>381438</v>
      </c>
      <c r="J3552" t="str">
        <f>IFERROR(VLOOKUP(E3552,'LEAID Match'!$A$2:$B$168,2,FALSE),"")</f>
        <v/>
      </c>
    </row>
    <row r="3553" spans="1:10">
      <c r="A3553">
        <v>2021</v>
      </c>
      <c r="B3553" t="s">
        <v>1429</v>
      </c>
      <c r="C3553" t="s">
        <v>1431</v>
      </c>
      <c r="D3553" t="s">
        <v>1433</v>
      </c>
      <c r="E3553" t="s">
        <v>278</v>
      </c>
      <c r="F3553" s="9" t="s">
        <v>278</v>
      </c>
      <c r="G3553" s="18">
        <v>425226</v>
      </c>
      <c r="H3553">
        <v>0</v>
      </c>
      <c r="I3553" s="29">
        <f t="shared" si="55"/>
        <v>425226</v>
      </c>
      <c r="J3553" t="str">
        <f>IFERROR(VLOOKUP(E3553,'LEAID Match'!$A$2:$B$168,2,FALSE),"")</f>
        <v/>
      </c>
    </row>
    <row r="3554" spans="1:10">
      <c r="A3554">
        <v>2022</v>
      </c>
      <c r="B3554" t="s">
        <v>1429</v>
      </c>
      <c r="C3554" t="s">
        <v>1431</v>
      </c>
      <c r="D3554" t="s">
        <v>1433</v>
      </c>
      <c r="E3554" t="s">
        <v>278</v>
      </c>
      <c r="F3554" s="9" t="s">
        <v>278</v>
      </c>
      <c r="G3554" s="18">
        <v>519174</v>
      </c>
      <c r="H3554">
        <v>0</v>
      </c>
      <c r="I3554" s="29">
        <f t="shared" si="55"/>
        <v>519174</v>
      </c>
      <c r="J3554" t="str">
        <f>IFERROR(VLOOKUP(E3554,'LEAID Match'!$A$2:$B$168,2,FALSE),"")</f>
        <v/>
      </c>
    </row>
    <row r="3555" spans="1:10">
      <c r="A3555">
        <v>2023</v>
      </c>
      <c r="B3555" t="s">
        <v>1429</v>
      </c>
      <c r="C3555" t="s">
        <v>1431</v>
      </c>
      <c r="D3555" t="s">
        <v>1433</v>
      </c>
      <c r="E3555" t="s">
        <v>278</v>
      </c>
      <c r="F3555" t="s">
        <v>278</v>
      </c>
      <c r="G3555" s="28">
        <v>580595</v>
      </c>
      <c r="H3555">
        <v>0</v>
      </c>
      <c r="I3555" s="29">
        <f t="shared" si="55"/>
        <v>580595</v>
      </c>
      <c r="J3555" t="str">
        <f>IFERROR(VLOOKUP(E3555,'LEAID Match'!$A$2:$B$168,2,FALSE),"")</f>
        <v/>
      </c>
    </row>
    <row r="3556" spans="1:10">
      <c r="A3556" s="27">
        <v>2020</v>
      </c>
      <c r="B3556" t="s">
        <v>1429</v>
      </c>
      <c r="C3556" t="s">
        <v>1431</v>
      </c>
      <c r="D3556" t="s">
        <v>1433</v>
      </c>
      <c r="E3556" t="s">
        <v>279</v>
      </c>
      <c r="F3556" s="9" t="s">
        <v>279</v>
      </c>
      <c r="G3556" s="18">
        <v>2231456</v>
      </c>
      <c r="H3556">
        <v>0</v>
      </c>
      <c r="I3556" s="29">
        <f t="shared" si="55"/>
        <v>2231456</v>
      </c>
      <c r="J3556" t="str">
        <f>IFERROR(VLOOKUP(E3556,'LEAID Match'!$A$2:$B$168,2,FALSE),"")</f>
        <v/>
      </c>
    </row>
    <row r="3557" spans="1:10">
      <c r="A3557">
        <v>2021</v>
      </c>
      <c r="B3557" t="s">
        <v>1429</v>
      </c>
      <c r="C3557" t="s">
        <v>1431</v>
      </c>
      <c r="D3557" t="s">
        <v>1433</v>
      </c>
      <c r="E3557" t="s">
        <v>279</v>
      </c>
      <c r="F3557" s="9" t="s">
        <v>279</v>
      </c>
      <c r="G3557" s="18">
        <v>2345448</v>
      </c>
      <c r="H3557">
        <v>0</v>
      </c>
      <c r="I3557" s="29">
        <f t="shared" si="55"/>
        <v>2345448</v>
      </c>
      <c r="J3557" t="str">
        <f>IFERROR(VLOOKUP(E3557,'LEAID Match'!$A$2:$B$168,2,FALSE),"")</f>
        <v/>
      </c>
    </row>
    <row r="3558" spans="1:10">
      <c r="A3558">
        <v>2022</v>
      </c>
      <c r="B3558" t="s">
        <v>1429</v>
      </c>
      <c r="C3558" t="s">
        <v>1431</v>
      </c>
      <c r="D3558" t="s">
        <v>1433</v>
      </c>
      <c r="E3558" t="s">
        <v>279</v>
      </c>
      <c r="F3558" s="9" t="s">
        <v>279</v>
      </c>
      <c r="G3558" s="18">
        <v>2876440</v>
      </c>
      <c r="H3558">
        <v>0</v>
      </c>
      <c r="I3558" s="29">
        <f t="shared" si="55"/>
        <v>2876440</v>
      </c>
      <c r="J3558" t="str">
        <f>IFERROR(VLOOKUP(E3558,'LEAID Match'!$A$2:$B$168,2,FALSE),"")</f>
        <v/>
      </c>
    </row>
    <row r="3559" spans="1:10">
      <c r="A3559">
        <v>2023</v>
      </c>
      <c r="B3559" t="s">
        <v>1429</v>
      </c>
      <c r="C3559" t="s">
        <v>1431</v>
      </c>
      <c r="D3559" t="s">
        <v>1433</v>
      </c>
      <c r="E3559" t="s">
        <v>279</v>
      </c>
      <c r="F3559" t="s">
        <v>279</v>
      </c>
      <c r="G3559" s="28">
        <v>3027173</v>
      </c>
      <c r="H3559">
        <v>0</v>
      </c>
      <c r="I3559" s="29">
        <f t="shared" si="55"/>
        <v>3027173</v>
      </c>
      <c r="J3559" t="str">
        <f>IFERROR(VLOOKUP(E3559,'LEAID Match'!$A$2:$B$168,2,FALSE),"")</f>
        <v/>
      </c>
    </row>
    <row r="3560" spans="1:10">
      <c r="A3560" s="27">
        <v>2020</v>
      </c>
      <c r="B3560" t="s">
        <v>1429</v>
      </c>
      <c r="C3560" t="s">
        <v>1431</v>
      </c>
      <c r="D3560" t="s">
        <v>1433</v>
      </c>
      <c r="E3560" t="s">
        <v>280</v>
      </c>
      <c r="F3560" s="9" t="s">
        <v>280</v>
      </c>
      <c r="G3560" s="18">
        <v>118039</v>
      </c>
      <c r="H3560">
        <v>0</v>
      </c>
      <c r="I3560" s="29">
        <f t="shared" si="55"/>
        <v>118039</v>
      </c>
      <c r="J3560" t="str">
        <f>IFERROR(VLOOKUP(E3560,'LEAID Match'!$A$2:$B$168,2,FALSE),"")</f>
        <v/>
      </c>
    </row>
    <row r="3561" spans="1:10">
      <c r="A3561">
        <v>2021</v>
      </c>
      <c r="B3561" t="s">
        <v>1429</v>
      </c>
      <c r="C3561" t="s">
        <v>1431</v>
      </c>
      <c r="D3561" t="s">
        <v>1433</v>
      </c>
      <c r="E3561" t="s">
        <v>280</v>
      </c>
      <c r="F3561" s="9" t="s">
        <v>280</v>
      </c>
      <c r="G3561" s="18">
        <v>160016</v>
      </c>
      <c r="H3561">
        <v>0</v>
      </c>
      <c r="I3561" s="29">
        <f t="shared" si="55"/>
        <v>160016</v>
      </c>
      <c r="J3561" t="str">
        <f>IFERROR(VLOOKUP(E3561,'LEAID Match'!$A$2:$B$168,2,FALSE),"")</f>
        <v/>
      </c>
    </row>
    <row r="3562" spans="1:10">
      <c r="A3562">
        <v>2022</v>
      </c>
      <c r="B3562" t="s">
        <v>1429</v>
      </c>
      <c r="C3562" t="s">
        <v>1431</v>
      </c>
      <c r="D3562" t="s">
        <v>1433</v>
      </c>
      <c r="E3562" t="s">
        <v>280</v>
      </c>
      <c r="F3562" s="9" t="s">
        <v>280</v>
      </c>
      <c r="G3562" s="18">
        <v>207673</v>
      </c>
      <c r="H3562">
        <v>0</v>
      </c>
      <c r="I3562" s="29">
        <f t="shared" si="55"/>
        <v>207673</v>
      </c>
      <c r="J3562" t="str">
        <f>IFERROR(VLOOKUP(E3562,'LEAID Match'!$A$2:$B$168,2,FALSE),"")</f>
        <v/>
      </c>
    </row>
    <row r="3563" spans="1:10">
      <c r="A3563">
        <v>2023</v>
      </c>
      <c r="B3563" t="s">
        <v>1429</v>
      </c>
      <c r="C3563" t="s">
        <v>1431</v>
      </c>
      <c r="D3563" t="s">
        <v>1433</v>
      </c>
      <c r="E3563" t="s">
        <v>280</v>
      </c>
      <c r="F3563" t="s">
        <v>280</v>
      </c>
      <c r="G3563" s="28">
        <v>174657</v>
      </c>
      <c r="H3563">
        <v>0</v>
      </c>
      <c r="I3563" s="29">
        <f t="shared" si="55"/>
        <v>174657</v>
      </c>
      <c r="J3563" t="str">
        <f>IFERROR(VLOOKUP(E3563,'LEAID Match'!$A$2:$B$168,2,FALSE),"")</f>
        <v/>
      </c>
    </row>
    <row r="3564" spans="1:10">
      <c r="A3564" s="27">
        <v>2020</v>
      </c>
      <c r="B3564" t="s">
        <v>1429</v>
      </c>
      <c r="C3564" t="s">
        <v>1431</v>
      </c>
      <c r="D3564" t="s">
        <v>1433</v>
      </c>
      <c r="E3564" t="s">
        <v>281</v>
      </c>
      <c r="F3564" s="9" t="s">
        <v>281</v>
      </c>
      <c r="G3564" s="18">
        <v>51405</v>
      </c>
      <c r="H3564">
        <v>0</v>
      </c>
      <c r="I3564" s="29">
        <f t="shared" si="55"/>
        <v>51405</v>
      </c>
      <c r="J3564" t="str">
        <f>IFERROR(VLOOKUP(E3564,'LEAID Match'!$A$2:$B$168,2,FALSE),"")</f>
        <v/>
      </c>
    </row>
    <row r="3565" spans="1:10">
      <c r="A3565">
        <v>2021</v>
      </c>
      <c r="B3565" t="s">
        <v>1429</v>
      </c>
      <c r="C3565" t="s">
        <v>1431</v>
      </c>
      <c r="D3565" t="s">
        <v>1433</v>
      </c>
      <c r="E3565" t="s">
        <v>281</v>
      </c>
      <c r="F3565" s="9" t="s">
        <v>281</v>
      </c>
      <c r="G3565" s="18">
        <v>43191</v>
      </c>
      <c r="H3565">
        <v>0</v>
      </c>
      <c r="I3565" s="29">
        <f t="shared" si="55"/>
        <v>43191</v>
      </c>
      <c r="J3565" t="str">
        <f>IFERROR(VLOOKUP(E3565,'LEAID Match'!$A$2:$B$168,2,FALSE),"")</f>
        <v/>
      </c>
    </row>
    <row r="3566" spans="1:10">
      <c r="A3566">
        <v>2022</v>
      </c>
      <c r="B3566" t="s">
        <v>1429</v>
      </c>
      <c r="C3566" t="s">
        <v>1431</v>
      </c>
      <c r="D3566" t="s">
        <v>1433</v>
      </c>
      <c r="E3566" t="s">
        <v>281</v>
      </c>
      <c r="F3566" s="9" t="s">
        <v>281</v>
      </c>
      <c r="G3566" s="18">
        <v>41462</v>
      </c>
      <c r="H3566">
        <v>0</v>
      </c>
      <c r="I3566" s="29">
        <f t="shared" si="55"/>
        <v>41462</v>
      </c>
      <c r="J3566" t="str">
        <f>IFERROR(VLOOKUP(E3566,'LEAID Match'!$A$2:$B$168,2,FALSE),"")</f>
        <v/>
      </c>
    </row>
    <row r="3567" spans="1:10">
      <c r="A3567">
        <v>2023</v>
      </c>
      <c r="B3567" t="s">
        <v>1429</v>
      </c>
      <c r="C3567" t="s">
        <v>1431</v>
      </c>
      <c r="D3567" t="s">
        <v>1433</v>
      </c>
      <c r="E3567" t="s">
        <v>281</v>
      </c>
      <c r="F3567" t="s">
        <v>281</v>
      </c>
      <c r="G3567" s="28">
        <v>71159</v>
      </c>
      <c r="H3567">
        <v>0</v>
      </c>
      <c r="I3567" s="29">
        <f t="shared" si="55"/>
        <v>71159</v>
      </c>
      <c r="J3567" t="str">
        <f>IFERROR(VLOOKUP(E3567,'LEAID Match'!$A$2:$B$168,2,FALSE),"")</f>
        <v/>
      </c>
    </row>
    <row r="3568" spans="1:10">
      <c r="A3568" s="27">
        <v>2020</v>
      </c>
      <c r="B3568" t="s">
        <v>1429</v>
      </c>
      <c r="C3568" t="s">
        <v>1431</v>
      </c>
      <c r="D3568" t="s">
        <v>1433</v>
      </c>
      <c r="E3568" t="s">
        <v>282</v>
      </c>
      <c r="F3568" s="9" t="s">
        <v>282</v>
      </c>
      <c r="G3568" s="18">
        <v>1503744</v>
      </c>
      <c r="H3568">
        <v>0</v>
      </c>
      <c r="I3568" s="29">
        <f t="shared" si="55"/>
        <v>1503744</v>
      </c>
      <c r="J3568" t="str">
        <f>IFERROR(VLOOKUP(E3568,'LEAID Match'!$A$2:$B$168,2,FALSE),"")</f>
        <v/>
      </c>
    </row>
    <row r="3569" spans="1:10">
      <c r="A3569">
        <v>2021</v>
      </c>
      <c r="B3569" t="s">
        <v>1429</v>
      </c>
      <c r="C3569" t="s">
        <v>1431</v>
      </c>
      <c r="D3569" t="s">
        <v>1433</v>
      </c>
      <c r="E3569" t="s">
        <v>282</v>
      </c>
      <c r="F3569" s="9" t="s">
        <v>282</v>
      </c>
      <c r="G3569" s="18">
        <v>1624816</v>
      </c>
      <c r="H3569">
        <v>0</v>
      </c>
      <c r="I3569" s="29">
        <f t="shared" si="55"/>
        <v>1624816</v>
      </c>
      <c r="J3569" t="str">
        <f>IFERROR(VLOOKUP(E3569,'LEAID Match'!$A$2:$B$168,2,FALSE),"")</f>
        <v/>
      </c>
    </row>
    <row r="3570" spans="1:10">
      <c r="A3570">
        <v>2022</v>
      </c>
      <c r="B3570" t="s">
        <v>1429</v>
      </c>
      <c r="C3570" t="s">
        <v>1431</v>
      </c>
      <c r="D3570" t="s">
        <v>1433</v>
      </c>
      <c r="E3570" t="s">
        <v>282</v>
      </c>
      <c r="F3570" s="9" t="s">
        <v>282</v>
      </c>
      <c r="G3570" s="18">
        <v>2009127</v>
      </c>
      <c r="H3570">
        <v>0</v>
      </c>
      <c r="I3570" s="29">
        <f t="shared" si="55"/>
        <v>2009127</v>
      </c>
      <c r="J3570" t="str">
        <f>IFERROR(VLOOKUP(E3570,'LEAID Match'!$A$2:$B$168,2,FALSE),"")</f>
        <v/>
      </c>
    </row>
    <row r="3571" spans="1:10">
      <c r="A3571">
        <v>2023</v>
      </c>
      <c r="B3571" t="s">
        <v>1429</v>
      </c>
      <c r="C3571" t="s">
        <v>1431</v>
      </c>
      <c r="D3571" t="s">
        <v>1433</v>
      </c>
      <c r="E3571" t="s">
        <v>282</v>
      </c>
      <c r="F3571" t="s">
        <v>282</v>
      </c>
      <c r="G3571" s="28">
        <v>2030363</v>
      </c>
      <c r="H3571">
        <v>0</v>
      </c>
      <c r="I3571" s="29">
        <f t="shared" si="55"/>
        <v>2030363</v>
      </c>
      <c r="J3571" t="str">
        <f>IFERROR(VLOOKUP(E3571,'LEAID Match'!$A$2:$B$168,2,FALSE),"")</f>
        <v/>
      </c>
    </row>
    <row r="3572" spans="1:10">
      <c r="A3572" s="27">
        <v>2020</v>
      </c>
      <c r="B3572" t="s">
        <v>1429</v>
      </c>
      <c r="C3572" t="s">
        <v>1431</v>
      </c>
      <c r="D3572" t="s">
        <v>1433</v>
      </c>
      <c r="E3572" t="s">
        <v>283</v>
      </c>
      <c r="F3572" s="9" t="s">
        <v>283</v>
      </c>
      <c r="G3572" s="18">
        <v>14929</v>
      </c>
      <c r="H3572">
        <v>0</v>
      </c>
      <c r="I3572" s="29">
        <f t="shared" si="55"/>
        <v>14929</v>
      </c>
      <c r="J3572" t="str">
        <f>IFERROR(VLOOKUP(E3572,'LEAID Match'!$A$2:$B$168,2,FALSE),"")</f>
        <v/>
      </c>
    </row>
    <row r="3573" spans="1:10">
      <c r="A3573">
        <v>2021</v>
      </c>
      <c r="B3573" t="s">
        <v>1429</v>
      </c>
      <c r="C3573" t="s">
        <v>1431</v>
      </c>
      <c r="D3573" t="s">
        <v>1433</v>
      </c>
      <c r="E3573" t="s">
        <v>283</v>
      </c>
      <c r="F3573" s="9" t="s">
        <v>283</v>
      </c>
      <c r="G3573" s="18">
        <v>18818</v>
      </c>
      <c r="H3573">
        <v>0</v>
      </c>
      <c r="I3573" s="29">
        <f t="shared" si="55"/>
        <v>18818</v>
      </c>
      <c r="J3573" t="str">
        <f>IFERROR(VLOOKUP(E3573,'LEAID Match'!$A$2:$B$168,2,FALSE),"")</f>
        <v/>
      </c>
    </row>
    <row r="3574" spans="1:10">
      <c r="A3574">
        <v>2022</v>
      </c>
      <c r="B3574" t="s">
        <v>1429</v>
      </c>
      <c r="C3574" t="s">
        <v>1431</v>
      </c>
      <c r="D3574" t="s">
        <v>1433</v>
      </c>
      <c r="E3574" t="s">
        <v>283</v>
      </c>
      <c r="F3574" s="9" t="s">
        <v>283</v>
      </c>
      <c r="G3574" s="18">
        <v>18361</v>
      </c>
      <c r="H3574">
        <v>0</v>
      </c>
      <c r="I3574" s="29">
        <f t="shared" si="55"/>
        <v>18361</v>
      </c>
      <c r="J3574" t="str">
        <f>IFERROR(VLOOKUP(E3574,'LEAID Match'!$A$2:$B$168,2,FALSE),"")</f>
        <v/>
      </c>
    </row>
    <row r="3575" spans="1:10">
      <c r="A3575">
        <v>2023</v>
      </c>
      <c r="B3575" t="s">
        <v>1429</v>
      </c>
      <c r="C3575" t="s">
        <v>1431</v>
      </c>
      <c r="D3575" t="s">
        <v>1433</v>
      </c>
      <c r="E3575" t="s">
        <v>283</v>
      </c>
      <c r="F3575" t="s">
        <v>283</v>
      </c>
      <c r="G3575" s="28">
        <v>11163</v>
      </c>
      <c r="H3575">
        <v>0</v>
      </c>
      <c r="I3575" s="29">
        <f t="shared" si="55"/>
        <v>11163</v>
      </c>
      <c r="J3575" t="str">
        <f>IFERROR(VLOOKUP(E3575,'LEAID Match'!$A$2:$B$168,2,FALSE),"")</f>
        <v/>
      </c>
    </row>
    <row r="3576" spans="1:10">
      <c r="A3576" s="27">
        <v>2020</v>
      </c>
      <c r="B3576" t="s">
        <v>1429</v>
      </c>
      <c r="C3576" t="s">
        <v>1431</v>
      </c>
      <c r="D3576" t="s">
        <v>1433</v>
      </c>
      <c r="E3576" t="s">
        <v>284</v>
      </c>
      <c r="F3576" s="9" t="s">
        <v>284</v>
      </c>
      <c r="G3576" s="18">
        <v>156216</v>
      </c>
      <c r="H3576">
        <v>0</v>
      </c>
      <c r="I3576" s="29">
        <f t="shared" si="55"/>
        <v>156216</v>
      </c>
      <c r="J3576" t="str">
        <f>IFERROR(VLOOKUP(E3576,'LEAID Match'!$A$2:$B$168,2,FALSE),"")</f>
        <v/>
      </c>
    </row>
    <row r="3577" spans="1:10">
      <c r="A3577">
        <v>2021</v>
      </c>
      <c r="B3577" t="s">
        <v>1429</v>
      </c>
      <c r="C3577" t="s">
        <v>1431</v>
      </c>
      <c r="D3577" t="s">
        <v>1433</v>
      </c>
      <c r="E3577" t="s">
        <v>284</v>
      </c>
      <c r="F3577" s="9" t="s">
        <v>284</v>
      </c>
      <c r="G3577" s="18">
        <v>148320</v>
      </c>
      <c r="H3577">
        <v>0</v>
      </c>
      <c r="I3577" s="29">
        <f t="shared" si="55"/>
        <v>148320</v>
      </c>
      <c r="J3577" t="str">
        <f>IFERROR(VLOOKUP(E3577,'LEAID Match'!$A$2:$B$168,2,FALSE),"")</f>
        <v/>
      </c>
    </row>
    <row r="3578" spans="1:10">
      <c r="A3578">
        <v>2022</v>
      </c>
      <c r="B3578" t="s">
        <v>1429</v>
      </c>
      <c r="C3578" t="s">
        <v>1431</v>
      </c>
      <c r="D3578" t="s">
        <v>1433</v>
      </c>
      <c r="E3578" t="s">
        <v>284</v>
      </c>
      <c r="F3578" s="9" t="s">
        <v>284</v>
      </c>
      <c r="G3578" s="18">
        <v>201724</v>
      </c>
      <c r="H3578">
        <v>0</v>
      </c>
      <c r="I3578" s="29">
        <f t="shared" si="55"/>
        <v>201724</v>
      </c>
      <c r="J3578" t="str">
        <f>IFERROR(VLOOKUP(E3578,'LEAID Match'!$A$2:$B$168,2,FALSE),"")</f>
        <v/>
      </c>
    </row>
    <row r="3579" spans="1:10">
      <c r="A3579">
        <v>2023</v>
      </c>
      <c r="B3579" t="s">
        <v>1429</v>
      </c>
      <c r="C3579" t="s">
        <v>1431</v>
      </c>
      <c r="D3579" t="s">
        <v>1433</v>
      </c>
      <c r="E3579" t="s">
        <v>284</v>
      </c>
      <c r="F3579" t="s">
        <v>284</v>
      </c>
      <c r="G3579" s="28">
        <v>231820</v>
      </c>
      <c r="H3579">
        <v>0</v>
      </c>
      <c r="I3579" s="29">
        <f t="shared" si="55"/>
        <v>231820</v>
      </c>
      <c r="J3579" t="str">
        <f>IFERROR(VLOOKUP(E3579,'LEAID Match'!$A$2:$B$168,2,FALSE),"")</f>
        <v/>
      </c>
    </row>
    <row r="3580" spans="1:10">
      <c r="A3580" s="27">
        <v>2020</v>
      </c>
      <c r="B3580" t="s">
        <v>1429</v>
      </c>
      <c r="C3580" t="s">
        <v>1431</v>
      </c>
      <c r="D3580" t="s">
        <v>1433</v>
      </c>
      <c r="E3580" t="s">
        <v>285</v>
      </c>
      <c r="F3580" s="9" t="s">
        <v>285</v>
      </c>
      <c r="G3580" s="18">
        <v>24056</v>
      </c>
      <c r="H3580">
        <v>0</v>
      </c>
      <c r="I3580" s="29">
        <f t="shared" si="55"/>
        <v>24056</v>
      </c>
      <c r="J3580" t="str">
        <f>IFERROR(VLOOKUP(E3580,'LEAID Match'!$A$2:$B$168,2,FALSE),"")</f>
        <v/>
      </c>
    </row>
    <row r="3581" spans="1:10">
      <c r="A3581">
        <v>2021</v>
      </c>
      <c r="B3581" t="s">
        <v>1429</v>
      </c>
      <c r="C3581" t="s">
        <v>1431</v>
      </c>
      <c r="D3581" t="s">
        <v>1433</v>
      </c>
      <c r="E3581" t="s">
        <v>285</v>
      </c>
      <c r="F3581" s="9" t="s">
        <v>285</v>
      </c>
      <c r="G3581" s="18">
        <v>24411</v>
      </c>
      <c r="H3581">
        <v>0</v>
      </c>
      <c r="I3581" s="29">
        <f t="shared" si="55"/>
        <v>24411</v>
      </c>
      <c r="J3581" t="str">
        <f>IFERROR(VLOOKUP(E3581,'LEAID Match'!$A$2:$B$168,2,FALSE),"")</f>
        <v/>
      </c>
    </row>
    <row r="3582" spans="1:10">
      <c r="A3582">
        <v>2022</v>
      </c>
      <c r="B3582" t="s">
        <v>1429</v>
      </c>
      <c r="C3582" t="s">
        <v>1431</v>
      </c>
      <c r="D3582" t="s">
        <v>1433</v>
      </c>
      <c r="E3582" t="s">
        <v>285</v>
      </c>
      <c r="F3582" s="9" t="s">
        <v>285</v>
      </c>
      <c r="G3582" s="18">
        <v>30407</v>
      </c>
      <c r="H3582">
        <v>0</v>
      </c>
      <c r="I3582" s="29">
        <f t="shared" si="55"/>
        <v>30407</v>
      </c>
      <c r="J3582" t="str">
        <f>IFERROR(VLOOKUP(E3582,'LEAID Match'!$A$2:$B$168,2,FALSE),"")</f>
        <v/>
      </c>
    </row>
    <row r="3583" spans="1:10">
      <c r="A3583">
        <v>2023</v>
      </c>
      <c r="B3583" t="s">
        <v>1429</v>
      </c>
      <c r="C3583" t="s">
        <v>1431</v>
      </c>
      <c r="D3583" t="s">
        <v>1433</v>
      </c>
      <c r="E3583" t="s">
        <v>285</v>
      </c>
      <c r="F3583" t="s">
        <v>285</v>
      </c>
      <c r="G3583" s="28">
        <v>36386</v>
      </c>
      <c r="H3583">
        <v>0</v>
      </c>
      <c r="I3583" s="29">
        <f t="shared" si="55"/>
        <v>36386</v>
      </c>
      <c r="J3583" t="str">
        <f>IFERROR(VLOOKUP(E3583,'LEAID Match'!$A$2:$B$168,2,FALSE),"")</f>
        <v/>
      </c>
    </row>
    <row r="3584" spans="1:10">
      <c r="A3584" s="27">
        <v>2020</v>
      </c>
      <c r="B3584" t="s">
        <v>1429</v>
      </c>
      <c r="C3584" t="s">
        <v>1431</v>
      </c>
      <c r="D3584" t="s">
        <v>1433</v>
      </c>
      <c r="E3584" t="s">
        <v>286</v>
      </c>
      <c r="F3584" s="9" t="s">
        <v>286</v>
      </c>
      <c r="G3584" s="18">
        <v>298282</v>
      </c>
      <c r="H3584">
        <v>0</v>
      </c>
      <c r="I3584" s="29">
        <f t="shared" si="55"/>
        <v>298282</v>
      </c>
      <c r="J3584" t="str">
        <f>IFERROR(VLOOKUP(E3584,'LEAID Match'!$A$2:$B$168,2,FALSE),"")</f>
        <v/>
      </c>
    </row>
    <row r="3585" spans="1:10">
      <c r="A3585">
        <v>2021</v>
      </c>
      <c r="B3585" t="s">
        <v>1429</v>
      </c>
      <c r="C3585" t="s">
        <v>1431</v>
      </c>
      <c r="D3585" t="s">
        <v>1433</v>
      </c>
      <c r="E3585" t="s">
        <v>286</v>
      </c>
      <c r="F3585" s="9" t="s">
        <v>286</v>
      </c>
      <c r="G3585" s="18">
        <v>342182</v>
      </c>
      <c r="H3585">
        <v>0</v>
      </c>
      <c r="I3585" s="29">
        <f t="shared" si="55"/>
        <v>342182</v>
      </c>
      <c r="J3585" t="str">
        <f>IFERROR(VLOOKUP(E3585,'LEAID Match'!$A$2:$B$168,2,FALSE),"")</f>
        <v/>
      </c>
    </row>
    <row r="3586" spans="1:10">
      <c r="A3586">
        <v>2022</v>
      </c>
      <c r="B3586" t="s">
        <v>1429</v>
      </c>
      <c r="C3586" t="s">
        <v>1431</v>
      </c>
      <c r="D3586" t="s">
        <v>1433</v>
      </c>
      <c r="E3586" t="s">
        <v>286</v>
      </c>
      <c r="F3586" s="9" t="s">
        <v>286</v>
      </c>
      <c r="G3586" s="18">
        <v>393931</v>
      </c>
      <c r="H3586">
        <v>0</v>
      </c>
      <c r="I3586" s="29">
        <f t="shared" si="55"/>
        <v>393931</v>
      </c>
      <c r="J3586" t="str">
        <f>IFERROR(VLOOKUP(E3586,'LEAID Match'!$A$2:$B$168,2,FALSE),"")</f>
        <v/>
      </c>
    </row>
    <row r="3587" spans="1:10">
      <c r="A3587">
        <v>2023</v>
      </c>
      <c r="B3587" t="s">
        <v>1429</v>
      </c>
      <c r="C3587" t="s">
        <v>1431</v>
      </c>
      <c r="D3587" t="s">
        <v>1433</v>
      </c>
      <c r="E3587" t="s">
        <v>286</v>
      </c>
      <c r="F3587" t="s">
        <v>286</v>
      </c>
      <c r="G3587" s="28">
        <v>379719</v>
      </c>
      <c r="H3587">
        <v>0</v>
      </c>
      <c r="I3587" s="29">
        <f t="shared" ref="I3587:I3650" si="56">SUM(G3587:H3587)</f>
        <v>379719</v>
      </c>
      <c r="J3587" t="str">
        <f>IFERROR(VLOOKUP(E3587,'LEAID Match'!$A$2:$B$168,2,FALSE),"")</f>
        <v/>
      </c>
    </row>
    <row r="3588" spans="1:10">
      <c r="A3588" s="27">
        <v>2020</v>
      </c>
      <c r="B3588" t="s">
        <v>1429</v>
      </c>
      <c r="C3588" t="s">
        <v>1431</v>
      </c>
      <c r="D3588" t="s">
        <v>1433</v>
      </c>
      <c r="E3588" t="s">
        <v>287</v>
      </c>
      <c r="F3588" s="9" t="s">
        <v>287</v>
      </c>
      <c r="G3588" s="18">
        <v>317327</v>
      </c>
      <c r="H3588">
        <v>0</v>
      </c>
      <c r="I3588" s="29">
        <f t="shared" si="56"/>
        <v>317327</v>
      </c>
      <c r="J3588" t="str">
        <f>IFERROR(VLOOKUP(E3588,'LEAID Match'!$A$2:$B$168,2,FALSE),"")</f>
        <v/>
      </c>
    </row>
    <row r="3589" spans="1:10">
      <c r="A3589">
        <v>2021</v>
      </c>
      <c r="B3589" t="s">
        <v>1429</v>
      </c>
      <c r="C3589" t="s">
        <v>1431</v>
      </c>
      <c r="D3589" t="s">
        <v>1433</v>
      </c>
      <c r="E3589" t="s">
        <v>287</v>
      </c>
      <c r="F3589" s="9" t="s">
        <v>287</v>
      </c>
      <c r="G3589" s="18">
        <v>309568</v>
      </c>
      <c r="H3589">
        <v>0</v>
      </c>
      <c r="I3589" s="29">
        <f t="shared" si="56"/>
        <v>309568</v>
      </c>
      <c r="J3589" t="str">
        <f>IFERROR(VLOOKUP(E3589,'LEAID Match'!$A$2:$B$168,2,FALSE),"")</f>
        <v/>
      </c>
    </row>
    <row r="3590" spans="1:10">
      <c r="A3590">
        <v>2022</v>
      </c>
      <c r="B3590" t="s">
        <v>1429</v>
      </c>
      <c r="C3590" t="s">
        <v>1431</v>
      </c>
      <c r="D3590" t="s">
        <v>1433</v>
      </c>
      <c r="E3590" t="s">
        <v>287</v>
      </c>
      <c r="F3590" s="9" t="s">
        <v>287</v>
      </c>
      <c r="G3590" s="18">
        <v>391097</v>
      </c>
      <c r="H3590">
        <v>0</v>
      </c>
      <c r="I3590" s="29">
        <f t="shared" si="56"/>
        <v>391097</v>
      </c>
      <c r="J3590" t="str">
        <f>IFERROR(VLOOKUP(E3590,'LEAID Match'!$A$2:$B$168,2,FALSE),"")</f>
        <v/>
      </c>
    </row>
    <row r="3591" spans="1:10">
      <c r="A3591">
        <v>2023</v>
      </c>
      <c r="B3591" t="s">
        <v>1429</v>
      </c>
      <c r="C3591" t="s">
        <v>1431</v>
      </c>
      <c r="D3591" t="s">
        <v>1433</v>
      </c>
      <c r="E3591" t="s">
        <v>287</v>
      </c>
      <c r="F3591" t="s">
        <v>287</v>
      </c>
      <c r="G3591" s="28">
        <v>394445</v>
      </c>
      <c r="H3591">
        <v>0</v>
      </c>
      <c r="I3591" s="29">
        <f t="shared" si="56"/>
        <v>394445</v>
      </c>
      <c r="J3591" t="str">
        <f>IFERROR(VLOOKUP(E3591,'LEAID Match'!$A$2:$B$168,2,FALSE),"")</f>
        <v/>
      </c>
    </row>
    <row r="3592" spans="1:10">
      <c r="A3592" s="27">
        <v>2020</v>
      </c>
      <c r="B3592" t="s">
        <v>1429</v>
      </c>
      <c r="C3592" t="s">
        <v>1431</v>
      </c>
      <c r="D3592" t="s">
        <v>1433</v>
      </c>
      <c r="E3592" t="s">
        <v>288</v>
      </c>
      <c r="F3592" s="9" t="s">
        <v>288</v>
      </c>
      <c r="G3592" s="18">
        <v>186040</v>
      </c>
      <c r="H3592">
        <v>0</v>
      </c>
      <c r="I3592" s="29">
        <f t="shared" si="56"/>
        <v>186040</v>
      </c>
      <c r="J3592" t="str">
        <f>IFERROR(VLOOKUP(E3592,'LEAID Match'!$A$2:$B$168,2,FALSE),"")</f>
        <v/>
      </c>
    </row>
    <row r="3593" spans="1:10">
      <c r="A3593">
        <v>2021</v>
      </c>
      <c r="B3593" t="s">
        <v>1429</v>
      </c>
      <c r="C3593" t="s">
        <v>1431</v>
      </c>
      <c r="D3593" t="s">
        <v>1433</v>
      </c>
      <c r="E3593" t="s">
        <v>288</v>
      </c>
      <c r="F3593" s="9" t="s">
        <v>288</v>
      </c>
      <c r="G3593" s="18">
        <v>206385</v>
      </c>
      <c r="H3593">
        <v>0</v>
      </c>
      <c r="I3593" s="29">
        <f t="shared" si="56"/>
        <v>206385</v>
      </c>
      <c r="J3593" t="str">
        <f>IFERROR(VLOOKUP(E3593,'LEAID Match'!$A$2:$B$168,2,FALSE),"")</f>
        <v/>
      </c>
    </row>
    <row r="3594" spans="1:10">
      <c r="A3594">
        <v>2022</v>
      </c>
      <c r="B3594" t="s">
        <v>1429</v>
      </c>
      <c r="C3594" t="s">
        <v>1431</v>
      </c>
      <c r="D3594" t="s">
        <v>1433</v>
      </c>
      <c r="E3594" t="s">
        <v>288</v>
      </c>
      <c r="F3594" s="9" t="s">
        <v>288</v>
      </c>
      <c r="G3594" s="18">
        <v>254528</v>
      </c>
      <c r="H3594">
        <v>0</v>
      </c>
      <c r="I3594" s="29">
        <f t="shared" si="56"/>
        <v>254528</v>
      </c>
      <c r="J3594" t="str">
        <f>IFERROR(VLOOKUP(E3594,'LEAID Match'!$A$2:$B$168,2,FALSE),"")</f>
        <v/>
      </c>
    </row>
    <row r="3595" spans="1:10">
      <c r="A3595">
        <v>2023</v>
      </c>
      <c r="B3595" t="s">
        <v>1429</v>
      </c>
      <c r="C3595" t="s">
        <v>1431</v>
      </c>
      <c r="D3595" t="s">
        <v>1433</v>
      </c>
      <c r="E3595" t="s">
        <v>288</v>
      </c>
      <c r="F3595" t="s">
        <v>288</v>
      </c>
      <c r="G3595" s="28">
        <v>260714</v>
      </c>
      <c r="H3595">
        <v>0</v>
      </c>
      <c r="I3595" s="29">
        <f t="shared" si="56"/>
        <v>260714</v>
      </c>
      <c r="J3595" t="str">
        <f>IFERROR(VLOOKUP(E3595,'LEAID Match'!$A$2:$B$168,2,FALSE),"")</f>
        <v/>
      </c>
    </row>
    <row r="3596" spans="1:10">
      <c r="A3596" s="27">
        <v>2020</v>
      </c>
      <c r="B3596" t="s">
        <v>1429</v>
      </c>
      <c r="C3596" t="s">
        <v>1431</v>
      </c>
      <c r="D3596" t="s">
        <v>1433</v>
      </c>
      <c r="E3596" t="s">
        <v>289</v>
      </c>
      <c r="F3596" s="9" t="s">
        <v>289</v>
      </c>
      <c r="G3596" s="18">
        <v>134433</v>
      </c>
      <c r="H3596">
        <v>0</v>
      </c>
      <c r="I3596" s="29">
        <f t="shared" si="56"/>
        <v>134433</v>
      </c>
      <c r="J3596" t="str">
        <f>IFERROR(VLOOKUP(E3596,'LEAID Match'!$A$2:$B$168,2,FALSE),"")</f>
        <v/>
      </c>
    </row>
    <row r="3597" spans="1:10">
      <c r="A3597">
        <v>2021</v>
      </c>
      <c r="B3597" t="s">
        <v>1429</v>
      </c>
      <c r="C3597" t="s">
        <v>1431</v>
      </c>
      <c r="D3597" t="s">
        <v>1433</v>
      </c>
      <c r="E3597" t="s">
        <v>289</v>
      </c>
      <c r="F3597" s="9" t="s">
        <v>289</v>
      </c>
      <c r="G3597" s="18">
        <v>143067</v>
      </c>
      <c r="H3597">
        <v>0</v>
      </c>
      <c r="I3597" s="29">
        <f t="shared" si="56"/>
        <v>143067</v>
      </c>
      <c r="J3597" t="str">
        <f>IFERROR(VLOOKUP(E3597,'LEAID Match'!$A$2:$B$168,2,FALSE),"")</f>
        <v/>
      </c>
    </row>
    <row r="3598" spans="1:10">
      <c r="A3598">
        <v>2022</v>
      </c>
      <c r="B3598" t="s">
        <v>1429</v>
      </c>
      <c r="C3598" t="s">
        <v>1431</v>
      </c>
      <c r="D3598" t="s">
        <v>1433</v>
      </c>
      <c r="E3598" t="s">
        <v>289</v>
      </c>
      <c r="F3598" s="9" t="s">
        <v>289</v>
      </c>
      <c r="G3598" s="18">
        <v>188603</v>
      </c>
      <c r="H3598">
        <v>0</v>
      </c>
      <c r="I3598" s="29">
        <f t="shared" si="56"/>
        <v>188603</v>
      </c>
      <c r="J3598" t="str">
        <f>IFERROR(VLOOKUP(E3598,'LEAID Match'!$A$2:$B$168,2,FALSE),"")</f>
        <v/>
      </c>
    </row>
    <row r="3599" spans="1:10">
      <c r="A3599">
        <v>2023</v>
      </c>
      <c r="B3599" t="s">
        <v>1429</v>
      </c>
      <c r="C3599" t="s">
        <v>1431</v>
      </c>
      <c r="D3599" t="s">
        <v>1433</v>
      </c>
      <c r="E3599" t="s">
        <v>289</v>
      </c>
      <c r="F3599" t="s">
        <v>289</v>
      </c>
      <c r="G3599" s="28">
        <v>221867</v>
      </c>
      <c r="H3599">
        <v>0</v>
      </c>
      <c r="I3599" s="29">
        <f t="shared" si="56"/>
        <v>221867</v>
      </c>
      <c r="J3599" t="str">
        <f>IFERROR(VLOOKUP(E3599,'LEAID Match'!$A$2:$B$168,2,FALSE),"")</f>
        <v/>
      </c>
    </row>
    <row r="3600" spans="1:10">
      <c r="A3600" s="27">
        <v>2020</v>
      </c>
      <c r="B3600" t="s">
        <v>1429</v>
      </c>
      <c r="C3600" t="s">
        <v>1431</v>
      </c>
      <c r="D3600" t="s">
        <v>1433</v>
      </c>
      <c r="E3600" t="s">
        <v>290</v>
      </c>
      <c r="F3600" s="9" t="s">
        <v>290</v>
      </c>
      <c r="G3600" s="18">
        <v>631475</v>
      </c>
      <c r="H3600">
        <v>0</v>
      </c>
      <c r="I3600" s="29">
        <f t="shared" si="56"/>
        <v>631475</v>
      </c>
      <c r="J3600" t="str">
        <f>IFERROR(VLOOKUP(E3600,'LEAID Match'!$A$2:$B$168,2,FALSE),"")</f>
        <v/>
      </c>
    </row>
    <row r="3601" spans="1:10">
      <c r="A3601">
        <v>2021</v>
      </c>
      <c r="B3601" t="s">
        <v>1429</v>
      </c>
      <c r="C3601" t="s">
        <v>1431</v>
      </c>
      <c r="D3601" t="s">
        <v>1433</v>
      </c>
      <c r="E3601" t="s">
        <v>290</v>
      </c>
      <c r="F3601" s="9" t="s">
        <v>290</v>
      </c>
      <c r="G3601" s="18">
        <v>697826</v>
      </c>
      <c r="H3601">
        <v>0</v>
      </c>
      <c r="I3601" s="29">
        <f t="shared" si="56"/>
        <v>697826</v>
      </c>
      <c r="J3601" t="str">
        <f>IFERROR(VLOOKUP(E3601,'LEAID Match'!$A$2:$B$168,2,FALSE),"")</f>
        <v/>
      </c>
    </row>
    <row r="3602" spans="1:10">
      <c r="A3602">
        <v>2022</v>
      </c>
      <c r="B3602" t="s">
        <v>1429</v>
      </c>
      <c r="C3602" t="s">
        <v>1431</v>
      </c>
      <c r="D3602" t="s">
        <v>1433</v>
      </c>
      <c r="E3602" t="s">
        <v>290</v>
      </c>
      <c r="F3602" s="9" t="s">
        <v>290</v>
      </c>
      <c r="G3602" s="18">
        <v>889237</v>
      </c>
      <c r="H3602">
        <v>0</v>
      </c>
      <c r="I3602" s="29">
        <f t="shared" si="56"/>
        <v>889237</v>
      </c>
      <c r="J3602" t="str">
        <f>IFERROR(VLOOKUP(E3602,'LEAID Match'!$A$2:$B$168,2,FALSE),"")</f>
        <v/>
      </c>
    </row>
    <row r="3603" spans="1:10">
      <c r="A3603">
        <v>2023</v>
      </c>
      <c r="B3603" t="s">
        <v>1429</v>
      </c>
      <c r="C3603" t="s">
        <v>1431</v>
      </c>
      <c r="D3603" t="s">
        <v>1433</v>
      </c>
      <c r="E3603" t="s">
        <v>290</v>
      </c>
      <c r="F3603" t="s">
        <v>290</v>
      </c>
      <c r="G3603" s="28">
        <v>931073</v>
      </c>
      <c r="H3603">
        <v>0</v>
      </c>
      <c r="I3603" s="29">
        <f t="shared" si="56"/>
        <v>931073</v>
      </c>
      <c r="J3603" t="str">
        <f>IFERROR(VLOOKUP(E3603,'LEAID Match'!$A$2:$B$168,2,FALSE),"")</f>
        <v/>
      </c>
    </row>
    <row r="3604" spans="1:10">
      <c r="A3604" s="27">
        <v>2020</v>
      </c>
      <c r="B3604" t="s">
        <v>1429</v>
      </c>
      <c r="C3604" t="s">
        <v>1431</v>
      </c>
      <c r="D3604" t="s">
        <v>1433</v>
      </c>
      <c r="E3604" t="s">
        <v>291</v>
      </c>
      <c r="F3604" s="9" t="s">
        <v>291</v>
      </c>
      <c r="G3604" s="18">
        <v>1354840</v>
      </c>
      <c r="H3604">
        <v>0</v>
      </c>
      <c r="I3604" s="29">
        <f t="shared" si="56"/>
        <v>1354840</v>
      </c>
      <c r="J3604" t="str">
        <f>IFERROR(VLOOKUP(E3604,'LEAID Match'!$A$2:$B$168,2,FALSE),"")</f>
        <v/>
      </c>
    </row>
    <row r="3605" spans="1:10">
      <c r="A3605">
        <v>2021</v>
      </c>
      <c r="B3605" t="s">
        <v>1429</v>
      </c>
      <c r="C3605" t="s">
        <v>1431</v>
      </c>
      <c r="D3605" t="s">
        <v>1433</v>
      </c>
      <c r="E3605" t="s">
        <v>291</v>
      </c>
      <c r="F3605" s="9" t="s">
        <v>291</v>
      </c>
      <c r="G3605" s="18">
        <v>1512369</v>
      </c>
      <c r="H3605">
        <v>0</v>
      </c>
      <c r="I3605" s="29">
        <f t="shared" si="56"/>
        <v>1512369</v>
      </c>
      <c r="J3605" t="str">
        <f>IFERROR(VLOOKUP(E3605,'LEAID Match'!$A$2:$B$168,2,FALSE),"")</f>
        <v/>
      </c>
    </row>
    <row r="3606" spans="1:10">
      <c r="A3606">
        <v>2022</v>
      </c>
      <c r="B3606" t="s">
        <v>1429</v>
      </c>
      <c r="C3606" t="s">
        <v>1431</v>
      </c>
      <c r="D3606" t="s">
        <v>1433</v>
      </c>
      <c r="E3606" t="s">
        <v>291</v>
      </c>
      <c r="F3606" s="9" t="s">
        <v>291</v>
      </c>
      <c r="G3606" s="18">
        <v>1902272</v>
      </c>
      <c r="H3606">
        <v>0</v>
      </c>
      <c r="I3606" s="29">
        <f t="shared" si="56"/>
        <v>1902272</v>
      </c>
      <c r="J3606" t="str">
        <f>IFERROR(VLOOKUP(E3606,'LEAID Match'!$A$2:$B$168,2,FALSE),"")</f>
        <v/>
      </c>
    </row>
    <row r="3607" spans="1:10">
      <c r="A3607">
        <v>2023</v>
      </c>
      <c r="B3607" t="s">
        <v>1429</v>
      </c>
      <c r="C3607" t="s">
        <v>1431</v>
      </c>
      <c r="D3607" t="s">
        <v>1433</v>
      </c>
      <c r="E3607" t="s">
        <v>291</v>
      </c>
      <c r="F3607" t="s">
        <v>291</v>
      </c>
      <c r="G3607" s="28">
        <v>1914871</v>
      </c>
      <c r="H3607">
        <v>0</v>
      </c>
      <c r="I3607" s="29">
        <f t="shared" si="56"/>
        <v>1914871</v>
      </c>
      <c r="J3607" t="str">
        <f>IFERROR(VLOOKUP(E3607,'LEAID Match'!$A$2:$B$168,2,FALSE),"")</f>
        <v/>
      </c>
    </row>
    <row r="3608" spans="1:10">
      <c r="A3608" s="27">
        <v>2020</v>
      </c>
      <c r="B3608" t="s">
        <v>1429</v>
      </c>
      <c r="C3608" t="s">
        <v>1431</v>
      </c>
      <c r="D3608" t="s">
        <v>1433</v>
      </c>
      <c r="E3608" t="s">
        <v>292</v>
      </c>
      <c r="F3608" s="9" t="s">
        <v>292</v>
      </c>
      <c r="G3608" s="18">
        <v>401835</v>
      </c>
      <c r="H3608">
        <v>0</v>
      </c>
      <c r="I3608" s="29">
        <f t="shared" si="56"/>
        <v>401835</v>
      </c>
      <c r="J3608" t="str">
        <f>IFERROR(VLOOKUP(E3608,'LEAID Match'!$A$2:$B$168,2,FALSE),"")</f>
        <v/>
      </c>
    </row>
    <row r="3609" spans="1:10">
      <c r="A3609">
        <v>2021</v>
      </c>
      <c r="B3609" t="s">
        <v>1429</v>
      </c>
      <c r="C3609" t="s">
        <v>1431</v>
      </c>
      <c r="D3609" t="s">
        <v>1433</v>
      </c>
      <c r="E3609" t="s">
        <v>292</v>
      </c>
      <c r="F3609" s="9" t="s">
        <v>292</v>
      </c>
      <c r="G3609" s="18">
        <v>418733</v>
      </c>
      <c r="H3609">
        <v>0</v>
      </c>
      <c r="I3609" s="29">
        <f t="shared" si="56"/>
        <v>418733</v>
      </c>
      <c r="J3609" t="str">
        <f>IFERROR(VLOOKUP(E3609,'LEAID Match'!$A$2:$B$168,2,FALSE),"")</f>
        <v/>
      </c>
    </row>
    <row r="3610" spans="1:10">
      <c r="A3610">
        <v>2022</v>
      </c>
      <c r="B3610" t="s">
        <v>1429</v>
      </c>
      <c r="C3610" t="s">
        <v>1431</v>
      </c>
      <c r="D3610" t="s">
        <v>1433</v>
      </c>
      <c r="E3610" t="s">
        <v>292</v>
      </c>
      <c r="F3610" s="9" t="s">
        <v>292</v>
      </c>
      <c r="G3610" s="18">
        <v>530496</v>
      </c>
      <c r="H3610">
        <v>0</v>
      </c>
      <c r="I3610" s="29">
        <f t="shared" si="56"/>
        <v>530496</v>
      </c>
      <c r="J3610" t="str">
        <f>IFERROR(VLOOKUP(E3610,'LEAID Match'!$A$2:$B$168,2,FALSE),"")</f>
        <v/>
      </c>
    </row>
    <row r="3611" spans="1:10">
      <c r="A3611">
        <v>2023</v>
      </c>
      <c r="B3611" t="s">
        <v>1429</v>
      </c>
      <c r="C3611" t="s">
        <v>1431</v>
      </c>
      <c r="D3611" t="s">
        <v>1433</v>
      </c>
      <c r="E3611" t="s">
        <v>292</v>
      </c>
      <c r="F3611" t="s">
        <v>292</v>
      </c>
      <c r="G3611" s="28">
        <v>562022</v>
      </c>
      <c r="H3611">
        <v>0</v>
      </c>
      <c r="I3611" s="29">
        <f t="shared" si="56"/>
        <v>562022</v>
      </c>
      <c r="J3611" t="str">
        <f>IFERROR(VLOOKUP(E3611,'LEAID Match'!$A$2:$B$168,2,FALSE),"")</f>
        <v/>
      </c>
    </row>
    <row r="3612" spans="1:10">
      <c r="A3612" s="27">
        <v>2020</v>
      </c>
      <c r="B3612" t="s">
        <v>1429</v>
      </c>
      <c r="C3612" t="s">
        <v>1431</v>
      </c>
      <c r="D3612" t="s">
        <v>1433</v>
      </c>
      <c r="E3612" t="s">
        <v>293</v>
      </c>
      <c r="F3612" s="9" t="s">
        <v>293</v>
      </c>
      <c r="G3612" s="18">
        <v>2457132</v>
      </c>
      <c r="H3612">
        <v>0</v>
      </c>
      <c r="I3612" s="29">
        <f t="shared" si="56"/>
        <v>2457132</v>
      </c>
      <c r="J3612" t="str">
        <f>IFERROR(VLOOKUP(E3612,'LEAID Match'!$A$2:$B$168,2,FALSE),"")</f>
        <v/>
      </c>
    </row>
    <row r="3613" spans="1:10">
      <c r="A3613">
        <v>2021</v>
      </c>
      <c r="B3613" t="s">
        <v>1429</v>
      </c>
      <c r="C3613" t="s">
        <v>1431</v>
      </c>
      <c r="D3613" t="s">
        <v>1433</v>
      </c>
      <c r="E3613" t="s">
        <v>293</v>
      </c>
      <c r="F3613" s="9" t="s">
        <v>293</v>
      </c>
      <c r="G3613" s="18">
        <v>2767656</v>
      </c>
      <c r="H3613">
        <v>0</v>
      </c>
      <c r="I3613" s="29">
        <f t="shared" si="56"/>
        <v>2767656</v>
      </c>
      <c r="J3613" t="str">
        <f>IFERROR(VLOOKUP(E3613,'LEAID Match'!$A$2:$B$168,2,FALSE),"")</f>
        <v/>
      </c>
    </row>
    <row r="3614" spans="1:10">
      <c r="A3614">
        <v>2022</v>
      </c>
      <c r="B3614" t="s">
        <v>1429</v>
      </c>
      <c r="C3614" t="s">
        <v>1431</v>
      </c>
      <c r="D3614" t="s">
        <v>1433</v>
      </c>
      <c r="E3614" t="s">
        <v>293</v>
      </c>
      <c r="F3614" s="9" t="s">
        <v>293</v>
      </c>
      <c r="G3614" s="18">
        <v>3504014</v>
      </c>
      <c r="H3614">
        <v>0</v>
      </c>
      <c r="I3614" s="29">
        <f t="shared" si="56"/>
        <v>3504014</v>
      </c>
      <c r="J3614" t="str">
        <f>IFERROR(VLOOKUP(E3614,'LEAID Match'!$A$2:$B$168,2,FALSE),"")</f>
        <v/>
      </c>
    </row>
    <row r="3615" spans="1:10">
      <c r="A3615">
        <v>2023</v>
      </c>
      <c r="B3615" t="s">
        <v>1429</v>
      </c>
      <c r="C3615" t="s">
        <v>1431</v>
      </c>
      <c r="D3615" t="s">
        <v>1433</v>
      </c>
      <c r="E3615" t="s">
        <v>293</v>
      </c>
      <c r="F3615" t="s">
        <v>293</v>
      </c>
      <c r="G3615" s="28">
        <v>3548892</v>
      </c>
      <c r="H3615">
        <v>0</v>
      </c>
      <c r="I3615" s="29">
        <f t="shared" si="56"/>
        <v>3548892</v>
      </c>
      <c r="J3615" t="str">
        <f>IFERROR(VLOOKUP(E3615,'LEAID Match'!$A$2:$B$168,2,FALSE),"")</f>
        <v/>
      </c>
    </row>
    <row r="3616" spans="1:10">
      <c r="A3616" s="27">
        <v>2020</v>
      </c>
      <c r="B3616" t="s">
        <v>1429</v>
      </c>
      <c r="C3616" t="s">
        <v>1431</v>
      </c>
      <c r="D3616" t="s">
        <v>1433</v>
      </c>
      <c r="E3616" t="s">
        <v>294</v>
      </c>
      <c r="F3616" s="9" t="s">
        <v>294</v>
      </c>
      <c r="G3616" s="18">
        <v>72845</v>
      </c>
      <c r="H3616">
        <v>0</v>
      </c>
      <c r="I3616" s="29">
        <f t="shared" si="56"/>
        <v>72845</v>
      </c>
      <c r="J3616" t="str">
        <f>IFERROR(VLOOKUP(E3616,'LEAID Match'!$A$2:$B$168,2,FALSE),"")</f>
        <v/>
      </c>
    </row>
    <row r="3617" spans="1:10">
      <c r="A3617">
        <v>2021</v>
      </c>
      <c r="B3617" t="s">
        <v>1429</v>
      </c>
      <c r="C3617" t="s">
        <v>1431</v>
      </c>
      <c r="D3617" t="s">
        <v>1433</v>
      </c>
      <c r="E3617" t="s">
        <v>294</v>
      </c>
      <c r="F3617" s="9" t="s">
        <v>294</v>
      </c>
      <c r="G3617" s="18">
        <v>78902</v>
      </c>
      <c r="H3617">
        <v>0</v>
      </c>
      <c r="I3617" s="29">
        <f t="shared" si="56"/>
        <v>78902</v>
      </c>
      <c r="J3617" t="str">
        <f>IFERROR(VLOOKUP(E3617,'LEAID Match'!$A$2:$B$168,2,FALSE),"")</f>
        <v/>
      </c>
    </row>
    <row r="3618" spans="1:10">
      <c r="A3618">
        <v>2022</v>
      </c>
      <c r="B3618" t="s">
        <v>1429</v>
      </c>
      <c r="C3618" t="s">
        <v>1431</v>
      </c>
      <c r="D3618" t="s">
        <v>1433</v>
      </c>
      <c r="E3618" t="s">
        <v>294</v>
      </c>
      <c r="F3618" s="9" t="s">
        <v>294</v>
      </c>
      <c r="G3618" s="18">
        <v>107910</v>
      </c>
      <c r="H3618">
        <v>0</v>
      </c>
      <c r="I3618" s="29">
        <f t="shared" si="56"/>
        <v>107910</v>
      </c>
      <c r="J3618" t="str">
        <f>IFERROR(VLOOKUP(E3618,'LEAID Match'!$A$2:$B$168,2,FALSE),"")</f>
        <v/>
      </c>
    </row>
    <row r="3619" spans="1:10">
      <c r="A3619">
        <v>2023</v>
      </c>
      <c r="B3619" t="s">
        <v>1429</v>
      </c>
      <c r="C3619" t="s">
        <v>1431</v>
      </c>
      <c r="D3619" t="s">
        <v>1433</v>
      </c>
      <c r="E3619" t="s">
        <v>294</v>
      </c>
      <c r="F3619" t="s">
        <v>294</v>
      </c>
      <c r="G3619" s="28">
        <v>124497</v>
      </c>
      <c r="H3619">
        <v>0</v>
      </c>
      <c r="I3619" s="29">
        <f t="shared" si="56"/>
        <v>124497</v>
      </c>
      <c r="J3619" t="str">
        <f>IFERROR(VLOOKUP(E3619,'LEAID Match'!$A$2:$B$168,2,FALSE),"")</f>
        <v/>
      </c>
    </row>
    <row r="3620" spans="1:10">
      <c r="A3620" s="27">
        <v>2020</v>
      </c>
      <c r="B3620" t="s">
        <v>1429</v>
      </c>
      <c r="C3620" t="s">
        <v>1431</v>
      </c>
      <c r="D3620" t="s">
        <v>1433</v>
      </c>
      <c r="E3620" t="s">
        <v>295</v>
      </c>
      <c r="F3620" s="9" t="s">
        <v>295</v>
      </c>
      <c r="G3620" s="18">
        <v>449299</v>
      </c>
      <c r="H3620">
        <v>0</v>
      </c>
      <c r="I3620" s="29">
        <f t="shared" si="56"/>
        <v>449299</v>
      </c>
      <c r="J3620" t="str">
        <f>IFERROR(VLOOKUP(E3620,'LEAID Match'!$A$2:$B$168,2,FALSE),"")</f>
        <v/>
      </c>
    </row>
    <row r="3621" spans="1:10">
      <c r="A3621">
        <v>2021</v>
      </c>
      <c r="B3621" t="s">
        <v>1429</v>
      </c>
      <c r="C3621" t="s">
        <v>1431</v>
      </c>
      <c r="D3621" t="s">
        <v>1433</v>
      </c>
      <c r="E3621" t="s">
        <v>295</v>
      </c>
      <c r="F3621" s="9" t="s">
        <v>295</v>
      </c>
      <c r="G3621" s="18">
        <v>416142</v>
      </c>
      <c r="H3621">
        <v>0</v>
      </c>
      <c r="I3621" s="29">
        <f t="shared" si="56"/>
        <v>416142</v>
      </c>
      <c r="J3621" t="str">
        <f>IFERROR(VLOOKUP(E3621,'LEAID Match'!$A$2:$B$168,2,FALSE),"")</f>
        <v/>
      </c>
    </row>
    <row r="3622" spans="1:10">
      <c r="A3622">
        <v>2022</v>
      </c>
      <c r="B3622" t="s">
        <v>1429</v>
      </c>
      <c r="C3622" t="s">
        <v>1431</v>
      </c>
      <c r="D3622" t="s">
        <v>1433</v>
      </c>
      <c r="E3622" t="s">
        <v>295</v>
      </c>
      <c r="F3622" s="9" t="s">
        <v>295</v>
      </c>
      <c r="G3622" s="18">
        <v>560453</v>
      </c>
      <c r="H3622">
        <v>0</v>
      </c>
      <c r="I3622" s="29">
        <f t="shared" si="56"/>
        <v>560453</v>
      </c>
      <c r="J3622" t="str">
        <f>IFERROR(VLOOKUP(E3622,'LEAID Match'!$A$2:$B$168,2,FALSE),"")</f>
        <v/>
      </c>
    </row>
    <row r="3623" spans="1:10">
      <c r="A3623">
        <v>2023</v>
      </c>
      <c r="B3623" t="s">
        <v>1429</v>
      </c>
      <c r="C3623" t="s">
        <v>1431</v>
      </c>
      <c r="D3623" t="s">
        <v>1433</v>
      </c>
      <c r="E3623" t="s">
        <v>295</v>
      </c>
      <c r="F3623" t="s">
        <v>295</v>
      </c>
      <c r="G3623" s="28">
        <v>547239</v>
      </c>
      <c r="H3623">
        <v>0</v>
      </c>
      <c r="I3623" s="29">
        <f t="shared" si="56"/>
        <v>547239</v>
      </c>
      <c r="J3623" t="str">
        <f>IFERROR(VLOOKUP(E3623,'LEAID Match'!$A$2:$B$168,2,FALSE),"")</f>
        <v/>
      </c>
    </row>
    <row r="3624" spans="1:10">
      <c r="A3624" s="27">
        <v>2020</v>
      </c>
      <c r="B3624" t="s">
        <v>1429</v>
      </c>
      <c r="C3624" t="s">
        <v>1431</v>
      </c>
      <c r="D3624" t="s">
        <v>1433</v>
      </c>
      <c r="E3624" t="s">
        <v>296</v>
      </c>
      <c r="F3624" s="9" t="s">
        <v>296</v>
      </c>
      <c r="G3624" s="18">
        <v>13330</v>
      </c>
      <c r="H3624">
        <v>0</v>
      </c>
      <c r="I3624" s="29">
        <f t="shared" si="56"/>
        <v>13330</v>
      </c>
      <c r="J3624" t="str">
        <f>IFERROR(VLOOKUP(E3624,'LEAID Match'!$A$2:$B$168,2,FALSE),"")</f>
        <v/>
      </c>
    </row>
    <row r="3625" spans="1:10">
      <c r="A3625">
        <v>2021</v>
      </c>
      <c r="B3625" t="s">
        <v>1429</v>
      </c>
      <c r="C3625" t="s">
        <v>1431</v>
      </c>
      <c r="D3625" t="s">
        <v>1433</v>
      </c>
      <c r="E3625" t="s">
        <v>296</v>
      </c>
      <c r="F3625" s="9" t="s">
        <v>296</v>
      </c>
      <c r="G3625" s="18">
        <v>12297</v>
      </c>
      <c r="H3625">
        <v>0</v>
      </c>
      <c r="I3625" s="29">
        <f t="shared" si="56"/>
        <v>12297</v>
      </c>
      <c r="J3625" t="str">
        <f>IFERROR(VLOOKUP(E3625,'LEAID Match'!$A$2:$B$168,2,FALSE),"")</f>
        <v/>
      </c>
    </row>
    <row r="3626" spans="1:10">
      <c r="A3626">
        <v>2022</v>
      </c>
      <c r="B3626" t="s">
        <v>1429</v>
      </c>
      <c r="C3626" t="s">
        <v>1431</v>
      </c>
      <c r="D3626" t="s">
        <v>1433</v>
      </c>
      <c r="E3626" t="s">
        <v>296</v>
      </c>
      <c r="F3626" s="9" t="s">
        <v>296</v>
      </c>
      <c r="G3626" s="18">
        <v>13426</v>
      </c>
      <c r="H3626">
        <v>0</v>
      </c>
      <c r="I3626" s="29">
        <f t="shared" si="56"/>
        <v>13426</v>
      </c>
      <c r="J3626" t="str">
        <f>IFERROR(VLOOKUP(E3626,'LEAID Match'!$A$2:$B$168,2,FALSE),"")</f>
        <v/>
      </c>
    </row>
    <row r="3627" spans="1:10">
      <c r="A3627">
        <v>2023</v>
      </c>
      <c r="B3627" t="s">
        <v>1429</v>
      </c>
      <c r="C3627" t="s">
        <v>1431</v>
      </c>
      <c r="D3627" t="s">
        <v>1433</v>
      </c>
      <c r="E3627" t="s">
        <v>296</v>
      </c>
      <c r="F3627" t="s">
        <v>296</v>
      </c>
      <c r="G3627" s="28">
        <v>15940</v>
      </c>
      <c r="H3627">
        <v>0</v>
      </c>
      <c r="I3627" s="29">
        <f t="shared" si="56"/>
        <v>15940</v>
      </c>
      <c r="J3627" t="str">
        <f>IFERROR(VLOOKUP(E3627,'LEAID Match'!$A$2:$B$168,2,FALSE),"")</f>
        <v/>
      </c>
    </row>
    <row r="3628" spans="1:10">
      <c r="A3628" s="27">
        <v>2020</v>
      </c>
      <c r="B3628" t="s">
        <v>1429</v>
      </c>
      <c r="C3628" t="s">
        <v>1431</v>
      </c>
      <c r="D3628" t="s">
        <v>1433</v>
      </c>
      <c r="E3628" t="s">
        <v>297</v>
      </c>
      <c r="F3628" s="9" t="s">
        <v>297</v>
      </c>
      <c r="G3628" s="18">
        <v>76392</v>
      </c>
      <c r="H3628">
        <v>0</v>
      </c>
      <c r="I3628" s="29">
        <f t="shared" si="56"/>
        <v>76392</v>
      </c>
      <c r="J3628" t="str">
        <f>IFERROR(VLOOKUP(E3628,'LEAID Match'!$A$2:$B$168,2,FALSE),"")</f>
        <v/>
      </c>
    </row>
    <row r="3629" spans="1:10">
      <c r="A3629">
        <v>2021</v>
      </c>
      <c r="B3629" t="s">
        <v>1429</v>
      </c>
      <c r="C3629" t="s">
        <v>1431</v>
      </c>
      <c r="D3629" t="s">
        <v>1433</v>
      </c>
      <c r="E3629" t="s">
        <v>297</v>
      </c>
      <c r="F3629" s="9" t="s">
        <v>297</v>
      </c>
      <c r="G3629" s="18">
        <v>94420</v>
      </c>
      <c r="H3629">
        <v>0</v>
      </c>
      <c r="I3629" s="29">
        <f t="shared" si="56"/>
        <v>94420</v>
      </c>
      <c r="J3629" t="str">
        <f>IFERROR(VLOOKUP(E3629,'LEAID Match'!$A$2:$B$168,2,FALSE),"")</f>
        <v/>
      </c>
    </row>
    <row r="3630" spans="1:10">
      <c r="A3630">
        <v>2022</v>
      </c>
      <c r="B3630" t="s">
        <v>1429</v>
      </c>
      <c r="C3630" t="s">
        <v>1431</v>
      </c>
      <c r="D3630" t="s">
        <v>1433</v>
      </c>
      <c r="E3630" t="s">
        <v>297</v>
      </c>
      <c r="F3630" s="9" t="s">
        <v>297</v>
      </c>
      <c r="G3630" s="18">
        <v>141805</v>
      </c>
      <c r="H3630">
        <v>0</v>
      </c>
      <c r="I3630" s="29">
        <f t="shared" si="56"/>
        <v>141805</v>
      </c>
      <c r="J3630" t="str">
        <f>IFERROR(VLOOKUP(E3630,'LEAID Match'!$A$2:$B$168,2,FALSE),"")</f>
        <v/>
      </c>
    </row>
    <row r="3631" spans="1:10">
      <c r="A3631">
        <v>2023</v>
      </c>
      <c r="B3631" t="s">
        <v>1429</v>
      </c>
      <c r="C3631" t="s">
        <v>1431</v>
      </c>
      <c r="D3631" t="s">
        <v>1433</v>
      </c>
      <c r="E3631" t="s">
        <v>297</v>
      </c>
      <c r="F3631" t="s">
        <v>297</v>
      </c>
      <c r="G3631" s="28">
        <v>167983</v>
      </c>
      <c r="H3631">
        <v>0</v>
      </c>
      <c r="I3631" s="29">
        <f t="shared" si="56"/>
        <v>167983</v>
      </c>
      <c r="J3631" t="str">
        <f>IFERROR(VLOOKUP(E3631,'LEAID Match'!$A$2:$B$168,2,FALSE),"")</f>
        <v/>
      </c>
    </row>
    <row r="3632" spans="1:10">
      <c r="A3632" s="27">
        <v>2020</v>
      </c>
      <c r="B3632" t="s">
        <v>1429</v>
      </c>
      <c r="C3632" t="s">
        <v>1431</v>
      </c>
      <c r="D3632" t="s">
        <v>1433</v>
      </c>
      <c r="E3632" t="s">
        <v>298</v>
      </c>
      <c r="F3632" s="9" t="s">
        <v>298</v>
      </c>
      <c r="G3632" s="18">
        <v>276012</v>
      </c>
      <c r="H3632">
        <v>0</v>
      </c>
      <c r="I3632" s="29">
        <f t="shared" si="56"/>
        <v>276012</v>
      </c>
      <c r="J3632" t="str">
        <f>IFERROR(VLOOKUP(E3632,'LEAID Match'!$A$2:$B$168,2,FALSE),"")</f>
        <v/>
      </c>
    </row>
    <row r="3633" spans="1:10">
      <c r="A3633">
        <v>2021</v>
      </c>
      <c r="B3633" t="s">
        <v>1429</v>
      </c>
      <c r="C3633" t="s">
        <v>1431</v>
      </c>
      <c r="D3633" t="s">
        <v>1433</v>
      </c>
      <c r="E3633" t="s">
        <v>298</v>
      </c>
      <c r="F3633" s="9" t="s">
        <v>298</v>
      </c>
      <c r="G3633" s="18">
        <v>289268</v>
      </c>
      <c r="H3633">
        <v>0</v>
      </c>
      <c r="I3633" s="29">
        <f t="shared" si="56"/>
        <v>289268</v>
      </c>
      <c r="J3633" t="str">
        <f>IFERROR(VLOOKUP(E3633,'LEAID Match'!$A$2:$B$168,2,FALSE),"")</f>
        <v/>
      </c>
    </row>
    <row r="3634" spans="1:10">
      <c r="A3634">
        <v>2022</v>
      </c>
      <c r="B3634" t="s">
        <v>1429</v>
      </c>
      <c r="C3634" t="s">
        <v>1431</v>
      </c>
      <c r="D3634" t="s">
        <v>1433</v>
      </c>
      <c r="E3634" t="s">
        <v>298</v>
      </c>
      <c r="F3634" s="9" t="s">
        <v>298</v>
      </c>
      <c r="G3634" s="18">
        <v>371882</v>
      </c>
      <c r="H3634">
        <v>0</v>
      </c>
      <c r="I3634" s="29">
        <f t="shared" si="56"/>
        <v>371882</v>
      </c>
      <c r="J3634" t="str">
        <f>IFERROR(VLOOKUP(E3634,'LEAID Match'!$A$2:$B$168,2,FALSE),"")</f>
        <v/>
      </c>
    </row>
    <row r="3635" spans="1:10">
      <c r="A3635">
        <v>2023</v>
      </c>
      <c r="B3635" t="s">
        <v>1429</v>
      </c>
      <c r="C3635" t="s">
        <v>1431</v>
      </c>
      <c r="D3635" t="s">
        <v>1433</v>
      </c>
      <c r="E3635" t="s">
        <v>298</v>
      </c>
      <c r="F3635" t="s">
        <v>298</v>
      </c>
      <c r="G3635" s="28">
        <v>513631</v>
      </c>
      <c r="H3635">
        <v>0</v>
      </c>
      <c r="I3635" s="29">
        <f t="shared" si="56"/>
        <v>513631</v>
      </c>
      <c r="J3635" t="str">
        <f>IFERROR(VLOOKUP(E3635,'LEAID Match'!$A$2:$B$168,2,FALSE),"")</f>
        <v/>
      </c>
    </row>
    <row r="3636" spans="1:10">
      <c r="A3636" s="27">
        <v>2020</v>
      </c>
      <c r="B3636" t="s">
        <v>1429</v>
      </c>
      <c r="C3636" t="s">
        <v>1431</v>
      </c>
      <c r="D3636" t="s">
        <v>1433</v>
      </c>
      <c r="E3636" t="s">
        <v>299</v>
      </c>
      <c r="F3636" s="9" t="s">
        <v>299</v>
      </c>
      <c r="G3636" s="18">
        <v>235945</v>
      </c>
      <c r="H3636">
        <v>0</v>
      </c>
      <c r="I3636" s="29">
        <f t="shared" si="56"/>
        <v>235945</v>
      </c>
      <c r="J3636" t="str">
        <f>IFERROR(VLOOKUP(E3636,'LEAID Match'!$A$2:$B$168,2,FALSE),"")</f>
        <v/>
      </c>
    </row>
    <row r="3637" spans="1:10">
      <c r="A3637">
        <v>2021</v>
      </c>
      <c r="B3637" t="s">
        <v>1429</v>
      </c>
      <c r="C3637" t="s">
        <v>1431</v>
      </c>
      <c r="D3637" t="s">
        <v>1433</v>
      </c>
      <c r="E3637" t="s">
        <v>299</v>
      </c>
      <c r="F3637" s="9" t="s">
        <v>299</v>
      </c>
      <c r="G3637" s="18">
        <v>250701</v>
      </c>
      <c r="H3637">
        <v>0</v>
      </c>
      <c r="I3637" s="29">
        <f t="shared" si="56"/>
        <v>250701</v>
      </c>
      <c r="J3637" t="str">
        <f>IFERROR(VLOOKUP(E3637,'LEAID Match'!$A$2:$B$168,2,FALSE),"")</f>
        <v/>
      </c>
    </row>
    <row r="3638" spans="1:10">
      <c r="A3638">
        <v>2022</v>
      </c>
      <c r="B3638" t="s">
        <v>1429</v>
      </c>
      <c r="C3638" t="s">
        <v>1431</v>
      </c>
      <c r="D3638" t="s">
        <v>1433</v>
      </c>
      <c r="E3638" t="s">
        <v>299</v>
      </c>
      <c r="F3638" s="9" t="s">
        <v>299</v>
      </c>
      <c r="G3638" s="18">
        <v>346125</v>
      </c>
      <c r="H3638">
        <v>0</v>
      </c>
      <c r="I3638" s="29">
        <f t="shared" si="56"/>
        <v>346125</v>
      </c>
      <c r="J3638" t="str">
        <f>IFERROR(VLOOKUP(E3638,'LEAID Match'!$A$2:$B$168,2,FALSE),"")</f>
        <v/>
      </c>
    </row>
    <row r="3639" spans="1:10">
      <c r="A3639">
        <v>2023</v>
      </c>
      <c r="B3639" t="s">
        <v>1429</v>
      </c>
      <c r="C3639" t="s">
        <v>1431</v>
      </c>
      <c r="D3639" t="s">
        <v>1433</v>
      </c>
      <c r="E3639" t="s">
        <v>299</v>
      </c>
      <c r="F3639" t="s">
        <v>299</v>
      </c>
      <c r="G3639" s="28">
        <v>388207</v>
      </c>
      <c r="H3639">
        <v>0</v>
      </c>
      <c r="I3639" s="29">
        <f t="shared" si="56"/>
        <v>388207</v>
      </c>
      <c r="J3639" t="str">
        <f>IFERROR(VLOOKUP(E3639,'LEAID Match'!$A$2:$B$168,2,FALSE),"")</f>
        <v/>
      </c>
    </row>
    <row r="3640" spans="1:10">
      <c r="A3640" s="27">
        <v>2020</v>
      </c>
      <c r="B3640" t="s">
        <v>1429</v>
      </c>
      <c r="C3640" t="s">
        <v>1431</v>
      </c>
      <c r="D3640" t="s">
        <v>1433</v>
      </c>
      <c r="E3640" t="s">
        <v>300</v>
      </c>
      <c r="F3640" s="9" t="s">
        <v>300</v>
      </c>
      <c r="G3640" s="18">
        <v>259031</v>
      </c>
      <c r="H3640">
        <v>0</v>
      </c>
      <c r="I3640" s="29">
        <f t="shared" si="56"/>
        <v>259031</v>
      </c>
      <c r="J3640" t="str">
        <f>IFERROR(VLOOKUP(E3640,'LEAID Match'!$A$2:$B$168,2,FALSE),"")</f>
        <v/>
      </c>
    </row>
    <row r="3641" spans="1:10">
      <c r="A3641">
        <v>2021</v>
      </c>
      <c r="B3641" t="s">
        <v>1429</v>
      </c>
      <c r="C3641" t="s">
        <v>1431</v>
      </c>
      <c r="D3641" t="s">
        <v>1433</v>
      </c>
      <c r="E3641" t="s">
        <v>300</v>
      </c>
      <c r="F3641" s="9" t="s">
        <v>300</v>
      </c>
      <c r="G3641" s="18">
        <v>261285</v>
      </c>
      <c r="H3641">
        <v>0</v>
      </c>
      <c r="I3641" s="29">
        <f t="shared" si="56"/>
        <v>261285</v>
      </c>
      <c r="J3641" t="str">
        <f>IFERROR(VLOOKUP(E3641,'LEAID Match'!$A$2:$B$168,2,FALSE),"")</f>
        <v/>
      </c>
    </row>
    <row r="3642" spans="1:10">
      <c r="A3642">
        <v>2022</v>
      </c>
      <c r="B3642" t="s">
        <v>1429</v>
      </c>
      <c r="C3642" t="s">
        <v>1431</v>
      </c>
      <c r="D3642" t="s">
        <v>1433</v>
      </c>
      <c r="E3642" t="s">
        <v>300</v>
      </c>
      <c r="F3642" s="9" t="s">
        <v>300</v>
      </c>
      <c r="G3642" s="18">
        <v>380862</v>
      </c>
      <c r="H3642">
        <v>0</v>
      </c>
      <c r="I3642" s="29">
        <f t="shared" si="56"/>
        <v>380862</v>
      </c>
      <c r="J3642" t="str">
        <f>IFERROR(VLOOKUP(E3642,'LEAID Match'!$A$2:$B$168,2,FALSE),"")</f>
        <v/>
      </c>
    </row>
    <row r="3643" spans="1:10">
      <c r="A3643">
        <v>2023</v>
      </c>
      <c r="B3643" t="s">
        <v>1429</v>
      </c>
      <c r="C3643" t="s">
        <v>1431</v>
      </c>
      <c r="D3643" t="s">
        <v>1433</v>
      </c>
      <c r="E3643" t="s">
        <v>300</v>
      </c>
      <c r="F3643" t="s">
        <v>300</v>
      </c>
      <c r="G3643" s="28">
        <v>377545</v>
      </c>
      <c r="H3643">
        <v>0</v>
      </c>
      <c r="I3643" s="29">
        <f t="shared" si="56"/>
        <v>377545</v>
      </c>
      <c r="J3643" t="str">
        <f>IFERROR(VLOOKUP(E3643,'LEAID Match'!$A$2:$B$168,2,FALSE),"")</f>
        <v/>
      </c>
    </row>
    <row r="3644" spans="1:10">
      <c r="A3644" s="27">
        <v>2020</v>
      </c>
      <c r="B3644" t="s">
        <v>1429</v>
      </c>
      <c r="C3644" t="s">
        <v>1431</v>
      </c>
      <c r="D3644" t="s">
        <v>1433</v>
      </c>
      <c r="E3644" t="s">
        <v>301</v>
      </c>
      <c r="F3644" s="9" t="s">
        <v>301</v>
      </c>
      <c r="G3644" s="18">
        <v>23550</v>
      </c>
      <c r="H3644">
        <v>0</v>
      </c>
      <c r="I3644" s="29">
        <f t="shared" si="56"/>
        <v>23550</v>
      </c>
      <c r="J3644" t="str">
        <f>IFERROR(VLOOKUP(E3644,'LEAID Match'!$A$2:$B$168,2,FALSE),"")</f>
        <v/>
      </c>
    </row>
    <row r="3645" spans="1:10">
      <c r="A3645">
        <v>2021</v>
      </c>
      <c r="B3645" t="s">
        <v>1429</v>
      </c>
      <c r="C3645" t="s">
        <v>1431</v>
      </c>
      <c r="D3645" t="s">
        <v>1433</v>
      </c>
      <c r="E3645" t="s">
        <v>301</v>
      </c>
      <c r="F3645" s="9" t="s">
        <v>301</v>
      </c>
      <c r="G3645" s="18">
        <v>20945</v>
      </c>
      <c r="H3645">
        <v>0</v>
      </c>
      <c r="I3645" s="29">
        <f t="shared" si="56"/>
        <v>20945</v>
      </c>
      <c r="J3645" t="str">
        <f>IFERROR(VLOOKUP(E3645,'LEAID Match'!$A$2:$B$168,2,FALSE),"")</f>
        <v/>
      </c>
    </row>
    <row r="3646" spans="1:10">
      <c r="A3646">
        <v>2022</v>
      </c>
      <c r="B3646" t="s">
        <v>1429</v>
      </c>
      <c r="C3646" t="s">
        <v>1431</v>
      </c>
      <c r="D3646" t="s">
        <v>1433</v>
      </c>
      <c r="E3646" t="s">
        <v>301</v>
      </c>
      <c r="F3646" s="9" t="s">
        <v>301</v>
      </c>
      <c r="G3646" s="18">
        <v>32215</v>
      </c>
      <c r="H3646">
        <v>0</v>
      </c>
      <c r="I3646" s="29">
        <f t="shared" si="56"/>
        <v>32215</v>
      </c>
      <c r="J3646" t="str">
        <f>IFERROR(VLOOKUP(E3646,'LEAID Match'!$A$2:$B$168,2,FALSE),"")</f>
        <v/>
      </c>
    </row>
    <row r="3647" spans="1:10">
      <c r="A3647">
        <v>2023</v>
      </c>
      <c r="B3647" t="s">
        <v>1429</v>
      </c>
      <c r="C3647" t="s">
        <v>1431</v>
      </c>
      <c r="D3647" t="s">
        <v>1433</v>
      </c>
      <c r="E3647" t="s">
        <v>301</v>
      </c>
      <c r="F3647" t="s">
        <v>301</v>
      </c>
      <c r="G3647" s="28">
        <v>34403</v>
      </c>
      <c r="H3647">
        <v>0</v>
      </c>
      <c r="I3647" s="29">
        <f t="shared" si="56"/>
        <v>34403</v>
      </c>
      <c r="J3647" t="str">
        <f>IFERROR(VLOOKUP(E3647,'LEAID Match'!$A$2:$B$168,2,FALSE),"")</f>
        <v/>
      </c>
    </row>
    <row r="3648" spans="1:10">
      <c r="A3648" s="27">
        <v>2020</v>
      </c>
      <c r="B3648" t="s">
        <v>1429</v>
      </c>
      <c r="C3648" t="s">
        <v>1431</v>
      </c>
      <c r="D3648" t="s">
        <v>1433</v>
      </c>
      <c r="E3648" t="s">
        <v>302</v>
      </c>
      <c r="F3648" s="9" t="s">
        <v>302</v>
      </c>
      <c r="G3648" s="18">
        <v>261384</v>
      </c>
      <c r="H3648">
        <v>0</v>
      </c>
      <c r="I3648" s="29">
        <f t="shared" si="56"/>
        <v>261384</v>
      </c>
      <c r="J3648" t="str">
        <f>IFERROR(VLOOKUP(E3648,'LEAID Match'!$A$2:$B$168,2,FALSE),"")</f>
        <v/>
      </c>
    </row>
    <row r="3649" spans="1:10">
      <c r="A3649">
        <v>2021</v>
      </c>
      <c r="B3649" t="s">
        <v>1429</v>
      </c>
      <c r="C3649" t="s">
        <v>1431</v>
      </c>
      <c r="D3649" t="s">
        <v>1433</v>
      </c>
      <c r="E3649" t="s">
        <v>302</v>
      </c>
      <c r="F3649" s="9" t="s">
        <v>302</v>
      </c>
      <c r="G3649" s="18">
        <v>288069</v>
      </c>
      <c r="H3649">
        <v>0</v>
      </c>
      <c r="I3649" s="29">
        <f t="shared" si="56"/>
        <v>288069</v>
      </c>
      <c r="J3649" t="str">
        <f>IFERROR(VLOOKUP(E3649,'LEAID Match'!$A$2:$B$168,2,FALSE),"")</f>
        <v/>
      </c>
    </row>
    <row r="3650" spans="1:10">
      <c r="A3650">
        <v>2022</v>
      </c>
      <c r="B3650" t="s">
        <v>1429</v>
      </c>
      <c r="C3650" t="s">
        <v>1431</v>
      </c>
      <c r="D3650" t="s">
        <v>1433</v>
      </c>
      <c r="E3650" t="s">
        <v>302</v>
      </c>
      <c r="F3650" s="9" t="s">
        <v>302</v>
      </c>
      <c r="G3650" s="18">
        <v>418885</v>
      </c>
      <c r="H3650">
        <v>0</v>
      </c>
      <c r="I3650" s="29">
        <f t="shared" si="56"/>
        <v>418885</v>
      </c>
      <c r="J3650" t="str">
        <f>IFERROR(VLOOKUP(E3650,'LEAID Match'!$A$2:$B$168,2,FALSE),"")</f>
        <v/>
      </c>
    </row>
    <row r="3651" spans="1:10">
      <c r="A3651">
        <v>2023</v>
      </c>
      <c r="B3651" t="s">
        <v>1429</v>
      </c>
      <c r="C3651" t="s">
        <v>1431</v>
      </c>
      <c r="D3651" t="s">
        <v>1433</v>
      </c>
      <c r="E3651" t="s">
        <v>302</v>
      </c>
      <c r="F3651" t="s">
        <v>302</v>
      </c>
      <c r="G3651" s="28">
        <v>439789</v>
      </c>
      <c r="H3651">
        <v>0</v>
      </c>
      <c r="I3651" s="29">
        <f t="shared" ref="I3651:I3714" si="57">SUM(G3651:H3651)</f>
        <v>439789</v>
      </c>
      <c r="J3651" t="str">
        <f>IFERROR(VLOOKUP(E3651,'LEAID Match'!$A$2:$B$168,2,FALSE),"")</f>
        <v/>
      </c>
    </row>
    <row r="3652" spans="1:10">
      <c r="A3652" s="27">
        <v>2020</v>
      </c>
      <c r="B3652" t="s">
        <v>1429</v>
      </c>
      <c r="C3652" t="s">
        <v>1431</v>
      </c>
      <c r="D3652" t="s">
        <v>1433</v>
      </c>
      <c r="E3652" t="s">
        <v>303</v>
      </c>
      <c r="F3652" s="9" t="s">
        <v>303</v>
      </c>
      <c r="G3652" s="18">
        <v>50719</v>
      </c>
      <c r="H3652">
        <v>0</v>
      </c>
      <c r="I3652" s="29">
        <f t="shared" si="57"/>
        <v>50719</v>
      </c>
      <c r="J3652" t="str">
        <f>IFERROR(VLOOKUP(E3652,'LEAID Match'!$A$2:$B$168,2,FALSE),"")</f>
        <v/>
      </c>
    </row>
    <row r="3653" spans="1:10">
      <c r="A3653">
        <v>2021</v>
      </c>
      <c r="B3653" t="s">
        <v>1429</v>
      </c>
      <c r="C3653" t="s">
        <v>1431</v>
      </c>
      <c r="D3653" t="s">
        <v>1433</v>
      </c>
      <c r="E3653" t="s">
        <v>303</v>
      </c>
      <c r="F3653" s="9" t="s">
        <v>303</v>
      </c>
      <c r="G3653" s="18">
        <v>46794</v>
      </c>
      <c r="H3653">
        <v>0</v>
      </c>
      <c r="I3653" s="29">
        <f t="shared" si="57"/>
        <v>46794</v>
      </c>
      <c r="J3653" t="str">
        <f>IFERROR(VLOOKUP(E3653,'LEAID Match'!$A$2:$B$168,2,FALSE),"")</f>
        <v/>
      </c>
    </row>
    <row r="3654" spans="1:10">
      <c r="A3654">
        <v>2022</v>
      </c>
      <c r="B3654" t="s">
        <v>1429</v>
      </c>
      <c r="C3654" t="s">
        <v>1431</v>
      </c>
      <c r="D3654" t="s">
        <v>1433</v>
      </c>
      <c r="E3654" t="s">
        <v>303</v>
      </c>
      <c r="F3654" s="9" t="s">
        <v>303</v>
      </c>
      <c r="G3654" s="18">
        <v>72664</v>
      </c>
      <c r="H3654">
        <v>0</v>
      </c>
      <c r="I3654" s="29">
        <f t="shared" si="57"/>
        <v>72664</v>
      </c>
      <c r="J3654" t="str">
        <f>IFERROR(VLOOKUP(E3654,'LEAID Match'!$A$2:$B$168,2,FALSE),"")</f>
        <v/>
      </c>
    </row>
    <row r="3655" spans="1:10">
      <c r="A3655">
        <v>2023</v>
      </c>
      <c r="B3655" t="s">
        <v>1429</v>
      </c>
      <c r="C3655" t="s">
        <v>1431</v>
      </c>
      <c r="D3655" t="s">
        <v>1433</v>
      </c>
      <c r="E3655" t="s">
        <v>303</v>
      </c>
      <c r="F3655" t="s">
        <v>303</v>
      </c>
      <c r="G3655" s="28">
        <v>78221</v>
      </c>
      <c r="H3655">
        <v>0</v>
      </c>
      <c r="I3655" s="29">
        <f t="shared" si="57"/>
        <v>78221</v>
      </c>
      <c r="J3655" t="str">
        <f>IFERROR(VLOOKUP(E3655,'LEAID Match'!$A$2:$B$168,2,FALSE),"")</f>
        <v/>
      </c>
    </row>
    <row r="3656" spans="1:10">
      <c r="A3656" s="27">
        <v>2020</v>
      </c>
      <c r="B3656" t="s">
        <v>1429</v>
      </c>
      <c r="C3656" t="s">
        <v>1431</v>
      </c>
      <c r="D3656" t="s">
        <v>1433</v>
      </c>
      <c r="E3656" t="s">
        <v>304</v>
      </c>
      <c r="F3656" s="9" t="s">
        <v>304</v>
      </c>
      <c r="G3656" s="18">
        <v>384352</v>
      </c>
      <c r="H3656">
        <v>0</v>
      </c>
      <c r="I3656" s="29">
        <f t="shared" si="57"/>
        <v>384352</v>
      </c>
      <c r="J3656" t="str">
        <f>IFERROR(VLOOKUP(E3656,'LEAID Match'!$A$2:$B$168,2,FALSE),"")</f>
        <v/>
      </c>
    </row>
    <row r="3657" spans="1:10">
      <c r="A3657">
        <v>2021</v>
      </c>
      <c r="B3657" t="s">
        <v>1429</v>
      </c>
      <c r="C3657" t="s">
        <v>1431</v>
      </c>
      <c r="D3657" t="s">
        <v>1433</v>
      </c>
      <c r="E3657" t="s">
        <v>304</v>
      </c>
      <c r="F3657" s="9" t="s">
        <v>304</v>
      </c>
      <c r="G3657" s="18">
        <v>384764</v>
      </c>
      <c r="H3657">
        <v>0</v>
      </c>
      <c r="I3657" s="29">
        <f t="shared" si="57"/>
        <v>384764</v>
      </c>
      <c r="J3657" t="str">
        <f>IFERROR(VLOOKUP(E3657,'LEAID Match'!$A$2:$B$168,2,FALSE),"")</f>
        <v/>
      </c>
    </row>
    <row r="3658" spans="1:10">
      <c r="A3658">
        <v>2022</v>
      </c>
      <c r="B3658" t="s">
        <v>1429</v>
      </c>
      <c r="C3658" t="s">
        <v>1431</v>
      </c>
      <c r="D3658" t="s">
        <v>1433</v>
      </c>
      <c r="E3658" t="s">
        <v>304</v>
      </c>
      <c r="F3658" s="9" t="s">
        <v>304</v>
      </c>
      <c r="G3658" s="18">
        <v>504328</v>
      </c>
      <c r="H3658">
        <v>0</v>
      </c>
      <c r="I3658" s="29">
        <f t="shared" si="57"/>
        <v>504328</v>
      </c>
      <c r="J3658" t="str">
        <f>IFERROR(VLOOKUP(E3658,'LEAID Match'!$A$2:$B$168,2,FALSE),"")</f>
        <v/>
      </c>
    </row>
    <row r="3659" spans="1:10">
      <c r="A3659">
        <v>2023</v>
      </c>
      <c r="B3659" t="s">
        <v>1429</v>
      </c>
      <c r="C3659" t="s">
        <v>1431</v>
      </c>
      <c r="D3659" t="s">
        <v>1433</v>
      </c>
      <c r="E3659" t="s">
        <v>304</v>
      </c>
      <c r="F3659" t="s">
        <v>304</v>
      </c>
      <c r="G3659" s="28">
        <v>483489</v>
      </c>
      <c r="H3659">
        <v>0</v>
      </c>
      <c r="I3659" s="29">
        <f t="shared" si="57"/>
        <v>483489</v>
      </c>
      <c r="J3659" t="str">
        <f>IFERROR(VLOOKUP(E3659,'LEAID Match'!$A$2:$B$168,2,FALSE),"")</f>
        <v/>
      </c>
    </row>
    <row r="3660" spans="1:10">
      <c r="A3660" s="27">
        <v>2020</v>
      </c>
      <c r="B3660" t="s">
        <v>1429</v>
      </c>
      <c r="C3660" t="s">
        <v>1431</v>
      </c>
      <c r="D3660" t="s">
        <v>1433</v>
      </c>
      <c r="E3660" t="s">
        <v>305</v>
      </c>
      <c r="F3660" s="9" t="s">
        <v>305</v>
      </c>
      <c r="G3660" s="18">
        <v>551843</v>
      </c>
      <c r="H3660">
        <v>0</v>
      </c>
      <c r="I3660" s="29">
        <f t="shared" si="57"/>
        <v>551843</v>
      </c>
      <c r="J3660" t="str">
        <f>IFERROR(VLOOKUP(E3660,'LEAID Match'!$A$2:$B$168,2,FALSE),"")</f>
        <v/>
      </c>
    </row>
    <row r="3661" spans="1:10">
      <c r="A3661">
        <v>2021</v>
      </c>
      <c r="B3661" t="s">
        <v>1429</v>
      </c>
      <c r="C3661" t="s">
        <v>1431</v>
      </c>
      <c r="D3661" t="s">
        <v>1433</v>
      </c>
      <c r="E3661" t="s">
        <v>305</v>
      </c>
      <c r="F3661" s="9" t="s">
        <v>305</v>
      </c>
      <c r="G3661" s="18">
        <v>615762</v>
      </c>
      <c r="H3661">
        <v>0</v>
      </c>
      <c r="I3661" s="29">
        <f t="shared" si="57"/>
        <v>615762</v>
      </c>
      <c r="J3661" t="str">
        <f>IFERROR(VLOOKUP(E3661,'LEAID Match'!$A$2:$B$168,2,FALSE),"")</f>
        <v/>
      </c>
    </row>
    <row r="3662" spans="1:10">
      <c r="A3662">
        <v>2022</v>
      </c>
      <c r="B3662" t="s">
        <v>1429</v>
      </c>
      <c r="C3662" t="s">
        <v>1431</v>
      </c>
      <c r="D3662" t="s">
        <v>1433</v>
      </c>
      <c r="E3662" t="s">
        <v>305</v>
      </c>
      <c r="F3662" s="9" t="s">
        <v>305</v>
      </c>
      <c r="G3662" s="18">
        <v>786840</v>
      </c>
      <c r="H3662">
        <v>0</v>
      </c>
      <c r="I3662" s="29">
        <f t="shared" si="57"/>
        <v>786840</v>
      </c>
      <c r="J3662" t="str">
        <f>IFERROR(VLOOKUP(E3662,'LEAID Match'!$A$2:$B$168,2,FALSE),"")</f>
        <v/>
      </c>
    </row>
    <row r="3663" spans="1:10">
      <c r="A3663">
        <v>2023</v>
      </c>
      <c r="B3663" t="s">
        <v>1429</v>
      </c>
      <c r="C3663" t="s">
        <v>1431</v>
      </c>
      <c r="D3663" t="s">
        <v>1433</v>
      </c>
      <c r="E3663" t="s">
        <v>305</v>
      </c>
      <c r="F3663" t="s">
        <v>305</v>
      </c>
      <c r="G3663" s="28">
        <v>857380</v>
      </c>
      <c r="H3663">
        <v>0</v>
      </c>
      <c r="I3663" s="29">
        <f t="shared" si="57"/>
        <v>857380</v>
      </c>
      <c r="J3663" t="str">
        <f>IFERROR(VLOOKUP(E3663,'LEAID Match'!$A$2:$B$168,2,FALSE),"")</f>
        <v/>
      </c>
    </row>
    <row r="3664" spans="1:10">
      <c r="A3664" s="27">
        <v>2020</v>
      </c>
      <c r="B3664" t="s">
        <v>1429</v>
      </c>
      <c r="C3664" t="s">
        <v>1431</v>
      </c>
      <c r="D3664" t="s">
        <v>1433</v>
      </c>
      <c r="E3664" t="s">
        <v>306</v>
      </c>
      <c r="F3664" s="9" t="s">
        <v>306</v>
      </c>
      <c r="G3664" s="18">
        <v>3111138</v>
      </c>
      <c r="H3664">
        <v>0</v>
      </c>
      <c r="I3664" s="29">
        <f t="shared" si="57"/>
        <v>3111138</v>
      </c>
      <c r="J3664" t="str">
        <f>IFERROR(VLOOKUP(E3664,'LEAID Match'!$A$2:$B$168,2,FALSE),"")</f>
        <v/>
      </c>
    </row>
    <row r="3665" spans="1:10">
      <c r="A3665">
        <v>2021</v>
      </c>
      <c r="B3665" t="s">
        <v>1429</v>
      </c>
      <c r="C3665" t="s">
        <v>1431</v>
      </c>
      <c r="D3665" t="s">
        <v>1433</v>
      </c>
      <c r="E3665" t="s">
        <v>306</v>
      </c>
      <c r="F3665" s="9" t="s">
        <v>306</v>
      </c>
      <c r="G3665" s="18">
        <v>3327414</v>
      </c>
      <c r="H3665">
        <v>0</v>
      </c>
      <c r="I3665" s="29">
        <f t="shared" si="57"/>
        <v>3327414</v>
      </c>
      <c r="J3665" t="str">
        <f>IFERROR(VLOOKUP(E3665,'LEAID Match'!$A$2:$B$168,2,FALSE),"")</f>
        <v/>
      </c>
    </row>
    <row r="3666" spans="1:10">
      <c r="A3666">
        <v>2022</v>
      </c>
      <c r="B3666" t="s">
        <v>1429</v>
      </c>
      <c r="C3666" t="s">
        <v>1431</v>
      </c>
      <c r="D3666" t="s">
        <v>1433</v>
      </c>
      <c r="E3666" t="s">
        <v>306</v>
      </c>
      <c r="F3666" s="9" t="s">
        <v>306</v>
      </c>
      <c r="G3666" s="18">
        <v>3829977</v>
      </c>
      <c r="H3666">
        <v>0</v>
      </c>
      <c r="I3666" s="29">
        <f t="shared" si="57"/>
        <v>3829977</v>
      </c>
      <c r="J3666" t="str">
        <f>IFERROR(VLOOKUP(E3666,'LEAID Match'!$A$2:$B$168,2,FALSE),"")</f>
        <v/>
      </c>
    </row>
    <row r="3667" spans="1:10">
      <c r="A3667">
        <v>2023</v>
      </c>
      <c r="B3667" t="s">
        <v>1429</v>
      </c>
      <c r="C3667" t="s">
        <v>1431</v>
      </c>
      <c r="D3667" t="s">
        <v>1433</v>
      </c>
      <c r="E3667" t="s">
        <v>306</v>
      </c>
      <c r="F3667" t="s">
        <v>306</v>
      </c>
      <c r="G3667" s="28">
        <v>3951423</v>
      </c>
      <c r="H3667">
        <v>0</v>
      </c>
      <c r="I3667" s="29">
        <f t="shared" si="57"/>
        <v>3951423</v>
      </c>
      <c r="J3667" t="str">
        <f>IFERROR(VLOOKUP(E3667,'LEAID Match'!$A$2:$B$168,2,FALSE),"")</f>
        <v/>
      </c>
    </row>
    <row r="3668" spans="1:10">
      <c r="A3668" s="27">
        <v>2020</v>
      </c>
      <c r="B3668" t="s">
        <v>1429</v>
      </c>
      <c r="C3668" t="s">
        <v>1431</v>
      </c>
      <c r="D3668" t="s">
        <v>1433</v>
      </c>
      <c r="E3668" t="s">
        <v>307</v>
      </c>
      <c r="F3668" s="9" t="s">
        <v>307</v>
      </c>
      <c r="G3668" s="18">
        <v>249384</v>
      </c>
      <c r="H3668">
        <v>0</v>
      </c>
      <c r="I3668" s="29">
        <f t="shared" si="57"/>
        <v>249384</v>
      </c>
      <c r="J3668" t="str">
        <f>IFERROR(VLOOKUP(E3668,'LEAID Match'!$A$2:$B$168,2,FALSE),"")</f>
        <v/>
      </c>
    </row>
    <row r="3669" spans="1:10">
      <c r="A3669">
        <v>2021</v>
      </c>
      <c r="B3669" t="s">
        <v>1429</v>
      </c>
      <c r="C3669" t="s">
        <v>1431</v>
      </c>
      <c r="D3669" t="s">
        <v>1433</v>
      </c>
      <c r="E3669" t="s">
        <v>307</v>
      </c>
      <c r="F3669" s="9" t="s">
        <v>307</v>
      </c>
      <c r="G3669" s="18">
        <v>254018</v>
      </c>
      <c r="H3669">
        <v>0</v>
      </c>
      <c r="I3669" s="29">
        <f t="shared" si="57"/>
        <v>254018</v>
      </c>
      <c r="J3669" t="str">
        <f>IFERROR(VLOOKUP(E3669,'LEAID Match'!$A$2:$B$168,2,FALSE),"")</f>
        <v/>
      </c>
    </row>
    <row r="3670" spans="1:10">
      <c r="A3670">
        <v>2022</v>
      </c>
      <c r="B3670" t="s">
        <v>1429</v>
      </c>
      <c r="C3670" t="s">
        <v>1431</v>
      </c>
      <c r="D3670" t="s">
        <v>1433</v>
      </c>
      <c r="E3670" t="s">
        <v>307</v>
      </c>
      <c r="F3670" s="9" t="s">
        <v>307</v>
      </c>
      <c r="G3670" s="18">
        <v>346963</v>
      </c>
      <c r="H3670">
        <v>0</v>
      </c>
      <c r="I3670" s="29">
        <f t="shared" si="57"/>
        <v>346963</v>
      </c>
      <c r="J3670" t="str">
        <f>IFERROR(VLOOKUP(E3670,'LEAID Match'!$A$2:$B$168,2,FALSE),"")</f>
        <v/>
      </c>
    </row>
    <row r="3671" spans="1:10">
      <c r="A3671">
        <v>2023</v>
      </c>
      <c r="B3671" t="s">
        <v>1429</v>
      </c>
      <c r="C3671" t="s">
        <v>1431</v>
      </c>
      <c r="D3671" t="s">
        <v>1433</v>
      </c>
      <c r="E3671" t="s">
        <v>307</v>
      </c>
      <c r="F3671" t="s">
        <v>307</v>
      </c>
      <c r="G3671" s="28">
        <v>332337</v>
      </c>
      <c r="H3671">
        <v>0</v>
      </c>
      <c r="I3671" s="29">
        <f t="shared" si="57"/>
        <v>332337</v>
      </c>
      <c r="J3671" t="str">
        <f>IFERROR(VLOOKUP(E3671,'LEAID Match'!$A$2:$B$168,2,FALSE),"")</f>
        <v/>
      </c>
    </row>
    <row r="3672" spans="1:10">
      <c r="A3672" s="27">
        <v>2020</v>
      </c>
      <c r="B3672" t="s">
        <v>1429</v>
      </c>
      <c r="C3672" t="s">
        <v>1431</v>
      </c>
      <c r="D3672" t="s">
        <v>1433</v>
      </c>
      <c r="E3672" t="s">
        <v>308</v>
      </c>
      <c r="F3672" s="9" t="s">
        <v>308</v>
      </c>
      <c r="G3672" s="18">
        <v>78253</v>
      </c>
      <c r="H3672">
        <v>0</v>
      </c>
      <c r="I3672" s="29">
        <f t="shared" si="57"/>
        <v>78253</v>
      </c>
      <c r="J3672" t="str">
        <f>IFERROR(VLOOKUP(E3672,'LEAID Match'!$A$2:$B$168,2,FALSE),"")</f>
        <v/>
      </c>
    </row>
    <row r="3673" spans="1:10">
      <c r="A3673">
        <v>2021</v>
      </c>
      <c r="B3673" t="s">
        <v>1429</v>
      </c>
      <c r="C3673" t="s">
        <v>1431</v>
      </c>
      <c r="D3673" t="s">
        <v>1433</v>
      </c>
      <c r="E3673" t="s">
        <v>308</v>
      </c>
      <c r="F3673" s="9" t="s">
        <v>308</v>
      </c>
      <c r="G3673" s="18">
        <v>78209</v>
      </c>
      <c r="H3673">
        <v>0</v>
      </c>
      <c r="I3673" s="29">
        <f t="shared" si="57"/>
        <v>78209</v>
      </c>
      <c r="J3673" t="str">
        <f>IFERROR(VLOOKUP(E3673,'LEAID Match'!$A$2:$B$168,2,FALSE),"")</f>
        <v/>
      </c>
    </row>
    <row r="3674" spans="1:10">
      <c r="A3674">
        <v>2022</v>
      </c>
      <c r="B3674" t="s">
        <v>1429</v>
      </c>
      <c r="C3674" t="s">
        <v>1431</v>
      </c>
      <c r="D3674" t="s">
        <v>1433</v>
      </c>
      <c r="E3674" t="s">
        <v>308</v>
      </c>
      <c r="F3674" s="9" t="s">
        <v>308</v>
      </c>
      <c r="G3674" s="18">
        <v>120248</v>
      </c>
      <c r="H3674">
        <v>0</v>
      </c>
      <c r="I3674" s="29">
        <f t="shared" si="57"/>
        <v>120248</v>
      </c>
      <c r="J3674" t="str">
        <f>IFERROR(VLOOKUP(E3674,'LEAID Match'!$A$2:$B$168,2,FALSE),"")</f>
        <v/>
      </c>
    </row>
    <row r="3675" spans="1:10">
      <c r="A3675">
        <v>2023</v>
      </c>
      <c r="B3675" t="s">
        <v>1429</v>
      </c>
      <c r="C3675" t="s">
        <v>1431</v>
      </c>
      <c r="D3675" t="s">
        <v>1433</v>
      </c>
      <c r="E3675" t="s">
        <v>308</v>
      </c>
      <c r="F3675" t="s">
        <v>308</v>
      </c>
      <c r="G3675" s="28">
        <v>129634</v>
      </c>
      <c r="H3675">
        <v>0</v>
      </c>
      <c r="I3675" s="29">
        <f t="shared" si="57"/>
        <v>129634</v>
      </c>
      <c r="J3675" t="str">
        <f>IFERROR(VLOOKUP(E3675,'LEAID Match'!$A$2:$B$168,2,FALSE),"")</f>
        <v/>
      </c>
    </row>
    <row r="3676" spans="1:10">
      <c r="A3676">
        <v>2022</v>
      </c>
      <c r="B3676" t="s">
        <v>1429</v>
      </c>
      <c r="C3676" t="s">
        <v>1431</v>
      </c>
      <c r="D3676" t="s">
        <v>1433</v>
      </c>
      <c r="E3676" t="s">
        <v>309</v>
      </c>
      <c r="F3676" s="9" t="s">
        <v>309</v>
      </c>
      <c r="G3676" s="18">
        <v>13322</v>
      </c>
      <c r="H3676">
        <v>0</v>
      </c>
      <c r="I3676" s="29">
        <f t="shared" si="57"/>
        <v>13322</v>
      </c>
      <c r="J3676" t="str">
        <f>IFERROR(VLOOKUP(E3676,'LEAID Match'!$A$2:$B$168,2,FALSE),"")</f>
        <v/>
      </c>
    </row>
    <row r="3677" spans="1:10">
      <c r="A3677">
        <v>2023</v>
      </c>
      <c r="B3677" t="s">
        <v>1429</v>
      </c>
      <c r="C3677" t="s">
        <v>1431</v>
      </c>
      <c r="D3677" t="s">
        <v>1433</v>
      </c>
      <c r="E3677" t="s">
        <v>309</v>
      </c>
      <c r="F3677" t="s">
        <v>309</v>
      </c>
      <c r="G3677" s="28">
        <v>27027</v>
      </c>
      <c r="H3677">
        <v>0</v>
      </c>
      <c r="I3677" s="29">
        <f t="shared" si="57"/>
        <v>27027</v>
      </c>
      <c r="J3677" t="str">
        <f>IFERROR(VLOOKUP(E3677,'LEAID Match'!$A$2:$B$168,2,FALSE),"")</f>
        <v/>
      </c>
    </row>
    <row r="3678" spans="1:10">
      <c r="A3678" s="27">
        <v>2020</v>
      </c>
      <c r="B3678" t="s">
        <v>1429</v>
      </c>
      <c r="C3678" t="s">
        <v>1431</v>
      </c>
      <c r="D3678" t="s">
        <v>1433</v>
      </c>
      <c r="E3678" t="s">
        <v>310</v>
      </c>
      <c r="F3678" s="9" t="s">
        <v>310</v>
      </c>
      <c r="G3678" s="18">
        <v>119917</v>
      </c>
      <c r="H3678">
        <v>0</v>
      </c>
      <c r="I3678" s="29">
        <f t="shared" si="57"/>
        <v>119917</v>
      </c>
      <c r="J3678" t="str">
        <f>IFERROR(VLOOKUP(E3678,'LEAID Match'!$A$2:$B$168,2,FALSE),"")</f>
        <v/>
      </c>
    </row>
    <row r="3679" spans="1:10">
      <c r="A3679">
        <v>2021</v>
      </c>
      <c r="B3679" t="s">
        <v>1429</v>
      </c>
      <c r="C3679" t="s">
        <v>1431</v>
      </c>
      <c r="D3679" t="s">
        <v>1433</v>
      </c>
      <c r="E3679" t="s">
        <v>310</v>
      </c>
      <c r="F3679" s="9" t="s">
        <v>310</v>
      </c>
      <c r="G3679" s="18">
        <v>132943</v>
      </c>
      <c r="H3679">
        <v>0</v>
      </c>
      <c r="I3679" s="29">
        <f t="shared" si="57"/>
        <v>132943</v>
      </c>
      <c r="J3679" t="str">
        <f>IFERROR(VLOOKUP(E3679,'LEAID Match'!$A$2:$B$168,2,FALSE),"")</f>
        <v/>
      </c>
    </row>
    <row r="3680" spans="1:10">
      <c r="A3680">
        <v>2022</v>
      </c>
      <c r="B3680" t="s">
        <v>1429</v>
      </c>
      <c r="C3680" t="s">
        <v>1431</v>
      </c>
      <c r="D3680" t="s">
        <v>1433</v>
      </c>
      <c r="E3680" t="s">
        <v>310</v>
      </c>
      <c r="F3680" s="9" t="s">
        <v>310</v>
      </c>
      <c r="G3680" s="18">
        <v>178883</v>
      </c>
      <c r="H3680">
        <v>0</v>
      </c>
      <c r="I3680" s="29">
        <f t="shared" si="57"/>
        <v>178883</v>
      </c>
      <c r="J3680" t="str">
        <f>IFERROR(VLOOKUP(E3680,'LEAID Match'!$A$2:$B$168,2,FALSE),"")</f>
        <v/>
      </c>
    </row>
    <row r="3681" spans="1:10">
      <c r="A3681">
        <v>2023</v>
      </c>
      <c r="B3681" t="s">
        <v>1429</v>
      </c>
      <c r="C3681" t="s">
        <v>1431</v>
      </c>
      <c r="D3681" t="s">
        <v>1433</v>
      </c>
      <c r="E3681" t="s">
        <v>310</v>
      </c>
      <c r="F3681" t="s">
        <v>310</v>
      </c>
      <c r="G3681" s="28">
        <v>170600</v>
      </c>
      <c r="H3681">
        <v>0</v>
      </c>
      <c r="I3681" s="29">
        <f t="shared" si="57"/>
        <v>170600</v>
      </c>
      <c r="J3681" t="str">
        <f>IFERROR(VLOOKUP(E3681,'LEAID Match'!$A$2:$B$168,2,FALSE),"")</f>
        <v/>
      </c>
    </row>
    <row r="3682" spans="1:10">
      <c r="A3682" s="27">
        <v>2020</v>
      </c>
      <c r="B3682" t="s">
        <v>1429</v>
      </c>
      <c r="C3682" t="s">
        <v>1431</v>
      </c>
      <c r="D3682" t="s">
        <v>1433</v>
      </c>
      <c r="E3682" t="s">
        <v>311</v>
      </c>
      <c r="F3682" s="9" t="s">
        <v>311</v>
      </c>
      <c r="G3682" s="18">
        <v>84824</v>
      </c>
      <c r="H3682">
        <v>0</v>
      </c>
      <c r="I3682" s="29">
        <f t="shared" si="57"/>
        <v>84824</v>
      </c>
      <c r="J3682" t="str">
        <f>IFERROR(VLOOKUP(E3682,'LEAID Match'!$A$2:$B$168,2,FALSE),"")</f>
        <v/>
      </c>
    </row>
    <row r="3683" spans="1:10">
      <c r="A3683">
        <v>2021</v>
      </c>
      <c r="B3683" t="s">
        <v>1429</v>
      </c>
      <c r="C3683" t="s">
        <v>1431</v>
      </c>
      <c r="D3683" t="s">
        <v>1433</v>
      </c>
      <c r="E3683" t="s">
        <v>311</v>
      </c>
      <c r="F3683" s="9" t="s">
        <v>311</v>
      </c>
      <c r="G3683" s="18">
        <v>72295</v>
      </c>
      <c r="H3683">
        <v>0</v>
      </c>
      <c r="I3683" s="29">
        <f t="shared" si="57"/>
        <v>72295</v>
      </c>
      <c r="J3683" t="str">
        <f>IFERROR(VLOOKUP(E3683,'LEAID Match'!$A$2:$B$168,2,FALSE),"")</f>
        <v/>
      </c>
    </row>
    <row r="3684" spans="1:10">
      <c r="A3684">
        <v>2022</v>
      </c>
      <c r="B3684" t="s">
        <v>1429</v>
      </c>
      <c r="C3684" t="s">
        <v>1431</v>
      </c>
      <c r="D3684" t="s">
        <v>1433</v>
      </c>
      <c r="E3684" t="s">
        <v>311</v>
      </c>
      <c r="F3684" s="9" t="s">
        <v>311</v>
      </c>
      <c r="G3684" s="18">
        <v>103750</v>
      </c>
      <c r="H3684">
        <v>0</v>
      </c>
      <c r="I3684" s="29">
        <f t="shared" si="57"/>
        <v>103750</v>
      </c>
      <c r="J3684" t="str">
        <f>IFERROR(VLOOKUP(E3684,'LEAID Match'!$A$2:$B$168,2,FALSE),"")</f>
        <v/>
      </c>
    </row>
    <row r="3685" spans="1:10">
      <c r="A3685">
        <v>2023</v>
      </c>
      <c r="B3685" t="s">
        <v>1429</v>
      </c>
      <c r="C3685" t="s">
        <v>1431</v>
      </c>
      <c r="D3685" t="s">
        <v>1433</v>
      </c>
      <c r="E3685" t="s">
        <v>311</v>
      </c>
      <c r="F3685" t="s">
        <v>311</v>
      </c>
      <c r="G3685" s="28">
        <v>102633</v>
      </c>
      <c r="H3685">
        <v>0</v>
      </c>
      <c r="I3685" s="29">
        <f t="shared" si="57"/>
        <v>102633</v>
      </c>
      <c r="J3685" t="str">
        <f>IFERROR(VLOOKUP(E3685,'LEAID Match'!$A$2:$B$168,2,FALSE),"")</f>
        <v/>
      </c>
    </row>
    <row r="3686" spans="1:10">
      <c r="A3686" s="27">
        <v>2020</v>
      </c>
      <c r="B3686" t="s">
        <v>1429</v>
      </c>
      <c r="C3686" t="s">
        <v>1431</v>
      </c>
      <c r="D3686" t="s">
        <v>1433</v>
      </c>
      <c r="E3686" t="s">
        <v>312</v>
      </c>
      <c r="F3686" s="9" t="s">
        <v>312</v>
      </c>
      <c r="G3686" s="18">
        <v>18537</v>
      </c>
      <c r="H3686">
        <v>0</v>
      </c>
      <c r="I3686" s="29">
        <f t="shared" si="57"/>
        <v>18537</v>
      </c>
      <c r="J3686" t="str">
        <f>IFERROR(VLOOKUP(E3686,'LEAID Match'!$A$2:$B$168,2,FALSE),"")</f>
        <v/>
      </c>
    </row>
    <row r="3687" spans="1:10">
      <c r="A3687">
        <v>2021</v>
      </c>
      <c r="B3687" t="s">
        <v>1429</v>
      </c>
      <c r="C3687" t="s">
        <v>1431</v>
      </c>
      <c r="D3687" t="s">
        <v>1433</v>
      </c>
      <c r="E3687" t="s">
        <v>312</v>
      </c>
      <c r="F3687" s="9" t="s">
        <v>312</v>
      </c>
      <c r="G3687" s="18">
        <v>16511</v>
      </c>
      <c r="H3687">
        <v>0</v>
      </c>
      <c r="I3687" s="29">
        <f t="shared" si="57"/>
        <v>16511</v>
      </c>
      <c r="J3687" t="str">
        <f>IFERROR(VLOOKUP(E3687,'LEAID Match'!$A$2:$B$168,2,FALSE),"")</f>
        <v/>
      </c>
    </row>
    <row r="3688" spans="1:10">
      <c r="A3688">
        <v>2022</v>
      </c>
      <c r="B3688" t="s">
        <v>1429</v>
      </c>
      <c r="C3688" t="s">
        <v>1431</v>
      </c>
      <c r="D3688" t="s">
        <v>1433</v>
      </c>
      <c r="E3688" t="s">
        <v>312</v>
      </c>
      <c r="F3688" s="9" t="s">
        <v>312</v>
      </c>
      <c r="G3688" s="18">
        <v>22227</v>
      </c>
      <c r="H3688">
        <v>0</v>
      </c>
      <c r="I3688" s="29">
        <f t="shared" si="57"/>
        <v>22227</v>
      </c>
      <c r="J3688" t="str">
        <f>IFERROR(VLOOKUP(E3688,'LEAID Match'!$A$2:$B$168,2,FALSE),"")</f>
        <v/>
      </c>
    </row>
    <row r="3689" spans="1:10">
      <c r="A3689">
        <v>2023</v>
      </c>
      <c r="B3689" t="s">
        <v>1429</v>
      </c>
      <c r="C3689" t="s">
        <v>1431</v>
      </c>
      <c r="D3689" t="s">
        <v>1433</v>
      </c>
      <c r="E3689" t="s">
        <v>312</v>
      </c>
      <c r="F3689" t="s">
        <v>312</v>
      </c>
      <c r="G3689" s="28">
        <v>24158</v>
      </c>
      <c r="H3689">
        <v>0</v>
      </c>
      <c r="I3689" s="29">
        <f t="shared" si="57"/>
        <v>24158</v>
      </c>
      <c r="J3689" t="str">
        <f>IFERROR(VLOOKUP(E3689,'LEAID Match'!$A$2:$B$168,2,FALSE),"")</f>
        <v/>
      </c>
    </row>
    <row r="3690" spans="1:10">
      <c r="A3690" s="27">
        <v>2020</v>
      </c>
      <c r="B3690" t="s">
        <v>1429</v>
      </c>
      <c r="C3690" t="s">
        <v>1431</v>
      </c>
      <c r="D3690" t="s">
        <v>1433</v>
      </c>
      <c r="E3690" t="s">
        <v>313</v>
      </c>
      <c r="F3690" s="9" t="s">
        <v>313</v>
      </c>
      <c r="G3690" s="18">
        <v>32346</v>
      </c>
      <c r="H3690">
        <v>0</v>
      </c>
      <c r="I3690" s="29">
        <f t="shared" si="57"/>
        <v>32346</v>
      </c>
      <c r="J3690" t="str">
        <f>IFERROR(VLOOKUP(E3690,'LEAID Match'!$A$2:$B$168,2,FALSE),"")</f>
        <v/>
      </c>
    </row>
    <row r="3691" spans="1:10">
      <c r="A3691">
        <v>2021</v>
      </c>
      <c r="B3691" t="s">
        <v>1429</v>
      </c>
      <c r="C3691" t="s">
        <v>1431</v>
      </c>
      <c r="D3691" t="s">
        <v>1433</v>
      </c>
      <c r="E3691" t="s">
        <v>313</v>
      </c>
      <c r="F3691" s="9" t="s">
        <v>313</v>
      </c>
      <c r="G3691" s="18">
        <v>34262</v>
      </c>
      <c r="H3691">
        <v>0</v>
      </c>
      <c r="I3691" s="29">
        <f t="shared" si="57"/>
        <v>34262</v>
      </c>
      <c r="J3691" t="str">
        <f>IFERROR(VLOOKUP(E3691,'LEAID Match'!$A$2:$B$168,2,FALSE),"")</f>
        <v/>
      </c>
    </row>
    <row r="3692" spans="1:10">
      <c r="A3692">
        <v>2022</v>
      </c>
      <c r="B3692" t="s">
        <v>1429</v>
      </c>
      <c r="C3692" t="s">
        <v>1431</v>
      </c>
      <c r="D3692" t="s">
        <v>1433</v>
      </c>
      <c r="E3692" t="s">
        <v>313</v>
      </c>
      <c r="F3692" s="9" t="s">
        <v>313</v>
      </c>
      <c r="G3692" s="18">
        <v>45621</v>
      </c>
      <c r="H3692">
        <v>0</v>
      </c>
      <c r="I3692" s="29">
        <f t="shared" si="57"/>
        <v>45621</v>
      </c>
      <c r="J3692" t="str">
        <f>IFERROR(VLOOKUP(E3692,'LEAID Match'!$A$2:$B$168,2,FALSE),"")</f>
        <v/>
      </c>
    </row>
    <row r="3693" spans="1:10">
      <c r="A3693">
        <v>2023</v>
      </c>
      <c r="B3693" t="s">
        <v>1429</v>
      </c>
      <c r="C3693" t="s">
        <v>1431</v>
      </c>
      <c r="D3693" t="s">
        <v>1433</v>
      </c>
      <c r="E3693" t="s">
        <v>313</v>
      </c>
      <c r="F3693" t="s">
        <v>313</v>
      </c>
      <c r="G3693" s="28">
        <v>59517</v>
      </c>
      <c r="H3693">
        <v>0</v>
      </c>
      <c r="I3693" s="29">
        <f t="shared" si="57"/>
        <v>59517</v>
      </c>
      <c r="J3693" t="str">
        <f>IFERROR(VLOOKUP(E3693,'LEAID Match'!$A$2:$B$168,2,FALSE),"")</f>
        <v/>
      </c>
    </row>
    <row r="3694" spans="1:10">
      <c r="A3694" s="27">
        <v>2020</v>
      </c>
      <c r="B3694" t="s">
        <v>1429</v>
      </c>
      <c r="C3694" t="s">
        <v>1431</v>
      </c>
      <c r="D3694" t="s">
        <v>1433</v>
      </c>
      <c r="E3694" t="s">
        <v>314</v>
      </c>
      <c r="F3694" s="9" t="s">
        <v>314</v>
      </c>
      <c r="G3694" s="18">
        <v>644348</v>
      </c>
      <c r="H3694">
        <v>0</v>
      </c>
      <c r="I3694" s="29">
        <f t="shared" si="57"/>
        <v>644348</v>
      </c>
      <c r="J3694" t="str">
        <f>IFERROR(VLOOKUP(E3694,'LEAID Match'!$A$2:$B$168,2,FALSE),"")</f>
        <v/>
      </c>
    </row>
    <row r="3695" spans="1:10">
      <c r="A3695">
        <v>2021</v>
      </c>
      <c r="B3695" t="s">
        <v>1429</v>
      </c>
      <c r="C3695" t="s">
        <v>1431</v>
      </c>
      <c r="D3695" t="s">
        <v>1433</v>
      </c>
      <c r="E3695" t="s">
        <v>314</v>
      </c>
      <c r="F3695" s="9" t="s">
        <v>314</v>
      </c>
      <c r="G3695" s="18">
        <v>652742</v>
      </c>
      <c r="H3695">
        <v>0</v>
      </c>
      <c r="I3695" s="29">
        <f t="shared" si="57"/>
        <v>652742</v>
      </c>
      <c r="J3695" t="str">
        <f>IFERROR(VLOOKUP(E3695,'LEAID Match'!$A$2:$B$168,2,FALSE),"")</f>
        <v/>
      </c>
    </row>
    <row r="3696" spans="1:10">
      <c r="A3696">
        <v>2022</v>
      </c>
      <c r="B3696" t="s">
        <v>1429</v>
      </c>
      <c r="C3696" t="s">
        <v>1431</v>
      </c>
      <c r="D3696" t="s">
        <v>1433</v>
      </c>
      <c r="E3696" t="s">
        <v>314</v>
      </c>
      <c r="F3696" s="9" t="s">
        <v>314</v>
      </c>
      <c r="G3696" s="18">
        <v>839184</v>
      </c>
      <c r="H3696">
        <v>0</v>
      </c>
      <c r="I3696" s="29">
        <f t="shared" si="57"/>
        <v>839184</v>
      </c>
      <c r="J3696" t="str">
        <f>IFERROR(VLOOKUP(E3696,'LEAID Match'!$A$2:$B$168,2,FALSE),"")</f>
        <v/>
      </c>
    </row>
    <row r="3697" spans="1:10">
      <c r="A3697">
        <v>2023</v>
      </c>
      <c r="B3697" t="s">
        <v>1429</v>
      </c>
      <c r="C3697" t="s">
        <v>1431</v>
      </c>
      <c r="D3697" t="s">
        <v>1433</v>
      </c>
      <c r="E3697" t="s">
        <v>314</v>
      </c>
      <c r="F3697" t="s">
        <v>314</v>
      </c>
      <c r="G3697" s="28">
        <v>874350</v>
      </c>
      <c r="H3697">
        <v>0</v>
      </c>
      <c r="I3697" s="29">
        <f t="shared" si="57"/>
        <v>874350</v>
      </c>
      <c r="J3697" t="str">
        <f>IFERROR(VLOOKUP(E3697,'LEAID Match'!$A$2:$B$168,2,FALSE),"")</f>
        <v/>
      </c>
    </row>
    <row r="3698" spans="1:10">
      <c r="A3698" s="27">
        <v>2020</v>
      </c>
      <c r="B3698" t="s">
        <v>1429</v>
      </c>
      <c r="C3698" t="s">
        <v>1431</v>
      </c>
      <c r="D3698" t="s">
        <v>1433</v>
      </c>
      <c r="E3698" t="s">
        <v>315</v>
      </c>
      <c r="F3698" s="9" t="s">
        <v>315</v>
      </c>
      <c r="G3698" s="18">
        <v>2407821</v>
      </c>
      <c r="H3698">
        <v>0</v>
      </c>
      <c r="I3698" s="29">
        <f t="shared" si="57"/>
        <v>2407821</v>
      </c>
      <c r="J3698" t="str">
        <f>IFERROR(VLOOKUP(E3698,'LEAID Match'!$A$2:$B$168,2,FALSE),"")</f>
        <v/>
      </c>
    </row>
    <row r="3699" spans="1:10">
      <c r="A3699">
        <v>2021</v>
      </c>
      <c r="B3699" t="s">
        <v>1429</v>
      </c>
      <c r="C3699" t="s">
        <v>1431</v>
      </c>
      <c r="D3699" t="s">
        <v>1433</v>
      </c>
      <c r="E3699" t="s">
        <v>315</v>
      </c>
      <c r="F3699" s="9" t="s">
        <v>315</v>
      </c>
      <c r="G3699" s="18">
        <v>2571310</v>
      </c>
      <c r="H3699">
        <v>0</v>
      </c>
      <c r="I3699" s="29">
        <f t="shared" si="57"/>
        <v>2571310</v>
      </c>
      <c r="J3699" t="str">
        <f>IFERROR(VLOOKUP(E3699,'LEAID Match'!$A$2:$B$168,2,FALSE),"")</f>
        <v/>
      </c>
    </row>
    <row r="3700" spans="1:10">
      <c r="A3700">
        <v>2022</v>
      </c>
      <c r="B3700" t="s">
        <v>1429</v>
      </c>
      <c r="C3700" t="s">
        <v>1431</v>
      </c>
      <c r="D3700" t="s">
        <v>1433</v>
      </c>
      <c r="E3700" t="s">
        <v>315</v>
      </c>
      <c r="F3700" s="9" t="s">
        <v>315</v>
      </c>
      <c r="G3700" s="18">
        <v>3267411</v>
      </c>
      <c r="H3700">
        <v>0</v>
      </c>
      <c r="I3700" s="29">
        <f t="shared" si="57"/>
        <v>3267411</v>
      </c>
      <c r="J3700" t="str">
        <f>IFERROR(VLOOKUP(E3700,'LEAID Match'!$A$2:$B$168,2,FALSE),"")</f>
        <v/>
      </c>
    </row>
    <row r="3701" spans="1:10">
      <c r="A3701">
        <v>2023</v>
      </c>
      <c r="B3701" t="s">
        <v>1429</v>
      </c>
      <c r="C3701" t="s">
        <v>1431</v>
      </c>
      <c r="D3701" t="s">
        <v>1433</v>
      </c>
      <c r="E3701" t="s">
        <v>315</v>
      </c>
      <c r="F3701" t="s">
        <v>315</v>
      </c>
      <c r="G3701" s="28">
        <v>3353471</v>
      </c>
      <c r="H3701">
        <v>0</v>
      </c>
      <c r="I3701" s="29">
        <f t="shared" si="57"/>
        <v>3353471</v>
      </c>
      <c r="J3701" t="str">
        <f>IFERROR(VLOOKUP(E3701,'LEAID Match'!$A$2:$B$168,2,FALSE),"")</f>
        <v/>
      </c>
    </row>
    <row r="3702" spans="1:10">
      <c r="A3702" s="27">
        <v>2020</v>
      </c>
      <c r="B3702" t="s">
        <v>1429</v>
      </c>
      <c r="C3702" t="s">
        <v>1431</v>
      </c>
      <c r="D3702" t="s">
        <v>1433</v>
      </c>
      <c r="E3702" t="s">
        <v>316</v>
      </c>
      <c r="F3702" s="9" t="s">
        <v>316</v>
      </c>
      <c r="G3702" s="18">
        <v>55644</v>
      </c>
      <c r="H3702">
        <v>0</v>
      </c>
      <c r="I3702" s="29">
        <f t="shared" si="57"/>
        <v>55644</v>
      </c>
      <c r="J3702" t="str">
        <f>IFERROR(VLOOKUP(E3702,'LEAID Match'!$A$2:$B$168,2,FALSE),"")</f>
        <v/>
      </c>
    </row>
    <row r="3703" spans="1:10">
      <c r="A3703">
        <v>2021</v>
      </c>
      <c r="B3703" t="s">
        <v>1429</v>
      </c>
      <c r="C3703" t="s">
        <v>1431</v>
      </c>
      <c r="D3703" t="s">
        <v>1433</v>
      </c>
      <c r="E3703" t="s">
        <v>316</v>
      </c>
      <c r="F3703" s="9" t="s">
        <v>316</v>
      </c>
      <c r="G3703" s="18">
        <v>69655</v>
      </c>
      <c r="H3703">
        <v>0</v>
      </c>
      <c r="I3703" s="29">
        <f t="shared" si="57"/>
        <v>69655</v>
      </c>
      <c r="J3703" t="str">
        <f>IFERROR(VLOOKUP(E3703,'LEAID Match'!$A$2:$B$168,2,FALSE),"")</f>
        <v/>
      </c>
    </row>
    <row r="3704" spans="1:10">
      <c r="A3704">
        <v>2022</v>
      </c>
      <c r="B3704" t="s">
        <v>1429</v>
      </c>
      <c r="C3704" t="s">
        <v>1431</v>
      </c>
      <c r="D3704" t="s">
        <v>1433</v>
      </c>
      <c r="E3704" t="s">
        <v>316</v>
      </c>
      <c r="F3704" s="9" t="s">
        <v>316</v>
      </c>
      <c r="G3704" s="18">
        <v>90749</v>
      </c>
      <c r="H3704">
        <v>0</v>
      </c>
      <c r="I3704" s="29">
        <f t="shared" si="57"/>
        <v>90749</v>
      </c>
      <c r="J3704" t="str">
        <f>IFERROR(VLOOKUP(E3704,'LEAID Match'!$A$2:$B$168,2,FALSE),"")</f>
        <v/>
      </c>
    </row>
    <row r="3705" spans="1:10">
      <c r="A3705">
        <v>2023</v>
      </c>
      <c r="B3705" t="s">
        <v>1429</v>
      </c>
      <c r="C3705" t="s">
        <v>1431</v>
      </c>
      <c r="D3705" t="s">
        <v>1433</v>
      </c>
      <c r="E3705" t="s">
        <v>316</v>
      </c>
      <c r="F3705" t="s">
        <v>316</v>
      </c>
      <c r="G3705" s="28">
        <v>34177</v>
      </c>
      <c r="H3705">
        <v>0</v>
      </c>
      <c r="I3705" s="29">
        <f t="shared" si="57"/>
        <v>34177</v>
      </c>
      <c r="J3705" t="str">
        <f>IFERROR(VLOOKUP(E3705,'LEAID Match'!$A$2:$B$168,2,FALSE),"")</f>
        <v/>
      </c>
    </row>
    <row r="3706" spans="1:10">
      <c r="A3706" s="27">
        <v>2020</v>
      </c>
      <c r="B3706" t="s">
        <v>1429</v>
      </c>
      <c r="C3706" t="s">
        <v>1431</v>
      </c>
      <c r="D3706" t="s">
        <v>1433</v>
      </c>
      <c r="E3706" t="s">
        <v>317</v>
      </c>
      <c r="F3706" s="9" t="s">
        <v>317</v>
      </c>
      <c r="G3706" s="18">
        <v>1072100</v>
      </c>
      <c r="H3706">
        <v>0</v>
      </c>
      <c r="I3706" s="29">
        <f t="shared" si="57"/>
        <v>1072100</v>
      </c>
      <c r="J3706" t="str">
        <f>IFERROR(VLOOKUP(E3706,'LEAID Match'!$A$2:$B$168,2,FALSE),"")</f>
        <v/>
      </c>
    </row>
    <row r="3707" spans="1:10">
      <c r="A3707">
        <v>2021</v>
      </c>
      <c r="B3707" t="s">
        <v>1429</v>
      </c>
      <c r="C3707" t="s">
        <v>1431</v>
      </c>
      <c r="D3707" t="s">
        <v>1433</v>
      </c>
      <c r="E3707" t="s">
        <v>317</v>
      </c>
      <c r="F3707" s="9" t="s">
        <v>317</v>
      </c>
      <c r="G3707" s="18">
        <v>1086575</v>
      </c>
      <c r="H3707">
        <v>0</v>
      </c>
      <c r="I3707" s="29">
        <f t="shared" si="57"/>
        <v>1086575</v>
      </c>
      <c r="J3707" t="str">
        <f>IFERROR(VLOOKUP(E3707,'LEAID Match'!$A$2:$B$168,2,FALSE),"")</f>
        <v/>
      </c>
    </row>
    <row r="3708" spans="1:10">
      <c r="A3708">
        <v>2022</v>
      </c>
      <c r="B3708" t="s">
        <v>1429</v>
      </c>
      <c r="C3708" t="s">
        <v>1431</v>
      </c>
      <c r="D3708" t="s">
        <v>1433</v>
      </c>
      <c r="E3708" t="s">
        <v>317</v>
      </c>
      <c r="F3708" s="9" t="s">
        <v>317</v>
      </c>
      <c r="G3708" s="18">
        <v>1385487</v>
      </c>
      <c r="H3708">
        <v>0</v>
      </c>
      <c r="I3708" s="29">
        <f t="shared" si="57"/>
        <v>1385487</v>
      </c>
      <c r="J3708" t="str">
        <f>IFERROR(VLOOKUP(E3708,'LEAID Match'!$A$2:$B$168,2,FALSE),"")</f>
        <v/>
      </c>
    </row>
    <row r="3709" spans="1:10">
      <c r="A3709">
        <v>2023</v>
      </c>
      <c r="B3709" t="s">
        <v>1429</v>
      </c>
      <c r="C3709" t="s">
        <v>1431</v>
      </c>
      <c r="D3709" t="s">
        <v>1433</v>
      </c>
      <c r="E3709" t="s">
        <v>317</v>
      </c>
      <c r="F3709" t="s">
        <v>317</v>
      </c>
      <c r="G3709" s="28">
        <v>1463328</v>
      </c>
      <c r="H3709">
        <v>0</v>
      </c>
      <c r="I3709" s="29">
        <f t="shared" si="57"/>
        <v>1463328</v>
      </c>
      <c r="J3709" t="str">
        <f>IFERROR(VLOOKUP(E3709,'LEAID Match'!$A$2:$B$168,2,FALSE),"")</f>
        <v/>
      </c>
    </row>
    <row r="3710" spans="1:10">
      <c r="A3710" s="27">
        <v>2020</v>
      </c>
      <c r="B3710" t="s">
        <v>1429</v>
      </c>
      <c r="C3710" t="s">
        <v>1431</v>
      </c>
      <c r="D3710" t="s">
        <v>1433</v>
      </c>
      <c r="E3710" t="s">
        <v>318</v>
      </c>
      <c r="F3710" s="9" t="s">
        <v>318</v>
      </c>
      <c r="G3710" s="18">
        <v>234617</v>
      </c>
      <c r="H3710">
        <v>0</v>
      </c>
      <c r="I3710" s="29">
        <f t="shared" si="57"/>
        <v>234617</v>
      </c>
      <c r="J3710" t="str">
        <f>IFERROR(VLOOKUP(E3710,'LEAID Match'!$A$2:$B$168,2,FALSE),"")</f>
        <v/>
      </c>
    </row>
    <row r="3711" spans="1:10">
      <c r="A3711">
        <v>2021</v>
      </c>
      <c r="B3711" t="s">
        <v>1429</v>
      </c>
      <c r="C3711" t="s">
        <v>1431</v>
      </c>
      <c r="D3711" t="s">
        <v>1433</v>
      </c>
      <c r="E3711" t="s">
        <v>318</v>
      </c>
      <c r="F3711" s="9" t="s">
        <v>318</v>
      </c>
      <c r="G3711" s="18">
        <v>234963</v>
      </c>
      <c r="H3711">
        <v>0</v>
      </c>
      <c r="I3711" s="29">
        <f t="shared" si="57"/>
        <v>234963</v>
      </c>
      <c r="J3711" t="str">
        <f>IFERROR(VLOOKUP(E3711,'LEAID Match'!$A$2:$B$168,2,FALSE),"")</f>
        <v/>
      </c>
    </row>
    <row r="3712" spans="1:10">
      <c r="A3712">
        <v>2022</v>
      </c>
      <c r="B3712" t="s">
        <v>1429</v>
      </c>
      <c r="C3712" t="s">
        <v>1431</v>
      </c>
      <c r="D3712" t="s">
        <v>1433</v>
      </c>
      <c r="E3712" t="s">
        <v>318</v>
      </c>
      <c r="F3712" s="9" t="s">
        <v>318</v>
      </c>
      <c r="G3712" s="18">
        <v>321741</v>
      </c>
      <c r="H3712">
        <v>0</v>
      </c>
      <c r="I3712" s="29">
        <f t="shared" si="57"/>
        <v>321741</v>
      </c>
      <c r="J3712" t="str">
        <f>IFERROR(VLOOKUP(E3712,'LEAID Match'!$A$2:$B$168,2,FALSE),"")</f>
        <v/>
      </c>
    </row>
    <row r="3713" spans="1:10">
      <c r="A3713">
        <v>2023</v>
      </c>
      <c r="B3713" t="s">
        <v>1429</v>
      </c>
      <c r="C3713" t="s">
        <v>1431</v>
      </c>
      <c r="D3713" t="s">
        <v>1433</v>
      </c>
      <c r="E3713" t="s">
        <v>318</v>
      </c>
      <c r="F3713" t="s">
        <v>318</v>
      </c>
      <c r="G3713" s="28">
        <v>295836</v>
      </c>
      <c r="H3713">
        <v>0</v>
      </c>
      <c r="I3713" s="29">
        <f t="shared" si="57"/>
        <v>295836</v>
      </c>
      <c r="J3713" t="str">
        <f>IFERROR(VLOOKUP(E3713,'LEAID Match'!$A$2:$B$168,2,FALSE),"")</f>
        <v/>
      </c>
    </row>
    <row r="3714" spans="1:10">
      <c r="A3714" s="27">
        <v>2020</v>
      </c>
      <c r="B3714" t="s">
        <v>1429</v>
      </c>
      <c r="C3714" t="s">
        <v>1431</v>
      </c>
      <c r="D3714" t="s">
        <v>1433</v>
      </c>
      <c r="E3714" t="s">
        <v>319</v>
      </c>
      <c r="F3714" s="9" t="s">
        <v>319</v>
      </c>
      <c r="G3714" s="18">
        <v>14731</v>
      </c>
      <c r="H3714">
        <v>0</v>
      </c>
      <c r="I3714" s="29">
        <f t="shared" si="57"/>
        <v>14731</v>
      </c>
      <c r="J3714" t="str">
        <f>IFERROR(VLOOKUP(E3714,'LEAID Match'!$A$2:$B$168,2,FALSE),"")</f>
        <v/>
      </c>
    </row>
    <row r="3715" spans="1:10">
      <c r="A3715">
        <v>2021</v>
      </c>
      <c r="B3715" t="s">
        <v>1429</v>
      </c>
      <c r="C3715" t="s">
        <v>1431</v>
      </c>
      <c r="D3715" t="s">
        <v>1433</v>
      </c>
      <c r="E3715" t="s">
        <v>319</v>
      </c>
      <c r="F3715" s="9" t="s">
        <v>319</v>
      </c>
      <c r="G3715" s="18">
        <v>21156</v>
      </c>
      <c r="H3715">
        <v>0</v>
      </c>
      <c r="I3715" s="29">
        <f t="shared" ref="I3715:I3778" si="58">SUM(G3715:H3715)</f>
        <v>21156</v>
      </c>
      <c r="J3715" t="str">
        <f>IFERROR(VLOOKUP(E3715,'LEAID Match'!$A$2:$B$168,2,FALSE),"")</f>
        <v/>
      </c>
    </row>
    <row r="3716" spans="1:10">
      <c r="A3716">
        <v>2022</v>
      </c>
      <c r="B3716" t="s">
        <v>1429</v>
      </c>
      <c r="C3716" t="s">
        <v>1431</v>
      </c>
      <c r="D3716" t="s">
        <v>1433</v>
      </c>
      <c r="E3716" t="s">
        <v>319</v>
      </c>
      <c r="F3716" s="9" t="s">
        <v>319</v>
      </c>
      <c r="G3716" s="18">
        <v>26986</v>
      </c>
      <c r="H3716">
        <v>0</v>
      </c>
      <c r="I3716" s="29">
        <f t="shared" si="58"/>
        <v>26986</v>
      </c>
      <c r="J3716" t="str">
        <f>IFERROR(VLOOKUP(E3716,'LEAID Match'!$A$2:$B$168,2,FALSE),"")</f>
        <v/>
      </c>
    </row>
    <row r="3717" spans="1:10">
      <c r="A3717">
        <v>2023</v>
      </c>
      <c r="B3717" t="s">
        <v>1429</v>
      </c>
      <c r="C3717" t="s">
        <v>1431</v>
      </c>
      <c r="D3717" t="s">
        <v>1433</v>
      </c>
      <c r="E3717" t="s">
        <v>319</v>
      </c>
      <c r="F3717" t="s">
        <v>319</v>
      </c>
      <c r="G3717" s="28">
        <v>25567</v>
      </c>
      <c r="H3717">
        <v>0</v>
      </c>
      <c r="I3717" s="29">
        <f t="shared" si="58"/>
        <v>25567</v>
      </c>
      <c r="J3717" t="str">
        <f>IFERROR(VLOOKUP(E3717,'LEAID Match'!$A$2:$B$168,2,FALSE),"")</f>
        <v/>
      </c>
    </row>
    <row r="3718" spans="1:10">
      <c r="A3718" s="27">
        <v>2020</v>
      </c>
      <c r="B3718" t="s">
        <v>1429</v>
      </c>
      <c r="C3718" t="s">
        <v>1431</v>
      </c>
      <c r="D3718" t="s">
        <v>1433</v>
      </c>
      <c r="E3718" t="s">
        <v>320</v>
      </c>
      <c r="F3718" s="9" t="s">
        <v>320</v>
      </c>
      <c r="G3718" s="18">
        <v>94931</v>
      </c>
      <c r="H3718">
        <v>0</v>
      </c>
      <c r="I3718" s="29">
        <f t="shared" si="58"/>
        <v>94931</v>
      </c>
      <c r="J3718" t="str">
        <f>IFERROR(VLOOKUP(E3718,'LEAID Match'!$A$2:$B$168,2,FALSE),"")</f>
        <v/>
      </c>
    </row>
    <row r="3719" spans="1:10">
      <c r="A3719">
        <v>2021</v>
      </c>
      <c r="B3719" t="s">
        <v>1429</v>
      </c>
      <c r="C3719" t="s">
        <v>1431</v>
      </c>
      <c r="D3719" t="s">
        <v>1433</v>
      </c>
      <c r="E3719" t="s">
        <v>320</v>
      </c>
      <c r="F3719" s="9" t="s">
        <v>320</v>
      </c>
      <c r="G3719" s="18">
        <v>106273</v>
      </c>
      <c r="H3719">
        <v>0</v>
      </c>
      <c r="I3719" s="29">
        <f t="shared" si="58"/>
        <v>106273</v>
      </c>
      <c r="J3719" t="str">
        <f>IFERROR(VLOOKUP(E3719,'LEAID Match'!$A$2:$B$168,2,FALSE),"")</f>
        <v/>
      </c>
    </row>
    <row r="3720" spans="1:10">
      <c r="A3720">
        <v>2022</v>
      </c>
      <c r="B3720" t="s">
        <v>1429</v>
      </c>
      <c r="C3720" t="s">
        <v>1431</v>
      </c>
      <c r="D3720" t="s">
        <v>1433</v>
      </c>
      <c r="E3720" t="s">
        <v>320</v>
      </c>
      <c r="F3720" s="9" t="s">
        <v>320</v>
      </c>
      <c r="G3720" s="18">
        <v>131519</v>
      </c>
      <c r="H3720">
        <v>0</v>
      </c>
      <c r="I3720" s="29">
        <f t="shared" si="58"/>
        <v>131519</v>
      </c>
      <c r="J3720" t="str">
        <f>IFERROR(VLOOKUP(E3720,'LEAID Match'!$A$2:$B$168,2,FALSE),"")</f>
        <v/>
      </c>
    </row>
    <row r="3721" spans="1:10">
      <c r="A3721">
        <v>2023</v>
      </c>
      <c r="B3721" t="s">
        <v>1429</v>
      </c>
      <c r="C3721" t="s">
        <v>1431</v>
      </c>
      <c r="D3721" t="s">
        <v>1433</v>
      </c>
      <c r="E3721" t="s">
        <v>320</v>
      </c>
      <c r="F3721" t="s">
        <v>320</v>
      </c>
      <c r="G3721" s="28">
        <v>139780</v>
      </c>
      <c r="H3721">
        <v>0</v>
      </c>
      <c r="I3721" s="29">
        <f t="shared" si="58"/>
        <v>139780</v>
      </c>
      <c r="J3721" t="str">
        <f>IFERROR(VLOOKUP(E3721,'LEAID Match'!$A$2:$B$168,2,FALSE),"")</f>
        <v/>
      </c>
    </row>
    <row r="3722" spans="1:10">
      <c r="A3722" s="27">
        <v>2020</v>
      </c>
      <c r="B3722" t="s">
        <v>1429</v>
      </c>
      <c r="C3722" t="s">
        <v>1431</v>
      </c>
      <c r="D3722" t="s">
        <v>1433</v>
      </c>
      <c r="E3722" t="s">
        <v>321</v>
      </c>
      <c r="F3722" s="9" t="s">
        <v>321</v>
      </c>
      <c r="G3722" s="18">
        <v>470265</v>
      </c>
      <c r="H3722">
        <v>0</v>
      </c>
      <c r="I3722" s="29">
        <f t="shared" si="58"/>
        <v>470265</v>
      </c>
      <c r="J3722" t="str">
        <f>IFERROR(VLOOKUP(E3722,'LEAID Match'!$A$2:$B$168,2,FALSE),"")</f>
        <v/>
      </c>
    </row>
    <row r="3723" spans="1:10">
      <c r="A3723">
        <v>2021</v>
      </c>
      <c r="B3723" t="s">
        <v>1429</v>
      </c>
      <c r="C3723" t="s">
        <v>1431</v>
      </c>
      <c r="D3723" t="s">
        <v>1433</v>
      </c>
      <c r="E3723" t="s">
        <v>321</v>
      </c>
      <c r="F3723" s="9" t="s">
        <v>321</v>
      </c>
      <c r="G3723" s="18">
        <v>444943</v>
      </c>
      <c r="H3723">
        <v>0</v>
      </c>
      <c r="I3723" s="29">
        <f t="shared" si="58"/>
        <v>444943</v>
      </c>
      <c r="J3723" t="str">
        <f>IFERROR(VLOOKUP(E3723,'LEAID Match'!$A$2:$B$168,2,FALSE),"")</f>
        <v/>
      </c>
    </row>
    <row r="3724" spans="1:10">
      <c r="A3724">
        <v>2022</v>
      </c>
      <c r="B3724" t="s">
        <v>1429</v>
      </c>
      <c r="C3724" t="s">
        <v>1431</v>
      </c>
      <c r="D3724" t="s">
        <v>1433</v>
      </c>
      <c r="E3724" t="s">
        <v>321</v>
      </c>
      <c r="F3724" s="9" t="s">
        <v>321</v>
      </c>
      <c r="G3724" s="18">
        <v>599389</v>
      </c>
      <c r="H3724">
        <v>0</v>
      </c>
      <c r="I3724" s="29">
        <f t="shared" si="58"/>
        <v>599389</v>
      </c>
      <c r="J3724" t="str">
        <f>IFERROR(VLOOKUP(E3724,'LEAID Match'!$A$2:$B$168,2,FALSE),"")</f>
        <v/>
      </c>
    </row>
    <row r="3725" spans="1:10">
      <c r="A3725">
        <v>2023</v>
      </c>
      <c r="B3725" t="s">
        <v>1429</v>
      </c>
      <c r="C3725" t="s">
        <v>1431</v>
      </c>
      <c r="D3725" t="s">
        <v>1433</v>
      </c>
      <c r="E3725" t="s">
        <v>321</v>
      </c>
      <c r="F3725" t="s">
        <v>321</v>
      </c>
      <c r="G3725" s="28">
        <v>553706</v>
      </c>
      <c r="H3725">
        <v>0</v>
      </c>
      <c r="I3725" s="29">
        <f t="shared" si="58"/>
        <v>553706</v>
      </c>
      <c r="J3725" t="str">
        <f>IFERROR(VLOOKUP(E3725,'LEAID Match'!$A$2:$B$168,2,FALSE),"")</f>
        <v/>
      </c>
    </row>
    <row r="3726" spans="1:10">
      <c r="A3726" s="27">
        <v>2020</v>
      </c>
      <c r="B3726" t="s">
        <v>1429</v>
      </c>
      <c r="C3726" t="s">
        <v>1431</v>
      </c>
      <c r="D3726" t="s">
        <v>1433</v>
      </c>
      <c r="E3726" t="s">
        <v>322</v>
      </c>
      <c r="F3726" s="9" t="s">
        <v>322</v>
      </c>
      <c r="G3726" s="18">
        <v>18194</v>
      </c>
      <c r="H3726">
        <v>0</v>
      </c>
      <c r="I3726" s="29">
        <f t="shared" si="58"/>
        <v>18194</v>
      </c>
      <c r="J3726" t="str">
        <f>IFERROR(VLOOKUP(E3726,'LEAID Match'!$A$2:$B$168,2,FALSE),"")</f>
        <v/>
      </c>
    </row>
    <row r="3727" spans="1:10">
      <c r="A3727">
        <v>2021</v>
      </c>
      <c r="B3727" t="s">
        <v>1429</v>
      </c>
      <c r="C3727" t="s">
        <v>1431</v>
      </c>
      <c r="D3727" t="s">
        <v>1433</v>
      </c>
      <c r="E3727" t="s">
        <v>322</v>
      </c>
      <c r="F3727" s="9" t="s">
        <v>322</v>
      </c>
      <c r="G3727" s="18">
        <v>18077</v>
      </c>
      <c r="H3727">
        <v>0</v>
      </c>
      <c r="I3727" s="29">
        <f t="shared" si="58"/>
        <v>18077</v>
      </c>
      <c r="J3727" t="str">
        <f>IFERROR(VLOOKUP(E3727,'LEAID Match'!$A$2:$B$168,2,FALSE),"")</f>
        <v/>
      </c>
    </row>
    <row r="3728" spans="1:10">
      <c r="A3728">
        <v>2022</v>
      </c>
      <c r="B3728" t="s">
        <v>1429</v>
      </c>
      <c r="C3728" t="s">
        <v>1431</v>
      </c>
      <c r="D3728" t="s">
        <v>1433</v>
      </c>
      <c r="E3728" t="s">
        <v>322</v>
      </c>
      <c r="F3728" s="9" t="s">
        <v>322</v>
      </c>
      <c r="G3728" s="18">
        <v>24747</v>
      </c>
      <c r="H3728">
        <v>0</v>
      </c>
      <c r="I3728" s="29">
        <f t="shared" si="58"/>
        <v>24747</v>
      </c>
      <c r="J3728" t="str">
        <f>IFERROR(VLOOKUP(E3728,'LEAID Match'!$A$2:$B$168,2,FALSE),"")</f>
        <v/>
      </c>
    </row>
    <row r="3729" spans="1:10">
      <c r="A3729">
        <v>2023</v>
      </c>
      <c r="B3729" t="s">
        <v>1429</v>
      </c>
      <c r="C3729" t="s">
        <v>1431</v>
      </c>
      <c r="D3729" t="s">
        <v>1433</v>
      </c>
      <c r="E3729" t="s">
        <v>322</v>
      </c>
      <c r="F3729" t="s">
        <v>322</v>
      </c>
      <c r="G3729" s="28">
        <v>26054</v>
      </c>
      <c r="H3729">
        <v>0</v>
      </c>
      <c r="I3729" s="29">
        <f t="shared" si="58"/>
        <v>26054</v>
      </c>
      <c r="J3729" t="str">
        <f>IFERROR(VLOOKUP(E3729,'LEAID Match'!$A$2:$B$168,2,FALSE),"")</f>
        <v/>
      </c>
    </row>
    <row r="3730" spans="1:10">
      <c r="A3730" s="27">
        <v>2020</v>
      </c>
      <c r="B3730" t="s">
        <v>1429</v>
      </c>
      <c r="C3730" t="s">
        <v>1431</v>
      </c>
      <c r="D3730" t="s">
        <v>1433</v>
      </c>
      <c r="E3730" t="s">
        <v>323</v>
      </c>
      <c r="F3730" s="9" t="s">
        <v>323</v>
      </c>
      <c r="G3730" s="18">
        <v>146258</v>
      </c>
      <c r="H3730">
        <v>0</v>
      </c>
      <c r="I3730" s="29">
        <f t="shared" si="58"/>
        <v>146258</v>
      </c>
      <c r="J3730" t="str">
        <f>IFERROR(VLOOKUP(E3730,'LEAID Match'!$A$2:$B$168,2,FALSE),"")</f>
        <v/>
      </c>
    </row>
    <row r="3731" spans="1:10">
      <c r="A3731">
        <v>2021</v>
      </c>
      <c r="B3731" t="s">
        <v>1429</v>
      </c>
      <c r="C3731" t="s">
        <v>1431</v>
      </c>
      <c r="D3731" t="s">
        <v>1433</v>
      </c>
      <c r="E3731" t="s">
        <v>323</v>
      </c>
      <c r="F3731" s="9" t="s">
        <v>323</v>
      </c>
      <c r="G3731" s="18">
        <v>151253</v>
      </c>
      <c r="H3731">
        <v>0</v>
      </c>
      <c r="I3731" s="29">
        <f t="shared" si="58"/>
        <v>151253</v>
      </c>
      <c r="J3731" t="str">
        <f>IFERROR(VLOOKUP(E3731,'LEAID Match'!$A$2:$B$168,2,FALSE),"")</f>
        <v/>
      </c>
    </row>
    <row r="3732" spans="1:10">
      <c r="A3732">
        <v>2022</v>
      </c>
      <c r="B3732" t="s">
        <v>1429</v>
      </c>
      <c r="C3732" t="s">
        <v>1431</v>
      </c>
      <c r="D3732" t="s">
        <v>1433</v>
      </c>
      <c r="E3732" t="s">
        <v>323</v>
      </c>
      <c r="F3732" s="9" t="s">
        <v>323</v>
      </c>
      <c r="G3732" s="18">
        <v>183687</v>
      </c>
      <c r="H3732">
        <v>0</v>
      </c>
      <c r="I3732" s="29">
        <f t="shared" si="58"/>
        <v>183687</v>
      </c>
      <c r="J3732" t="str">
        <f>IFERROR(VLOOKUP(E3732,'LEAID Match'!$A$2:$B$168,2,FALSE),"")</f>
        <v/>
      </c>
    </row>
    <row r="3733" spans="1:10">
      <c r="A3733">
        <v>2023</v>
      </c>
      <c r="B3733" t="s">
        <v>1429</v>
      </c>
      <c r="C3733" t="s">
        <v>1431</v>
      </c>
      <c r="D3733" t="s">
        <v>1433</v>
      </c>
      <c r="E3733" t="s">
        <v>323</v>
      </c>
      <c r="F3733" t="s">
        <v>323</v>
      </c>
      <c r="G3733" s="28">
        <v>227634</v>
      </c>
      <c r="H3733">
        <v>0</v>
      </c>
      <c r="I3733" s="29">
        <f t="shared" si="58"/>
        <v>227634</v>
      </c>
      <c r="J3733" t="str">
        <f>IFERROR(VLOOKUP(E3733,'LEAID Match'!$A$2:$B$168,2,FALSE),"")</f>
        <v/>
      </c>
    </row>
    <row r="3734" spans="1:10">
      <c r="A3734" s="27">
        <v>2020</v>
      </c>
      <c r="B3734" t="s">
        <v>1429</v>
      </c>
      <c r="C3734" t="s">
        <v>1431</v>
      </c>
      <c r="D3734" t="s">
        <v>1433</v>
      </c>
      <c r="E3734" t="s">
        <v>324</v>
      </c>
      <c r="F3734" s="9" t="s">
        <v>324</v>
      </c>
      <c r="G3734" s="18">
        <v>131205</v>
      </c>
      <c r="H3734">
        <v>0</v>
      </c>
      <c r="I3734" s="29">
        <f t="shared" si="58"/>
        <v>131205</v>
      </c>
      <c r="J3734" t="str">
        <f>IFERROR(VLOOKUP(E3734,'LEAID Match'!$A$2:$B$168,2,FALSE),"")</f>
        <v/>
      </c>
    </row>
    <row r="3735" spans="1:10">
      <c r="A3735">
        <v>2021</v>
      </c>
      <c r="B3735" t="s">
        <v>1429</v>
      </c>
      <c r="C3735" t="s">
        <v>1431</v>
      </c>
      <c r="D3735" t="s">
        <v>1433</v>
      </c>
      <c r="E3735" t="s">
        <v>324</v>
      </c>
      <c r="F3735" s="9" t="s">
        <v>324</v>
      </c>
      <c r="G3735" s="18">
        <v>128462</v>
      </c>
      <c r="H3735">
        <v>0</v>
      </c>
      <c r="I3735" s="29">
        <f t="shared" si="58"/>
        <v>128462</v>
      </c>
      <c r="J3735" t="str">
        <f>IFERROR(VLOOKUP(E3735,'LEAID Match'!$A$2:$B$168,2,FALSE),"")</f>
        <v/>
      </c>
    </row>
    <row r="3736" spans="1:10">
      <c r="A3736">
        <v>2022</v>
      </c>
      <c r="B3736" t="s">
        <v>1429</v>
      </c>
      <c r="C3736" t="s">
        <v>1431</v>
      </c>
      <c r="D3736" t="s">
        <v>1433</v>
      </c>
      <c r="E3736" t="s">
        <v>324</v>
      </c>
      <c r="F3736" s="9" t="s">
        <v>324</v>
      </c>
      <c r="G3736" s="18">
        <v>169818</v>
      </c>
      <c r="H3736">
        <v>0</v>
      </c>
      <c r="I3736" s="29">
        <f t="shared" si="58"/>
        <v>169818</v>
      </c>
      <c r="J3736" t="str">
        <f>IFERROR(VLOOKUP(E3736,'LEAID Match'!$A$2:$B$168,2,FALSE),"")</f>
        <v/>
      </c>
    </row>
    <row r="3737" spans="1:10">
      <c r="A3737">
        <v>2023</v>
      </c>
      <c r="B3737" t="s">
        <v>1429</v>
      </c>
      <c r="C3737" t="s">
        <v>1431</v>
      </c>
      <c r="D3737" t="s">
        <v>1433</v>
      </c>
      <c r="E3737" t="s">
        <v>324</v>
      </c>
      <c r="F3737" t="s">
        <v>324</v>
      </c>
      <c r="G3737" s="28">
        <v>186147</v>
      </c>
      <c r="H3737">
        <v>0</v>
      </c>
      <c r="I3737" s="29">
        <f t="shared" si="58"/>
        <v>186147</v>
      </c>
      <c r="J3737" t="str">
        <f>IFERROR(VLOOKUP(E3737,'LEAID Match'!$A$2:$B$168,2,FALSE),"")</f>
        <v/>
      </c>
    </row>
    <row r="3738" spans="1:10">
      <c r="A3738" s="27">
        <v>2020</v>
      </c>
      <c r="B3738" t="s">
        <v>1429</v>
      </c>
      <c r="C3738" t="s">
        <v>1431</v>
      </c>
      <c r="D3738" t="s">
        <v>1433</v>
      </c>
      <c r="E3738" t="s">
        <v>325</v>
      </c>
      <c r="F3738" s="9" t="s">
        <v>325</v>
      </c>
      <c r="G3738" s="18">
        <v>123834</v>
      </c>
      <c r="H3738">
        <v>0</v>
      </c>
      <c r="I3738" s="29">
        <f t="shared" si="58"/>
        <v>123834</v>
      </c>
      <c r="J3738" t="str">
        <f>IFERROR(VLOOKUP(E3738,'LEAID Match'!$A$2:$B$168,2,FALSE),"")</f>
        <v/>
      </c>
    </row>
    <row r="3739" spans="1:10">
      <c r="A3739">
        <v>2021</v>
      </c>
      <c r="B3739" t="s">
        <v>1429</v>
      </c>
      <c r="C3739" t="s">
        <v>1431</v>
      </c>
      <c r="D3739" t="s">
        <v>1433</v>
      </c>
      <c r="E3739" t="s">
        <v>325</v>
      </c>
      <c r="F3739" s="9" t="s">
        <v>325</v>
      </c>
      <c r="G3739" s="18">
        <v>128439</v>
      </c>
      <c r="H3739">
        <v>0</v>
      </c>
      <c r="I3739" s="29">
        <f t="shared" si="58"/>
        <v>128439</v>
      </c>
      <c r="J3739" t="str">
        <f>IFERROR(VLOOKUP(E3739,'LEAID Match'!$A$2:$B$168,2,FALSE),"")</f>
        <v/>
      </c>
    </row>
    <row r="3740" spans="1:10">
      <c r="A3740">
        <v>2022</v>
      </c>
      <c r="B3740" t="s">
        <v>1429</v>
      </c>
      <c r="C3740" t="s">
        <v>1431</v>
      </c>
      <c r="D3740" t="s">
        <v>1433</v>
      </c>
      <c r="E3740" t="s">
        <v>325</v>
      </c>
      <c r="F3740" s="9" t="s">
        <v>325</v>
      </c>
      <c r="G3740" s="18">
        <v>194194</v>
      </c>
      <c r="H3740">
        <v>0</v>
      </c>
      <c r="I3740" s="29">
        <f t="shared" si="58"/>
        <v>194194</v>
      </c>
      <c r="J3740" t="str">
        <f>IFERROR(VLOOKUP(E3740,'LEAID Match'!$A$2:$B$168,2,FALSE),"")</f>
        <v/>
      </c>
    </row>
    <row r="3741" spans="1:10">
      <c r="A3741">
        <v>2023</v>
      </c>
      <c r="B3741" t="s">
        <v>1429</v>
      </c>
      <c r="C3741" t="s">
        <v>1431</v>
      </c>
      <c r="D3741" t="s">
        <v>1433</v>
      </c>
      <c r="E3741" t="s">
        <v>325</v>
      </c>
      <c r="F3741" t="s">
        <v>325</v>
      </c>
      <c r="G3741" s="28">
        <v>199308</v>
      </c>
      <c r="H3741">
        <v>0</v>
      </c>
      <c r="I3741" s="29">
        <f t="shared" si="58"/>
        <v>199308</v>
      </c>
      <c r="J3741" t="str">
        <f>IFERROR(VLOOKUP(E3741,'LEAID Match'!$A$2:$B$168,2,FALSE),"")</f>
        <v/>
      </c>
    </row>
    <row r="3742" spans="1:10">
      <c r="A3742" s="27">
        <v>2020</v>
      </c>
      <c r="B3742" t="s">
        <v>1429</v>
      </c>
      <c r="C3742" t="s">
        <v>1431</v>
      </c>
      <c r="D3742" t="s">
        <v>1433</v>
      </c>
      <c r="E3742" t="s">
        <v>326</v>
      </c>
      <c r="F3742" s="9" t="s">
        <v>326</v>
      </c>
      <c r="G3742" s="18">
        <v>130840</v>
      </c>
      <c r="H3742">
        <v>0</v>
      </c>
      <c r="I3742" s="29">
        <f t="shared" si="58"/>
        <v>130840</v>
      </c>
      <c r="J3742" t="str">
        <f>IFERROR(VLOOKUP(E3742,'LEAID Match'!$A$2:$B$168,2,FALSE),"")</f>
        <v/>
      </c>
    </row>
    <row r="3743" spans="1:10">
      <c r="A3743">
        <v>2021</v>
      </c>
      <c r="B3743" t="s">
        <v>1429</v>
      </c>
      <c r="C3743" t="s">
        <v>1431</v>
      </c>
      <c r="D3743" t="s">
        <v>1433</v>
      </c>
      <c r="E3743" t="s">
        <v>326</v>
      </c>
      <c r="F3743" s="9" t="s">
        <v>326</v>
      </c>
      <c r="G3743" s="18">
        <v>113254</v>
      </c>
      <c r="H3743">
        <v>0</v>
      </c>
      <c r="I3743" s="29">
        <f t="shared" si="58"/>
        <v>113254</v>
      </c>
      <c r="J3743" t="str">
        <f>IFERROR(VLOOKUP(E3743,'LEAID Match'!$A$2:$B$168,2,FALSE),"")</f>
        <v/>
      </c>
    </row>
    <row r="3744" spans="1:10">
      <c r="A3744">
        <v>2022</v>
      </c>
      <c r="B3744" t="s">
        <v>1429</v>
      </c>
      <c r="C3744" t="s">
        <v>1431</v>
      </c>
      <c r="D3744" t="s">
        <v>1433</v>
      </c>
      <c r="E3744" t="s">
        <v>326</v>
      </c>
      <c r="F3744" s="9" t="s">
        <v>326</v>
      </c>
      <c r="G3744" s="18">
        <v>164120</v>
      </c>
      <c r="H3744">
        <v>0</v>
      </c>
      <c r="I3744" s="29">
        <f t="shared" si="58"/>
        <v>164120</v>
      </c>
      <c r="J3744" t="str">
        <f>IFERROR(VLOOKUP(E3744,'LEAID Match'!$A$2:$B$168,2,FALSE),"")</f>
        <v/>
      </c>
    </row>
    <row r="3745" spans="1:10">
      <c r="A3745">
        <v>2023</v>
      </c>
      <c r="B3745" t="s">
        <v>1429</v>
      </c>
      <c r="C3745" t="s">
        <v>1431</v>
      </c>
      <c r="D3745" t="s">
        <v>1433</v>
      </c>
      <c r="E3745" t="s">
        <v>326</v>
      </c>
      <c r="F3745" t="s">
        <v>326</v>
      </c>
      <c r="G3745" s="28">
        <v>196053</v>
      </c>
      <c r="H3745">
        <v>0</v>
      </c>
      <c r="I3745" s="29">
        <f t="shared" si="58"/>
        <v>196053</v>
      </c>
      <c r="J3745" t="str">
        <f>IFERROR(VLOOKUP(E3745,'LEAID Match'!$A$2:$B$168,2,FALSE),"")</f>
        <v/>
      </c>
    </row>
    <row r="3746" spans="1:10">
      <c r="A3746" s="27">
        <v>2020</v>
      </c>
      <c r="B3746" t="s">
        <v>1429</v>
      </c>
      <c r="C3746" t="s">
        <v>1431</v>
      </c>
      <c r="D3746" t="s">
        <v>1433</v>
      </c>
      <c r="E3746" t="s">
        <v>327</v>
      </c>
      <c r="F3746" s="9" t="s">
        <v>327</v>
      </c>
      <c r="G3746" s="18">
        <v>140596</v>
      </c>
      <c r="H3746">
        <v>0</v>
      </c>
      <c r="I3746" s="29">
        <f t="shared" si="58"/>
        <v>140596</v>
      </c>
      <c r="J3746" t="str">
        <f>IFERROR(VLOOKUP(E3746,'LEAID Match'!$A$2:$B$168,2,FALSE),"")</f>
        <v/>
      </c>
    </row>
    <row r="3747" spans="1:10">
      <c r="A3747">
        <v>2021</v>
      </c>
      <c r="B3747" t="s">
        <v>1429</v>
      </c>
      <c r="C3747" t="s">
        <v>1431</v>
      </c>
      <c r="D3747" t="s">
        <v>1433</v>
      </c>
      <c r="E3747" t="s">
        <v>327</v>
      </c>
      <c r="F3747" s="9" t="s">
        <v>327</v>
      </c>
      <c r="G3747" s="18">
        <v>133586</v>
      </c>
      <c r="H3747">
        <v>0</v>
      </c>
      <c r="I3747" s="29">
        <f t="shared" si="58"/>
        <v>133586</v>
      </c>
      <c r="J3747" t="str">
        <f>IFERROR(VLOOKUP(E3747,'LEAID Match'!$A$2:$B$168,2,FALSE),"")</f>
        <v/>
      </c>
    </row>
    <row r="3748" spans="1:10">
      <c r="A3748">
        <v>2022</v>
      </c>
      <c r="B3748" t="s">
        <v>1429</v>
      </c>
      <c r="C3748" t="s">
        <v>1431</v>
      </c>
      <c r="D3748" t="s">
        <v>1433</v>
      </c>
      <c r="E3748" t="s">
        <v>327</v>
      </c>
      <c r="F3748" s="9" t="s">
        <v>327</v>
      </c>
      <c r="G3748" s="18">
        <v>146058</v>
      </c>
      <c r="H3748">
        <v>0</v>
      </c>
      <c r="I3748" s="29">
        <f t="shared" si="58"/>
        <v>146058</v>
      </c>
      <c r="J3748" t="str">
        <f>IFERROR(VLOOKUP(E3748,'LEAID Match'!$A$2:$B$168,2,FALSE),"")</f>
        <v/>
      </c>
    </row>
    <row r="3749" spans="1:10">
      <c r="A3749">
        <v>2023</v>
      </c>
      <c r="B3749" t="s">
        <v>1429</v>
      </c>
      <c r="C3749" t="s">
        <v>1431</v>
      </c>
      <c r="D3749" t="s">
        <v>1433</v>
      </c>
      <c r="E3749" t="s">
        <v>327</v>
      </c>
      <c r="F3749" t="s">
        <v>327</v>
      </c>
      <c r="G3749" s="28">
        <v>186811</v>
      </c>
      <c r="H3749">
        <v>0</v>
      </c>
      <c r="I3749" s="29">
        <f t="shared" si="58"/>
        <v>186811</v>
      </c>
      <c r="J3749" t="str">
        <f>IFERROR(VLOOKUP(E3749,'LEAID Match'!$A$2:$B$168,2,FALSE),"")</f>
        <v/>
      </c>
    </row>
    <row r="3750" spans="1:10">
      <c r="A3750" s="27">
        <v>2020</v>
      </c>
      <c r="B3750" t="s">
        <v>1429</v>
      </c>
      <c r="C3750" t="s">
        <v>1431</v>
      </c>
      <c r="D3750" t="s">
        <v>1433</v>
      </c>
      <c r="E3750" t="s">
        <v>328</v>
      </c>
      <c r="F3750" s="9" t="s">
        <v>328</v>
      </c>
      <c r="G3750" s="18">
        <v>372167</v>
      </c>
      <c r="H3750">
        <v>0</v>
      </c>
      <c r="I3750" s="29">
        <f t="shared" si="58"/>
        <v>372167</v>
      </c>
      <c r="J3750" t="str">
        <f>IFERROR(VLOOKUP(E3750,'LEAID Match'!$A$2:$B$168,2,FALSE),"")</f>
        <v/>
      </c>
    </row>
    <row r="3751" spans="1:10">
      <c r="A3751">
        <v>2021</v>
      </c>
      <c r="B3751" t="s">
        <v>1429</v>
      </c>
      <c r="C3751" t="s">
        <v>1431</v>
      </c>
      <c r="D3751" t="s">
        <v>1433</v>
      </c>
      <c r="E3751" t="s">
        <v>328</v>
      </c>
      <c r="F3751" s="9" t="s">
        <v>328</v>
      </c>
      <c r="G3751" s="18">
        <v>373276</v>
      </c>
      <c r="H3751">
        <v>0</v>
      </c>
      <c r="I3751" s="29">
        <f t="shared" si="58"/>
        <v>373276</v>
      </c>
      <c r="J3751" t="str">
        <f>IFERROR(VLOOKUP(E3751,'LEAID Match'!$A$2:$B$168,2,FALSE),"")</f>
        <v/>
      </c>
    </row>
    <row r="3752" spans="1:10">
      <c r="A3752">
        <v>2022</v>
      </c>
      <c r="B3752" t="s">
        <v>1429</v>
      </c>
      <c r="C3752" t="s">
        <v>1431</v>
      </c>
      <c r="D3752" t="s">
        <v>1433</v>
      </c>
      <c r="E3752" t="s">
        <v>328</v>
      </c>
      <c r="F3752" s="9" t="s">
        <v>328</v>
      </c>
      <c r="G3752" s="18">
        <v>492389</v>
      </c>
      <c r="H3752">
        <v>0</v>
      </c>
      <c r="I3752" s="29">
        <f t="shared" si="58"/>
        <v>492389</v>
      </c>
      <c r="J3752" t="str">
        <f>IFERROR(VLOOKUP(E3752,'LEAID Match'!$A$2:$B$168,2,FALSE),"")</f>
        <v/>
      </c>
    </row>
    <row r="3753" spans="1:10">
      <c r="A3753">
        <v>2023</v>
      </c>
      <c r="B3753" t="s">
        <v>1429</v>
      </c>
      <c r="C3753" t="s">
        <v>1431</v>
      </c>
      <c r="D3753" t="s">
        <v>1433</v>
      </c>
      <c r="E3753" t="s">
        <v>328</v>
      </c>
      <c r="F3753" t="s">
        <v>328</v>
      </c>
      <c r="G3753" s="28">
        <v>540152</v>
      </c>
      <c r="H3753">
        <v>0</v>
      </c>
      <c r="I3753" s="29">
        <f t="shared" si="58"/>
        <v>540152</v>
      </c>
      <c r="J3753" t="str">
        <f>IFERROR(VLOOKUP(E3753,'LEAID Match'!$A$2:$B$168,2,FALSE),"")</f>
        <v/>
      </c>
    </row>
    <row r="3754" spans="1:10">
      <c r="A3754" s="27">
        <v>2020</v>
      </c>
      <c r="B3754" t="s">
        <v>1429</v>
      </c>
      <c r="C3754" t="s">
        <v>1431</v>
      </c>
      <c r="D3754" t="s">
        <v>1433</v>
      </c>
      <c r="E3754" t="s">
        <v>329</v>
      </c>
      <c r="F3754" s="9" t="s">
        <v>329</v>
      </c>
      <c r="G3754" s="18">
        <v>73093</v>
      </c>
      <c r="H3754">
        <v>0</v>
      </c>
      <c r="I3754" s="29">
        <f t="shared" si="58"/>
        <v>73093</v>
      </c>
      <c r="J3754" t="str">
        <f>IFERROR(VLOOKUP(E3754,'LEAID Match'!$A$2:$B$168,2,FALSE),"")</f>
        <v/>
      </c>
    </row>
    <row r="3755" spans="1:10">
      <c r="A3755">
        <v>2021</v>
      </c>
      <c r="B3755" t="s">
        <v>1429</v>
      </c>
      <c r="C3755" t="s">
        <v>1431</v>
      </c>
      <c r="D3755" t="s">
        <v>1433</v>
      </c>
      <c r="E3755" t="s">
        <v>329</v>
      </c>
      <c r="F3755" s="9" t="s">
        <v>329</v>
      </c>
      <c r="G3755" s="18">
        <v>83479</v>
      </c>
      <c r="H3755">
        <v>0</v>
      </c>
      <c r="I3755" s="29">
        <f t="shared" si="58"/>
        <v>83479</v>
      </c>
      <c r="J3755" t="str">
        <f>IFERROR(VLOOKUP(E3755,'LEAID Match'!$A$2:$B$168,2,FALSE),"")</f>
        <v/>
      </c>
    </row>
    <row r="3756" spans="1:10">
      <c r="A3756">
        <v>2022</v>
      </c>
      <c r="B3756" t="s">
        <v>1429</v>
      </c>
      <c r="C3756" t="s">
        <v>1431</v>
      </c>
      <c r="D3756" t="s">
        <v>1433</v>
      </c>
      <c r="E3756" t="s">
        <v>329</v>
      </c>
      <c r="F3756" s="9" t="s">
        <v>329</v>
      </c>
      <c r="G3756" s="18">
        <v>110349</v>
      </c>
      <c r="H3756">
        <v>0</v>
      </c>
      <c r="I3756" s="29">
        <f t="shared" si="58"/>
        <v>110349</v>
      </c>
      <c r="J3756" t="str">
        <f>IFERROR(VLOOKUP(E3756,'LEAID Match'!$A$2:$B$168,2,FALSE),"")</f>
        <v/>
      </c>
    </row>
    <row r="3757" spans="1:10">
      <c r="A3757">
        <v>2023</v>
      </c>
      <c r="B3757" t="s">
        <v>1429</v>
      </c>
      <c r="C3757" t="s">
        <v>1431</v>
      </c>
      <c r="D3757" t="s">
        <v>1433</v>
      </c>
      <c r="E3757" t="s">
        <v>329</v>
      </c>
      <c r="F3757" t="s">
        <v>329</v>
      </c>
      <c r="G3757" s="28">
        <v>117281</v>
      </c>
      <c r="H3757">
        <v>0</v>
      </c>
      <c r="I3757" s="29">
        <f t="shared" si="58"/>
        <v>117281</v>
      </c>
      <c r="J3757" t="str">
        <f>IFERROR(VLOOKUP(E3757,'LEAID Match'!$A$2:$B$168,2,FALSE),"")</f>
        <v/>
      </c>
    </row>
    <row r="3758" spans="1:10">
      <c r="A3758" s="27">
        <v>2020</v>
      </c>
      <c r="B3758" t="s">
        <v>1429</v>
      </c>
      <c r="C3758" t="s">
        <v>1431</v>
      </c>
      <c r="D3758" t="s">
        <v>1433</v>
      </c>
      <c r="E3758" t="s">
        <v>330</v>
      </c>
      <c r="F3758" s="9" t="s">
        <v>330</v>
      </c>
      <c r="G3758" s="18">
        <v>57945</v>
      </c>
      <c r="H3758">
        <v>0</v>
      </c>
      <c r="I3758" s="29">
        <f t="shared" si="58"/>
        <v>57945</v>
      </c>
      <c r="J3758" t="str">
        <f>IFERROR(VLOOKUP(E3758,'LEAID Match'!$A$2:$B$168,2,FALSE),"")</f>
        <v/>
      </c>
    </row>
    <row r="3759" spans="1:10">
      <c r="A3759">
        <v>2021</v>
      </c>
      <c r="B3759" t="s">
        <v>1429</v>
      </c>
      <c r="C3759" t="s">
        <v>1431</v>
      </c>
      <c r="D3759" t="s">
        <v>1433</v>
      </c>
      <c r="E3759" t="s">
        <v>330</v>
      </c>
      <c r="F3759" s="9" t="s">
        <v>330</v>
      </c>
      <c r="G3759" s="18">
        <v>68133</v>
      </c>
      <c r="H3759">
        <v>0</v>
      </c>
      <c r="I3759" s="29">
        <f t="shared" si="58"/>
        <v>68133</v>
      </c>
      <c r="J3759" t="str">
        <f>IFERROR(VLOOKUP(E3759,'LEAID Match'!$A$2:$B$168,2,FALSE),"")</f>
        <v/>
      </c>
    </row>
    <row r="3760" spans="1:10">
      <c r="A3760">
        <v>2022</v>
      </c>
      <c r="B3760" t="s">
        <v>1429</v>
      </c>
      <c r="C3760" t="s">
        <v>1431</v>
      </c>
      <c r="D3760" t="s">
        <v>1433</v>
      </c>
      <c r="E3760" t="s">
        <v>330</v>
      </c>
      <c r="F3760" s="9" t="s">
        <v>330</v>
      </c>
      <c r="G3760" s="18">
        <v>80695</v>
      </c>
      <c r="H3760">
        <v>0</v>
      </c>
      <c r="I3760" s="29">
        <f t="shared" si="58"/>
        <v>80695</v>
      </c>
      <c r="J3760" t="str">
        <f>IFERROR(VLOOKUP(E3760,'LEAID Match'!$A$2:$B$168,2,FALSE),"")</f>
        <v/>
      </c>
    </row>
    <row r="3761" spans="1:10">
      <c r="A3761">
        <v>2023</v>
      </c>
      <c r="B3761" t="s">
        <v>1429</v>
      </c>
      <c r="C3761" t="s">
        <v>1431</v>
      </c>
      <c r="D3761" t="s">
        <v>1433</v>
      </c>
      <c r="E3761" t="s">
        <v>330</v>
      </c>
      <c r="F3761" t="s">
        <v>330</v>
      </c>
      <c r="G3761" s="28">
        <v>123375</v>
      </c>
      <c r="H3761">
        <v>0</v>
      </c>
      <c r="I3761" s="29">
        <f t="shared" si="58"/>
        <v>123375</v>
      </c>
      <c r="J3761" t="str">
        <f>IFERROR(VLOOKUP(E3761,'LEAID Match'!$A$2:$B$168,2,FALSE),"")</f>
        <v/>
      </c>
    </row>
    <row r="3762" spans="1:10">
      <c r="A3762" s="27">
        <v>2020</v>
      </c>
      <c r="B3762" t="s">
        <v>1429</v>
      </c>
      <c r="C3762" t="s">
        <v>1431</v>
      </c>
      <c r="D3762" t="s">
        <v>1433</v>
      </c>
      <c r="E3762" t="s">
        <v>331</v>
      </c>
      <c r="F3762" s="9" t="s">
        <v>331</v>
      </c>
      <c r="G3762" s="18">
        <v>423253</v>
      </c>
      <c r="H3762">
        <v>0</v>
      </c>
      <c r="I3762" s="29">
        <f t="shared" si="58"/>
        <v>423253</v>
      </c>
      <c r="J3762" t="str">
        <f>IFERROR(VLOOKUP(E3762,'LEAID Match'!$A$2:$B$168,2,FALSE),"")</f>
        <v/>
      </c>
    </row>
    <row r="3763" spans="1:10">
      <c r="A3763">
        <v>2021</v>
      </c>
      <c r="B3763" t="s">
        <v>1429</v>
      </c>
      <c r="C3763" t="s">
        <v>1431</v>
      </c>
      <c r="D3763" t="s">
        <v>1433</v>
      </c>
      <c r="E3763" t="s">
        <v>331</v>
      </c>
      <c r="F3763" s="9" t="s">
        <v>331</v>
      </c>
      <c r="G3763" s="18">
        <v>433453</v>
      </c>
      <c r="H3763">
        <v>0</v>
      </c>
      <c r="I3763" s="29">
        <f t="shared" si="58"/>
        <v>433453</v>
      </c>
      <c r="J3763" t="str">
        <f>IFERROR(VLOOKUP(E3763,'LEAID Match'!$A$2:$B$168,2,FALSE),"")</f>
        <v/>
      </c>
    </row>
    <row r="3764" spans="1:10">
      <c r="A3764">
        <v>2022</v>
      </c>
      <c r="B3764" t="s">
        <v>1429</v>
      </c>
      <c r="C3764" t="s">
        <v>1431</v>
      </c>
      <c r="D3764" t="s">
        <v>1433</v>
      </c>
      <c r="E3764" t="s">
        <v>331</v>
      </c>
      <c r="F3764" s="9" t="s">
        <v>331</v>
      </c>
      <c r="G3764" s="18">
        <v>553838</v>
      </c>
      <c r="H3764">
        <v>0</v>
      </c>
      <c r="I3764" s="29">
        <f t="shared" si="58"/>
        <v>553838</v>
      </c>
      <c r="J3764" t="str">
        <f>IFERROR(VLOOKUP(E3764,'LEAID Match'!$A$2:$B$168,2,FALSE),"")</f>
        <v/>
      </c>
    </row>
    <row r="3765" spans="1:10">
      <c r="A3765">
        <v>2023</v>
      </c>
      <c r="B3765" t="s">
        <v>1429</v>
      </c>
      <c r="C3765" t="s">
        <v>1431</v>
      </c>
      <c r="D3765" t="s">
        <v>1433</v>
      </c>
      <c r="E3765" t="s">
        <v>331</v>
      </c>
      <c r="F3765" t="s">
        <v>331</v>
      </c>
      <c r="G3765" s="28">
        <v>578498</v>
      </c>
      <c r="H3765">
        <v>0</v>
      </c>
      <c r="I3765" s="29">
        <f t="shared" si="58"/>
        <v>578498</v>
      </c>
      <c r="J3765" t="str">
        <f>IFERROR(VLOOKUP(E3765,'LEAID Match'!$A$2:$B$168,2,FALSE),"")</f>
        <v/>
      </c>
    </row>
    <row r="3766" spans="1:10">
      <c r="A3766" s="27">
        <v>2020</v>
      </c>
      <c r="B3766" t="s">
        <v>1429</v>
      </c>
      <c r="C3766" t="s">
        <v>1431</v>
      </c>
      <c r="D3766" t="s">
        <v>1433</v>
      </c>
      <c r="E3766" t="s">
        <v>332</v>
      </c>
      <c r="F3766" s="9" t="s">
        <v>332</v>
      </c>
      <c r="G3766" s="18">
        <v>520644</v>
      </c>
      <c r="H3766">
        <v>0</v>
      </c>
      <c r="I3766" s="29">
        <f t="shared" si="58"/>
        <v>520644</v>
      </c>
      <c r="J3766" t="str">
        <f>IFERROR(VLOOKUP(E3766,'LEAID Match'!$A$2:$B$168,2,FALSE),"")</f>
        <v/>
      </c>
    </row>
    <row r="3767" spans="1:10">
      <c r="A3767">
        <v>2021</v>
      </c>
      <c r="B3767" t="s">
        <v>1429</v>
      </c>
      <c r="C3767" t="s">
        <v>1431</v>
      </c>
      <c r="D3767" t="s">
        <v>1433</v>
      </c>
      <c r="E3767" t="s">
        <v>332</v>
      </c>
      <c r="F3767" s="9" t="s">
        <v>332</v>
      </c>
      <c r="G3767" s="18">
        <v>555954</v>
      </c>
      <c r="H3767">
        <v>0</v>
      </c>
      <c r="I3767" s="29">
        <f t="shared" si="58"/>
        <v>555954</v>
      </c>
      <c r="J3767" t="str">
        <f>IFERROR(VLOOKUP(E3767,'LEAID Match'!$A$2:$B$168,2,FALSE),"")</f>
        <v/>
      </c>
    </row>
    <row r="3768" spans="1:10">
      <c r="A3768">
        <v>2022</v>
      </c>
      <c r="B3768" t="s">
        <v>1429</v>
      </c>
      <c r="C3768" t="s">
        <v>1431</v>
      </c>
      <c r="D3768" t="s">
        <v>1433</v>
      </c>
      <c r="E3768" t="s">
        <v>332</v>
      </c>
      <c r="F3768" s="9" t="s">
        <v>332</v>
      </c>
      <c r="G3768" s="18">
        <v>695457</v>
      </c>
      <c r="H3768">
        <v>0</v>
      </c>
      <c r="I3768" s="29">
        <f t="shared" si="58"/>
        <v>695457</v>
      </c>
      <c r="J3768" t="str">
        <f>IFERROR(VLOOKUP(E3768,'LEAID Match'!$A$2:$B$168,2,FALSE),"")</f>
        <v/>
      </c>
    </row>
    <row r="3769" spans="1:10">
      <c r="A3769">
        <v>2023</v>
      </c>
      <c r="B3769" t="s">
        <v>1429</v>
      </c>
      <c r="C3769" t="s">
        <v>1431</v>
      </c>
      <c r="D3769" t="s">
        <v>1433</v>
      </c>
      <c r="E3769" t="s">
        <v>332</v>
      </c>
      <c r="F3769" t="s">
        <v>332</v>
      </c>
      <c r="G3769" s="28">
        <v>726944</v>
      </c>
      <c r="H3769">
        <v>0</v>
      </c>
      <c r="I3769" s="29">
        <f t="shared" si="58"/>
        <v>726944</v>
      </c>
      <c r="J3769" t="str">
        <f>IFERROR(VLOOKUP(E3769,'LEAID Match'!$A$2:$B$168,2,FALSE),"")</f>
        <v/>
      </c>
    </row>
    <row r="3770" spans="1:10">
      <c r="A3770" s="27">
        <v>2020</v>
      </c>
      <c r="B3770" t="s">
        <v>1429</v>
      </c>
      <c r="C3770" t="s">
        <v>1431</v>
      </c>
      <c r="D3770" t="s">
        <v>1433</v>
      </c>
      <c r="E3770" t="s">
        <v>333</v>
      </c>
      <c r="F3770" s="9" t="s">
        <v>333</v>
      </c>
      <c r="G3770" s="18">
        <v>514191</v>
      </c>
      <c r="H3770">
        <v>0</v>
      </c>
      <c r="I3770" s="29">
        <f t="shared" si="58"/>
        <v>514191</v>
      </c>
      <c r="J3770" t="str">
        <f>IFERROR(VLOOKUP(E3770,'LEAID Match'!$A$2:$B$168,2,FALSE),"")</f>
        <v/>
      </c>
    </row>
    <row r="3771" spans="1:10">
      <c r="A3771">
        <v>2021</v>
      </c>
      <c r="B3771" t="s">
        <v>1429</v>
      </c>
      <c r="C3771" t="s">
        <v>1431</v>
      </c>
      <c r="D3771" t="s">
        <v>1433</v>
      </c>
      <c r="E3771" t="s">
        <v>333</v>
      </c>
      <c r="F3771" s="9" t="s">
        <v>333</v>
      </c>
      <c r="G3771" s="18">
        <v>532756</v>
      </c>
      <c r="H3771">
        <v>0</v>
      </c>
      <c r="I3771" s="29">
        <f t="shared" si="58"/>
        <v>532756</v>
      </c>
      <c r="J3771" t="str">
        <f>IFERROR(VLOOKUP(E3771,'LEAID Match'!$A$2:$B$168,2,FALSE),"")</f>
        <v/>
      </c>
    </row>
    <row r="3772" spans="1:10">
      <c r="A3772">
        <v>2022</v>
      </c>
      <c r="B3772" t="s">
        <v>1429</v>
      </c>
      <c r="C3772" t="s">
        <v>1431</v>
      </c>
      <c r="D3772" t="s">
        <v>1433</v>
      </c>
      <c r="E3772" t="s">
        <v>333</v>
      </c>
      <c r="F3772" s="9" t="s">
        <v>333</v>
      </c>
      <c r="G3772" s="18">
        <v>631607</v>
      </c>
      <c r="H3772">
        <v>0</v>
      </c>
      <c r="I3772" s="29">
        <f t="shared" si="58"/>
        <v>631607</v>
      </c>
      <c r="J3772" t="str">
        <f>IFERROR(VLOOKUP(E3772,'LEAID Match'!$A$2:$B$168,2,FALSE),"")</f>
        <v/>
      </c>
    </row>
    <row r="3773" spans="1:10">
      <c r="A3773">
        <v>2023</v>
      </c>
      <c r="B3773" t="s">
        <v>1429</v>
      </c>
      <c r="C3773" t="s">
        <v>1431</v>
      </c>
      <c r="D3773" t="s">
        <v>1433</v>
      </c>
      <c r="E3773" t="s">
        <v>333</v>
      </c>
      <c r="F3773" t="s">
        <v>333</v>
      </c>
      <c r="G3773" s="28">
        <v>611147</v>
      </c>
      <c r="H3773">
        <v>0</v>
      </c>
      <c r="I3773" s="29">
        <f t="shared" si="58"/>
        <v>611147</v>
      </c>
      <c r="J3773" t="str">
        <f>IFERROR(VLOOKUP(E3773,'LEAID Match'!$A$2:$B$168,2,FALSE),"")</f>
        <v/>
      </c>
    </row>
    <row r="3774" spans="1:10">
      <c r="A3774" s="27">
        <v>2020</v>
      </c>
      <c r="B3774" t="s">
        <v>1429</v>
      </c>
      <c r="C3774" t="s">
        <v>1431</v>
      </c>
      <c r="D3774" t="s">
        <v>1433</v>
      </c>
      <c r="E3774" t="s">
        <v>334</v>
      </c>
      <c r="F3774" s="9" t="s">
        <v>334</v>
      </c>
      <c r="G3774" s="18">
        <v>148356</v>
      </c>
      <c r="H3774">
        <v>0</v>
      </c>
      <c r="I3774" s="29">
        <f t="shared" si="58"/>
        <v>148356</v>
      </c>
      <c r="J3774" t="str">
        <f>IFERROR(VLOOKUP(E3774,'LEAID Match'!$A$2:$B$168,2,FALSE),"")</f>
        <v/>
      </c>
    </row>
    <row r="3775" spans="1:10">
      <c r="A3775">
        <v>2021</v>
      </c>
      <c r="B3775" t="s">
        <v>1429</v>
      </c>
      <c r="C3775" t="s">
        <v>1431</v>
      </c>
      <c r="D3775" t="s">
        <v>1433</v>
      </c>
      <c r="E3775" t="s">
        <v>334</v>
      </c>
      <c r="F3775" s="9" t="s">
        <v>334</v>
      </c>
      <c r="G3775" s="18">
        <v>147435</v>
      </c>
      <c r="H3775">
        <v>0</v>
      </c>
      <c r="I3775" s="29">
        <f t="shared" si="58"/>
        <v>147435</v>
      </c>
      <c r="J3775" t="str">
        <f>IFERROR(VLOOKUP(E3775,'LEAID Match'!$A$2:$B$168,2,FALSE),"")</f>
        <v/>
      </c>
    </row>
    <row r="3776" spans="1:10">
      <c r="A3776">
        <v>2022</v>
      </c>
      <c r="B3776" t="s">
        <v>1429</v>
      </c>
      <c r="C3776" t="s">
        <v>1431</v>
      </c>
      <c r="D3776" t="s">
        <v>1433</v>
      </c>
      <c r="E3776" t="s">
        <v>334</v>
      </c>
      <c r="F3776" s="9" t="s">
        <v>334</v>
      </c>
      <c r="G3776" s="18">
        <v>211453</v>
      </c>
      <c r="H3776">
        <v>0</v>
      </c>
      <c r="I3776" s="29">
        <f t="shared" si="58"/>
        <v>211453</v>
      </c>
      <c r="J3776" t="str">
        <f>IFERROR(VLOOKUP(E3776,'LEAID Match'!$A$2:$B$168,2,FALSE),"")</f>
        <v/>
      </c>
    </row>
    <row r="3777" spans="1:10">
      <c r="A3777">
        <v>2023</v>
      </c>
      <c r="B3777" t="s">
        <v>1429</v>
      </c>
      <c r="C3777" t="s">
        <v>1431</v>
      </c>
      <c r="D3777" t="s">
        <v>1433</v>
      </c>
      <c r="E3777" t="s">
        <v>334</v>
      </c>
      <c r="F3777" t="s">
        <v>334</v>
      </c>
      <c r="G3777" s="28">
        <v>224821</v>
      </c>
      <c r="H3777">
        <v>0</v>
      </c>
      <c r="I3777" s="29">
        <f t="shared" si="58"/>
        <v>224821</v>
      </c>
      <c r="J3777" t="str">
        <f>IFERROR(VLOOKUP(E3777,'LEAID Match'!$A$2:$B$168,2,FALSE),"")</f>
        <v/>
      </c>
    </row>
    <row r="3778" spans="1:10">
      <c r="A3778" s="27">
        <v>2020</v>
      </c>
      <c r="B3778" t="s">
        <v>1429</v>
      </c>
      <c r="C3778" t="s">
        <v>1431</v>
      </c>
      <c r="D3778" t="s">
        <v>1433</v>
      </c>
      <c r="E3778" t="s">
        <v>335</v>
      </c>
      <c r="F3778" s="9" t="s">
        <v>335</v>
      </c>
      <c r="G3778" s="18">
        <v>623199</v>
      </c>
      <c r="H3778">
        <v>0</v>
      </c>
      <c r="I3778" s="29">
        <f t="shared" si="58"/>
        <v>623199</v>
      </c>
      <c r="J3778" t="str">
        <f>IFERROR(VLOOKUP(E3778,'LEAID Match'!$A$2:$B$168,2,FALSE),"")</f>
        <v/>
      </c>
    </row>
    <row r="3779" spans="1:10">
      <c r="A3779">
        <v>2021</v>
      </c>
      <c r="B3779" t="s">
        <v>1429</v>
      </c>
      <c r="C3779" t="s">
        <v>1431</v>
      </c>
      <c r="D3779" t="s">
        <v>1433</v>
      </c>
      <c r="E3779" t="s">
        <v>335</v>
      </c>
      <c r="F3779" s="9" t="s">
        <v>335</v>
      </c>
      <c r="G3779" s="18">
        <v>678936</v>
      </c>
      <c r="H3779">
        <v>0</v>
      </c>
      <c r="I3779" s="29">
        <f t="shared" ref="I3779:I3842" si="59">SUM(G3779:H3779)</f>
        <v>678936</v>
      </c>
      <c r="J3779" t="str">
        <f>IFERROR(VLOOKUP(E3779,'LEAID Match'!$A$2:$B$168,2,FALSE),"")</f>
        <v/>
      </c>
    </row>
    <row r="3780" spans="1:10">
      <c r="A3780">
        <v>2022</v>
      </c>
      <c r="B3780" t="s">
        <v>1429</v>
      </c>
      <c r="C3780" t="s">
        <v>1431</v>
      </c>
      <c r="D3780" t="s">
        <v>1433</v>
      </c>
      <c r="E3780" t="s">
        <v>335</v>
      </c>
      <c r="F3780" s="9" t="s">
        <v>335</v>
      </c>
      <c r="G3780" s="18">
        <v>774503</v>
      </c>
      <c r="H3780">
        <v>0</v>
      </c>
      <c r="I3780" s="29">
        <f t="shared" si="59"/>
        <v>774503</v>
      </c>
      <c r="J3780" t="str">
        <f>IFERROR(VLOOKUP(E3780,'LEAID Match'!$A$2:$B$168,2,FALSE),"")</f>
        <v/>
      </c>
    </row>
    <row r="3781" spans="1:10">
      <c r="A3781">
        <v>2023</v>
      </c>
      <c r="B3781" t="s">
        <v>1429</v>
      </c>
      <c r="C3781" t="s">
        <v>1431</v>
      </c>
      <c r="D3781" t="s">
        <v>1433</v>
      </c>
      <c r="E3781" t="s">
        <v>335</v>
      </c>
      <c r="F3781" t="s">
        <v>335</v>
      </c>
      <c r="G3781" s="28">
        <v>758463</v>
      </c>
      <c r="H3781">
        <v>0</v>
      </c>
      <c r="I3781" s="29">
        <f t="shared" si="59"/>
        <v>758463</v>
      </c>
      <c r="J3781" t="str">
        <f>IFERROR(VLOOKUP(E3781,'LEAID Match'!$A$2:$B$168,2,FALSE),"")</f>
        <v/>
      </c>
    </row>
    <row r="3782" spans="1:10">
      <c r="A3782" s="27">
        <v>2020</v>
      </c>
      <c r="B3782" t="s">
        <v>1429</v>
      </c>
      <c r="C3782" t="s">
        <v>1431</v>
      </c>
      <c r="D3782" t="s">
        <v>1433</v>
      </c>
      <c r="E3782" t="s">
        <v>336</v>
      </c>
      <c r="F3782" s="9" t="s">
        <v>336</v>
      </c>
      <c r="G3782" s="18">
        <v>178905</v>
      </c>
      <c r="H3782">
        <v>0</v>
      </c>
      <c r="I3782" s="29">
        <f t="shared" si="59"/>
        <v>178905</v>
      </c>
      <c r="J3782" t="str">
        <f>IFERROR(VLOOKUP(E3782,'LEAID Match'!$A$2:$B$168,2,FALSE),"")</f>
        <v/>
      </c>
    </row>
    <row r="3783" spans="1:10">
      <c r="A3783">
        <v>2021</v>
      </c>
      <c r="B3783" t="s">
        <v>1429</v>
      </c>
      <c r="C3783" t="s">
        <v>1431</v>
      </c>
      <c r="D3783" t="s">
        <v>1433</v>
      </c>
      <c r="E3783" t="s">
        <v>336</v>
      </c>
      <c r="F3783" s="9" t="s">
        <v>336</v>
      </c>
      <c r="G3783" s="18">
        <v>196309</v>
      </c>
      <c r="H3783">
        <v>0</v>
      </c>
      <c r="I3783" s="29">
        <f t="shared" si="59"/>
        <v>196309</v>
      </c>
      <c r="J3783" t="str">
        <f>IFERROR(VLOOKUP(E3783,'LEAID Match'!$A$2:$B$168,2,FALSE),"")</f>
        <v/>
      </c>
    </row>
    <row r="3784" spans="1:10">
      <c r="A3784">
        <v>2022</v>
      </c>
      <c r="B3784" t="s">
        <v>1429</v>
      </c>
      <c r="C3784" t="s">
        <v>1431</v>
      </c>
      <c r="D3784" t="s">
        <v>1433</v>
      </c>
      <c r="E3784" t="s">
        <v>336</v>
      </c>
      <c r="F3784" s="9" t="s">
        <v>336</v>
      </c>
      <c r="G3784" s="18">
        <v>211718</v>
      </c>
      <c r="H3784">
        <v>0</v>
      </c>
      <c r="I3784" s="29">
        <f t="shared" si="59"/>
        <v>211718</v>
      </c>
      <c r="J3784" t="str">
        <f>IFERROR(VLOOKUP(E3784,'LEAID Match'!$A$2:$B$168,2,FALSE),"")</f>
        <v/>
      </c>
    </row>
    <row r="3785" spans="1:10">
      <c r="A3785">
        <v>2023</v>
      </c>
      <c r="B3785" t="s">
        <v>1429</v>
      </c>
      <c r="C3785" t="s">
        <v>1431</v>
      </c>
      <c r="D3785" t="s">
        <v>1433</v>
      </c>
      <c r="E3785" t="s">
        <v>336</v>
      </c>
      <c r="F3785" t="s">
        <v>336</v>
      </c>
      <c r="G3785" s="28">
        <v>226918</v>
      </c>
      <c r="H3785">
        <v>0</v>
      </c>
      <c r="I3785" s="29">
        <f t="shared" si="59"/>
        <v>226918</v>
      </c>
      <c r="J3785" t="str">
        <f>IFERROR(VLOOKUP(E3785,'LEAID Match'!$A$2:$B$168,2,FALSE),"")</f>
        <v/>
      </c>
    </row>
    <row r="3786" spans="1:10">
      <c r="A3786" s="27">
        <v>2020</v>
      </c>
      <c r="B3786" t="s">
        <v>1429</v>
      </c>
      <c r="C3786" t="s">
        <v>1431</v>
      </c>
      <c r="D3786" t="s">
        <v>1433</v>
      </c>
      <c r="E3786" t="s">
        <v>337</v>
      </c>
      <c r="F3786" s="9" t="s">
        <v>337</v>
      </c>
      <c r="G3786" s="18">
        <v>93226</v>
      </c>
      <c r="H3786">
        <v>0</v>
      </c>
      <c r="I3786" s="29">
        <f t="shared" si="59"/>
        <v>93226</v>
      </c>
      <c r="J3786" t="str">
        <f>IFERROR(VLOOKUP(E3786,'LEAID Match'!$A$2:$B$168,2,FALSE),"")</f>
        <v/>
      </c>
    </row>
    <row r="3787" spans="1:10">
      <c r="A3787">
        <v>2021</v>
      </c>
      <c r="B3787" t="s">
        <v>1429</v>
      </c>
      <c r="C3787" t="s">
        <v>1431</v>
      </c>
      <c r="D3787" t="s">
        <v>1433</v>
      </c>
      <c r="E3787" t="s">
        <v>337</v>
      </c>
      <c r="F3787" s="9" t="s">
        <v>337</v>
      </c>
      <c r="G3787" s="18">
        <v>106369</v>
      </c>
      <c r="H3787">
        <v>0</v>
      </c>
      <c r="I3787" s="29">
        <f t="shared" si="59"/>
        <v>106369</v>
      </c>
      <c r="J3787" t="str">
        <f>IFERROR(VLOOKUP(E3787,'LEAID Match'!$A$2:$B$168,2,FALSE),"")</f>
        <v/>
      </c>
    </row>
    <row r="3788" spans="1:10">
      <c r="A3788">
        <v>2022</v>
      </c>
      <c r="B3788" t="s">
        <v>1429</v>
      </c>
      <c r="C3788" t="s">
        <v>1431</v>
      </c>
      <c r="D3788" t="s">
        <v>1433</v>
      </c>
      <c r="E3788" t="s">
        <v>337</v>
      </c>
      <c r="F3788" s="9" t="s">
        <v>337</v>
      </c>
      <c r="G3788" s="18">
        <v>139900</v>
      </c>
      <c r="H3788">
        <v>0</v>
      </c>
      <c r="I3788" s="29">
        <f t="shared" si="59"/>
        <v>139900</v>
      </c>
      <c r="J3788" t="str">
        <f>IFERROR(VLOOKUP(E3788,'LEAID Match'!$A$2:$B$168,2,FALSE),"")</f>
        <v/>
      </c>
    </row>
    <row r="3789" spans="1:10">
      <c r="A3789">
        <v>2023</v>
      </c>
      <c r="B3789" t="s">
        <v>1429</v>
      </c>
      <c r="C3789" t="s">
        <v>1431</v>
      </c>
      <c r="D3789" t="s">
        <v>1433</v>
      </c>
      <c r="E3789" t="s">
        <v>337</v>
      </c>
      <c r="F3789" t="s">
        <v>337</v>
      </c>
      <c r="G3789" s="28">
        <v>173189</v>
      </c>
      <c r="H3789">
        <v>0</v>
      </c>
      <c r="I3789" s="29">
        <f t="shared" si="59"/>
        <v>173189</v>
      </c>
      <c r="J3789" t="str">
        <f>IFERROR(VLOOKUP(E3789,'LEAID Match'!$A$2:$B$168,2,FALSE),"")</f>
        <v/>
      </c>
    </row>
    <row r="3790" spans="1:10">
      <c r="A3790" s="27">
        <v>2020</v>
      </c>
      <c r="B3790" t="s">
        <v>1429</v>
      </c>
      <c r="C3790" t="s">
        <v>1431</v>
      </c>
      <c r="D3790" t="s">
        <v>1433</v>
      </c>
      <c r="E3790" t="s">
        <v>338</v>
      </c>
      <c r="F3790" s="9" t="s">
        <v>338</v>
      </c>
      <c r="G3790" s="18">
        <v>215477</v>
      </c>
      <c r="H3790">
        <v>0</v>
      </c>
      <c r="I3790" s="29">
        <f t="shared" si="59"/>
        <v>215477</v>
      </c>
      <c r="J3790" t="str">
        <f>IFERROR(VLOOKUP(E3790,'LEAID Match'!$A$2:$B$168,2,FALSE),"")</f>
        <v/>
      </c>
    </row>
    <row r="3791" spans="1:10">
      <c r="A3791">
        <v>2021</v>
      </c>
      <c r="B3791" t="s">
        <v>1429</v>
      </c>
      <c r="C3791" t="s">
        <v>1431</v>
      </c>
      <c r="D3791" t="s">
        <v>1433</v>
      </c>
      <c r="E3791" t="s">
        <v>338</v>
      </c>
      <c r="F3791" s="9" t="s">
        <v>338</v>
      </c>
      <c r="G3791" s="18">
        <v>215359</v>
      </c>
      <c r="H3791">
        <v>0</v>
      </c>
      <c r="I3791" s="29">
        <f t="shared" si="59"/>
        <v>215359</v>
      </c>
      <c r="J3791" t="str">
        <f>IFERROR(VLOOKUP(E3791,'LEAID Match'!$A$2:$B$168,2,FALSE),"")</f>
        <v/>
      </c>
    </row>
    <row r="3792" spans="1:10">
      <c r="A3792">
        <v>2022</v>
      </c>
      <c r="B3792" t="s">
        <v>1429</v>
      </c>
      <c r="C3792" t="s">
        <v>1431</v>
      </c>
      <c r="D3792" t="s">
        <v>1433</v>
      </c>
      <c r="E3792" t="s">
        <v>338</v>
      </c>
      <c r="F3792" s="9" t="s">
        <v>338</v>
      </c>
      <c r="G3792" s="18">
        <v>277358</v>
      </c>
      <c r="H3792">
        <v>0</v>
      </c>
      <c r="I3792" s="29">
        <f t="shared" si="59"/>
        <v>277358</v>
      </c>
      <c r="J3792" t="str">
        <f>IFERROR(VLOOKUP(E3792,'LEAID Match'!$A$2:$B$168,2,FALSE),"")</f>
        <v/>
      </c>
    </row>
    <row r="3793" spans="1:10">
      <c r="A3793">
        <v>2023</v>
      </c>
      <c r="B3793" t="s">
        <v>1429</v>
      </c>
      <c r="C3793" t="s">
        <v>1431</v>
      </c>
      <c r="D3793" t="s">
        <v>1433</v>
      </c>
      <c r="E3793" t="s">
        <v>338</v>
      </c>
      <c r="F3793" t="s">
        <v>338</v>
      </c>
      <c r="G3793" s="28">
        <v>259330</v>
      </c>
      <c r="H3793">
        <v>0</v>
      </c>
      <c r="I3793" s="29">
        <f t="shared" si="59"/>
        <v>259330</v>
      </c>
      <c r="J3793" t="str">
        <f>IFERROR(VLOOKUP(E3793,'LEAID Match'!$A$2:$B$168,2,FALSE),"")</f>
        <v/>
      </c>
    </row>
    <row r="3794" spans="1:10">
      <c r="A3794" s="27">
        <v>2020</v>
      </c>
      <c r="B3794" t="s">
        <v>1429</v>
      </c>
      <c r="C3794" t="s">
        <v>1431</v>
      </c>
      <c r="D3794" t="s">
        <v>1433</v>
      </c>
      <c r="E3794" t="s">
        <v>339</v>
      </c>
      <c r="F3794" s="9" t="s">
        <v>339</v>
      </c>
      <c r="G3794" s="18">
        <v>141286</v>
      </c>
      <c r="H3794">
        <v>0</v>
      </c>
      <c r="I3794" s="29">
        <f t="shared" si="59"/>
        <v>141286</v>
      </c>
      <c r="J3794" t="str">
        <f>IFERROR(VLOOKUP(E3794,'LEAID Match'!$A$2:$B$168,2,FALSE),"")</f>
        <v/>
      </c>
    </row>
    <row r="3795" spans="1:10">
      <c r="A3795">
        <v>2021</v>
      </c>
      <c r="B3795" t="s">
        <v>1429</v>
      </c>
      <c r="C3795" t="s">
        <v>1431</v>
      </c>
      <c r="D3795" t="s">
        <v>1433</v>
      </c>
      <c r="E3795" t="s">
        <v>339</v>
      </c>
      <c r="F3795" s="9" t="s">
        <v>339</v>
      </c>
      <c r="G3795" s="18">
        <v>139680</v>
      </c>
      <c r="H3795">
        <v>0</v>
      </c>
      <c r="I3795" s="29">
        <f t="shared" si="59"/>
        <v>139680</v>
      </c>
      <c r="J3795" t="str">
        <f>IFERROR(VLOOKUP(E3795,'LEAID Match'!$A$2:$B$168,2,FALSE),"")</f>
        <v/>
      </c>
    </row>
    <row r="3796" spans="1:10">
      <c r="A3796">
        <v>2022</v>
      </c>
      <c r="B3796" t="s">
        <v>1429</v>
      </c>
      <c r="C3796" t="s">
        <v>1431</v>
      </c>
      <c r="D3796" t="s">
        <v>1433</v>
      </c>
      <c r="E3796" t="s">
        <v>339</v>
      </c>
      <c r="F3796" s="9" t="s">
        <v>339</v>
      </c>
      <c r="G3796" s="18">
        <v>178034</v>
      </c>
      <c r="H3796">
        <v>0</v>
      </c>
      <c r="I3796" s="29">
        <f t="shared" si="59"/>
        <v>178034</v>
      </c>
      <c r="J3796" t="str">
        <f>IFERROR(VLOOKUP(E3796,'LEAID Match'!$A$2:$B$168,2,FALSE),"")</f>
        <v/>
      </c>
    </row>
    <row r="3797" spans="1:10">
      <c r="A3797">
        <v>2023</v>
      </c>
      <c r="B3797" t="s">
        <v>1429</v>
      </c>
      <c r="C3797" t="s">
        <v>1431</v>
      </c>
      <c r="D3797" t="s">
        <v>1433</v>
      </c>
      <c r="E3797" t="s">
        <v>339</v>
      </c>
      <c r="F3797" t="s">
        <v>339</v>
      </c>
      <c r="G3797" s="28">
        <v>233983</v>
      </c>
      <c r="H3797">
        <v>0</v>
      </c>
      <c r="I3797" s="29">
        <f t="shared" si="59"/>
        <v>233983</v>
      </c>
      <c r="J3797" t="str">
        <f>IFERROR(VLOOKUP(E3797,'LEAID Match'!$A$2:$B$168,2,FALSE),"")</f>
        <v/>
      </c>
    </row>
    <row r="3798" spans="1:10">
      <c r="A3798" s="27">
        <v>2020</v>
      </c>
      <c r="B3798" t="s">
        <v>1429</v>
      </c>
      <c r="C3798" t="s">
        <v>1431</v>
      </c>
      <c r="D3798" t="s">
        <v>1433</v>
      </c>
      <c r="E3798" t="s">
        <v>340</v>
      </c>
      <c r="F3798" s="9" t="s">
        <v>340</v>
      </c>
      <c r="G3798" s="18">
        <v>37289</v>
      </c>
      <c r="H3798">
        <v>0</v>
      </c>
      <c r="I3798" s="29">
        <f t="shared" si="59"/>
        <v>37289</v>
      </c>
      <c r="J3798" t="str">
        <f>IFERROR(VLOOKUP(E3798,'LEAID Match'!$A$2:$B$168,2,FALSE),"")</f>
        <v/>
      </c>
    </row>
    <row r="3799" spans="1:10">
      <c r="A3799">
        <v>2021</v>
      </c>
      <c r="B3799" t="s">
        <v>1429</v>
      </c>
      <c r="C3799" t="s">
        <v>1431</v>
      </c>
      <c r="D3799" t="s">
        <v>1433</v>
      </c>
      <c r="E3799" t="s">
        <v>340</v>
      </c>
      <c r="F3799" s="9" t="s">
        <v>340</v>
      </c>
      <c r="G3799" s="18">
        <v>38773</v>
      </c>
      <c r="H3799">
        <v>0</v>
      </c>
      <c r="I3799" s="29">
        <f t="shared" si="59"/>
        <v>38773</v>
      </c>
      <c r="J3799" t="str">
        <f>IFERROR(VLOOKUP(E3799,'LEAID Match'!$A$2:$B$168,2,FALSE),"")</f>
        <v/>
      </c>
    </row>
    <row r="3800" spans="1:10">
      <c r="A3800">
        <v>2022</v>
      </c>
      <c r="B3800" t="s">
        <v>1429</v>
      </c>
      <c r="C3800" t="s">
        <v>1431</v>
      </c>
      <c r="D3800" t="s">
        <v>1433</v>
      </c>
      <c r="E3800" t="s">
        <v>340</v>
      </c>
      <c r="F3800" s="9" t="s">
        <v>340</v>
      </c>
      <c r="G3800" s="18">
        <v>54221</v>
      </c>
      <c r="H3800">
        <v>0</v>
      </c>
      <c r="I3800" s="29">
        <f t="shared" si="59"/>
        <v>54221</v>
      </c>
      <c r="J3800" t="str">
        <f>IFERROR(VLOOKUP(E3800,'LEAID Match'!$A$2:$B$168,2,FALSE),"")</f>
        <v/>
      </c>
    </row>
    <row r="3801" spans="1:10">
      <c r="A3801">
        <v>2023</v>
      </c>
      <c r="B3801" t="s">
        <v>1429</v>
      </c>
      <c r="C3801" t="s">
        <v>1431</v>
      </c>
      <c r="D3801" t="s">
        <v>1433</v>
      </c>
      <c r="E3801" t="s">
        <v>340</v>
      </c>
      <c r="F3801" t="s">
        <v>340</v>
      </c>
      <c r="G3801" s="28">
        <v>54018</v>
      </c>
      <c r="H3801">
        <v>0</v>
      </c>
      <c r="I3801" s="29">
        <f t="shared" si="59"/>
        <v>54018</v>
      </c>
      <c r="J3801" t="str">
        <f>IFERROR(VLOOKUP(E3801,'LEAID Match'!$A$2:$B$168,2,FALSE),"")</f>
        <v/>
      </c>
    </row>
    <row r="3802" spans="1:10">
      <c r="A3802" s="27">
        <v>2020</v>
      </c>
      <c r="B3802" t="s">
        <v>1429</v>
      </c>
      <c r="C3802" t="s">
        <v>1431</v>
      </c>
      <c r="D3802" t="s">
        <v>1433</v>
      </c>
      <c r="E3802" t="s">
        <v>341</v>
      </c>
      <c r="F3802" s="9" t="s">
        <v>341</v>
      </c>
      <c r="G3802" s="18">
        <v>341654</v>
      </c>
      <c r="H3802">
        <v>0</v>
      </c>
      <c r="I3802" s="29">
        <f t="shared" si="59"/>
        <v>341654</v>
      </c>
      <c r="J3802" t="str">
        <f>IFERROR(VLOOKUP(E3802,'LEAID Match'!$A$2:$B$168,2,FALSE),"")</f>
        <v/>
      </c>
    </row>
    <row r="3803" spans="1:10">
      <c r="A3803">
        <v>2021</v>
      </c>
      <c r="B3803" t="s">
        <v>1429</v>
      </c>
      <c r="C3803" t="s">
        <v>1431</v>
      </c>
      <c r="D3803" t="s">
        <v>1433</v>
      </c>
      <c r="E3803" t="s">
        <v>341</v>
      </c>
      <c r="F3803" s="9" t="s">
        <v>341</v>
      </c>
      <c r="G3803" s="18">
        <v>314535</v>
      </c>
      <c r="H3803">
        <v>0</v>
      </c>
      <c r="I3803" s="29">
        <f t="shared" si="59"/>
        <v>314535</v>
      </c>
      <c r="J3803" t="str">
        <f>IFERROR(VLOOKUP(E3803,'LEAID Match'!$A$2:$B$168,2,FALSE),"")</f>
        <v/>
      </c>
    </row>
    <row r="3804" spans="1:10">
      <c r="A3804">
        <v>2022</v>
      </c>
      <c r="B3804" t="s">
        <v>1429</v>
      </c>
      <c r="C3804" t="s">
        <v>1431</v>
      </c>
      <c r="D3804" t="s">
        <v>1433</v>
      </c>
      <c r="E3804" t="s">
        <v>341</v>
      </c>
      <c r="F3804" s="9" t="s">
        <v>341</v>
      </c>
      <c r="G3804" s="18">
        <v>406985</v>
      </c>
      <c r="H3804">
        <v>0</v>
      </c>
      <c r="I3804" s="29">
        <f t="shared" si="59"/>
        <v>406985</v>
      </c>
      <c r="J3804" t="str">
        <f>IFERROR(VLOOKUP(E3804,'LEAID Match'!$A$2:$B$168,2,FALSE),"")</f>
        <v/>
      </c>
    </row>
    <row r="3805" spans="1:10">
      <c r="A3805">
        <v>2023</v>
      </c>
      <c r="B3805" t="s">
        <v>1429</v>
      </c>
      <c r="C3805" t="s">
        <v>1431</v>
      </c>
      <c r="D3805" t="s">
        <v>1433</v>
      </c>
      <c r="E3805" t="s">
        <v>341</v>
      </c>
      <c r="F3805" t="s">
        <v>341</v>
      </c>
      <c r="G3805" s="28">
        <v>402410</v>
      </c>
      <c r="H3805">
        <v>0</v>
      </c>
      <c r="I3805" s="29">
        <f t="shared" si="59"/>
        <v>402410</v>
      </c>
      <c r="J3805" t="str">
        <f>IFERROR(VLOOKUP(E3805,'LEAID Match'!$A$2:$B$168,2,FALSE),"")</f>
        <v/>
      </c>
    </row>
    <row r="3806" spans="1:10">
      <c r="A3806" s="27">
        <v>2020</v>
      </c>
      <c r="B3806" t="s">
        <v>1429</v>
      </c>
      <c r="C3806" t="s">
        <v>1431</v>
      </c>
      <c r="D3806" t="s">
        <v>1433</v>
      </c>
      <c r="E3806" t="s">
        <v>342</v>
      </c>
      <c r="F3806" s="9" t="s">
        <v>342</v>
      </c>
      <c r="G3806" s="18">
        <v>1256321</v>
      </c>
      <c r="H3806">
        <v>0</v>
      </c>
      <c r="I3806" s="29">
        <f t="shared" si="59"/>
        <v>1256321</v>
      </c>
      <c r="J3806" t="str">
        <f>IFERROR(VLOOKUP(E3806,'LEAID Match'!$A$2:$B$168,2,FALSE),"")</f>
        <v/>
      </c>
    </row>
    <row r="3807" spans="1:10">
      <c r="A3807">
        <v>2021</v>
      </c>
      <c r="B3807" t="s">
        <v>1429</v>
      </c>
      <c r="C3807" t="s">
        <v>1431</v>
      </c>
      <c r="D3807" t="s">
        <v>1433</v>
      </c>
      <c r="E3807" t="s">
        <v>342</v>
      </c>
      <c r="F3807" s="9" t="s">
        <v>342</v>
      </c>
      <c r="G3807" s="18">
        <v>1351553</v>
      </c>
      <c r="H3807">
        <v>0</v>
      </c>
      <c r="I3807" s="29">
        <f t="shared" si="59"/>
        <v>1351553</v>
      </c>
      <c r="J3807" t="str">
        <f>IFERROR(VLOOKUP(E3807,'LEAID Match'!$A$2:$B$168,2,FALSE),"")</f>
        <v/>
      </c>
    </row>
    <row r="3808" spans="1:10">
      <c r="A3808">
        <v>2022</v>
      </c>
      <c r="B3808" t="s">
        <v>1429</v>
      </c>
      <c r="C3808" t="s">
        <v>1431</v>
      </c>
      <c r="D3808" t="s">
        <v>1433</v>
      </c>
      <c r="E3808" t="s">
        <v>342</v>
      </c>
      <c r="F3808" s="9" t="s">
        <v>342</v>
      </c>
      <c r="G3808" s="18">
        <v>1717187</v>
      </c>
      <c r="H3808">
        <v>0</v>
      </c>
      <c r="I3808" s="29">
        <f t="shared" si="59"/>
        <v>1717187</v>
      </c>
      <c r="J3808" t="str">
        <f>IFERROR(VLOOKUP(E3808,'LEAID Match'!$A$2:$B$168,2,FALSE),"")</f>
        <v/>
      </c>
    </row>
    <row r="3809" spans="1:10">
      <c r="A3809">
        <v>2023</v>
      </c>
      <c r="B3809" t="s">
        <v>1429</v>
      </c>
      <c r="C3809" t="s">
        <v>1431</v>
      </c>
      <c r="D3809" t="s">
        <v>1433</v>
      </c>
      <c r="E3809" t="s">
        <v>342</v>
      </c>
      <c r="F3809" t="s">
        <v>342</v>
      </c>
      <c r="G3809" s="28">
        <v>1808523</v>
      </c>
      <c r="H3809">
        <v>0</v>
      </c>
      <c r="I3809" s="29">
        <f t="shared" si="59"/>
        <v>1808523</v>
      </c>
      <c r="J3809" t="str">
        <f>IFERROR(VLOOKUP(E3809,'LEAID Match'!$A$2:$B$168,2,FALSE),"")</f>
        <v/>
      </c>
    </row>
    <row r="3810" spans="1:10">
      <c r="A3810" s="27">
        <v>2020</v>
      </c>
      <c r="B3810" t="s">
        <v>1429</v>
      </c>
      <c r="C3810" t="s">
        <v>1431</v>
      </c>
      <c r="D3810" t="s">
        <v>1433</v>
      </c>
      <c r="E3810" t="s">
        <v>343</v>
      </c>
      <c r="F3810" s="9" t="s">
        <v>343</v>
      </c>
      <c r="G3810" s="18">
        <v>354462</v>
      </c>
      <c r="H3810">
        <v>0</v>
      </c>
      <c r="I3810" s="29">
        <f t="shared" si="59"/>
        <v>354462</v>
      </c>
      <c r="J3810" t="str">
        <f>IFERROR(VLOOKUP(E3810,'LEAID Match'!$A$2:$B$168,2,FALSE),"")</f>
        <v/>
      </c>
    </row>
    <row r="3811" spans="1:10">
      <c r="A3811">
        <v>2021</v>
      </c>
      <c r="B3811" t="s">
        <v>1429</v>
      </c>
      <c r="C3811" t="s">
        <v>1431</v>
      </c>
      <c r="D3811" t="s">
        <v>1433</v>
      </c>
      <c r="E3811" t="s">
        <v>343</v>
      </c>
      <c r="F3811" s="9" t="s">
        <v>343</v>
      </c>
      <c r="G3811" s="18">
        <v>349875</v>
      </c>
      <c r="H3811">
        <v>0</v>
      </c>
      <c r="I3811" s="29">
        <f t="shared" si="59"/>
        <v>349875</v>
      </c>
      <c r="J3811" t="str">
        <f>IFERROR(VLOOKUP(E3811,'LEAID Match'!$A$2:$B$168,2,FALSE),"")</f>
        <v/>
      </c>
    </row>
    <row r="3812" spans="1:10">
      <c r="A3812">
        <v>2022</v>
      </c>
      <c r="B3812" t="s">
        <v>1429</v>
      </c>
      <c r="C3812" t="s">
        <v>1431</v>
      </c>
      <c r="D3812" t="s">
        <v>1433</v>
      </c>
      <c r="E3812" t="s">
        <v>343</v>
      </c>
      <c r="F3812" s="9" t="s">
        <v>343</v>
      </c>
      <c r="G3812" s="18">
        <v>449933</v>
      </c>
      <c r="H3812">
        <v>0</v>
      </c>
      <c r="I3812" s="29">
        <f t="shared" si="59"/>
        <v>449933</v>
      </c>
      <c r="J3812" t="str">
        <f>IFERROR(VLOOKUP(E3812,'LEAID Match'!$A$2:$B$168,2,FALSE),"")</f>
        <v/>
      </c>
    </row>
    <row r="3813" spans="1:10">
      <c r="A3813">
        <v>2023</v>
      </c>
      <c r="B3813" t="s">
        <v>1429</v>
      </c>
      <c r="C3813" t="s">
        <v>1431</v>
      </c>
      <c r="D3813" t="s">
        <v>1433</v>
      </c>
      <c r="E3813" t="s">
        <v>343</v>
      </c>
      <c r="F3813" t="s">
        <v>343</v>
      </c>
      <c r="G3813" s="28">
        <v>457206</v>
      </c>
      <c r="H3813">
        <v>0</v>
      </c>
      <c r="I3813" s="29">
        <f t="shared" si="59"/>
        <v>457206</v>
      </c>
      <c r="J3813" t="str">
        <f>IFERROR(VLOOKUP(E3813,'LEAID Match'!$A$2:$B$168,2,FALSE),"")</f>
        <v/>
      </c>
    </row>
    <row r="3814" spans="1:10">
      <c r="A3814" s="27">
        <v>2020</v>
      </c>
      <c r="B3814" t="s">
        <v>1429</v>
      </c>
      <c r="C3814" t="s">
        <v>1431</v>
      </c>
      <c r="D3814" t="s">
        <v>1433</v>
      </c>
      <c r="E3814" t="s">
        <v>344</v>
      </c>
      <c r="F3814" s="9" t="s">
        <v>344</v>
      </c>
      <c r="G3814" s="18">
        <v>605002</v>
      </c>
      <c r="H3814">
        <v>0</v>
      </c>
      <c r="I3814" s="29">
        <f t="shared" si="59"/>
        <v>605002</v>
      </c>
      <c r="J3814" t="str">
        <f>IFERROR(VLOOKUP(E3814,'LEAID Match'!$A$2:$B$168,2,FALSE),"")</f>
        <v/>
      </c>
    </row>
    <row r="3815" spans="1:10">
      <c r="A3815">
        <v>2021</v>
      </c>
      <c r="B3815" t="s">
        <v>1429</v>
      </c>
      <c r="C3815" t="s">
        <v>1431</v>
      </c>
      <c r="D3815" t="s">
        <v>1433</v>
      </c>
      <c r="E3815" t="s">
        <v>344</v>
      </c>
      <c r="F3815" s="9" t="s">
        <v>344</v>
      </c>
      <c r="G3815" s="18">
        <v>612365</v>
      </c>
      <c r="H3815">
        <v>0</v>
      </c>
      <c r="I3815" s="29">
        <f t="shared" si="59"/>
        <v>612365</v>
      </c>
      <c r="J3815" t="str">
        <f>IFERROR(VLOOKUP(E3815,'LEAID Match'!$A$2:$B$168,2,FALSE),"")</f>
        <v/>
      </c>
    </row>
    <row r="3816" spans="1:10">
      <c r="A3816">
        <v>2022</v>
      </c>
      <c r="B3816" t="s">
        <v>1429</v>
      </c>
      <c r="C3816" t="s">
        <v>1431</v>
      </c>
      <c r="D3816" t="s">
        <v>1433</v>
      </c>
      <c r="E3816" t="s">
        <v>344</v>
      </c>
      <c r="F3816" s="9" t="s">
        <v>344</v>
      </c>
      <c r="G3816" s="18">
        <v>804856</v>
      </c>
      <c r="H3816">
        <v>0</v>
      </c>
      <c r="I3816" s="29">
        <f t="shared" si="59"/>
        <v>804856</v>
      </c>
      <c r="J3816" t="str">
        <f>IFERROR(VLOOKUP(E3816,'LEAID Match'!$A$2:$B$168,2,FALSE),"")</f>
        <v/>
      </c>
    </row>
    <row r="3817" spans="1:10">
      <c r="A3817">
        <v>2023</v>
      </c>
      <c r="B3817" t="s">
        <v>1429</v>
      </c>
      <c r="C3817" t="s">
        <v>1431</v>
      </c>
      <c r="D3817" t="s">
        <v>1433</v>
      </c>
      <c r="E3817" t="s">
        <v>344</v>
      </c>
      <c r="F3817" t="s">
        <v>344</v>
      </c>
      <c r="G3817" s="28">
        <v>863923</v>
      </c>
      <c r="H3817">
        <v>0</v>
      </c>
      <c r="I3817" s="29">
        <f t="shared" si="59"/>
        <v>863923</v>
      </c>
      <c r="J3817" t="str">
        <f>IFERROR(VLOOKUP(E3817,'LEAID Match'!$A$2:$B$168,2,FALSE),"")</f>
        <v/>
      </c>
    </row>
    <row r="3818" spans="1:10">
      <c r="A3818" s="27">
        <v>2020</v>
      </c>
      <c r="B3818" t="s">
        <v>1429</v>
      </c>
      <c r="C3818" t="s">
        <v>1431</v>
      </c>
      <c r="D3818" t="s">
        <v>1433</v>
      </c>
      <c r="E3818" t="s">
        <v>345</v>
      </c>
      <c r="F3818" s="9" t="s">
        <v>345</v>
      </c>
      <c r="G3818" s="18">
        <v>14386</v>
      </c>
      <c r="H3818">
        <v>0</v>
      </c>
      <c r="I3818" s="29">
        <f t="shared" si="59"/>
        <v>14386</v>
      </c>
      <c r="J3818" t="str">
        <f>IFERROR(VLOOKUP(E3818,'LEAID Match'!$A$2:$B$168,2,FALSE),"")</f>
        <v/>
      </c>
    </row>
    <row r="3819" spans="1:10">
      <c r="A3819">
        <v>2021</v>
      </c>
      <c r="B3819" t="s">
        <v>1429</v>
      </c>
      <c r="C3819" t="s">
        <v>1431</v>
      </c>
      <c r="D3819" t="s">
        <v>1433</v>
      </c>
      <c r="E3819" t="s">
        <v>345</v>
      </c>
      <c r="F3819" s="9" t="s">
        <v>345</v>
      </c>
      <c r="G3819" s="18">
        <v>14833</v>
      </c>
      <c r="H3819">
        <v>0</v>
      </c>
      <c r="I3819" s="29">
        <f t="shared" si="59"/>
        <v>14833</v>
      </c>
      <c r="J3819" t="str">
        <f>IFERROR(VLOOKUP(E3819,'LEAID Match'!$A$2:$B$168,2,FALSE),"")</f>
        <v/>
      </c>
    </row>
    <row r="3820" spans="1:10">
      <c r="A3820">
        <v>2022</v>
      </c>
      <c r="B3820" t="s">
        <v>1429</v>
      </c>
      <c r="C3820" t="s">
        <v>1431</v>
      </c>
      <c r="D3820" t="s">
        <v>1433</v>
      </c>
      <c r="E3820" t="s">
        <v>345</v>
      </c>
      <c r="F3820" s="9" t="s">
        <v>345</v>
      </c>
      <c r="G3820" s="18">
        <v>23126</v>
      </c>
      <c r="H3820">
        <v>0</v>
      </c>
      <c r="I3820" s="29">
        <f t="shared" si="59"/>
        <v>23126</v>
      </c>
      <c r="J3820" t="str">
        <f>IFERROR(VLOOKUP(E3820,'LEAID Match'!$A$2:$B$168,2,FALSE),"")</f>
        <v/>
      </c>
    </row>
    <row r="3821" spans="1:10">
      <c r="A3821">
        <v>2023</v>
      </c>
      <c r="B3821" t="s">
        <v>1429</v>
      </c>
      <c r="C3821" t="s">
        <v>1431</v>
      </c>
      <c r="D3821" t="s">
        <v>1433</v>
      </c>
      <c r="E3821" t="s">
        <v>345</v>
      </c>
      <c r="F3821" t="s">
        <v>345</v>
      </c>
      <c r="G3821" s="28">
        <v>38333</v>
      </c>
      <c r="H3821">
        <v>0</v>
      </c>
      <c r="I3821" s="29">
        <f t="shared" si="59"/>
        <v>38333</v>
      </c>
      <c r="J3821" t="str">
        <f>IFERROR(VLOOKUP(E3821,'LEAID Match'!$A$2:$B$168,2,FALSE),"")</f>
        <v/>
      </c>
    </row>
    <row r="3822" spans="1:10">
      <c r="A3822" s="27">
        <v>2020</v>
      </c>
      <c r="B3822" t="s">
        <v>1429</v>
      </c>
      <c r="C3822" t="s">
        <v>1431</v>
      </c>
      <c r="D3822" t="s">
        <v>1433</v>
      </c>
      <c r="E3822" t="s">
        <v>346</v>
      </c>
      <c r="F3822" s="9" t="s">
        <v>346</v>
      </c>
      <c r="G3822" s="18">
        <v>37758</v>
      </c>
      <c r="H3822">
        <v>0</v>
      </c>
      <c r="I3822" s="29">
        <f t="shared" si="59"/>
        <v>37758</v>
      </c>
      <c r="J3822" t="str">
        <f>IFERROR(VLOOKUP(E3822,'LEAID Match'!$A$2:$B$168,2,FALSE),"")</f>
        <v/>
      </c>
    </row>
    <row r="3823" spans="1:10">
      <c r="A3823">
        <v>2021</v>
      </c>
      <c r="B3823" t="s">
        <v>1429</v>
      </c>
      <c r="C3823" t="s">
        <v>1431</v>
      </c>
      <c r="D3823" t="s">
        <v>1433</v>
      </c>
      <c r="E3823" t="s">
        <v>346</v>
      </c>
      <c r="F3823" s="9" t="s">
        <v>346</v>
      </c>
      <c r="G3823" s="18">
        <v>37000</v>
      </c>
      <c r="H3823">
        <v>0</v>
      </c>
      <c r="I3823" s="29">
        <f t="shared" si="59"/>
        <v>37000</v>
      </c>
      <c r="J3823" t="str">
        <f>IFERROR(VLOOKUP(E3823,'LEAID Match'!$A$2:$B$168,2,FALSE),"")</f>
        <v/>
      </c>
    </row>
    <row r="3824" spans="1:10">
      <c r="A3824">
        <v>2022</v>
      </c>
      <c r="B3824" t="s">
        <v>1429</v>
      </c>
      <c r="C3824" t="s">
        <v>1431</v>
      </c>
      <c r="D3824" t="s">
        <v>1433</v>
      </c>
      <c r="E3824" t="s">
        <v>346</v>
      </c>
      <c r="F3824" s="9" t="s">
        <v>346</v>
      </c>
      <c r="G3824" s="18">
        <v>42107</v>
      </c>
      <c r="H3824">
        <v>0</v>
      </c>
      <c r="I3824" s="29">
        <f t="shared" si="59"/>
        <v>42107</v>
      </c>
      <c r="J3824" t="str">
        <f>IFERROR(VLOOKUP(E3824,'LEAID Match'!$A$2:$B$168,2,FALSE),"")</f>
        <v/>
      </c>
    </row>
    <row r="3825" spans="1:10">
      <c r="A3825">
        <v>2023</v>
      </c>
      <c r="B3825" t="s">
        <v>1429</v>
      </c>
      <c r="C3825" t="s">
        <v>1431</v>
      </c>
      <c r="D3825" t="s">
        <v>1433</v>
      </c>
      <c r="E3825" t="s">
        <v>346</v>
      </c>
      <c r="F3825" t="s">
        <v>346</v>
      </c>
      <c r="G3825" s="28">
        <v>28418</v>
      </c>
      <c r="H3825">
        <v>0</v>
      </c>
      <c r="I3825" s="29">
        <f t="shared" si="59"/>
        <v>28418</v>
      </c>
      <c r="J3825" t="str">
        <f>IFERROR(VLOOKUP(E3825,'LEAID Match'!$A$2:$B$168,2,FALSE),"")</f>
        <v/>
      </c>
    </row>
    <row r="3826" spans="1:10">
      <c r="A3826" s="27">
        <v>2020</v>
      </c>
      <c r="B3826" t="s">
        <v>1429</v>
      </c>
      <c r="C3826" t="s">
        <v>1431</v>
      </c>
      <c r="D3826" t="s">
        <v>1433</v>
      </c>
      <c r="E3826" t="s">
        <v>347</v>
      </c>
      <c r="F3826" s="9" t="s">
        <v>347</v>
      </c>
      <c r="G3826" s="18">
        <v>222839</v>
      </c>
      <c r="H3826">
        <v>0</v>
      </c>
      <c r="I3826" s="29">
        <f t="shared" si="59"/>
        <v>222839</v>
      </c>
      <c r="J3826" t="str">
        <f>IFERROR(VLOOKUP(E3826,'LEAID Match'!$A$2:$B$168,2,FALSE),"")</f>
        <v/>
      </c>
    </row>
    <row r="3827" spans="1:10">
      <c r="A3827">
        <v>2021</v>
      </c>
      <c r="B3827" t="s">
        <v>1429</v>
      </c>
      <c r="C3827" t="s">
        <v>1431</v>
      </c>
      <c r="D3827" t="s">
        <v>1433</v>
      </c>
      <c r="E3827" t="s">
        <v>347</v>
      </c>
      <c r="F3827" s="9" t="s">
        <v>347</v>
      </c>
      <c r="G3827" s="18">
        <v>214544</v>
      </c>
      <c r="H3827">
        <v>0</v>
      </c>
      <c r="I3827" s="29">
        <f t="shared" si="59"/>
        <v>214544</v>
      </c>
      <c r="J3827" t="str">
        <f>IFERROR(VLOOKUP(E3827,'LEAID Match'!$A$2:$B$168,2,FALSE),"")</f>
        <v/>
      </c>
    </row>
    <row r="3828" spans="1:10">
      <c r="A3828">
        <v>2022</v>
      </c>
      <c r="B3828" t="s">
        <v>1429</v>
      </c>
      <c r="C3828" t="s">
        <v>1431</v>
      </c>
      <c r="D3828" t="s">
        <v>1433</v>
      </c>
      <c r="E3828" t="s">
        <v>347</v>
      </c>
      <c r="F3828" s="9" t="s">
        <v>347</v>
      </c>
      <c r="G3828" s="18">
        <v>287113</v>
      </c>
      <c r="H3828">
        <v>0</v>
      </c>
      <c r="I3828" s="29">
        <f t="shared" si="59"/>
        <v>287113</v>
      </c>
      <c r="J3828" t="str">
        <f>IFERROR(VLOOKUP(E3828,'LEAID Match'!$A$2:$B$168,2,FALSE),"")</f>
        <v/>
      </c>
    </row>
    <row r="3829" spans="1:10">
      <c r="A3829">
        <v>2023</v>
      </c>
      <c r="B3829" t="s">
        <v>1429</v>
      </c>
      <c r="C3829" t="s">
        <v>1431</v>
      </c>
      <c r="D3829" t="s">
        <v>1433</v>
      </c>
      <c r="E3829" t="s">
        <v>347</v>
      </c>
      <c r="F3829" t="s">
        <v>347</v>
      </c>
      <c r="G3829" s="28">
        <v>292595</v>
      </c>
      <c r="H3829">
        <v>0</v>
      </c>
      <c r="I3829" s="29">
        <f t="shared" si="59"/>
        <v>292595</v>
      </c>
      <c r="J3829" t="str">
        <f>IFERROR(VLOOKUP(E3829,'LEAID Match'!$A$2:$B$168,2,FALSE),"")</f>
        <v/>
      </c>
    </row>
    <row r="3830" spans="1:10">
      <c r="A3830" s="27">
        <v>2020</v>
      </c>
      <c r="B3830" t="s">
        <v>1429</v>
      </c>
      <c r="C3830" t="s">
        <v>1431</v>
      </c>
      <c r="D3830" t="s">
        <v>1433</v>
      </c>
      <c r="E3830" t="s">
        <v>348</v>
      </c>
      <c r="F3830" s="9" t="s">
        <v>348</v>
      </c>
      <c r="G3830" s="18">
        <v>101540</v>
      </c>
      <c r="H3830">
        <v>0</v>
      </c>
      <c r="I3830" s="29">
        <f t="shared" si="59"/>
        <v>101540</v>
      </c>
      <c r="J3830" t="str">
        <f>IFERROR(VLOOKUP(E3830,'LEAID Match'!$A$2:$B$168,2,FALSE),"")</f>
        <v/>
      </c>
    </row>
    <row r="3831" spans="1:10">
      <c r="A3831">
        <v>2021</v>
      </c>
      <c r="B3831" t="s">
        <v>1429</v>
      </c>
      <c r="C3831" t="s">
        <v>1431</v>
      </c>
      <c r="D3831" t="s">
        <v>1433</v>
      </c>
      <c r="E3831" t="s">
        <v>348</v>
      </c>
      <c r="F3831" s="9" t="s">
        <v>348</v>
      </c>
      <c r="G3831" s="18">
        <v>100591</v>
      </c>
      <c r="H3831">
        <v>0</v>
      </c>
      <c r="I3831" s="29">
        <f t="shared" si="59"/>
        <v>100591</v>
      </c>
      <c r="J3831" t="str">
        <f>IFERROR(VLOOKUP(E3831,'LEAID Match'!$A$2:$B$168,2,FALSE),"")</f>
        <v/>
      </c>
    </row>
    <row r="3832" spans="1:10">
      <c r="A3832">
        <v>2022</v>
      </c>
      <c r="B3832" t="s">
        <v>1429</v>
      </c>
      <c r="C3832" t="s">
        <v>1431</v>
      </c>
      <c r="D3832" t="s">
        <v>1433</v>
      </c>
      <c r="E3832" t="s">
        <v>348</v>
      </c>
      <c r="F3832" s="9" t="s">
        <v>348</v>
      </c>
      <c r="G3832" s="18">
        <v>151272</v>
      </c>
      <c r="H3832">
        <v>0</v>
      </c>
      <c r="I3832" s="29">
        <f t="shared" si="59"/>
        <v>151272</v>
      </c>
      <c r="J3832" t="str">
        <f>IFERROR(VLOOKUP(E3832,'LEAID Match'!$A$2:$B$168,2,FALSE),"")</f>
        <v/>
      </c>
    </row>
    <row r="3833" spans="1:10">
      <c r="A3833">
        <v>2023</v>
      </c>
      <c r="B3833" t="s">
        <v>1429</v>
      </c>
      <c r="C3833" t="s">
        <v>1431</v>
      </c>
      <c r="D3833" t="s">
        <v>1433</v>
      </c>
      <c r="E3833" t="s">
        <v>348</v>
      </c>
      <c r="F3833" t="s">
        <v>348</v>
      </c>
      <c r="G3833" s="28">
        <v>149926</v>
      </c>
      <c r="H3833">
        <v>0</v>
      </c>
      <c r="I3833" s="29">
        <f t="shared" si="59"/>
        <v>149926</v>
      </c>
      <c r="J3833" t="str">
        <f>IFERROR(VLOOKUP(E3833,'LEAID Match'!$A$2:$B$168,2,FALSE),"")</f>
        <v/>
      </c>
    </row>
    <row r="3834" spans="1:10">
      <c r="A3834" s="27">
        <v>2020</v>
      </c>
      <c r="B3834" t="s">
        <v>1429</v>
      </c>
      <c r="C3834" t="s">
        <v>1431</v>
      </c>
      <c r="D3834" t="s">
        <v>1433</v>
      </c>
      <c r="E3834" t="s">
        <v>349</v>
      </c>
      <c r="F3834" s="9" t="s">
        <v>349</v>
      </c>
      <c r="G3834" s="18">
        <v>484721</v>
      </c>
      <c r="H3834">
        <v>0</v>
      </c>
      <c r="I3834" s="29">
        <f t="shared" si="59"/>
        <v>484721</v>
      </c>
      <c r="J3834" t="str">
        <f>IFERROR(VLOOKUP(E3834,'LEAID Match'!$A$2:$B$168,2,FALSE),"")</f>
        <v/>
      </c>
    </row>
    <row r="3835" spans="1:10">
      <c r="A3835">
        <v>2021</v>
      </c>
      <c r="B3835" t="s">
        <v>1429</v>
      </c>
      <c r="C3835" t="s">
        <v>1431</v>
      </c>
      <c r="D3835" t="s">
        <v>1433</v>
      </c>
      <c r="E3835" t="s">
        <v>349</v>
      </c>
      <c r="F3835" s="9" t="s">
        <v>349</v>
      </c>
      <c r="G3835" s="18">
        <v>529375</v>
      </c>
      <c r="H3835">
        <v>0</v>
      </c>
      <c r="I3835" s="29">
        <f t="shared" si="59"/>
        <v>529375</v>
      </c>
      <c r="J3835" t="str">
        <f>IFERROR(VLOOKUP(E3835,'LEAID Match'!$A$2:$B$168,2,FALSE),"")</f>
        <v/>
      </c>
    </row>
    <row r="3836" spans="1:10">
      <c r="A3836">
        <v>2022</v>
      </c>
      <c r="B3836" t="s">
        <v>1429</v>
      </c>
      <c r="C3836" t="s">
        <v>1431</v>
      </c>
      <c r="D3836" t="s">
        <v>1433</v>
      </c>
      <c r="E3836" t="s">
        <v>349</v>
      </c>
      <c r="F3836" s="9" t="s">
        <v>349</v>
      </c>
      <c r="G3836" s="18">
        <v>694251</v>
      </c>
      <c r="H3836">
        <v>0</v>
      </c>
      <c r="I3836" s="29">
        <f t="shared" si="59"/>
        <v>694251</v>
      </c>
      <c r="J3836" t="str">
        <f>IFERROR(VLOOKUP(E3836,'LEAID Match'!$A$2:$B$168,2,FALSE),"")</f>
        <v/>
      </c>
    </row>
    <row r="3837" spans="1:10">
      <c r="A3837">
        <v>2023</v>
      </c>
      <c r="B3837" t="s">
        <v>1429</v>
      </c>
      <c r="C3837" t="s">
        <v>1431</v>
      </c>
      <c r="D3837" t="s">
        <v>1433</v>
      </c>
      <c r="E3837" t="s">
        <v>349</v>
      </c>
      <c r="F3837" t="s">
        <v>349</v>
      </c>
      <c r="G3837" s="28">
        <v>713855</v>
      </c>
      <c r="H3837">
        <v>0</v>
      </c>
      <c r="I3837" s="29">
        <f t="shared" si="59"/>
        <v>713855</v>
      </c>
      <c r="J3837" t="str">
        <f>IFERROR(VLOOKUP(E3837,'LEAID Match'!$A$2:$B$168,2,FALSE),"")</f>
        <v/>
      </c>
    </row>
    <row r="3838" spans="1:10">
      <c r="A3838" s="27">
        <v>2020</v>
      </c>
      <c r="B3838" t="s">
        <v>1429</v>
      </c>
      <c r="C3838" t="s">
        <v>1431</v>
      </c>
      <c r="D3838" t="s">
        <v>1433</v>
      </c>
      <c r="E3838" t="s">
        <v>350</v>
      </c>
      <c r="F3838" s="9" t="s">
        <v>350</v>
      </c>
      <c r="G3838" s="18">
        <v>622806</v>
      </c>
      <c r="H3838">
        <v>0</v>
      </c>
      <c r="I3838" s="29">
        <f t="shared" si="59"/>
        <v>622806</v>
      </c>
      <c r="J3838" t="str">
        <f>IFERROR(VLOOKUP(E3838,'LEAID Match'!$A$2:$B$168,2,FALSE),"")</f>
        <v/>
      </c>
    </row>
    <row r="3839" spans="1:10">
      <c r="A3839">
        <v>2021</v>
      </c>
      <c r="B3839" t="s">
        <v>1429</v>
      </c>
      <c r="C3839" t="s">
        <v>1431</v>
      </c>
      <c r="D3839" t="s">
        <v>1433</v>
      </c>
      <c r="E3839" t="s">
        <v>350</v>
      </c>
      <c r="F3839" s="9" t="s">
        <v>350</v>
      </c>
      <c r="G3839" s="18">
        <v>611281</v>
      </c>
      <c r="H3839">
        <v>0</v>
      </c>
      <c r="I3839" s="29">
        <f t="shared" si="59"/>
        <v>611281</v>
      </c>
      <c r="J3839" t="str">
        <f>IFERROR(VLOOKUP(E3839,'LEAID Match'!$A$2:$B$168,2,FALSE),"")</f>
        <v/>
      </c>
    </row>
    <row r="3840" spans="1:10">
      <c r="A3840">
        <v>2022</v>
      </c>
      <c r="B3840" t="s">
        <v>1429</v>
      </c>
      <c r="C3840" t="s">
        <v>1431</v>
      </c>
      <c r="D3840" t="s">
        <v>1433</v>
      </c>
      <c r="E3840" t="s">
        <v>350</v>
      </c>
      <c r="F3840" s="9" t="s">
        <v>350</v>
      </c>
      <c r="G3840" s="18">
        <v>789802</v>
      </c>
      <c r="H3840">
        <v>0</v>
      </c>
      <c r="I3840" s="29">
        <f t="shared" si="59"/>
        <v>789802</v>
      </c>
      <c r="J3840" t="str">
        <f>IFERROR(VLOOKUP(E3840,'LEAID Match'!$A$2:$B$168,2,FALSE),"")</f>
        <v/>
      </c>
    </row>
    <row r="3841" spans="1:10">
      <c r="A3841">
        <v>2023</v>
      </c>
      <c r="B3841" t="s">
        <v>1429</v>
      </c>
      <c r="C3841" t="s">
        <v>1431</v>
      </c>
      <c r="D3841" t="s">
        <v>1433</v>
      </c>
      <c r="E3841" t="s">
        <v>350</v>
      </c>
      <c r="F3841" t="s">
        <v>350</v>
      </c>
      <c r="G3841" s="28">
        <v>857648</v>
      </c>
      <c r="H3841">
        <v>0</v>
      </c>
      <c r="I3841" s="29">
        <f t="shared" si="59"/>
        <v>857648</v>
      </c>
      <c r="J3841" t="str">
        <f>IFERROR(VLOOKUP(E3841,'LEAID Match'!$A$2:$B$168,2,FALSE),"")</f>
        <v/>
      </c>
    </row>
    <row r="3842" spans="1:10">
      <c r="A3842" s="27">
        <v>2020</v>
      </c>
      <c r="B3842" t="s">
        <v>1429</v>
      </c>
      <c r="C3842" t="s">
        <v>1431</v>
      </c>
      <c r="D3842" t="s">
        <v>1433</v>
      </c>
      <c r="E3842" t="s">
        <v>351</v>
      </c>
      <c r="F3842" s="9" t="s">
        <v>351</v>
      </c>
      <c r="G3842" s="18">
        <v>554891</v>
      </c>
      <c r="H3842">
        <v>0</v>
      </c>
      <c r="I3842" s="29">
        <f t="shared" si="59"/>
        <v>554891</v>
      </c>
      <c r="J3842" t="str">
        <f>IFERROR(VLOOKUP(E3842,'LEAID Match'!$A$2:$B$168,2,FALSE),"")</f>
        <v/>
      </c>
    </row>
    <row r="3843" spans="1:10">
      <c r="A3843">
        <v>2021</v>
      </c>
      <c r="B3843" t="s">
        <v>1429</v>
      </c>
      <c r="C3843" t="s">
        <v>1431</v>
      </c>
      <c r="D3843" t="s">
        <v>1433</v>
      </c>
      <c r="E3843" t="s">
        <v>351</v>
      </c>
      <c r="F3843" s="9" t="s">
        <v>351</v>
      </c>
      <c r="G3843" s="18">
        <v>560572</v>
      </c>
      <c r="H3843">
        <v>0</v>
      </c>
      <c r="I3843" s="29">
        <f t="shared" ref="I3843:I3906" si="60">SUM(G3843:H3843)</f>
        <v>560572</v>
      </c>
      <c r="J3843" t="str">
        <f>IFERROR(VLOOKUP(E3843,'LEAID Match'!$A$2:$B$168,2,FALSE),"")</f>
        <v/>
      </c>
    </row>
    <row r="3844" spans="1:10">
      <c r="A3844">
        <v>2022</v>
      </c>
      <c r="B3844" t="s">
        <v>1429</v>
      </c>
      <c r="C3844" t="s">
        <v>1431</v>
      </c>
      <c r="D3844" t="s">
        <v>1433</v>
      </c>
      <c r="E3844" t="s">
        <v>351</v>
      </c>
      <c r="F3844" s="9" t="s">
        <v>351</v>
      </c>
      <c r="G3844" s="18">
        <v>701980</v>
      </c>
      <c r="H3844">
        <v>0</v>
      </c>
      <c r="I3844" s="29">
        <f t="shared" si="60"/>
        <v>701980</v>
      </c>
      <c r="J3844" t="str">
        <f>IFERROR(VLOOKUP(E3844,'LEAID Match'!$A$2:$B$168,2,FALSE),"")</f>
        <v/>
      </c>
    </row>
    <row r="3845" spans="1:10">
      <c r="A3845">
        <v>2023</v>
      </c>
      <c r="B3845" t="s">
        <v>1429</v>
      </c>
      <c r="C3845" t="s">
        <v>1431</v>
      </c>
      <c r="D3845" t="s">
        <v>1433</v>
      </c>
      <c r="E3845" t="s">
        <v>351</v>
      </c>
      <c r="F3845" t="s">
        <v>351</v>
      </c>
      <c r="G3845" s="28">
        <v>711541</v>
      </c>
      <c r="H3845">
        <v>0</v>
      </c>
      <c r="I3845" s="29">
        <f t="shared" si="60"/>
        <v>711541</v>
      </c>
      <c r="J3845" t="str">
        <f>IFERROR(VLOOKUP(E3845,'LEAID Match'!$A$2:$B$168,2,FALSE),"")</f>
        <v/>
      </c>
    </row>
    <row r="3846" spans="1:10">
      <c r="A3846" s="27">
        <v>2020</v>
      </c>
      <c r="B3846" t="s">
        <v>1429</v>
      </c>
      <c r="C3846" t="s">
        <v>1431</v>
      </c>
      <c r="D3846" t="s">
        <v>1433</v>
      </c>
      <c r="E3846" t="s">
        <v>352</v>
      </c>
      <c r="F3846" s="9" t="s">
        <v>352</v>
      </c>
      <c r="G3846" s="18">
        <v>231030</v>
      </c>
      <c r="H3846">
        <v>0</v>
      </c>
      <c r="I3846" s="29">
        <f t="shared" si="60"/>
        <v>231030</v>
      </c>
      <c r="J3846" t="str">
        <f>IFERROR(VLOOKUP(E3846,'LEAID Match'!$A$2:$B$168,2,FALSE),"")</f>
        <v/>
      </c>
    </row>
    <row r="3847" spans="1:10">
      <c r="A3847">
        <v>2021</v>
      </c>
      <c r="B3847" t="s">
        <v>1429</v>
      </c>
      <c r="C3847" t="s">
        <v>1431</v>
      </c>
      <c r="D3847" t="s">
        <v>1433</v>
      </c>
      <c r="E3847" t="s">
        <v>352</v>
      </c>
      <c r="F3847" s="9" t="s">
        <v>352</v>
      </c>
      <c r="G3847" s="18">
        <v>248525</v>
      </c>
      <c r="H3847">
        <v>0</v>
      </c>
      <c r="I3847" s="29">
        <f t="shared" si="60"/>
        <v>248525</v>
      </c>
      <c r="J3847" t="str">
        <f>IFERROR(VLOOKUP(E3847,'LEAID Match'!$A$2:$B$168,2,FALSE),"")</f>
        <v/>
      </c>
    </row>
    <row r="3848" spans="1:10">
      <c r="A3848">
        <v>2022</v>
      </c>
      <c r="B3848" t="s">
        <v>1429</v>
      </c>
      <c r="C3848" t="s">
        <v>1431</v>
      </c>
      <c r="D3848" t="s">
        <v>1433</v>
      </c>
      <c r="E3848" t="s">
        <v>352</v>
      </c>
      <c r="F3848" s="9" t="s">
        <v>352</v>
      </c>
      <c r="G3848" s="18">
        <v>298244</v>
      </c>
      <c r="H3848">
        <v>0</v>
      </c>
      <c r="I3848" s="29">
        <f t="shared" si="60"/>
        <v>298244</v>
      </c>
      <c r="J3848" t="str">
        <f>IFERROR(VLOOKUP(E3848,'LEAID Match'!$A$2:$B$168,2,FALSE),"")</f>
        <v/>
      </c>
    </row>
    <row r="3849" spans="1:10">
      <c r="A3849">
        <v>2023</v>
      </c>
      <c r="B3849" t="s">
        <v>1429</v>
      </c>
      <c r="C3849" t="s">
        <v>1431</v>
      </c>
      <c r="D3849" t="s">
        <v>1433</v>
      </c>
      <c r="E3849" t="s">
        <v>352</v>
      </c>
      <c r="F3849" t="s">
        <v>352</v>
      </c>
      <c r="G3849" s="28">
        <v>317568</v>
      </c>
      <c r="H3849">
        <v>0</v>
      </c>
      <c r="I3849" s="29">
        <f t="shared" si="60"/>
        <v>317568</v>
      </c>
      <c r="J3849" t="str">
        <f>IFERROR(VLOOKUP(E3849,'LEAID Match'!$A$2:$B$168,2,FALSE),"")</f>
        <v/>
      </c>
    </row>
    <row r="3850" spans="1:10">
      <c r="A3850" s="27">
        <v>2020</v>
      </c>
      <c r="B3850" t="s">
        <v>1429</v>
      </c>
      <c r="C3850" t="s">
        <v>1431</v>
      </c>
      <c r="D3850" t="s">
        <v>1433</v>
      </c>
      <c r="E3850" t="s">
        <v>353</v>
      </c>
      <c r="F3850" s="9" t="s">
        <v>353</v>
      </c>
      <c r="G3850" s="18">
        <v>78517</v>
      </c>
      <c r="H3850">
        <v>0</v>
      </c>
      <c r="I3850" s="29">
        <f t="shared" si="60"/>
        <v>78517</v>
      </c>
      <c r="J3850" t="str">
        <f>IFERROR(VLOOKUP(E3850,'LEAID Match'!$A$2:$B$168,2,FALSE),"")</f>
        <v/>
      </c>
    </row>
    <row r="3851" spans="1:10">
      <c r="A3851">
        <v>2021</v>
      </c>
      <c r="B3851" t="s">
        <v>1429</v>
      </c>
      <c r="C3851" t="s">
        <v>1431</v>
      </c>
      <c r="D3851" t="s">
        <v>1433</v>
      </c>
      <c r="E3851" t="s">
        <v>353</v>
      </c>
      <c r="F3851" s="9" t="s">
        <v>353</v>
      </c>
      <c r="G3851" s="18">
        <v>69118</v>
      </c>
      <c r="H3851">
        <v>0</v>
      </c>
      <c r="I3851" s="29">
        <f t="shared" si="60"/>
        <v>69118</v>
      </c>
      <c r="J3851" t="str">
        <f>IFERROR(VLOOKUP(E3851,'LEAID Match'!$A$2:$B$168,2,FALSE),"")</f>
        <v/>
      </c>
    </row>
    <row r="3852" spans="1:10">
      <c r="A3852">
        <v>2022</v>
      </c>
      <c r="B3852" t="s">
        <v>1429</v>
      </c>
      <c r="C3852" t="s">
        <v>1431</v>
      </c>
      <c r="D3852" t="s">
        <v>1433</v>
      </c>
      <c r="E3852" t="s">
        <v>353</v>
      </c>
      <c r="F3852" s="9" t="s">
        <v>353</v>
      </c>
      <c r="G3852" s="18">
        <v>110556</v>
      </c>
      <c r="H3852">
        <v>0</v>
      </c>
      <c r="I3852" s="29">
        <f t="shared" si="60"/>
        <v>110556</v>
      </c>
      <c r="J3852" t="str">
        <f>IFERROR(VLOOKUP(E3852,'LEAID Match'!$A$2:$B$168,2,FALSE),"")</f>
        <v/>
      </c>
    </row>
    <row r="3853" spans="1:10">
      <c r="A3853">
        <v>2023</v>
      </c>
      <c r="B3853" t="s">
        <v>1429</v>
      </c>
      <c r="C3853" t="s">
        <v>1431</v>
      </c>
      <c r="D3853" t="s">
        <v>1433</v>
      </c>
      <c r="E3853" t="s">
        <v>353</v>
      </c>
      <c r="F3853" t="s">
        <v>353</v>
      </c>
      <c r="G3853" s="28">
        <v>113088</v>
      </c>
      <c r="H3853">
        <v>0</v>
      </c>
      <c r="I3853" s="29">
        <f t="shared" si="60"/>
        <v>113088</v>
      </c>
      <c r="J3853" t="str">
        <f>IFERROR(VLOOKUP(E3853,'LEAID Match'!$A$2:$B$168,2,FALSE),"")</f>
        <v/>
      </c>
    </row>
    <row r="3854" spans="1:10">
      <c r="A3854" s="27">
        <v>2020</v>
      </c>
      <c r="B3854" t="s">
        <v>1429</v>
      </c>
      <c r="C3854" t="s">
        <v>1431</v>
      </c>
      <c r="D3854" t="s">
        <v>1433</v>
      </c>
      <c r="E3854" t="s">
        <v>354</v>
      </c>
      <c r="F3854" s="9" t="s">
        <v>354</v>
      </c>
      <c r="G3854" s="18">
        <v>44224</v>
      </c>
      <c r="H3854">
        <v>0</v>
      </c>
      <c r="I3854" s="29">
        <f t="shared" si="60"/>
        <v>44224</v>
      </c>
      <c r="J3854" t="str">
        <f>IFERROR(VLOOKUP(E3854,'LEAID Match'!$A$2:$B$168,2,FALSE),"")</f>
        <v/>
      </c>
    </row>
    <row r="3855" spans="1:10">
      <c r="A3855">
        <v>2021</v>
      </c>
      <c r="B3855" t="s">
        <v>1429</v>
      </c>
      <c r="C3855" t="s">
        <v>1431</v>
      </c>
      <c r="D3855" t="s">
        <v>1433</v>
      </c>
      <c r="E3855" t="s">
        <v>354</v>
      </c>
      <c r="F3855" s="9" t="s">
        <v>354</v>
      </c>
      <c r="G3855" s="18">
        <v>41485</v>
      </c>
      <c r="H3855">
        <v>0</v>
      </c>
      <c r="I3855" s="29">
        <f t="shared" si="60"/>
        <v>41485</v>
      </c>
      <c r="J3855" t="str">
        <f>IFERROR(VLOOKUP(E3855,'LEAID Match'!$A$2:$B$168,2,FALSE),"")</f>
        <v/>
      </c>
    </row>
    <row r="3856" spans="1:10">
      <c r="A3856">
        <v>2022</v>
      </c>
      <c r="B3856" t="s">
        <v>1429</v>
      </c>
      <c r="C3856" t="s">
        <v>1431</v>
      </c>
      <c r="D3856" t="s">
        <v>1433</v>
      </c>
      <c r="E3856" t="s">
        <v>354</v>
      </c>
      <c r="F3856" s="9" t="s">
        <v>354</v>
      </c>
      <c r="G3856" s="18">
        <v>58256</v>
      </c>
      <c r="H3856">
        <v>0</v>
      </c>
      <c r="I3856" s="29">
        <f t="shared" si="60"/>
        <v>58256</v>
      </c>
      <c r="J3856" t="str">
        <f>IFERROR(VLOOKUP(E3856,'LEAID Match'!$A$2:$B$168,2,FALSE),"")</f>
        <v/>
      </c>
    </row>
    <row r="3857" spans="1:10">
      <c r="A3857">
        <v>2023</v>
      </c>
      <c r="B3857" t="s">
        <v>1429</v>
      </c>
      <c r="C3857" t="s">
        <v>1431</v>
      </c>
      <c r="D3857" t="s">
        <v>1433</v>
      </c>
      <c r="E3857" t="s">
        <v>354</v>
      </c>
      <c r="F3857" t="s">
        <v>354</v>
      </c>
      <c r="G3857" s="28">
        <v>58692</v>
      </c>
      <c r="H3857">
        <v>0</v>
      </c>
      <c r="I3857" s="29">
        <f t="shared" si="60"/>
        <v>58692</v>
      </c>
      <c r="J3857" t="str">
        <f>IFERROR(VLOOKUP(E3857,'LEAID Match'!$A$2:$B$168,2,FALSE),"")</f>
        <v/>
      </c>
    </row>
    <row r="3858" spans="1:10">
      <c r="A3858" s="27">
        <v>2020</v>
      </c>
      <c r="B3858" t="s">
        <v>1429</v>
      </c>
      <c r="C3858" t="s">
        <v>1431</v>
      </c>
      <c r="D3858" t="s">
        <v>1433</v>
      </c>
      <c r="E3858" t="s">
        <v>355</v>
      </c>
      <c r="F3858" s="9" t="s">
        <v>355</v>
      </c>
      <c r="G3858" s="18">
        <v>607113</v>
      </c>
      <c r="H3858">
        <v>0</v>
      </c>
      <c r="I3858" s="29">
        <f t="shared" si="60"/>
        <v>607113</v>
      </c>
      <c r="J3858" t="str">
        <f>IFERROR(VLOOKUP(E3858,'LEAID Match'!$A$2:$B$168,2,FALSE),"")</f>
        <v/>
      </c>
    </row>
    <row r="3859" spans="1:10">
      <c r="A3859">
        <v>2021</v>
      </c>
      <c r="B3859" t="s">
        <v>1429</v>
      </c>
      <c r="C3859" t="s">
        <v>1431</v>
      </c>
      <c r="D3859" t="s">
        <v>1433</v>
      </c>
      <c r="E3859" t="s">
        <v>355</v>
      </c>
      <c r="F3859" s="9" t="s">
        <v>355</v>
      </c>
      <c r="G3859" s="18">
        <v>638045</v>
      </c>
      <c r="H3859">
        <v>0</v>
      </c>
      <c r="I3859" s="29">
        <f t="shared" si="60"/>
        <v>638045</v>
      </c>
      <c r="J3859" t="str">
        <f>IFERROR(VLOOKUP(E3859,'LEAID Match'!$A$2:$B$168,2,FALSE),"")</f>
        <v/>
      </c>
    </row>
    <row r="3860" spans="1:10">
      <c r="A3860">
        <v>2022</v>
      </c>
      <c r="B3860" t="s">
        <v>1429</v>
      </c>
      <c r="C3860" t="s">
        <v>1431</v>
      </c>
      <c r="D3860" t="s">
        <v>1433</v>
      </c>
      <c r="E3860" t="s">
        <v>355</v>
      </c>
      <c r="F3860" s="9" t="s">
        <v>355</v>
      </c>
      <c r="G3860" s="18">
        <v>836783</v>
      </c>
      <c r="H3860">
        <v>0</v>
      </c>
      <c r="I3860" s="29">
        <f t="shared" si="60"/>
        <v>836783</v>
      </c>
      <c r="J3860" t="str">
        <f>IFERROR(VLOOKUP(E3860,'LEAID Match'!$A$2:$B$168,2,FALSE),"")</f>
        <v/>
      </c>
    </row>
    <row r="3861" spans="1:10">
      <c r="A3861">
        <v>2023</v>
      </c>
      <c r="B3861" t="s">
        <v>1429</v>
      </c>
      <c r="C3861" t="s">
        <v>1431</v>
      </c>
      <c r="D3861" t="s">
        <v>1433</v>
      </c>
      <c r="E3861" t="s">
        <v>355</v>
      </c>
      <c r="F3861" t="s">
        <v>355</v>
      </c>
      <c r="G3861" s="28">
        <v>867585</v>
      </c>
      <c r="H3861">
        <v>0</v>
      </c>
      <c r="I3861" s="29">
        <f t="shared" si="60"/>
        <v>867585</v>
      </c>
      <c r="J3861" t="str">
        <f>IFERROR(VLOOKUP(E3861,'LEAID Match'!$A$2:$B$168,2,FALSE),"")</f>
        <v/>
      </c>
    </row>
    <row r="3862" spans="1:10">
      <c r="A3862" s="27">
        <v>2020</v>
      </c>
      <c r="B3862" t="s">
        <v>1429</v>
      </c>
      <c r="C3862" t="s">
        <v>1431</v>
      </c>
      <c r="D3862" t="s">
        <v>1433</v>
      </c>
      <c r="E3862" t="s">
        <v>356</v>
      </c>
      <c r="F3862" s="9" t="s">
        <v>356</v>
      </c>
      <c r="G3862" s="18">
        <v>4155073</v>
      </c>
      <c r="H3862">
        <v>0</v>
      </c>
      <c r="I3862" s="29">
        <f t="shared" si="60"/>
        <v>4155073</v>
      </c>
      <c r="J3862" t="str">
        <f>IFERROR(VLOOKUP(E3862,'LEAID Match'!$A$2:$B$168,2,FALSE),"")</f>
        <v/>
      </c>
    </row>
    <row r="3863" spans="1:10">
      <c r="A3863">
        <v>2021</v>
      </c>
      <c r="B3863" t="s">
        <v>1429</v>
      </c>
      <c r="C3863" t="s">
        <v>1431</v>
      </c>
      <c r="D3863" t="s">
        <v>1433</v>
      </c>
      <c r="E3863" t="s">
        <v>356</v>
      </c>
      <c r="F3863" s="9" t="s">
        <v>356</v>
      </c>
      <c r="G3863" s="18">
        <v>4219969</v>
      </c>
      <c r="H3863">
        <v>0</v>
      </c>
      <c r="I3863" s="29">
        <f t="shared" si="60"/>
        <v>4219969</v>
      </c>
      <c r="J3863" t="str">
        <f>IFERROR(VLOOKUP(E3863,'LEAID Match'!$A$2:$B$168,2,FALSE),"")</f>
        <v/>
      </c>
    </row>
    <row r="3864" spans="1:10">
      <c r="A3864">
        <v>2022</v>
      </c>
      <c r="B3864" t="s">
        <v>1429</v>
      </c>
      <c r="C3864" t="s">
        <v>1431</v>
      </c>
      <c r="D3864" t="s">
        <v>1433</v>
      </c>
      <c r="E3864" t="s">
        <v>356</v>
      </c>
      <c r="F3864" s="9" t="s">
        <v>356</v>
      </c>
      <c r="G3864" s="18">
        <v>5273113</v>
      </c>
      <c r="H3864">
        <v>0</v>
      </c>
      <c r="I3864" s="29">
        <f t="shared" si="60"/>
        <v>5273113</v>
      </c>
      <c r="J3864" t="str">
        <f>IFERROR(VLOOKUP(E3864,'LEAID Match'!$A$2:$B$168,2,FALSE),"")</f>
        <v/>
      </c>
    </row>
    <row r="3865" spans="1:10">
      <c r="A3865">
        <v>2023</v>
      </c>
      <c r="B3865" t="s">
        <v>1429</v>
      </c>
      <c r="C3865" t="s">
        <v>1431</v>
      </c>
      <c r="D3865" t="s">
        <v>1433</v>
      </c>
      <c r="E3865" t="s">
        <v>356</v>
      </c>
      <c r="F3865" t="s">
        <v>356</v>
      </c>
      <c r="G3865" s="28">
        <v>5411718</v>
      </c>
      <c r="H3865">
        <v>0</v>
      </c>
      <c r="I3865" s="29">
        <f t="shared" si="60"/>
        <v>5411718</v>
      </c>
      <c r="J3865" t="str">
        <f>IFERROR(VLOOKUP(E3865,'LEAID Match'!$A$2:$B$168,2,FALSE),"")</f>
        <v/>
      </c>
    </row>
    <row r="3866" spans="1:10">
      <c r="A3866" s="27">
        <v>2020</v>
      </c>
      <c r="B3866" t="s">
        <v>1429</v>
      </c>
      <c r="C3866" t="s">
        <v>1431</v>
      </c>
      <c r="D3866" t="s">
        <v>1433</v>
      </c>
      <c r="E3866" t="s">
        <v>357</v>
      </c>
      <c r="F3866" s="9" t="s">
        <v>357</v>
      </c>
      <c r="G3866" s="18">
        <v>6415</v>
      </c>
      <c r="H3866">
        <v>0</v>
      </c>
      <c r="I3866" s="29">
        <f t="shared" si="60"/>
        <v>6415</v>
      </c>
      <c r="J3866" t="str">
        <f>IFERROR(VLOOKUP(E3866,'LEAID Match'!$A$2:$B$168,2,FALSE),"")</f>
        <v/>
      </c>
    </row>
    <row r="3867" spans="1:10">
      <c r="A3867">
        <v>2021</v>
      </c>
      <c r="B3867" t="s">
        <v>1429</v>
      </c>
      <c r="C3867" t="s">
        <v>1431</v>
      </c>
      <c r="D3867" t="s">
        <v>1433</v>
      </c>
      <c r="E3867" t="s">
        <v>357</v>
      </c>
      <c r="F3867" s="9" t="s">
        <v>357</v>
      </c>
      <c r="G3867" s="18">
        <v>7290</v>
      </c>
      <c r="H3867">
        <v>0</v>
      </c>
      <c r="I3867" s="29">
        <f t="shared" si="60"/>
        <v>7290</v>
      </c>
      <c r="J3867" t="str">
        <f>IFERROR(VLOOKUP(E3867,'LEAID Match'!$A$2:$B$168,2,FALSE),"")</f>
        <v/>
      </c>
    </row>
    <row r="3868" spans="1:10">
      <c r="A3868">
        <v>2022</v>
      </c>
      <c r="B3868" t="s">
        <v>1429</v>
      </c>
      <c r="C3868" t="s">
        <v>1431</v>
      </c>
      <c r="D3868" t="s">
        <v>1433</v>
      </c>
      <c r="E3868" t="s">
        <v>357</v>
      </c>
      <c r="F3868" s="9" t="s">
        <v>357</v>
      </c>
      <c r="G3868" s="18">
        <v>10142</v>
      </c>
      <c r="H3868">
        <v>0</v>
      </c>
      <c r="I3868" s="29">
        <f t="shared" si="60"/>
        <v>10142</v>
      </c>
      <c r="J3868" t="str">
        <f>IFERROR(VLOOKUP(E3868,'LEAID Match'!$A$2:$B$168,2,FALSE),"")</f>
        <v/>
      </c>
    </row>
    <row r="3869" spans="1:10">
      <c r="A3869">
        <v>2023</v>
      </c>
      <c r="B3869" t="s">
        <v>1429</v>
      </c>
      <c r="C3869" t="s">
        <v>1431</v>
      </c>
      <c r="D3869" t="s">
        <v>1433</v>
      </c>
      <c r="E3869" t="s">
        <v>357</v>
      </c>
      <c r="F3869" t="s">
        <v>357</v>
      </c>
      <c r="G3869" s="28">
        <v>9801</v>
      </c>
      <c r="H3869">
        <v>0</v>
      </c>
      <c r="I3869" s="29">
        <f t="shared" si="60"/>
        <v>9801</v>
      </c>
      <c r="J3869" t="str">
        <f>IFERROR(VLOOKUP(E3869,'LEAID Match'!$A$2:$B$168,2,FALSE),"")</f>
        <v/>
      </c>
    </row>
    <row r="3870" spans="1:10">
      <c r="A3870" s="27">
        <v>2020</v>
      </c>
      <c r="B3870" t="s">
        <v>1429</v>
      </c>
      <c r="C3870" t="s">
        <v>1431</v>
      </c>
      <c r="D3870" t="s">
        <v>1433</v>
      </c>
      <c r="E3870" t="s">
        <v>358</v>
      </c>
      <c r="F3870" s="9" t="s">
        <v>358</v>
      </c>
      <c r="G3870" s="18">
        <v>185763</v>
      </c>
      <c r="H3870">
        <v>0</v>
      </c>
      <c r="I3870" s="29">
        <f t="shared" si="60"/>
        <v>185763</v>
      </c>
      <c r="J3870" t="str">
        <f>IFERROR(VLOOKUP(E3870,'LEAID Match'!$A$2:$B$168,2,FALSE),"")</f>
        <v/>
      </c>
    </row>
    <row r="3871" spans="1:10">
      <c r="A3871">
        <v>2021</v>
      </c>
      <c r="B3871" t="s">
        <v>1429</v>
      </c>
      <c r="C3871" t="s">
        <v>1431</v>
      </c>
      <c r="D3871" t="s">
        <v>1433</v>
      </c>
      <c r="E3871" t="s">
        <v>358</v>
      </c>
      <c r="F3871" s="9" t="s">
        <v>358</v>
      </c>
      <c r="G3871" s="18">
        <v>214112</v>
      </c>
      <c r="H3871">
        <v>0</v>
      </c>
      <c r="I3871" s="29">
        <f t="shared" si="60"/>
        <v>214112</v>
      </c>
      <c r="J3871" t="str">
        <f>IFERROR(VLOOKUP(E3871,'LEAID Match'!$A$2:$B$168,2,FALSE),"")</f>
        <v/>
      </c>
    </row>
    <row r="3872" spans="1:10">
      <c r="A3872">
        <v>2022</v>
      </c>
      <c r="B3872" t="s">
        <v>1429</v>
      </c>
      <c r="C3872" t="s">
        <v>1431</v>
      </c>
      <c r="D3872" t="s">
        <v>1433</v>
      </c>
      <c r="E3872" t="s">
        <v>358</v>
      </c>
      <c r="F3872" s="9" t="s">
        <v>358</v>
      </c>
      <c r="G3872" s="18">
        <v>245869</v>
      </c>
      <c r="H3872">
        <v>0</v>
      </c>
      <c r="I3872" s="29">
        <f t="shared" si="60"/>
        <v>245869</v>
      </c>
      <c r="J3872" t="str">
        <f>IFERROR(VLOOKUP(E3872,'LEAID Match'!$A$2:$B$168,2,FALSE),"")</f>
        <v/>
      </c>
    </row>
    <row r="3873" spans="1:10">
      <c r="A3873">
        <v>2023</v>
      </c>
      <c r="B3873" t="s">
        <v>1429</v>
      </c>
      <c r="C3873" t="s">
        <v>1431</v>
      </c>
      <c r="D3873" t="s">
        <v>1433</v>
      </c>
      <c r="E3873" t="s">
        <v>358</v>
      </c>
      <c r="F3873" t="s">
        <v>358</v>
      </c>
      <c r="G3873" s="28">
        <v>261963</v>
      </c>
      <c r="H3873">
        <v>0</v>
      </c>
      <c r="I3873" s="29">
        <f t="shared" si="60"/>
        <v>261963</v>
      </c>
      <c r="J3873" t="str">
        <f>IFERROR(VLOOKUP(E3873,'LEAID Match'!$A$2:$B$168,2,FALSE),"")</f>
        <v/>
      </c>
    </row>
    <row r="3874" spans="1:10">
      <c r="A3874" s="27">
        <v>2020</v>
      </c>
      <c r="B3874" t="s">
        <v>1429</v>
      </c>
      <c r="C3874" t="s">
        <v>1431</v>
      </c>
      <c r="D3874" t="s">
        <v>1433</v>
      </c>
      <c r="E3874" t="s">
        <v>359</v>
      </c>
      <c r="F3874" s="9" t="s">
        <v>359</v>
      </c>
      <c r="G3874" s="18">
        <v>198523</v>
      </c>
      <c r="H3874">
        <v>0</v>
      </c>
      <c r="I3874" s="29">
        <f t="shared" si="60"/>
        <v>198523</v>
      </c>
      <c r="J3874" t="str">
        <f>IFERROR(VLOOKUP(E3874,'LEAID Match'!$A$2:$B$168,2,FALSE),"")</f>
        <v/>
      </c>
    </row>
    <row r="3875" spans="1:10">
      <c r="A3875">
        <v>2021</v>
      </c>
      <c r="B3875" t="s">
        <v>1429</v>
      </c>
      <c r="C3875" t="s">
        <v>1431</v>
      </c>
      <c r="D3875" t="s">
        <v>1433</v>
      </c>
      <c r="E3875" t="s">
        <v>359</v>
      </c>
      <c r="F3875" s="9" t="s">
        <v>359</v>
      </c>
      <c r="G3875" s="18">
        <v>203781</v>
      </c>
      <c r="H3875">
        <v>0</v>
      </c>
      <c r="I3875" s="29">
        <f t="shared" si="60"/>
        <v>203781</v>
      </c>
      <c r="J3875" t="str">
        <f>IFERROR(VLOOKUP(E3875,'LEAID Match'!$A$2:$B$168,2,FALSE),"")</f>
        <v/>
      </c>
    </row>
    <row r="3876" spans="1:10">
      <c r="A3876">
        <v>2022</v>
      </c>
      <c r="B3876" t="s">
        <v>1429</v>
      </c>
      <c r="C3876" t="s">
        <v>1431</v>
      </c>
      <c r="D3876" t="s">
        <v>1433</v>
      </c>
      <c r="E3876" t="s">
        <v>359</v>
      </c>
      <c r="F3876" s="9" t="s">
        <v>359</v>
      </c>
      <c r="G3876" s="18">
        <v>280240</v>
      </c>
      <c r="H3876">
        <v>0</v>
      </c>
      <c r="I3876" s="29">
        <f t="shared" si="60"/>
        <v>280240</v>
      </c>
      <c r="J3876" t="str">
        <f>IFERROR(VLOOKUP(E3876,'LEAID Match'!$A$2:$B$168,2,FALSE),"")</f>
        <v/>
      </c>
    </row>
    <row r="3877" spans="1:10">
      <c r="A3877">
        <v>2023</v>
      </c>
      <c r="B3877" t="s">
        <v>1429</v>
      </c>
      <c r="C3877" t="s">
        <v>1431</v>
      </c>
      <c r="D3877" t="s">
        <v>1433</v>
      </c>
      <c r="E3877" t="s">
        <v>359</v>
      </c>
      <c r="F3877" t="s">
        <v>359</v>
      </c>
      <c r="G3877" s="28">
        <v>301549</v>
      </c>
      <c r="H3877">
        <v>0</v>
      </c>
      <c r="I3877" s="29">
        <f t="shared" si="60"/>
        <v>301549</v>
      </c>
      <c r="J3877" t="str">
        <f>IFERROR(VLOOKUP(E3877,'LEAID Match'!$A$2:$B$168,2,FALSE),"")</f>
        <v/>
      </c>
    </row>
    <row r="3878" spans="1:10">
      <c r="A3878" s="27">
        <v>2020</v>
      </c>
      <c r="B3878" t="s">
        <v>1429</v>
      </c>
      <c r="C3878" t="s">
        <v>1431</v>
      </c>
      <c r="D3878" t="s">
        <v>1433</v>
      </c>
      <c r="E3878" t="s">
        <v>360</v>
      </c>
      <c r="F3878" s="9" t="s">
        <v>360</v>
      </c>
      <c r="G3878" s="18">
        <v>52992</v>
      </c>
      <c r="H3878">
        <v>0</v>
      </c>
      <c r="I3878" s="29">
        <f t="shared" si="60"/>
        <v>52992</v>
      </c>
      <c r="J3878" t="str">
        <f>IFERROR(VLOOKUP(E3878,'LEAID Match'!$A$2:$B$168,2,FALSE),"")</f>
        <v/>
      </c>
    </row>
    <row r="3879" spans="1:10">
      <c r="A3879">
        <v>2021</v>
      </c>
      <c r="B3879" t="s">
        <v>1429</v>
      </c>
      <c r="C3879" t="s">
        <v>1431</v>
      </c>
      <c r="D3879" t="s">
        <v>1433</v>
      </c>
      <c r="E3879" t="s">
        <v>360</v>
      </c>
      <c r="F3879" s="9" t="s">
        <v>360</v>
      </c>
      <c r="G3879" s="18">
        <v>50370</v>
      </c>
      <c r="H3879">
        <v>0</v>
      </c>
      <c r="I3879" s="29">
        <f t="shared" si="60"/>
        <v>50370</v>
      </c>
      <c r="J3879" t="str">
        <f>IFERROR(VLOOKUP(E3879,'LEAID Match'!$A$2:$B$168,2,FALSE),"")</f>
        <v/>
      </c>
    </row>
    <row r="3880" spans="1:10">
      <c r="A3880">
        <v>2022</v>
      </c>
      <c r="B3880" t="s">
        <v>1429</v>
      </c>
      <c r="C3880" t="s">
        <v>1431</v>
      </c>
      <c r="D3880" t="s">
        <v>1433</v>
      </c>
      <c r="E3880" t="s">
        <v>360</v>
      </c>
      <c r="F3880" s="9" t="s">
        <v>360</v>
      </c>
      <c r="G3880" s="18">
        <v>67209</v>
      </c>
      <c r="H3880">
        <v>0</v>
      </c>
      <c r="I3880" s="29">
        <f t="shared" si="60"/>
        <v>67209</v>
      </c>
      <c r="J3880" t="str">
        <f>IFERROR(VLOOKUP(E3880,'LEAID Match'!$A$2:$B$168,2,FALSE),"")</f>
        <v/>
      </c>
    </row>
    <row r="3881" spans="1:10">
      <c r="A3881">
        <v>2023</v>
      </c>
      <c r="B3881" t="s">
        <v>1429</v>
      </c>
      <c r="C3881" t="s">
        <v>1431</v>
      </c>
      <c r="D3881" t="s">
        <v>1433</v>
      </c>
      <c r="E3881" t="s">
        <v>360</v>
      </c>
      <c r="F3881" t="s">
        <v>360</v>
      </c>
      <c r="G3881" s="28">
        <v>70967</v>
      </c>
      <c r="H3881">
        <v>0</v>
      </c>
      <c r="I3881" s="29">
        <f t="shared" si="60"/>
        <v>70967</v>
      </c>
      <c r="J3881" t="str">
        <f>IFERROR(VLOOKUP(E3881,'LEAID Match'!$A$2:$B$168,2,FALSE),"")</f>
        <v/>
      </c>
    </row>
    <row r="3882" spans="1:10">
      <c r="A3882" s="27">
        <v>2020</v>
      </c>
      <c r="B3882" t="s">
        <v>1429</v>
      </c>
      <c r="C3882" t="s">
        <v>1431</v>
      </c>
      <c r="D3882" t="s">
        <v>1433</v>
      </c>
      <c r="E3882" t="s">
        <v>361</v>
      </c>
      <c r="F3882" s="9" t="s">
        <v>361</v>
      </c>
      <c r="G3882" s="18">
        <v>1328415</v>
      </c>
      <c r="H3882">
        <v>0</v>
      </c>
      <c r="I3882" s="29">
        <f t="shared" si="60"/>
        <v>1328415</v>
      </c>
      <c r="J3882" t="str">
        <f>IFERROR(VLOOKUP(E3882,'LEAID Match'!$A$2:$B$168,2,FALSE),"")</f>
        <v/>
      </c>
    </row>
    <row r="3883" spans="1:10">
      <c r="A3883">
        <v>2021</v>
      </c>
      <c r="B3883" t="s">
        <v>1429</v>
      </c>
      <c r="C3883" t="s">
        <v>1431</v>
      </c>
      <c r="D3883" t="s">
        <v>1433</v>
      </c>
      <c r="E3883" t="s">
        <v>361</v>
      </c>
      <c r="F3883" s="9" t="s">
        <v>361</v>
      </c>
      <c r="G3883" s="18">
        <v>1489468</v>
      </c>
      <c r="H3883">
        <v>0</v>
      </c>
      <c r="I3883" s="29">
        <f t="shared" si="60"/>
        <v>1489468</v>
      </c>
      <c r="J3883" t="str">
        <f>IFERROR(VLOOKUP(E3883,'LEAID Match'!$A$2:$B$168,2,FALSE),"")</f>
        <v/>
      </c>
    </row>
    <row r="3884" spans="1:10">
      <c r="A3884">
        <v>2022</v>
      </c>
      <c r="B3884" t="s">
        <v>1429</v>
      </c>
      <c r="C3884" t="s">
        <v>1431</v>
      </c>
      <c r="D3884" t="s">
        <v>1433</v>
      </c>
      <c r="E3884" t="s">
        <v>361</v>
      </c>
      <c r="F3884" s="9" t="s">
        <v>361</v>
      </c>
      <c r="G3884" s="18">
        <v>2108443</v>
      </c>
      <c r="H3884">
        <v>0</v>
      </c>
      <c r="I3884" s="29">
        <f t="shared" si="60"/>
        <v>2108443</v>
      </c>
      <c r="J3884" t="str">
        <f>IFERROR(VLOOKUP(E3884,'LEAID Match'!$A$2:$B$168,2,FALSE),"")</f>
        <v/>
      </c>
    </row>
    <row r="3885" spans="1:10">
      <c r="A3885">
        <v>2023</v>
      </c>
      <c r="B3885" t="s">
        <v>1429</v>
      </c>
      <c r="C3885" t="s">
        <v>1431</v>
      </c>
      <c r="D3885" t="s">
        <v>1433</v>
      </c>
      <c r="E3885" t="s">
        <v>361</v>
      </c>
      <c r="F3885" t="s">
        <v>361</v>
      </c>
      <c r="G3885" s="28">
        <v>2191928</v>
      </c>
      <c r="H3885">
        <v>0</v>
      </c>
      <c r="I3885" s="29">
        <f t="shared" si="60"/>
        <v>2191928</v>
      </c>
      <c r="J3885" t="str">
        <f>IFERROR(VLOOKUP(E3885,'LEAID Match'!$A$2:$B$168,2,FALSE),"")</f>
        <v/>
      </c>
    </row>
    <row r="3886" spans="1:10">
      <c r="A3886" s="27">
        <v>2020</v>
      </c>
      <c r="B3886" t="s">
        <v>1429</v>
      </c>
      <c r="C3886" t="s">
        <v>1431</v>
      </c>
      <c r="D3886" t="s">
        <v>1433</v>
      </c>
      <c r="E3886" t="s">
        <v>362</v>
      </c>
      <c r="F3886" s="9" t="s">
        <v>362</v>
      </c>
      <c r="G3886" s="18">
        <v>9889</v>
      </c>
      <c r="H3886">
        <v>0</v>
      </c>
      <c r="I3886" s="29">
        <f t="shared" si="60"/>
        <v>9889</v>
      </c>
      <c r="J3886" t="str">
        <f>IFERROR(VLOOKUP(E3886,'LEAID Match'!$A$2:$B$168,2,FALSE),"")</f>
        <v/>
      </c>
    </row>
    <row r="3887" spans="1:10">
      <c r="A3887">
        <v>2021</v>
      </c>
      <c r="B3887" t="s">
        <v>1429</v>
      </c>
      <c r="C3887" t="s">
        <v>1431</v>
      </c>
      <c r="D3887" t="s">
        <v>1433</v>
      </c>
      <c r="E3887" t="s">
        <v>362</v>
      </c>
      <c r="F3887" s="9" t="s">
        <v>362</v>
      </c>
      <c r="G3887" s="18">
        <v>9787</v>
      </c>
      <c r="H3887">
        <v>0</v>
      </c>
      <c r="I3887" s="29">
        <f t="shared" si="60"/>
        <v>9787</v>
      </c>
      <c r="J3887" t="str">
        <f>IFERROR(VLOOKUP(E3887,'LEAID Match'!$A$2:$B$168,2,FALSE),"")</f>
        <v/>
      </c>
    </row>
    <row r="3888" spans="1:10">
      <c r="A3888">
        <v>2022</v>
      </c>
      <c r="B3888" t="s">
        <v>1429</v>
      </c>
      <c r="C3888" t="s">
        <v>1431</v>
      </c>
      <c r="D3888" t="s">
        <v>1433</v>
      </c>
      <c r="E3888" t="s">
        <v>362</v>
      </c>
      <c r="F3888" s="9" t="s">
        <v>362</v>
      </c>
      <c r="G3888" s="18">
        <v>13598</v>
      </c>
      <c r="H3888">
        <v>0</v>
      </c>
      <c r="I3888" s="29">
        <f t="shared" si="60"/>
        <v>13598</v>
      </c>
      <c r="J3888" t="str">
        <f>IFERROR(VLOOKUP(E3888,'LEAID Match'!$A$2:$B$168,2,FALSE),"")</f>
        <v/>
      </c>
    </row>
    <row r="3889" spans="1:10">
      <c r="A3889">
        <v>2023</v>
      </c>
      <c r="B3889" t="s">
        <v>1429</v>
      </c>
      <c r="C3889" t="s">
        <v>1431</v>
      </c>
      <c r="D3889" t="s">
        <v>1433</v>
      </c>
      <c r="E3889" t="s">
        <v>362</v>
      </c>
      <c r="F3889" t="s">
        <v>362</v>
      </c>
      <c r="G3889" s="28">
        <v>14581</v>
      </c>
      <c r="H3889">
        <v>0</v>
      </c>
      <c r="I3889" s="29">
        <f t="shared" si="60"/>
        <v>14581</v>
      </c>
      <c r="J3889" t="str">
        <f>IFERROR(VLOOKUP(E3889,'LEAID Match'!$A$2:$B$168,2,FALSE),"")</f>
        <v/>
      </c>
    </row>
    <row r="3890" spans="1:10">
      <c r="A3890" s="27">
        <v>2020</v>
      </c>
      <c r="B3890" t="s">
        <v>1429</v>
      </c>
      <c r="C3890" t="s">
        <v>1431</v>
      </c>
      <c r="D3890" t="s">
        <v>1433</v>
      </c>
      <c r="E3890" t="s">
        <v>363</v>
      </c>
      <c r="F3890" s="9" t="s">
        <v>363</v>
      </c>
      <c r="G3890" s="18">
        <v>23302</v>
      </c>
      <c r="H3890">
        <v>0</v>
      </c>
      <c r="I3890" s="29">
        <f t="shared" si="60"/>
        <v>23302</v>
      </c>
      <c r="J3890" t="str">
        <f>IFERROR(VLOOKUP(E3890,'LEAID Match'!$A$2:$B$168,2,FALSE),"")</f>
        <v/>
      </c>
    </row>
    <row r="3891" spans="1:10">
      <c r="A3891">
        <v>2021</v>
      </c>
      <c r="B3891" t="s">
        <v>1429</v>
      </c>
      <c r="C3891" t="s">
        <v>1431</v>
      </c>
      <c r="D3891" t="s">
        <v>1433</v>
      </c>
      <c r="E3891" t="s">
        <v>363</v>
      </c>
      <c r="F3891" s="9" t="s">
        <v>363</v>
      </c>
      <c r="G3891" s="18">
        <v>22267</v>
      </c>
      <c r="H3891">
        <v>0</v>
      </c>
      <c r="I3891" s="29">
        <f t="shared" si="60"/>
        <v>22267</v>
      </c>
      <c r="J3891" t="str">
        <f>IFERROR(VLOOKUP(E3891,'LEAID Match'!$A$2:$B$168,2,FALSE),"")</f>
        <v/>
      </c>
    </row>
    <row r="3892" spans="1:10">
      <c r="A3892">
        <v>2022</v>
      </c>
      <c r="B3892" t="s">
        <v>1429</v>
      </c>
      <c r="C3892" t="s">
        <v>1431</v>
      </c>
      <c r="D3892" t="s">
        <v>1433</v>
      </c>
      <c r="E3892" t="s">
        <v>363</v>
      </c>
      <c r="F3892" s="9" t="s">
        <v>363</v>
      </c>
      <c r="G3892" s="18">
        <v>39793</v>
      </c>
      <c r="H3892">
        <v>0</v>
      </c>
      <c r="I3892" s="29">
        <f t="shared" si="60"/>
        <v>39793</v>
      </c>
      <c r="J3892" t="str">
        <f>IFERROR(VLOOKUP(E3892,'LEAID Match'!$A$2:$B$168,2,FALSE),"")</f>
        <v/>
      </c>
    </row>
    <row r="3893" spans="1:10">
      <c r="A3893">
        <v>2023</v>
      </c>
      <c r="B3893" t="s">
        <v>1429</v>
      </c>
      <c r="C3893" t="s">
        <v>1431</v>
      </c>
      <c r="D3893" t="s">
        <v>1433</v>
      </c>
      <c r="E3893" t="s">
        <v>363</v>
      </c>
      <c r="F3893" t="s">
        <v>363</v>
      </c>
      <c r="G3893" s="28">
        <v>21108</v>
      </c>
      <c r="H3893">
        <v>0</v>
      </c>
      <c r="I3893" s="29">
        <f t="shared" si="60"/>
        <v>21108</v>
      </c>
      <c r="J3893" t="str">
        <f>IFERROR(VLOOKUP(E3893,'LEAID Match'!$A$2:$B$168,2,FALSE),"")</f>
        <v/>
      </c>
    </row>
    <row r="3894" spans="1:10">
      <c r="A3894" s="27">
        <v>2020</v>
      </c>
      <c r="B3894" t="s">
        <v>1429</v>
      </c>
      <c r="C3894" t="s">
        <v>1431</v>
      </c>
      <c r="D3894" t="s">
        <v>1433</v>
      </c>
      <c r="E3894" t="s">
        <v>364</v>
      </c>
      <c r="F3894" s="9" t="s">
        <v>364</v>
      </c>
      <c r="G3894" s="18">
        <v>43704</v>
      </c>
      <c r="H3894">
        <v>0</v>
      </c>
      <c r="I3894" s="29">
        <f t="shared" si="60"/>
        <v>43704</v>
      </c>
      <c r="J3894" t="str">
        <f>IFERROR(VLOOKUP(E3894,'LEAID Match'!$A$2:$B$168,2,FALSE),"")</f>
        <v/>
      </c>
    </row>
    <row r="3895" spans="1:10">
      <c r="A3895">
        <v>2021</v>
      </c>
      <c r="B3895" t="s">
        <v>1429</v>
      </c>
      <c r="C3895" t="s">
        <v>1431</v>
      </c>
      <c r="D3895" t="s">
        <v>1433</v>
      </c>
      <c r="E3895" t="s">
        <v>364</v>
      </c>
      <c r="F3895" s="9" t="s">
        <v>364</v>
      </c>
      <c r="G3895" s="18">
        <v>45458</v>
      </c>
      <c r="H3895">
        <v>0</v>
      </c>
      <c r="I3895" s="29">
        <f t="shared" si="60"/>
        <v>45458</v>
      </c>
      <c r="J3895" t="str">
        <f>IFERROR(VLOOKUP(E3895,'LEAID Match'!$A$2:$B$168,2,FALSE),"")</f>
        <v/>
      </c>
    </row>
    <row r="3896" spans="1:10">
      <c r="A3896">
        <v>2022</v>
      </c>
      <c r="B3896" t="s">
        <v>1429</v>
      </c>
      <c r="C3896" t="s">
        <v>1431</v>
      </c>
      <c r="D3896" t="s">
        <v>1433</v>
      </c>
      <c r="E3896" t="s">
        <v>364</v>
      </c>
      <c r="F3896" s="9" t="s">
        <v>364</v>
      </c>
      <c r="G3896" s="18">
        <v>65833</v>
      </c>
      <c r="H3896">
        <v>0</v>
      </c>
      <c r="I3896" s="29">
        <f t="shared" si="60"/>
        <v>65833</v>
      </c>
      <c r="J3896" t="str">
        <f>IFERROR(VLOOKUP(E3896,'LEAID Match'!$A$2:$B$168,2,FALSE),"")</f>
        <v/>
      </c>
    </row>
    <row r="3897" spans="1:10">
      <c r="A3897">
        <v>2023</v>
      </c>
      <c r="B3897" t="s">
        <v>1429</v>
      </c>
      <c r="C3897" t="s">
        <v>1431</v>
      </c>
      <c r="D3897" t="s">
        <v>1433</v>
      </c>
      <c r="E3897" t="s">
        <v>364</v>
      </c>
      <c r="F3897" t="s">
        <v>364</v>
      </c>
      <c r="G3897" s="28">
        <v>77345</v>
      </c>
      <c r="H3897">
        <v>0</v>
      </c>
      <c r="I3897" s="29">
        <f t="shared" si="60"/>
        <v>77345</v>
      </c>
      <c r="J3897" t="str">
        <f>IFERROR(VLOOKUP(E3897,'LEAID Match'!$A$2:$B$168,2,FALSE),"")</f>
        <v/>
      </c>
    </row>
    <row r="3898" spans="1:10">
      <c r="A3898" s="27">
        <v>2020</v>
      </c>
      <c r="B3898" t="s">
        <v>1429</v>
      </c>
      <c r="C3898" t="s">
        <v>1431</v>
      </c>
      <c r="D3898" t="s">
        <v>1433</v>
      </c>
      <c r="E3898" t="s">
        <v>365</v>
      </c>
      <c r="F3898" s="9" t="s">
        <v>365</v>
      </c>
      <c r="G3898" s="18">
        <v>3891</v>
      </c>
      <c r="H3898">
        <v>0</v>
      </c>
      <c r="I3898" s="29">
        <f t="shared" si="60"/>
        <v>3891</v>
      </c>
      <c r="J3898" t="str">
        <f>IFERROR(VLOOKUP(E3898,'LEAID Match'!$A$2:$B$168,2,FALSE),"")</f>
        <v/>
      </c>
    </row>
    <row r="3899" spans="1:10">
      <c r="A3899">
        <v>2021</v>
      </c>
      <c r="B3899" t="s">
        <v>1429</v>
      </c>
      <c r="C3899" t="s">
        <v>1431</v>
      </c>
      <c r="D3899" t="s">
        <v>1433</v>
      </c>
      <c r="E3899" t="s">
        <v>365</v>
      </c>
      <c r="F3899" s="9" t="s">
        <v>365</v>
      </c>
      <c r="G3899" s="18">
        <v>3910</v>
      </c>
      <c r="H3899">
        <v>0</v>
      </c>
      <c r="I3899" s="29">
        <f t="shared" si="60"/>
        <v>3910</v>
      </c>
      <c r="J3899" t="str">
        <f>IFERROR(VLOOKUP(E3899,'LEAID Match'!$A$2:$B$168,2,FALSE),"")</f>
        <v/>
      </c>
    </row>
    <row r="3900" spans="1:10">
      <c r="A3900">
        <v>2022</v>
      </c>
      <c r="B3900" t="s">
        <v>1429</v>
      </c>
      <c r="C3900" t="s">
        <v>1431</v>
      </c>
      <c r="D3900" t="s">
        <v>1433</v>
      </c>
      <c r="E3900" t="s">
        <v>365</v>
      </c>
      <c r="F3900" s="9" t="s">
        <v>365</v>
      </c>
      <c r="G3900" s="18">
        <v>2499</v>
      </c>
      <c r="H3900">
        <v>0</v>
      </c>
      <c r="I3900" s="29">
        <f t="shared" si="60"/>
        <v>2499</v>
      </c>
      <c r="J3900" t="str">
        <f>IFERROR(VLOOKUP(E3900,'LEAID Match'!$A$2:$B$168,2,FALSE),"")</f>
        <v/>
      </c>
    </row>
    <row r="3901" spans="1:10">
      <c r="A3901">
        <v>2023</v>
      </c>
      <c r="B3901" t="s">
        <v>1429</v>
      </c>
      <c r="C3901" t="s">
        <v>1431</v>
      </c>
      <c r="D3901" t="s">
        <v>1433</v>
      </c>
      <c r="E3901" t="s">
        <v>365</v>
      </c>
      <c r="F3901" t="s">
        <v>365</v>
      </c>
      <c r="H3901">
        <v>0</v>
      </c>
      <c r="I3901" s="29">
        <f t="shared" si="60"/>
        <v>0</v>
      </c>
      <c r="J3901" t="str">
        <f>IFERROR(VLOOKUP(E3901,'LEAID Match'!$A$2:$B$168,2,FALSE),"")</f>
        <v/>
      </c>
    </row>
    <row r="3902" spans="1:10">
      <c r="A3902" s="27">
        <v>2020</v>
      </c>
      <c r="B3902" t="s">
        <v>1429</v>
      </c>
      <c r="C3902" t="s">
        <v>1431</v>
      </c>
      <c r="D3902" t="s">
        <v>1433</v>
      </c>
      <c r="E3902" t="s">
        <v>366</v>
      </c>
      <c r="F3902" s="9" t="s">
        <v>366</v>
      </c>
      <c r="G3902" s="18">
        <v>4253</v>
      </c>
      <c r="H3902">
        <v>0</v>
      </c>
      <c r="I3902" s="29">
        <f t="shared" si="60"/>
        <v>4253</v>
      </c>
      <c r="J3902" t="str">
        <f>IFERROR(VLOOKUP(E3902,'LEAID Match'!$A$2:$B$168,2,FALSE),"")</f>
        <v/>
      </c>
    </row>
    <row r="3903" spans="1:10">
      <c r="A3903">
        <v>2021</v>
      </c>
      <c r="B3903" t="s">
        <v>1429</v>
      </c>
      <c r="C3903" t="s">
        <v>1431</v>
      </c>
      <c r="D3903" t="s">
        <v>1433</v>
      </c>
      <c r="E3903" t="s">
        <v>366</v>
      </c>
      <c r="F3903" s="9" t="s">
        <v>366</v>
      </c>
      <c r="G3903" s="18">
        <v>4278</v>
      </c>
      <c r="H3903">
        <v>0</v>
      </c>
      <c r="I3903" s="29">
        <f t="shared" si="60"/>
        <v>4278</v>
      </c>
      <c r="J3903" t="str">
        <f>IFERROR(VLOOKUP(E3903,'LEAID Match'!$A$2:$B$168,2,FALSE),"")</f>
        <v/>
      </c>
    </row>
    <row r="3904" spans="1:10">
      <c r="A3904">
        <v>2022</v>
      </c>
      <c r="B3904" t="s">
        <v>1429</v>
      </c>
      <c r="C3904" t="s">
        <v>1431</v>
      </c>
      <c r="D3904" t="s">
        <v>1433</v>
      </c>
      <c r="E3904" t="s">
        <v>366</v>
      </c>
      <c r="F3904" s="9" t="s">
        <v>366</v>
      </c>
      <c r="G3904" s="18">
        <v>5541</v>
      </c>
      <c r="H3904">
        <v>0</v>
      </c>
      <c r="I3904" s="29">
        <f t="shared" si="60"/>
        <v>5541</v>
      </c>
      <c r="J3904" t="str">
        <f>IFERROR(VLOOKUP(E3904,'LEAID Match'!$A$2:$B$168,2,FALSE),"")</f>
        <v/>
      </c>
    </row>
    <row r="3905" spans="1:10">
      <c r="A3905">
        <v>2023</v>
      </c>
      <c r="B3905" t="s">
        <v>1429</v>
      </c>
      <c r="C3905" t="s">
        <v>1431</v>
      </c>
      <c r="D3905" t="s">
        <v>1433</v>
      </c>
      <c r="E3905" t="s">
        <v>366</v>
      </c>
      <c r="F3905" t="s">
        <v>366</v>
      </c>
      <c r="G3905" s="28">
        <v>5796</v>
      </c>
      <c r="H3905">
        <v>0</v>
      </c>
      <c r="I3905" s="29">
        <f t="shared" si="60"/>
        <v>5796</v>
      </c>
      <c r="J3905" t="str">
        <f>IFERROR(VLOOKUP(E3905,'LEAID Match'!$A$2:$B$168,2,FALSE),"")</f>
        <v/>
      </c>
    </row>
    <row r="3906" spans="1:10">
      <c r="A3906" s="27">
        <v>2020</v>
      </c>
      <c r="B3906" t="s">
        <v>1429</v>
      </c>
      <c r="C3906" t="s">
        <v>1431</v>
      </c>
      <c r="D3906" t="s">
        <v>1433</v>
      </c>
      <c r="E3906" t="s">
        <v>367</v>
      </c>
      <c r="F3906" s="9" t="s">
        <v>367</v>
      </c>
      <c r="G3906" s="18">
        <v>113173</v>
      </c>
      <c r="H3906">
        <v>0</v>
      </c>
      <c r="I3906" s="29">
        <f t="shared" si="60"/>
        <v>113173</v>
      </c>
      <c r="J3906" t="str">
        <f>IFERROR(VLOOKUP(E3906,'LEAID Match'!$A$2:$B$168,2,FALSE),"")</f>
        <v/>
      </c>
    </row>
    <row r="3907" spans="1:10">
      <c r="A3907">
        <v>2021</v>
      </c>
      <c r="B3907" t="s">
        <v>1429</v>
      </c>
      <c r="C3907" t="s">
        <v>1431</v>
      </c>
      <c r="D3907" t="s">
        <v>1433</v>
      </c>
      <c r="E3907" t="s">
        <v>367</v>
      </c>
      <c r="F3907" s="9" t="s">
        <v>367</v>
      </c>
      <c r="G3907" s="18">
        <v>126929</v>
      </c>
      <c r="H3907">
        <v>0</v>
      </c>
      <c r="I3907" s="29">
        <f t="shared" ref="I3907:I3970" si="61">SUM(G3907:H3907)</f>
        <v>126929</v>
      </c>
      <c r="J3907" t="str">
        <f>IFERROR(VLOOKUP(E3907,'LEAID Match'!$A$2:$B$168,2,FALSE),"")</f>
        <v/>
      </c>
    </row>
    <row r="3908" spans="1:10">
      <c r="A3908">
        <v>2022</v>
      </c>
      <c r="B3908" t="s">
        <v>1429</v>
      </c>
      <c r="C3908" t="s">
        <v>1431</v>
      </c>
      <c r="D3908" t="s">
        <v>1433</v>
      </c>
      <c r="E3908" t="s">
        <v>367</v>
      </c>
      <c r="F3908" s="9" t="s">
        <v>367</v>
      </c>
      <c r="G3908" s="18">
        <v>171773</v>
      </c>
      <c r="H3908">
        <v>0</v>
      </c>
      <c r="I3908" s="29">
        <f t="shared" si="61"/>
        <v>171773</v>
      </c>
      <c r="J3908" t="str">
        <f>IFERROR(VLOOKUP(E3908,'LEAID Match'!$A$2:$B$168,2,FALSE),"")</f>
        <v/>
      </c>
    </row>
    <row r="3909" spans="1:10">
      <c r="A3909">
        <v>2023</v>
      </c>
      <c r="B3909" t="s">
        <v>1429</v>
      </c>
      <c r="C3909" t="s">
        <v>1431</v>
      </c>
      <c r="D3909" t="s">
        <v>1433</v>
      </c>
      <c r="E3909" t="s">
        <v>367</v>
      </c>
      <c r="F3909" t="s">
        <v>367</v>
      </c>
      <c r="G3909" s="28">
        <v>172582</v>
      </c>
      <c r="H3909">
        <v>0</v>
      </c>
      <c r="I3909" s="29">
        <f t="shared" si="61"/>
        <v>172582</v>
      </c>
      <c r="J3909" t="str">
        <f>IFERROR(VLOOKUP(E3909,'LEAID Match'!$A$2:$B$168,2,FALSE),"")</f>
        <v/>
      </c>
    </row>
    <row r="3910" spans="1:10">
      <c r="A3910" s="27">
        <v>2020</v>
      </c>
      <c r="B3910" t="s">
        <v>1429</v>
      </c>
      <c r="C3910" t="s">
        <v>1431</v>
      </c>
      <c r="D3910" t="s">
        <v>1433</v>
      </c>
      <c r="E3910" t="s">
        <v>368</v>
      </c>
      <c r="F3910" s="9" t="s">
        <v>368</v>
      </c>
      <c r="G3910" s="18">
        <v>9160</v>
      </c>
      <c r="H3910">
        <v>0</v>
      </c>
      <c r="I3910" s="29">
        <f t="shared" si="61"/>
        <v>9160</v>
      </c>
      <c r="J3910" t="str">
        <f>IFERROR(VLOOKUP(E3910,'LEAID Match'!$A$2:$B$168,2,FALSE),"")</f>
        <v/>
      </c>
    </row>
    <row r="3911" spans="1:10">
      <c r="A3911">
        <v>2021</v>
      </c>
      <c r="B3911" t="s">
        <v>1429</v>
      </c>
      <c r="C3911" t="s">
        <v>1431</v>
      </c>
      <c r="D3911" t="s">
        <v>1433</v>
      </c>
      <c r="E3911" t="s">
        <v>368</v>
      </c>
      <c r="F3911" s="9" t="s">
        <v>368</v>
      </c>
      <c r="G3911" s="18">
        <v>9416</v>
      </c>
      <c r="H3911">
        <v>0</v>
      </c>
      <c r="I3911" s="29">
        <f t="shared" si="61"/>
        <v>9416</v>
      </c>
      <c r="J3911" t="str">
        <f>IFERROR(VLOOKUP(E3911,'LEAID Match'!$A$2:$B$168,2,FALSE),"")</f>
        <v/>
      </c>
    </row>
    <row r="3912" spans="1:10">
      <c r="A3912">
        <v>2022</v>
      </c>
      <c r="B3912" t="s">
        <v>1429</v>
      </c>
      <c r="C3912" t="s">
        <v>1431</v>
      </c>
      <c r="D3912" t="s">
        <v>1433</v>
      </c>
      <c r="E3912" t="s">
        <v>368</v>
      </c>
      <c r="F3912" s="9" t="s">
        <v>368</v>
      </c>
      <c r="G3912" s="18">
        <v>10712</v>
      </c>
      <c r="H3912">
        <v>0</v>
      </c>
      <c r="I3912" s="29">
        <f t="shared" si="61"/>
        <v>10712</v>
      </c>
      <c r="J3912" t="str">
        <f>IFERROR(VLOOKUP(E3912,'LEAID Match'!$A$2:$B$168,2,FALSE),"")</f>
        <v/>
      </c>
    </row>
    <row r="3913" spans="1:10">
      <c r="A3913">
        <v>2023</v>
      </c>
      <c r="B3913" t="s">
        <v>1429</v>
      </c>
      <c r="C3913" t="s">
        <v>1431</v>
      </c>
      <c r="D3913" t="s">
        <v>1433</v>
      </c>
      <c r="E3913" t="s">
        <v>368</v>
      </c>
      <c r="F3913" t="s">
        <v>368</v>
      </c>
      <c r="G3913" s="28">
        <v>12516</v>
      </c>
      <c r="H3913">
        <v>0</v>
      </c>
      <c r="I3913" s="29">
        <f t="shared" si="61"/>
        <v>12516</v>
      </c>
      <c r="J3913" t="str">
        <f>IFERROR(VLOOKUP(E3913,'LEAID Match'!$A$2:$B$168,2,FALSE),"")</f>
        <v/>
      </c>
    </row>
    <row r="3914" spans="1:10">
      <c r="A3914" s="27">
        <v>2020</v>
      </c>
      <c r="B3914" t="s">
        <v>1429</v>
      </c>
      <c r="C3914" t="s">
        <v>1431</v>
      </c>
      <c r="D3914" t="s">
        <v>1433</v>
      </c>
      <c r="E3914" t="s">
        <v>369</v>
      </c>
      <c r="F3914" s="9" t="s">
        <v>369</v>
      </c>
      <c r="G3914" s="18">
        <v>403701</v>
      </c>
      <c r="H3914">
        <v>0</v>
      </c>
      <c r="I3914" s="29">
        <f t="shared" si="61"/>
        <v>403701</v>
      </c>
      <c r="J3914" t="str">
        <f>IFERROR(VLOOKUP(E3914,'LEAID Match'!$A$2:$B$168,2,FALSE),"")</f>
        <v/>
      </c>
    </row>
    <row r="3915" spans="1:10">
      <c r="A3915">
        <v>2021</v>
      </c>
      <c r="B3915" t="s">
        <v>1429</v>
      </c>
      <c r="C3915" t="s">
        <v>1431</v>
      </c>
      <c r="D3915" t="s">
        <v>1433</v>
      </c>
      <c r="E3915" t="s">
        <v>369</v>
      </c>
      <c r="F3915" s="9" t="s">
        <v>369</v>
      </c>
      <c r="G3915" s="18">
        <v>393426</v>
      </c>
      <c r="H3915">
        <v>0</v>
      </c>
      <c r="I3915" s="29">
        <f t="shared" si="61"/>
        <v>393426</v>
      </c>
      <c r="J3915" t="str">
        <f>IFERROR(VLOOKUP(E3915,'LEAID Match'!$A$2:$B$168,2,FALSE),"")</f>
        <v/>
      </c>
    </row>
    <row r="3916" spans="1:10">
      <c r="A3916">
        <v>2022</v>
      </c>
      <c r="B3916" t="s">
        <v>1429</v>
      </c>
      <c r="C3916" t="s">
        <v>1431</v>
      </c>
      <c r="D3916" t="s">
        <v>1433</v>
      </c>
      <c r="E3916" t="s">
        <v>369</v>
      </c>
      <c r="F3916" s="9" t="s">
        <v>369</v>
      </c>
      <c r="G3916" s="18">
        <v>534845</v>
      </c>
      <c r="H3916">
        <v>0</v>
      </c>
      <c r="I3916" s="29">
        <f t="shared" si="61"/>
        <v>534845</v>
      </c>
      <c r="J3916" t="str">
        <f>IFERROR(VLOOKUP(E3916,'LEAID Match'!$A$2:$B$168,2,FALSE),"")</f>
        <v/>
      </c>
    </row>
    <row r="3917" spans="1:10">
      <c r="A3917">
        <v>2023</v>
      </c>
      <c r="B3917" t="s">
        <v>1429</v>
      </c>
      <c r="C3917" t="s">
        <v>1431</v>
      </c>
      <c r="D3917" t="s">
        <v>1433</v>
      </c>
      <c r="E3917" t="s">
        <v>369</v>
      </c>
      <c r="F3917" t="s">
        <v>369</v>
      </c>
      <c r="G3917" s="28">
        <v>547773</v>
      </c>
      <c r="H3917">
        <v>0</v>
      </c>
      <c r="I3917" s="29">
        <f t="shared" si="61"/>
        <v>547773</v>
      </c>
      <c r="J3917" t="str">
        <f>IFERROR(VLOOKUP(E3917,'LEAID Match'!$A$2:$B$168,2,FALSE),"")</f>
        <v/>
      </c>
    </row>
    <row r="3918" spans="1:10">
      <c r="A3918" s="27">
        <v>2020</v>
      </c>
      <c r="B3918" t="s">
        <v>1429</v>
      </c>
      <c r="C3918" t="s">
        <v>1431</v>
      </c>
      <c r="D3918" t="s">
        <v>1433</v>
      </c>
      <c r="E3918" t="s">
        <v>370</v>
      </c>
      <c r="F3918" s="9" t="s">
        <v>370</v>
      </c>
      <c r="G3918" s="18">
        <v>52220</v>
      </c>
      <c r="H3918">
        <v>0</v>
      </c>
      <c r="I3918" s="29">
        <f t="shared" si="61"/>
        <v>52220</v>
      </c>
      <c r="J3918" t="str">
        <f>IFERROR(VLOOKUP(E3918,'LEAID Match'!$A$2:$B$168,2,FALSE),"")</f>
        <v/>
      </c>
    </row>
    <row r="3919" spans="1:10">
      <c r="A3919">
        <v>2021</v>
      </c>
      <c r="B3919" t="s">
        <v>1429</v>
      </c>
      <c r="C3919" t="s">
        <v>1431</v>
      </c>
      <c r="D3919" t="s">
        <v>1433</v>
      </c>
      <c r="E3919" t="s">
        <v>370</v>
      </c>
      <c r="F3919" s="9" t="s">
        <v>370</v>
      </c>
      <c r="G3919" s="18">
        <v>58243</v>
      </c>
      <c r="H3919">
        <v>0</v>
      </c>
      <c r="I3919" s="29">
        <f t="shared" si="61"/>
        <v>58243</v>
      </c>
      <c r="J3919" t="str">
        <f>IFERROR(VLOOKUP(E3919,'LEAID Match'!$A$2:$B$168,2,FALSE),"")</f>
        <v/>
      </c>
    </row>
    <row r="3920" spans="1:10">
      <c r="A3920">
        <v>2022</v>
      </c>
      <c r="B3920" t="s">
        <v>1429</v>
      </c>
      <c r="C3920" t="s">
        <v>1431</v>
      </c>
      <c r="D3920" t="s">
        <v>1433</v>
      </c>
      <c r="E3920" t="s">
        <v>370</v>
      </c>
      <c r="F3920" s="9" t="s">
        <v>370</v>
      </c>
      <c r="G3920" s="18">
        <v>79500</v>
      </c>
      <c r="H3920">
        <v>0</v>
      </c>
      <c r="I3920" s="29">
        <f t="shared" si="61"/>
        <v>79500</v>
      </c>
      <c r="J3920" t="str">
        <f>IFERROR(VLOOKUP(E3920,'LEAID Match'!$A$2:$B$168,2,FALSE),"")</f>
        <v/>
      </c>
    </row>
    <row r="3921" spans="1:10">
      <c r="A3921">
        <v>2023</v>
      </c>
      <c r="B3921" t="s">
        <v>1429</v>
      </c>
      <c r="C3921" t="s">
        <v>1431</v>
      </c>
      <c r="D3921" t="s">
        <v>1433</v>
      </c>
      <c r="E3921" t="s">
        <v>370</v>
      </c>
      <c r="F3921" t="s">
        <v>370</v>
      </c>
      <c r="G3921" s="28">
        <v>83919</v>
      </c>
      <c r="H3921">
        <v>0</v>
      </c>
      <c r="I3921" s="29">
        <f t="shared" si="61"/>
        <v>83919</v>
      </c>
      <c r="J3921" t="str">
        <f>IFERROR(VLOOKUP(E3921,'LEAID Match'!$A$2:$B$168,2,FALSE),"")</f>
        <v/>
      </c>
    </row>
    <row r="3922" spans="1:10">
      <c r="A3922" s="27">
        <v>2020</v>
      </c>
      <c r="B3922" t="s">
        <v>1429</v>
      </c>
      <c r="C3922" t="s">
        <v>1431</v>
      </c>
      <c r="D3922" t="s">
        <v>1433</v>
      </c>
      <c r="E3922" t="s">
        <v>371</v>
      </c>
      <c r="F3922" s="9" t="s">
        <v>371</v>
      </c>
      <c r="G3922" s="18">
        <v>282900</v>
      </c>
      <c r="H3922">
        <v>0</v>
      </c>
      <c r="I3922" s="29">
        <f t="shared" si="61"/>
        <v>282900</v>
      </c>
      <c r="J3922" t="str">
        <f>IFERROR(VLOOKUP(E3922,'LEAID Match'!$A$2:$B$168,2,FALSE),"")</f>
        <v/>
      </c>
    </row>
    <row r="3923" spans="1:10">
      <c r="A3923">
        <v>2021</v>
      </c>
      <c r="B3923" t="s">
        <v>1429</v>
      </c>
      <c r="C3923" t="s">
        <v>1431</v>
      </c>
      <c r="D3923" t="s">
        <v>1433</v>
      </c>
      <c r="E3923" t="s">
        <v>371</v>
      </c>
      <c r="F3923" s="9" t="s">
        <v>371</v>
      </c>
      <c r="G3923" s="18">
        <v>297562</v>
      </c>
      <c r="H3923">
        <v>0</v>
      </c>
      <c r="I3923" s="29">
        <f t="shared" si="61"/>
        <v>297562</v>
      </c>
      <c r="J3923" t="str">
        <f>IFERROR(VLOOKUP(E3923,'LEAID Match'!$A$2:$B$168,2,FALSE),"")</f>
        <v/>
      </c>
    </row>
    <row r="3924" spans="1:10">
      <c r="A3924">
        <v>2022</v>
      </c>
      <c r="B3924" t="s">
        <v>1429</v>
      </c>
      <c r="C3924" t="s">
        <v>1431</v>
      </c>
      <c r="D3924" t="s">
        <v>1433</v>
      </c>
      <c r="E3924" t="s">
        <v>371</v>
      </c>
      <c r="F3924" s="9" t="s">
        <v>371</v>
      </c>
      <c r="G3924" s="18">
        <v>375548</v>
      </c>
      <c r="H3924">
        <v>0</v>
      </c>
      <c r="I3924" s="29">
        <f t="shared" si="61"/>
        <v>375548</v>
      </c>
      <c r="J3924" t="str">
        <f>IFERROR(VLOOKUP(E3924,'LEAID Match'!$A$2:$B$168,2,FALSE),"")</f>
        <v/>
      </c>
    </row>
    <row r="3925" spans="1:10">
      <c r="A3925">
        <v>2023</v>
      </c>
      <c r="B3925" t="s">
        <v>1429</v>
      </c>
      <c r="C3925" t="s">
        <v>1431</v>
      </c>
      <c r="D3925" t="s">
        <v>1433</v>
      </c>
      <c r="E3925" t="s">
        <v>371</v>
      </c>
      <c r="F3925" t="s">
        <v>371</v>
      </c>
      <c r="G3925" s="28">
        <v>382695</v>
      </c>
      <c r="H3925">
        <v>0</v>
      </c>
      <c r="I3925" s="29">
        <f t="shared" si="61"/>
        <v>382695</v>
      </c>
      <c r="J3925" t="str">
        <f>IFERROR(VLOOKUP(E3925,'LEAID Match'!$A$2:$B$168,2,FALSE),"")</f>
        <v/>
      </c>
    </row>
    <row r="3926" spans="1:10">
      <c r="A3926" s="27">
        <v>2020</v>
      </c>
      <c r="B3926" t="s">
        <v>1429</v>
      </c>
      <c r="C3926" t="s">
        <v>1431</v>
      </c>
      <c r="D3926" t="s">
        <v>1433</v>
      </c>
      <c r="E3926" t="s">
        <v>372</v>
      </c>
      <c r="F3926" s="9" t="s">
        <v>372</v>
      </c>
      <c r="G3926" s="18">
        <v>50968</v>
      </c>
      <c r="H3926">
        <v>0</v>
      </c>
      <c r="I3926" s="29">
        <f t="shared" si="61"/>
        <v>50968</v>
      </c>
      <c r="J3926" t="str">
        <f>IFERROR(VLOOKUP(E3926,'LEAID Match'!$A$2:$B$168,2,FALSE),"")</f>
        <v/>
      </c>
    </row>
    <row r="3927" spans="1:10">
      <c r="A3927">
        <v>2021</v>
      </c>
      <c r="B3927" t="s">
        <v>1429</v>
      </c>
      <c r="C3927" t="s">
        <v>1431</v>
      </c>
      <c r="D3927" t="s">
        <v>1433</v>
      </c>
      <c r="E3927" t="s">
        <v>372</v>
      </c>
      <c r="F3927" s="9" t="s">
        <v>372</v>
      </c>
      <c r="G3927" s="18">
        <v>53803</v>
      </c>
      <c r="H3927">
        <v>0</v>
      </c>
      <c r="I3927" s="29">
        <f t="shared" si="61"/>
        <v>53803</v>
      </c>
      <c r="J3927" t="str">
        <f>IFERROR(VLOOKUP(E3927,'LEAID Match'!$A$2:$B$168,2,FALSE),"")</f>
        <v/>
      </c>
    </row>
    <row r="3928" spans="1:10">
      <c r="A3928">
        <v>2022</v>
      </c>
      <c r="B3928" t="s">
        <v>1429</v>
      </c>
      <c r="C3928" t="s">
        <v>1431</v>
      </c>
      <c r="D3928" t="s">
        <v>1433</v>
      </c>
      <c r="E3928" t="s">
        <v>372</v>
      </c>
      <c r="F3928" s="9" t="s">
        <v>372</v>
      </c>
      <c r="G3928" s="18">
        <v>64588</v>
      </c>
      <c r="H3928">
        <v>0</v>
      </c>
      <c r="I3928" s="29">
        <f t="shared" si="61"/>
        <v>64588</v>
      </c>
      <c r="J3928" t="str">
        <f>IFERROR(VLOOKUP(E3928,'LEAID Match'!$A$2:$B$168,2,FALSE),"")</f>
        <v/>
      </c>
    </row>
    <row r="3929" spans="1:10">
      <c r="A3929">
        <v>2023</v>
      </c>
      <c r="B3929" t="s">
        <v>1429</v>
      </c>
      <c r="C3929" t="s">
        <v>1431</v>
      </c>
      <c r="D3929" t="s">
        <v>1433</v>
      </c>
      <c r="E3929" t="s">
        <v>372</v>
      </c>
      <c r="F3929" t="s">
        <v>372</v>
      </c>
      <c r="G3929" s="28">
        <v>94985</v>
      </c>
      <c r="H3929">
        <v>0</v>
      </c>
      <c r="I3929" s="29">
        <f t="shared" si="61"/>
        <v>94985</v>
      </c>
      <c r="J3929" t="str">
        <f>IFERROR(VLOOKUP(E3929,'LEAID Match'!$A$2:$B$168,2,FALSE),"")</f>
        <v/>
      </c>
    </row>
    <row r="3930" spans="1:10">
      <c r="A3930" s="27">
        <v>2020</v>
      </c>
      <c r="B3930" t="s">
        <v>1429</v>
      </c>
      <c r="C3930" t="s">
        <v>1431</v>
      </c>
      <c r="D3930" t="s">
        <v>1433</v>
      </c>
      <c r="E3930" t="s">
        <v>373</v>
      </c>
      <c r="F3930" s="9" t="s">
        <v>373</v>
      </c>
      <c r="G3930" s="18">
        <v>208767</v>
      </c>
      <c r="H3930">
        <v>0</v>
      </c>
      <c r="I3930" s="29">
        <f t="shared" si="61"/>
        <v>208767</v>
      </c>
      <c r="J3930" t="str">
        <f>IFERROR(VLOOKUP(E3930,'LEAID Match'!$A$2:$B$168,2,FALSE),"")</f>
        <v/>
      </c>
    </row>
    <row r="3931" spans="1:10">
      <c r="A3931">
        <v>2021</v>
      </c>
      <c r="B3931" t="s">
        <v>1429</v>
      </c>
      <c r="C3931" t="s">
        <v>1431</v>
      </c>
      <c r="D3931" t="s">
        <v>1433</v>
      </c>
      <c r="E3931" t="s">
        <v>373</v>
      </c>
      <c r="F3931" s="9" t="s">
        <v>373</v>
      </c>
      <c r="G3931" s="18">
        <v>200444</v>
      </c>
      <c r="H3931">
        <v>0</v>
      </c>
      <c r="I3931" s="29">
        <f t="shared" si="61"/>
        <v>200444</v>
      </c>
      <c r="J3931" t="str">
        <f>IFERROR(VLOOKUP(E3931,'LEAID Match'!$A$2:$B$168,2,FALSE),"")</f>
        <v/>
      </c>
    </row>
    <row r="3932" spans="1:10">
      <c r="A3932">
        <v>2022</v>
      </c>
      <c r="B3932" t="s">
        <v>1429</v>
      </c>
      <c r="C3932" t="s">
        <v>1431</v>
      </c>
      <c r="D3932" t="s">
        <v>1433</v>
      </c>
      <c r="E3932" t="s">
        <v>373</v>
      </c>
      <c r="F3932" s="9" t="s">
        <v>373</v>
      </c>
      <c r="G3932" s="18">
        <v>258123</v>
      </c>
      <c r="H3932">
        <v>0</v>
      </c>
      <c r="I3932" s="29">
        <f t="shared" si="61"/>
        <v>258123</v>
      </c>
      <c r="J3932" t="str">
        <f>IFERROR(VLOOKUP(E3932,'LEAID Match'!$A$2:$B$168,2,FALSE),"")</f>
        <v/>
      </c>
    </row>
    <row r="3933" spans="1:10">
      <c r="A3933">
        <v>2023</v>
      </c>
      <c r="B3933" t="s">
        <v>1429</v>
      </c>
      <c r="C3933" t="s">
        <v>1431</v>
      </c>
      <c r="D3933" t="s">
        <v>1433</v>
      </c>
      <c r="E3933" t="s">
        <v>373</v>
      </c>
      <c r="F3933" t="s">
        <v>373</v>
      </c>
      <c r="G3933" s="28">
        <v>281854</v>
      </c>
      <c r="H3933">
        <v>0</v>
      </c>
      <c r="I3933" s="29">
        <f t="shared" si="61"/>
        <v>281854</v>
      </c>
      <c r="J3933" t="str">
        <f>IFERROR(VLOOKUP(E3933,'LEAID Match'!$A$2:$B$168,2,FALSE),"")</f>
        <v/>
      </c>
    </row>
    <row r="3934" spans="1:10">
      <c r="A3934" s="27">
        <v>2020</v>
      </c>
      <c r="B3934" t="s">
        <v>1429</v>
      </c>
      <c r="C3934" t="s">
        <v>1431</v>
      </c>
      <c r="D3934" t="s">
        <v>1433</v>
      </c>
      <c r="E3934" t="s">
        <v>374</v>
      </c>
      <c r="F3934" s="9" t="s">
        <v>374</v>
      </c>
      <c r="G3934" s="18">
        <v>100885</v>
      </c>
      <c r="H3934">
        <v>0</v>
      </c>
      <c r="I3934" s="29">
        <f t="shared" si="61"/>
        <v>100885</v>
      </c>
      <c r="J3934" t="str">
        <f>IFERROR(VLOOKUP(E3934,'LEAID Match'!$A$2:$B$168,2,FALSE),"")</f>
        <v/>
      </c>
    </row>
    <row r="3935" spans="1:10">
      <c r="A3935">
        <v>2021</v>
      </c>
      <c r="B3935" t="s">
        <v>1429</v>
      </c>
      <c r="C3935" t="s">
        <v>1431</v>
      </c>
      <c r="D3935" t="s">
        <v>1433</v>
      </c>
      <c r="E3935" t="s">
        <v>374</v>
      </c>
      <c r="F3935" s="9" t="s">
        <v>374</v>
      </c>
      <c r="G3935" s="18">
        <v>89772</v>
      </c>
      <c r="H3935">
        <v>0</v>
      </c>
      <c r="I3935" s="29">
        <f t="shared" si="61"/>
        <v>89772</v>
      </c>
      <c r="J3935" t="str">
        <f>IFERROR(VLOOKUP(E3935,'LEAID Match'!$A$2:$B$168,2,FALSE),"")</f>
        <v/>
      </c>
    </row>
    <row r="3936" spans="1:10">
      <c r="A3936">
        <v>2022</v>
      </c>
      <c r="B3936" t="s">
        <v>1429</v>
      </c>
      <c r="C3936" t="s">
        <v>1431</v>
      </c>
      <c r="D3936" t="s">
        <v>1433</v>
      </c>
      <c r="E3936" t="s">
        <v>374</v>
      </c>
      <c r="F3936" s="9" t="s">
        <v>374</v>
      </c>
      <c r="G3936" s="18">
        <v>111363</v>
      </c>
      <c r="H3936">
        <v>0</v>
      </c>
      <c r="I3936" s="29">
        <f t="shared" si="61"/>
        <v>111363</v>
      </c>
      <c r="J3936" t="str">
        <f>IFERROR(VLOOKUP(E3936,'LEAID Match'!$A$2:$B$168,2,FALSE),"")</f>
        <v/>
      </c>
    </row>
    <row r="3937" spans="1:10">
      <c r="A3937">
        <v>2023</v>
      </c>
      <c r="B3937" t="s">
        <v>1429</v>
      </c>
      <c r="C3937" t="s">
        <v>1431</v>
      </c>
      <c r="D3937" t="s">
        <v>1433</v>
      </c>
      <c r="E3937" t="s">
        <v>374</v>
      </c>
      <c r="F3937" t="s">
        <v>374</v>
      </c>
      <c r="G3937" s="28">
        <v>129657</v>
      </c>
      <c r="H3937">
        <v>0</v>
      </c>
      <c r="I3937" s="29">
        <f t="shared" si="61"/>
        <v>129657</v>
      </c>
      <c r="J3937" t="str">
        <f>IFERROR(VLOOKUP(E3937,'LEAID Match'!$A$2:$B$168,2,FALSE),"")</f>
        <v/>
      </c>
    </row>
    <row r="3938" spans="1:10">
      <c r="A3938" s="27">
        <v>2020</v>
      </c>
      <c r="B3938" t="s">
        <v>1429</v>
      </c>
      <c r="C3938" t="s">
        <v>1431</v>
      </c>
      <c r="D3938" t="s">
        <v>1433</v>
      </c>
      <c r="E3938" t="s">
        <v>375</v>
      </c>
      <c r="F3938" s="9" t="s">
        <v>375</v>
      </c>
      <c r="G3938" s="18">
        <v>126719</v>
      </c>
      <c r="H3938">
        <v>0</v>
      </c>
      <c r="I3938" s="29">
        <f t="shared" si="61"/>
        <v>126719</v>
      </c>
      <c r="J3938" t="str">
        <f>IFERROR(VLOOKUP(E3938,'LEAID Match'!$A$2:$B$168,2,FALSE),"")</f>
        <v/>
      </c>
    </row>
    <row r="3939" spans="1:10">
      <c r="A3939">
        <v>2021</v>
      </c>
      <c r="B3939" t="s">
        <v>1429</v>
      </c>
      <c r="C3939" t="s">
        <v>1431</v>
      </c>
      <c r="D3939" t="s">
        <v>1433</v>
      </c>
      <c r="E3939" t="s">
        <v>375</v>
      </c>
      <c r="F3939" s="9" t="s">
        <v>375</v>
      </c>
      <c r="G3939" s="18">
        <v>145366</v>
      </c>
      <c r="H3939">
        <v>0</v>
      </c>
      <c r="I3939" s="29">
        <f t="shared" si="61"/>
        <v>145366</v>
      </c>
      <c r="J3939" t="str">
        <f>IFERROR(VLOOKUP(E3939,'LEAID Match'!$A$2:$B$168,2,FALSE),"")</f>
        <v/>
      </c>
    </row>
    <row r="3940" spans="1:10">
      <c r="A3940">
        <v>2022</v>
      </c>
      <c r="B3940" t="s">
        <v>1429</v>
      </c>
      <c r="C3940" t="s">
        <v>1431</v>
      </c>
      <c r="D3940" t="s">
        <v>1433</v>
      </c>
      <c r="E3940" t="s">
        <v>375</v>
      </c>
      <c r="F3940" s="9" t="s">
        <v>375</v>
      </c>
      <c r="G3940" s="18">
        <v>169782</v>
      </c>
      <c r="H3940">
        <v>0</v>
      </c>
      <c r="I3940" s="29">
        <f t="shared" si="61"/>
        <v>169782</v>
      </c>
      <c r="J3940" t="str">
        <f>IFERROR(VLOOKUP(E3940,'LEAID Match'!$A$2:$B$168,2,FALSE),"")</f>
        <v/>
      </c>
    </row>
    <row r="3941" spans="1:10">
      <c r="A3941">
        <v>2023</v>
      </c>
      <c r="B3941" t="s">
        <v>1429</v>
      </c>
      <c r="C3941" t="s">
        <v>1431</v>
      </c>
      <c r="D3941" t="s">
        <v>1433</v>
      </c>
      <c r="E3941" t="s">
        <v>375</v>
      </c>
      <c r="F3941" t="s">
        <v>375</v>
      </c>
      <c r="G3941" s="28">
        <v>189670</v>
      </c>
      <c r="H3941">
        <v>0</v>
      </c>
      <c r="I3941" s="29">
        <f t="shared" si="61"/>
        <v>189670</v>
      </c>
      <c r="J3941" t="str">
        <f>IFERROR(VLOOKUP(E3941,'LEAID Match'!$A$2:$B$168,2,FALSE),"")</f>
        <v/>
      </c>
    </row>
    <row r="3942" spans="1:10">
      <c r="A3942" s="27">
        <v>2020</v>
      </c>
      <c r="B3942" t="s">
        <v>1429</v>
      </c>
      <c r="C3942" t="s">
        <v>1431</v>
      </c>
      <c r="D3942" t="s">
        <v>1433</v>
      </c>
      <c r="E3942" t="s">
        <v>376</v>
      </c>
      <c r="F3942" s="9" t="s">
        <v>376</v>
      </c>
      <c r="G3942" s="18">
        <v>386014</v>
      </c>
      <c r="H3942">
        <v>0</v>
      </c>
      <c r="I3942" s="29">
        <f t="shared" si="61"/>
        <v>386014</v>
      </c>
      <c r="J3942" t="str">
        <f>IFERROR(VLOOKUP(E3942,'LEAID Match'!$A$2:$B$168,2,FALSE),"")</f>
        <v/>
      </c>
    </row>
    <row r="3943" spans="1:10">
      <c r="A3943">
        <v>2021</v>
      </c>
      <c r="B3943" t="s">
        <v>1429</v>
      </c>
      <c r="C3943" t="s">
        <v>1431</v>
      </c>
      <c r="D3943" t="s">
        <v>1433</v>
      </c>
      <c r="E3943" t="s">
        <v>376</v>
      </c>
      <c r="F3943" s="9" t="s">
        <v>376</v>
      </c>
      <c r="G3943" s="18">
        <v>361058</v>
      </c>
      <c r="H3943">
        <v>0</v>
      </c>
      <c r="I3943" s="29">
        <f t="shared" si="61"/>
        <v>361058</v>
      </c>
      <c r="J3943" t="str">
        <f>IFERROR(VLOOKUP(E3943,'LEAID Match'!$A$2:$B$168,2,FALSE),"")</f>
        <v/>
      </c>
    </row>
    <row r="3944" spans="1:10">
      <c r="A3944">
        <v>2022</v>
      </c>
      <c r="B3944" t="s">
        <v>1429</v>
      </c>
      <c r="C3944" t="s">
        <v>1431</v>
      </c>
      <c r="D3944" t="s">
        <v>1433</v>
      </c>
      <c r="E3944" t="s">
        <v>376</v>
      </c>
      <c r="F3944" s="9" t="s">
        <v>376</v>
      </c>
      <c r="G3944" s="18">
        <v>403868</v>
      </c>
      <c r="H3944">
        <v>0</v>
      </c>
      <c r="I3944" s="29">
        <f t="shared" si="61"/>
        <v>403868</v>
      </c>
      <c r="J3944" t="str">
        <f>IFERROR(VLOOKUP(E3944,'LEAID Match'!$A$2:$B$168,2,FALSE),"")</f>
        <v/>
      </c>
    </row>
    <row r="3945" spans="1:10">
      <c r="A3945">
        <v>2023</v>
      </c>
      <c r="B3945" t="s">
        <v>1429</v>
      </c>
      <c r="C3945" t="s">
        <v>1431</v>
      </c>
      <c r="D3945" t="s">
        <v>1433</v>
      </c>
      <c r="E3945" t="s">
        <v>376</v>
      </c>
      <c r="F3945" t="s">
        <v>376</v>
      </c>
      <c r="G3945" s="28">
        <v>400322</v>
      </c>
      <c r="H3945">
        <v>0</v>
      </c>
      <c r="I3945" s="29">
        <f t="shared" si="61"/>
        <v>400322</v>
      </c>
      <c r="J3945" t="str">
        <f>IFERROR(VLOOKUP(E3945,'LEAID Match'!$A$2:$B$168,2,FALSE),"")</f>
        <v/>
      </c>
    </row>
    <row r="3946" spans="1:10">
      <c r="A3946" s="27">
        <v>2020</v>
      </c>
      <c r="B3946" t="s">
        <v>1429</v>
      </c>
      <c r="C3946" t="s">
        <v>1431</v>
      </c>
      <c r="D3946" t="s">
        <v>1433</v>
      </c>
      <c r="E3946" t="s">
        <v>377</v>
      </c>
      <c r="F3946" s="9" t="s">
        <v>377</v>
      </c>
      <c r="G3946" s="18">
        <v>54435</v>
      </c>
      <c r="H3946">
        <v>0</v>
      </c>
      <c r="I3946" s="29">
        <f t="shared" si="61"/>
        <v>54435</v>
      </c>
      <c r="J3946" t="str">
        <f>IFERROR(VLOOKUP(E3946,'LEAID Match'!$A$2:$B$168,2,FALSE),"")</f>
        <v/>
      </c>
    </row>
    <row r="3947" spans="1:10">
      <c r="A3947">
        <v>2021</v>
      </c>
      <c r="B3947" t="s">
        <v>1429</v>
      </c>
      <c r="C3947" t="s">
        <v>1431</v>
      </c>
      <c r="D3947" t="s">
        <v>1433</v>
      </c>
      <c r="E3947" t="s">
        <v>377</v>
      </c>
      <c r="F3947" s="9" t="s">
        <v>377</v>
      </c>
      <c r="G3947" s="18">
        <v>74548</v>
      </c>
      <c r="H3947">
        <v>0</v>
      </c>
      <c r="I3947" s="29">
        <f t="shared" si="61"/>
        <v>74548</v>
      </c>
      <c r="J3947" t="str">
        <f>IFERROR(VLOOKUP(E3947,'LEAID Match'!$A$2:$B$168,2,FALSE),"")</f>
        <v/>
      </c>
    </row>
    <row r="3948" spans="1:10">
      <c r="A3948">
        <v>2022</v>
      </c>
      <c r="B3948" t="s">
        <v>1429</v>
      </c>
      <c r="C3948" t="s">
        <v>1431</v>
      </c>
      <c r="D3948" t="s">
        <v>1433</v>
      </c>
      <c r="E3948" t="s">
        <v>377</v>
      </c>
      <c r="F3948" s="9" t="s">
        <v>377</v>
      </c>
      <c r="G3948" s="18">
        <v>87154</v>
      </c>
      <c r="H3948">
        <v>0</v>
      </c>
      <c r="I3948" s="29">
        <f t="shared" si="61"/>
        <v>87154</v>
      </c>
      <c r="J3948" t="str">
        <f>IFERROR(VLOOKUP(E3948,'LEAID Match'!$A$2:$B$168,2,FALSE),"")</f>
        <v/>
      </c>
    </row>
    <row r="3949" spans="1:10">
      <c r="A3949">
        <v>2023</v>
      </c>
      <c r="B3949" t="s">
        <v>1429</v>
      </c>
      <c r="C3949" t="s">
        <v>1431</v>
      </c>
      <c r="D3949" t="s">
        <v>1433</v>
      </c>
      <c r="E3949" t="s">
        <v>377</v>
      </c>
      <c r="F3949" t="s">
        <v>377</v>
      </c>
      <c r="G3949" s="28">
        <v>95023</v>
      </c>
      <c r="H3949">
        <v>0</v>
      </c>
      <c r="I3949" s="29">
        <f t="shared" si="61"/>
        <v>95023</v>
      </c>
      <c r="J3949" t="str">
        <f>IFERROR(VLOOKUP(E3949,'LEAID Match'!$A$2:$B$168,2,FALSE),"")</f>
        <v/>
      </c>
    </row>
    <row r="3950" spans="1:10">
      <c r="A3950" s="27">
        <v>2020</v>
      </c>
      <c r="B3950" t="s">
        <v>1429</v>
      </c>
      <c r="C3950" t="s">
        <v>1431</v>
      </c>
      <c r="D3950" t="s">
        <v>1433</v>
      </c>
      <c r="E3950" t="s">
        <v>378</v>
      </c>
      <c r="F3950" s="9" t="s">
        <v>378</v>
      </c>
      <c r="G3950" s="18">
        <v>15994</v>
      </c>
      <c r="H3950">
        <v>0</v>
      </c>
      <c r="I3950" s="29">
        <f t="shared" si="61"/>
        <v>15994</v>
      </c>
      <c r="J3950" t="str">
        <f>IFERROR(VLOOKUP(E3950,'LEAID Match'!$A$2:$B$168,2,FALSE),"")</f>
        <v/>
      </c>
    </row>
    <row r="3951" spans="1:10">
      <c r="A3951">
        <v>2021</v>
      </c>
      <c r="B3951" t="s">
        <v>1429</v>
      </c>
      <c r="C3951" t="s">
        <v>1431</v>
      </c>
      <c r="D3951" t="s">
        <v>1433</v>
      </c>
      <c r="E3951" t="s">
        <v>378</v>
      </c>
      <c r="F3951" s="9" t="s">
        <v>378</v>
      </c>
      <c r="G3951" s="18">
        <v>16133</v>
      </c>
      <c r="H3951">
        <v>0</v>
      </c>
      <c r="I3951" s="29">
        <f t="shared" si="61"/>
        <v>16133</v>
      </c>
      <c r="J3951" t="str">
        <f>IFERROR(VLOOKUP(E3951,'LEAID Match'!$A$2:$B$168,2,FALSE),"")</f>
        <v/>
      </c>
    </row>
    <row r="3952" spans="1:10">
      <c r="A3952">
        <v>2022</v>
      </c>
      <c r="B3952" t="s">
        <v>1429</v>
      </c>
      <c r="C3952" t="s">
        <v>1431</v>
      </c>
      <c r="D3952" t="s">
        <v>1433</v>
      </c>
      <c r="E3952" t="s">
        <v>378</v>
      </c>
      <c r="F3952" s="9" t="s">
        <v>378</v>
      </c>
      <c r="G3952" s="18">
        <v>20005</v>
      </c>
      <c r="H3952">
        <v>0</v>
      </c>
      <c r="I3952" s="29">
        <f t="shared" si="61"/>
        <v>20005</v>
      </c>
      <c r="J3952" t="str">
        <f>IFERROR(VLOOKUP(E3952,'LEAID Match'!$A$2:$B$168,2,FALSE),"")</f>
        <v/>
      </c>
    </row>
    <row r="3953" spans="1:10">
      <c r="A3953">
        <v>2023</v>
      </c>
      <c r="B3953" t="s">
        <v>1429</v>
      </c>
      <c r="C3953" t="s">
        <v>1431</v>
      </c>
      <c r="D3953" t="s">
        <v>1433</v>
      </c>
      <c r="E3953" t="s">
        <v>378</v>
      </c>
      <c r="F3953" t="s">
        <v>378</v>
      </c>
      <c r="G3953" s="28">
        <v>20337</v>
      </c>
      <c r="H3953">
        <v>0</v>
      </c>
      <c r="I3953" s="29">
        <f t="shared" si="61"/>
        <v>20337</v>
      </c>
      <c r="J3953" t="str">
        <f>IFERROR(VLOOKUP(E3953,'LEAID Match'!$A$2:$B$168,2,FALSE),"")</f>
        <v/>
      </c>
    </row>
    <row r="3954" spans="1:10">
      <c r="A3954" s="27">
        <v>2020</v>
      </c>
      <c r="B3954" t="s">
        <v>1429</v>
      </c>
      <c r="C3954" t="s">
        <v>1431</v>
      </c>
      <c r="D3954" t="s">
        <v>1433</v>
      </c>
      <c r="E3954" t="s">
        <v>379</v>
      </c>
      <c r="F3954" s="9" t="s">
        <v>379</v>
      </c>
      <c r="G3954" s="18">
        <v>167496</v>
      </c>
      <c r="H3954">
        <v>0</v>
      </c>
      <c r="I3954" s="29">
        <f t="shared" si="61"/>
        <v>167496</v>
      </c>
      <c r="J3954" t="str">
        <f>IFERROR(VLOOKUP(E3954,'LEAID Match'!$A$2:$B$168,2,FALSE),"")</f>
        <v/>
      </c>
    </row>
    <row r="3955" spans="1:10">
      <c r="A3955">
        <v>2021</v>
      </c>
      <c r="B3955" t="s">
        <v>1429</v>
      </c>
      <c r="C3955" t="s">
        <v>1431</v>
      </c>
      <c r="D3955" t="s">
        <v>1433</v>
      </c>
      <c r="E3955" t="s">
        <v>379</v>
      </c>
      <c r="F3955" s="9" t="s">
        <v>379</v>
      </c>
      <c r="G3955" s="18">
        <v>170697</v>
      </c>
      <c r="H3955">
        <v>0</v>
      </c>
      <c r="I3955" s="29">
        <f t="shared" si="61"/>
        <v>170697</v>
      </c>
      <c r="J3955" t="str">
        <f>IFERROR(VLOOKUP(E3955,'LEAID Match'!$A$2:$B$168,2,FALSE),"")</f>
        <v/>
      </c>
    </row>
    <row r="3956" spans="1:10">
      <c r="A3956">
        <v>2022</v>
      </c>
      <c r="B3956" t="s">
        <v>1429</v>
      </c>
      <c r="C3956" t="s">
        <v>1431</v>
      </c>
      <c r="D3956" t="s">
        <v>1433</v>
      </c>
      <c r="E3956" t="s">
        <v>379</v>
      </c>
      <c r="F3956" s="9" t="s">
        <v>379</v>
      </c>
      <c r="G3956" s="18">
        <v>203996</v>
      </c>
      <c r="H3956">
        <v>0</v>
      </c>
      <c r="I3956" s="29">
        <f t="shared" si="61"/>
        <v>203996</v>
      </c>
      <c r="J3956" t="str">
        <f>IFERROR(VLOOKUP(E3956,'LEAID Match'!$A$2:$B$168,2,FALSE),"")</f>
        <v/>
      </c>
    </row>
    <row r="3957" spans="1:10">
      <c r="A3957">
        <v>2023</v>
      </c>
      <c r="B3957" t="s">
        <v>1429</v>
      </c>
      <c r="C3957" t="s">
        <v>1431</v>
      </c>
      <c r="D3957" t="s">
        <v>1433</v>
      </c>
      <c r="E3957" t="s">
        <v>379</v>
      </c>
      <c r="F3957" t="s">
        <v>379</v>
      </c>
      <c r="G3957" s="28">
        <v>218020</v>
      </c>
      <c r="H3957">
        <v>0</v>
      </c>
      <c r="I3957" s="29">
        <f t="shared" si="61"/>
        <v>218020</v>
      </c>
      <c r="J3957" t="str">
        <f>IFERROR(VLOOKUP(E3957,'LEAID Match'!$A$2:$B$168,2,FALSE),"")</f>
        <v/>
      </c>
    </row>
    <row r="3958" spans="1:10">
      <c r="A3958" s="27">
        <v>2020</v>
      </c>
      <c r="B3958" t="s">
        <v>1429</v>
      </c>
      <c r="C3958" t="s">
        <v>1431</v>
      </c>
      <c r="D3958" t="s">
        <v>1433</v>
      </c>
      <c r="E3958" t="s">
        <v>380</v>
      </c>
      <c r="F3958" s="9" t="s">
        <v>380</v>
      </c>
      <c r="G3958" s="18">
        <v>14841</v>
      </c>
      <c r="H3958">
        <v>0</v>
      </c>
      <c r="I3958" s="29">
        <f t="shared" si="61"/>
        <v>14841</v>
      </c>
      <c r="J3958" t="str">
        <f>IFERROR(VLOOKUP(E3958,'LEAID Match'!$A$2:$B$168,2,FALSE),"")</f>
        <v/>
      </c>
    </row>
    <row r="3959" spans="1:10">
      <c r="A3959">
        <v>2021</v>
      </c>
      <c r="B3959" t="s">
        <v>1429</v>
      </c>
      <c r="C3959" t="s">
        <v>1431</v>
      </c>
      <c r="D3959" t="s">
        <v>1433</v>
      </c>
      <c r="E3959" t="s">
        <v>380</v>
      </c>
      <c r="F3959" s="9" t="s">
        <v>380</v>
      </c>
      <c r="G3959" s="18">
        <v>15617</v>
      </c>
      <c r="H3959">
        <v>0</v>
      </c>
      <c r="I3959" s="29">
        <f t="shared" si="61"/>
        <v>15617</v>
      </c>
      <c r="J3959" t="str">
        <f>IFERROR(VLOOKUP(E3959,'LEAID Match'!$A$2:$B$168,2,FALSE),"")</f>
        <v/>
      </c>
    </row>
    <row r="3960" spans="1:10">
      <c r="A3960">
        <v>2022</v>
      </c>
      <c r="B3960" t="s">
        <v>1429</v>
      </c>
      <c r="C3960" t="s">
        <v>1431</v>
      </c>
      <c r="D3960" t="s">
        <v>1433</v>
      </c>
      <c r="E3960" t="s">
        <v>380</v>
      </c>
      <c r="F3960" s="9" t="s">
        <v>380</v>
      </c>
      <c r="G3960" s="18">
        <v>18467</v>
      </c>
      <c r="H3960">
        <v>0</v>
      </c>
      <c r="I3960" s="29">
        <f t="shared" si="61"/>
        <v>18467</v>
      </c>
      <c r="J3960" t="str">
        <f>IFERROR(VLOOKUP(E3960,'LEAID Match'!$A$2:$B$168,2,FALSE),"")</f>
        <v/>
      </c>
    </row>
    <row r="3961" spans="1:10">
      <c r="A3961">
        <v>2023</v>
      </c>
      <c r="B3961" t="s">
        <v>1429</v>
      </c>
      <c r="C3961" t="s">
        <v>1431</v>
      </c>
      <c r="D3961" t="s">
        <v>1433</v>
      </c>
      <c r="E3961" t="s">
        <v>380</v>
      </c>
      <c r="F3961" t="s">
        <v>380</v>
      </c>
      <c r="G3961" s="28">
        <v>18080</v>
      </c>
      <c r="H3961">
        <v>0</v>
      </c>
      <c r="I3961" s="29">
        <f t="shared" si="61"/>
        <v>18080</v>
      </c>
      <c r="J3961" t="str">
        <f>IFERROR(VLOOKUP(E3961,'LEAID Match'!$A$2:$B$168,2,FALSE),"")</f>
        <v/>
      </c>
    </row>
    <row r="3962" spans="1:10">
      <c r="A3962" s="27">
        <v>2020</v>
      </c>
      <c r="B3962" t="s">
        <v>1429</v>
      </c>
      <c r="C3962" t="s">
        <v>1431</v>
      </c>
      <c r="D3962" t="s">
        <v>1433</v>
      </c>
      <c r="E3962" t="s">
        <v>381</v>
      </c>
      <c r="F3962" s="9" t="s">
        <v>381</v>
      </c>
      <c r="G3962" s="18">
        <v>389393</v>
      </c>
      <c r="H3962">
        <v>0</v>
      </c>
      <c r="I3962" s="29">
        <f t="shared" si="61"/>
        <v>389393</v>
      </c>
      <c r="J3962" t="str">
        <f>IFERROR(VLOOKUP(E3962,'LEAID Match'!$A$2:$B$168,2,FALSE),"")</f>
        <v/>
      </c>
    </row>
    <row r="3963" spans="1:10">
      <c r="A3963">
        <v>2021</v>
      </c>
      <c r="B3963" t="s">
        <v>1429</v>
      </c>
      <c r="C3963" t="s">
        <v>1431</v>
      </c>
      <c r="D3963" t="s">
        <v>1433</v>
      </c>
      <c r="E3963" t="s">
        <v>381</v>
      </c>
      <c r="F3963" s="9" t="s">
        <v>381</v>
      </c>
      <c r="G3963" s="18">
        <v>416133</v>
      </c>
      <c r="H3963">
        <v>0</v>
      </c>
      <c r="I3963" s="29">
        <f t="shared" si="61"/>
        <v>416133</v>
      </c>
      <c r="J3963" t="str">
        <f>IFERROR(VLOOKUP(E3963,'LEAID Match'!$A$2:$B$168,2,FALSE),"")</f>
        <v/>
      </c>
    </row>
    <row r="3964" spans="1:10">
      <c r="A3964">
        <v>2022</v>
      </c>
      <c r="B3964" t="s">
        <v>1429</v>
      </c>
      <c r="C3964" t="s">
        <v>1431</v>
      </c>
      <c r="D3964" t="s">
        <v>1433</v>
      </c>
      <c r="E3964" t="s">
        <v>381</v>
      </c>
      <c r="F3964" s="9" t="s">
        <v>381</v>
      </c>
      <c r="G3964" s="18">
        <v>538724</v>
      </c>
      <c r="H3964">
        <v>0</v>
      </c>
      <c r="I3964" s="29">
        <f t="shared" si="61"/>
        <v>538724</v>
      </c>
      <c r="J3964" t="str">
        <f>IFERROR(VLOOKUP(E3964,'LEAID Match'!$A$2:$B$168,2,FALSE),"")</f>
        <v/>
      </c>
    </row>
    <row r="3965" spans="1:10">
      <c r="A3965">
        <v>2023</v>
      </c>
      <c r="B3965" t="s">
        <v>1429</v>
      </c>
      <c r="C3965" t="s">
        <v>1431</v>
      </c>
      <c r="D3965" t="s">
        <v>1433</v>
      </c>
      <c r="E3965" t="s">
        <v>381</v>
      </c>
      <c r="F3965" t="s">
        <v>381</v>
      </c>
      <c r="G3965" s="28">
        <v>572200</v>
      </c>
      <c r="H3965">
        <v>0</v>
      </c>
      <c r="I3965" s="29">
        <f t="shared" si="61"/>
        <v>572200</v>
      </c>
      <c r="J3965" t="str">
        <f>IFERROR(VLOOKUP(E3965,'LEAID Match'!$A$2:$B$168,2,FALSE),"")</f>
        <v/>
      </c>
    </row>
    <row r="3966" spans="1:10">
      <c r="A3966" s="27">
        <v>2020</v>
      </c>
      <c r="B3966" t="s">
        <v>1429</v>
      </c>
      <c r="C3966" t="s">
        <v>1431</v>
      </c>
      <c r="D3966" t="s">
        <v>1433</v>
      </c>
      <c r="E3966" t="s">
        <v>382</v>
      </c>
      <c r="F3966" s="9" t="s">
        <v>382</v>
      </c>
      <c r="G3966" s="18">
        <v>172726</v>
      </c>
      <c r="H3966">
        <v>0</v>
      </c>
      <c r="I3966" s="29">
        <f t="shared" si="61"/>
        <v>172726</v>
      </c>
      <c r="J3966" t="str">
        <f>IFERROR(VLOOKUP(E3966,'LEAID Match'!$A$2:$B$168,2,FALSE),"")</f>
        <v/>
      </c>
    </row>
    <row r="3967" spans="1:10">
      <c r="A3967">
        <v>2021</v>
      </c>
      <c r="B3967" t="s">
        <v>1429</v>
      </c>
      <c r="C3967" t="s">
        <v>1431</v>
      </c>
      <c r="D3967" t="s">
        <v>1433</v>
      </c>
      <c r="E3967" t="s">
        <v>382</v>
      </c>
      <c r="F3967" s="9" t="s">
        <v>382</v>
      </c>
      <c r="G3967" s="18">
        <v>195911</v>
      </c>
      <c r="H3967">
        <v>0</v>
      </c>
      <c r="I3967" s="29">
        <f t="shared" si="61"/>
        <v>195911</v>
      </c>
      <c r="J3967" t="str">
        <f>IFERROR(VLOOKUP(E3967,'LEAID Match'!$A$2:$B$168,2,FALSE),"")</f>
        <v/>
      </c>
    </row>
    <row r="3968" spans="1:10">
      <c r="A3968">
        <v>2022</v>
      </c>
      <c r="B3968" t="s">
        <v>1429</v>
      </c>
      <c r="C3968" t="s">
        <v>1431</v>
      </c>
      <c r="D3968" t="s">
        <v>1433</v>
      </c>
      <c r="E3968" t="s">
        <v>382</v>
      </c>
      <c r="F3968" s="9" t="s">
        <v>382</v>
      </c>
      <c r="G3968" s="18">
        <v>233712</v>
      </c>
      <c r="H3968">
        <v>0</v>
      </c>
      <c r="I3968" s="29">
        <f t="shared" si="61"/>
        <v>233712</v>
      </c>
      <c r="J3968" t="str">
        <f>IFERROR(VLOOKUP(E3968,'LEAID Match'!$A$2:$B$168,2,FALSE),"")</f>
        <v/>
      </c>
    </row>
    <row r="3969" spans="1:10">
      <c r="A3969">
        <v>2023</v>
      </c>
      <c r="B3969" t="s">
        <v>1429</v>
      </c>
      <c r="C3969" t="s">
        <v>1431</v>
      </c>
      <c r="D3969" t="s">
        <v>1433</v>
      </c>
      <c r="E3969" t="s">
        <v>382</v>
      </c>
      <c r="F3969" t="s">
        <v>382</v>
      </c>
      <c r="G3969" s="28">
        <v>262575</v>
      </c>
      <c r="H3969">
        <v>0</v>
      </c>
      <c r="I3969" s="29">
        <f t="shared" si="61"/>
        <v>262575</v>
      </c>
      <c r="J3969" t="str">
        <f>IFERROR(VLOOKUP(E3969,'LEAID Match'!$A$2:$B$168,2,FALSE),"")</f>
        <v/>
      </c>
    </row>
    <row r="3970" spans="1:10">
      <c r="A3970" s="27">
        <v>2020</v>
      </c>
      <c r="B3970" t="s">
        <v>1429</v>
      </c>
      <c r="C3970" t="s">
        <v>1431</v>
      </c>
      <c r="D3970" t="s">
        <v>1433</v>
      </c>
      <c r="E3970" t="s">
        <v>383</v>
      </c>
      <c r="F3970" s="9" t="s">
        <v>383</v>
      </c>
      <c r="G3970" s="18">
        <v>124407</v>
      </c>
      <c r="H3970">
        <v>0</v>
      </c>
      <c r="I3970" s="29">
        <f t="shared" si="61"/>
        <v>124407</v>
      </c>
      <c r="J3970" t="str">
        <f>IFERROR(VLOOKUP(E3970,'LEAID Match'!$A$2:$B$168,2,FALSE),"")</f>
        <v/>
      </c>
    </row>
    <row r="3971" spans="1:10">
      <c r="A3971">
        <v>2021</v>
      </c>
      <c r="B3971" t="s">
        <v>1429</v>
      </c>
      <c r="C3971" t="s">
        <v>1431</v>
      </c>
      <c r="D3971" t="s">
        <v>1433</v>
      </c>
      <c r="E3971" t="s">
        <v>383</v>
      </c>
      <c r="F3971" s="9" t="s">
        <v>383</v>
      </c>
      <c r="G3971" s="18">
        <v>143403</v>
      </c>
      <c r="H3971">
        <v>0</v>
      </c>
      <c r="I3971" s="29">
        <f t="shared" ref="I3971:I4034" si="62">SUM(G3971:H3971)</f>
        <v>143403</v>
      </c>
      <c r="J3971" t="str">
        <f>IFERROR(VLOOKUP(E3971,'LEAID Match'!$A$2:$B$168,2,FALSE),"")</f>
        <v/>
      </c>
    </row>
    <row r="3972" spans="1:10">
      <c r="A3972">
        <v>2022</v>
      </c>
      <c r="B3972" t="s">
        <v>1429</v>
      </c>
      <c r="C3972" t="s">
        <v>1431</v>
      </c>
      <c r="D3972" t="s">
        <v>1433</v>
      </c>
      <c r="E3972" t="s">
        <v>383</v>
      </c>
      <c r="F3972" s="9" t="s">
        <v>383</v>
      </c>
      <c r="G3972" s="18">
        <v>160826</v>
      </c>
      <c r="H3972">
        <v>0</v>
      </c>
      <c r="I3972" s="29">
        <f t="shared" si="62"/>
        <v>160826</v>
      </c>
      <c r="J3972" t="str">
        <f>IFERROR(VLOOKUP(E3972,'LEAID Match'!$A$2:$B$168,2,FALSE),"")</f>
        <v/>
      </c>
    </row>
    <row r="3973" spans="1:10">
      <c r="A3973">
        <v>2023</v>
      </c>
      <c r="B3973" t="s">
        <v>1429</v>
      </c>
      <c r="C3973" t="s">
        <v>1431</v>
      </c>
      <c r="D3973" t="s">
        <v>1433</v>
      </c>
      <c r="E3973" t="s">
        <v>383</v>
      </c>
      <c r="F3973" t="s">
        <v>383</v>
      </c>
      <c r="G3973" s="28">
        <v>166556</v>
      </c>
      <c r="H3973">
        <v>0</v>
      </c>
      <c r="I3973" s="29">
        <f t="shared" si="62"/>
        <v>166556</v>
      </c>
      <c r="J3973" t="str">
        <f>IFERROR(VLOOKUP(E3973,'LEAID Match'!$A$2:$B$168,2,FALSE),"")</f>
        <v/>
      </c>
    </row>
    <row r="3974" spans="1:10">
      <c r="A3974" s="27">
        <v>2020</v>
      </c>
      <c r="B3974" t="s">
        <v>1429</v>
      </c>
      <c r="C3974" t="s">
        <v>1431</v>
      </c>
      <c r="D3974" t="s">
        <v>1433</v>
      </c>
      <c r="E3974" t="s">
        <v>384</v>
      </c>
      <c r="F3974" s="9" t="s">
        <v>384</v>
      </c>
      <c r="G3974" s="18">
        <v>12236</v>
      </c>
      <c r="H3974">
        <v>0</v>
      </c>
      <c r="I3974" s="29">
        <f t="shared" si="62"/>
        <v>12236</v>
      </c>
      <c r="J3974" t="str">
        <f>IFERROR(VLOOKUP(E3974,'LEAID Match'!$A$2:$B$168,2,FALSE),"")</f>
        <v/>
      </c>
    </row>
    <row r="3975" spans="1:10">
      <c r="A3975">
        <v>2021</v>
      </c>
      <c r="B3975" t="s">
        <v>1429</v>
      </c>
      <c r="C3975" t="s">
        <v>1431</v>
      </c>
      <c r="D3975" t="s">
        <v>1433</v>
      </c>
      <c r="E3975" t="s">
        <v>384</v>
      </c>
      <c r="F3975" s="9" t="s">
        <v>384</v>
      </c>
      <c r="G3975" s="18">
        <v>12729</v>
      </c>
      <c r="H3975">
        <v>0</v>
      </c>
      <c r="I3975" s="29">
        <f t="shared" si="62"/>
        <v>12729</v>
      </c>
      <c r="J3975" t="str">
        <f>IFERROR(VLOOKUP(E3975,'LEAID Match'!$A$2:$B$168,2,FALSE),"")</f>
        <v/>
      </c>
    </row>
    <row r="3976" spans="1:10">
      <c r="A3976">
        <v>2022</v>
      </c>
      <c r="B3976" t="s">
        <v>1429</v>
      </c>
      <c r="C3976" t="s">
        <v>1431</v>
      </c>
      <c r="D3976" t="s">
        <v>1433</v>
      </c>
      <c r="E3976" t="s">
        <v>384</v>
      </c>
      <c r="F3976" s="9" t="s">
        <v>384</v>
      </c>
      <c r="G3976" s="18">
        <v>15151</v>
      </c>
      <c r="H3976">
        <v>0</v>
      </c>
      <c r="I3976" s="29">
        <f t="shared" si="62"/>
        <v>15151</v>
      </c>
      <c r="J3976" t="str">
        <f>IFERROR(VLOOKUP(E3976,'LEAID Match'!$A$2:$B$168,2,FALSE),"")</f>
        <v/>
      </c>
    </row>
    <row r="3977" spans="1:10">
      <c r="A3977">
        <v>2023</v>
      </c>
      <c r="B3977" t="s">
        <v>1429</v>
      </c>
      <c r="C3977" t="s">
        <v>1431</v>
      </c>
      <c r="D3977" t="s">
        <v>1433</v>
      </c>
      <c r="E3977" t="s">
        <v>384</v>
      </c>
      <c r="F3977" t="s">
        <v>384</v>
      </c>
      <c r="G3977" s="28">
        <v>15962</v>
      </c>
      <c r="H3977">
        <v>0</v>
      </c>
      <c r="I3977" s="29">
        <f t="shared" si="62"/>
        <v>15962</v>
      </c>
      <c r="J3977" t="str">
        <f>IFERROR(VLOOKUP(E3977,'LEAID Match'!$A$2:$B$168,2,FALSE),"")</f>
        <v/>
      </c>
    </row>
    <row r="3978" spans="1:10">
      <c r="A3978" s="27">
        <v>2020</v>
      </c>
      <c r="B3978" t="s">
        <v>1429</v>
      </c>
      <c r="C3978" t="s">
        <v>1431</v>
      </c>
      <c r="D3978" t="s">
        <v>1433</v>
      </c>
      <c r="E3978" t="s">
        <v>385</v>
      </c>
      <c r="F3978" s="9" t="s">
        <v>385</v>
      </c>
      <c r="G3978" s="18">
        <v>47296</v>
      </c>
      <c r="H3978">
        <v>0</v>
      </c>
      <c r="I3978" s="29">
        <f t="shared" si="62"/>
        <v>47296</v>
      </c>
      <c r="J3978" t="str">
        <f>IFERROR(VLOOKUP(E3978,'LEAID Match'!$A$2:$B$168,2,FALSE),"")</f>
        <v/>
      </c>
    </row>
    <row r="3979" spans="1:10">
      <c r="A3979">
        <v>2021</v>
      </c>
      <c r="B3979" t="s">
        <v>1429</v>
      </c>
      <c r="C3979" t="s">
        <v>1431</v>
      </c>
      <c r="D3979" t="s">
        <v>1433</v>
      </c>
      <c r="E3979" t="s">
        <v>385</v>
      </c>
      <c r="F3979" s="9" t="s">
        <v>385</v>
      </c>
      <c r="G3979" s="18">
        <v>44687</v>
      </c>
      <c r="H3979">
        <v>0</v>
      </c>
      <c r="I3979" s="29">
        <f t="shared" si="62"/>
        <v>44687</v>
      </c>
      <c r="J3979" t="str">
        <f>IFERROR(VLOOKUP(E3979,'LEAID Match'!$A$2:$B$168,2,FALSE),"")</f>
        <v/>
      </c>
    </row>
    <row r="3980" spans="1:10">
      <c r="A3980">
        <v>2022</v>
      </c>
      <c r="B3980" t="s">
        <v>1429</v>
      </c>
      <c r="C3980" t="s">
        <v>1431</v>
      </c>
      <c r="D3980" t="s">
        <v>1433</v>
      </c>
      <c r="E3980" t="s">
        <v>385</v>
      </c>
      <c r="F3980" s="9" t="s">
        <v>385</v>
      </c>
      <c r="G3980" s="18">
        <v>58042</v>
      </c>
      <c r="H3980">
        <v>0</v>
      </c>
      <c r="I3980" s="29">
        <f t="shared" si="62"/>
        <v>58042</v>
      </c>
      <c r="J3980" t="str">
        <f>IFERROR(VLOOKUP(E3980,'LEAID Match'!$A$2:$B$168,2,FALSE),"")</f>
        <v/>
      </c>
    </row>
    <row r="3981" spans="1:10">
      <c r="A3981">
        <v>2023</v>
      </c>
      <c r="B3981" t="s">
        <v>1429</v>
      </c>
      <c r="C3981" t="s">
        <v>1431</v>
      </c>
      <c r="D3981" t="s">
        <v>1433</v>
      </c>
      <c r="E3981" t="s">
        <v>385</v>
      </c>
      <c r="F3981" t="s">
        <v>385</v>
      </c>
      <c r="G3981" s="28">
        <v>63149</v>
      </c>
      <c r="H3981">
        <v>0</v>
      </c>
      <c r="I3981" s="29">
        <f t="shared" si="62"/>
        <v>63149</v>
      </c>
      <c r="J3981" t="str">
        <f>IFERROR(VLOOKUP(E3981,'LEAID Match'!$A$2:$B$168,2,FALSE),"")</f>
        <v/>
      </c>
    </row>
    <row r="3982" spans="1:10">
      <c r="A3982" s="27">
        <v>2020</v>
      </c>
      <c r="B3982" t="s">
        <v>1429</v>
      </c>
      <c r="C3982" t="s">
        <v>1431</v>
      </c>
      <c r="D3982" t="s">
        <v>1433</v>
      </c>
      <c r="E3982" t="s">
        <v>386</v>
      </c>
      <c r="F3982" s="9" t="s">
        <v>386</v>
      </c>
      <c r="G3982" s="18">
        <v>195528</v>
      </c>
      <c r="H3982">
        <v>0</v>
      </c>
      <c r="I3982" s="29">
        <f t="shared" si="62"/>
        <v>195528</v>
      </c>
      <c r="J3982" t="str">
        <f>IFERROR(VLOOKUP(E3982,'LEAID Match'!$A$2:$B$168,2,FALSE),"")</f>
        <v/>
      </c>
    </row>
    <row r="3983" spans="1:10">
      <c r="A3983">
        <v>2021</v>
      </c>
      <c r="B3983" t="s">
        <v>1429</v>
      </c>
      <c r="C3983" t="s">
        <v>1431</v>
      </c>
      <c r="D3983" t="s">
        <v>1433</v>
      </c>
      <c r="E3983" t="s">
        <v>386</v>
      </c>
      <c r="F3983" s="9" t="s">
        <v>386</v>
      </c>
      <c r="G3983" s="18">
        <v>222461</v>
      </c>
      <c r="H3983">
        <v>0</v>
      </c>
      <c r="I3983" s="29">
        <f t="shared" si="62"/>
        <v>222461</v>
      </c>
      <c r="J3983" t="str">
        <f>IFERROR(VLOOKUP(E3983,'LEAID Match'!$A$2:$B$168,2,FALSE),"")</f>
        <v/>
      </c>
    </row>
    <row r="3984" spans="1:10">
      <c r="A3984">
        <v>2022</v>
      </c>
      <c r="B3984" t="s">
        <v>1429</v>
      </c>
      <c r="C3984" t="s">
        <v>1431</v>
      </c>
      <c r="D3984" t="s">
        <v>1433</v>
      </c>
      <c r="E3984" t="s">
        <v>386</v>
      </c>
      <c r="F3984" s="9" t="s">
        <v>386</v>
      </c>
      <c r="G3984" s="18">
        <v>285191</v>
      </c>
      <c r="H3984">
        <v>0</v>
      </c>
      <c r="I3984" s="29">
        <f t="shared" si="62"/>
        <v>285191</v>
      </c>
      <c r="J3984" t="str">
        <f>IFERROR(VLOOKUP(E3984,'LEAID Match'!$A$2:$B$168,2,FALSE),"")</f>
        <v/>
      </c>
    </row>
    <row r="3985" spans="1:10">
      <c r="A3985">
        <v>2023</v>
      </c>
      <c r="B3985" t="s">
        <v>1429</v>
      </c>
      <c r="C3985" t="s">
        <v>1431</v>
      </c>
      <c r="D3985" t="s">
        <v>1433</v>
      </c>
      <c r="E3985" t="s">
        <v>386</v>
      </c>
      <c r="F3985" t="s">
        <v>386</v>
      </c>
      <c r="G3985" s="28">
        <v>323762</v>
      </c>
      <c r="H3985">
        <v>0</v>
      </c>
      <c r="I3985" s="29">
        <f t="shared" si="62"/>
        <v>323762</v>
      </c>
      <c r="J3985" t="str">
        <f>IFERROR(VLOOKUP(E3985,'LEAID Match'!$A$2:$B$168,2,FALSE),"")</f>
        <v/>
      </c>
    </row>
    <row r="3986" spans="1:10">
      <c r="A3986" s="27">
        <v>2020</v>
      </c>
      <c r="B3986" t="s">
        <v>1429</v>
      </c>
      <c r="C3986" t="s">
        <v>1431</v>
      </c>
      <c r="D3986" t="s">
        <v>1433</v>
      </c>
      <c r="E3986" t="s">
        <v>387</v>
      </c>
      <c r="F3986" s="9" t="s">
        <v>387</v>
      </c>
      <c r="G3986" s="18">
        <v>299307</v>
      </c>
      <c r="H3986">
        <v>0</v>
      </c>
      <c r="I3986" s="29">
        <f t="shared" si="62"/>
        <v>299307</v>
      </c>
      <c r="J3986" t="str">
        <f>IFERROR(VLOOKUP(E3986,'LEAID Match'!$A$2:$B$168,2,FALSE),"")</f>
        <v/>
      </c>
    </row>
    <row r="3987" spans="1:10">
      <c r="A3987">
        <v>2021</v>
      </c>
      <c r="B3987" t="s">
        <v>1429</v>
      </c>
      <c r="C3987" t="s">
        <v>1431</v>
      </c>
      <c r="D3987" t="s">
        <v>1433</v>
      </c>
      <c r="E3987" t="s">
        <v>387</v>
      </c>
      <c r="F3987" s="9" t="s">
        <v>387</v>
      </c>
      <c r="G3987" s="18">
        <v>366020</v>
      </c>
      <c r="H3987">
        <v>0</v>
      </c>
      <c r="I3987" s="29">
        <f t="shared" si="62"/>
        <v>366020</v>
      </c>
      <c r="J3987" t="str">
        <f>IFERROR(VLOOKUP(E3987,'LEAID Match'!$A$2:$B$168,2,FALSE),"")</f>
        <v/>
      </c>
    </row>
    <row r="3988" spans="1:10">
      <c r="A3988">
        <v>2022</v>
      </c>
      <c r="B3988" t="s">
        <v>1429</v>
      </c>
      <c r="C3988" t="s">
        <v>1431</v>
      </c>
      <c r="D3988" t="s">
        <v>1433</v>
      </c>
      <c r="E3988" t="s">
        <v>387</v>
      </c>
      <c r="F3988" s="9" t="s">
        <v>387</v>
      </c>
      <c r="G3988" s="18">
        <v>533805</v>
      </c>
      <c r="H3988">
        <v>0</v>
      </c>
      <c r="I3988" s="29">
        <f t="shared" si="62"/>
        <v>533805</v>
      </c>
      <c r="J3988" t="str">
        <f>IFERROR(VLOOKUP(E3988,'LEAID Match'!$A$2:$B$168,2,FALSE),"")</f>
        <v/>
      </c>
    </row>
    <row r="3989" spans="1:10">
      <c r="A3989">
        <v>2023</v>
      </c>
      <c r="B3989" t="s">
        <v>1429</v>
      </c>
      <c r="C3989" t="s">
        <v>1431</v>
      </c>
      <c r="D3989" t="s">
        <v>1433</v>
      </c>
      <c r="E3989" t="s">
        <v>387</v>
      </c>
      <c r="F3989" t="s">
        <v>387</v>
      </c>
      <c r="G3989" s="28">
        <v>566710</v>
      </c>
      <c r="H3989">
        <v>0</v>
      </c>
      <c r="I3989" s="29">
        <f t="shared" si="62"/>
        <v>566710</v>
      </c>
      <c r="J3989" t="str">
        <f>IFERROR(VLOOKUP(E3989,'LEAID Match'!$A$2:$B$168,2,FALSE),"")</f>
        <v/>
      </c>
    </row>
    <row r="3990" spans="1:10">
      <c r="A3990" s="27">
        <v>2020</v>
      </c>
      <c r="B3990" t="s">
        <v>1429</v>
      </c>
      <c r="C3990" t="s">
        <v>1431</v>
      </c>
      <c r="D3990" t="s">
        <v>1433</v>
      </c>
      <c r="E3990" t="s">
        <v>388</v>
      </c>
      <c r="F3990" s="9" t="s">
        <v>388</v>
      </c>
      <c r="G3990" s="18">
        <v>36601</v>
      </c>
      <c r="H3990">
        <v>0</v>
      </c>
      <c r="I3990" s="29">
        <f t="shared" si="62"/>
        <v>36601</v>
      </c>
      <c r="J3990" t="str">
        <f>IFERROR(VLOOKUP(E3990,'LEAID Match'!$A$2:$B$168,2,FALSE),"")</f>
        <v/>
      </c>
    </row>
    <row r="3991" spans="1:10">
      <c r="A3991">
        <v>2021</v>
      </c>
      <c r="B3991" t="s">
        <v>1429</v>
      </c>
      <c r="C3991" t="s">
        <v>1431</v>
      </c>
      <c r="D3991" t="s">
        <v>1433</v>
      </c>
      <c r="E3991" t="s">
        <v>388</v>
      </c>
      <c r="F3991" s="9" t="s">
        <v>388</v>
      </c>
      <c r="G3991" s="18">
        <v>42687</v>
      </c>
      <c r="H3991">
        <v>0</v>
      </c>
      <c r="I3991" s="29">
        <f t="shared" si="62"/>
        <v>42687</v>
      </c>
      <c r="J3991" t="str">
        <f>IFERROR(VLOOKUP(E3991,'LEAID Match'!$A$2:$B$168,2,FALSE),"")</f>
        <v/>
      </c>
    </row>
    <row r="3992" spans="1:10">
      <c r="A3992">
        <v>2022</v>
      </c>
      <c r="B3992" t="s">
        <v>1429</v>
      </c>
      <c r="C3992" t="s">
        <v>1431</v>
      </c>
      <c r="D3992" t="s">
        <v>1433</v>
      </c>
      <c r="E3992" t="s">
        <v>388</v>
      </c>
      <c r="F3992" s="9" t="s">
        <v>388</v>
      </c>
      <c r="G3992" s="18">
        <v>54723</v>
      </c>
      <c r="H3992">
        <v>0</v>
      </c>
      <c r="I3992" s="29">
        <f t="shared" si="62"/>
        <v>54723</v>
      </c>
      <c r="J3992" t="str">
        <f>IFERROR(VLOOKUP(E3992,'LEAID Match'!$A$2:$B$168,2,FALSE),"")</f>
        <v/>
      </c>
    </row>
    <row r="3993" spans="1:10">
      <c r="A3993">
        <v>2023</v>
      </c>
      <c r="B3993" t="s">
        <v>1429</v>
      </c>
      <c r="C3993" t="s">
        <v>1431</v>
      </c>
      <c r="D3993" t="s">
        <v>1433</v>
      </c>
      <c r="E3993" t="s">
        <v>388</v>
      </c>
      <c r="F3993" t="s">
        <v>388</v>
      </c>
      <c r="G3993" s="28">
        <v>59011</v>
      </c>
      <c r="H3993">
        <v>0</v>
      </c>
      <c r="I3993" s="29">
        <f t="shared" si="62"/>
        <v>59011</v>
      </c>
      <c r="J3993" t="str">
        <f>IFERROR(VLOOKUP(E3993,'LEAID Match'!$A$2:$B$168,2,FALSE),"")</f>
        <v/>
      </c>
    </row>
    <row r="3994" spans="1:10">
      <c r="A3994" s="27">
        <v>2020</v>
      </c>
      <c r="B3994" t="s">
        <v>1429</v>
      </c>
      <c r="C3994" t="s">
        <v>1431</v>
      </c>
      <c r="D3994" t="s">
        <v>1433</v>
      </c>
      <c r="E3994" t="s">
        <v>389</v>
      </c>
      <c r="F3994" s="9" t="s">
        <v>389</v>
      </c>
      <c r="G3994" s="18">
        <v>22436</v>
      </c>
      <c r="H3994">
        <v>0</v>
      </c>
      <c r="I3994" s="29">
        <f t="shared" si="62"/>
        <v>22436</v>
      </c>
      <c r="J3994" t="str">
        <f>IFERROR(VLOOKUP(E3994,'LEAID Match'!$A$2:$B$168,2,FALSE),"")</f>
        <v/>
      </c>
    </row>
    <row r="3995" spans="1:10">
      <c r="A3995">
        <v>2021</v>
      </c>
      <c r="B3995" t="s">
        <v>1429</v>
      </c>
      <c r="C3995" t="s">
        <v>1431</v>
      </c>
      <c r="D3995" t="s">
        <v>1433</v>
      </c>
      <c r="E3995" t="s">
        <v>389</v>
      </c>
      <c r="F3995" s="9" t="s">
        <v>389</v>
      </c>
      <c r="G3995" s="18">
        <v>22228</v>
      </c>
      <c r="H3995">
        <v>0</v>
      </c>
      <c r="I3995" s="29">
        <f t="shared" si="62"/>
        <v>22228</v>
      </c>
      <c r="J3995" t="str">
        <f>IFERROR(VLOOKUP(E3995,'LEAID Match'!$A$2:$B$168,2,FALSE),"")</f>
        <v/>
      </c>
    </row>
    <row r="3996" spans="1:10">
      <c r="A3996">
        <v>2022</v>
      </c>
      <c r="B3996" t="s">
        <v>1429</v>
      </c>
      <c r="C3996" t="s">
        <v>1431</v>
      </c>
      <c r="D3996" t="s">
        <v>1433</v>
      </c>
      <c r="E3996" t="s">
        <v>389</v>
      </c>
      <c r="F3996" s="9" t="s">
        <v>389</v>
      </c>
      <c r="G3996" s="18">
        <v>24605</v>
      </c>
      <c r="H3996">
        <v>0</v>
      </c>
      <c r="I3996" s="29">
        <f t="shared" si="62"/>
        <v>24605</v>
      </c>
      <c r="J3996" t="str">
        <f>IFERROR(VLOOKUP(E3996,'LEAID Match'!$A$2:$B$168,2,FALSE),"")</f>
        <v/>
      </c>
    </row>
    <row r="3997" spans="1:10">
      <c r="A3997">
        <v>2023</v>
      </c>
      <c r="B3997" t="s">
        <v>1429</v>
      </c>
      <c r="C3997" t="s">
        <v>1431</v>
      </c>
      <c r="D3997" t="s">
        <v>1433</v>
      </c>
      <c r="E3997" t="s">
        <v>389</v>
      </c>
      <c r="F3997" t="s">
        <v>389</v>
      </c>
      <c r="G3997" s="28">
        <v>23586</v>
      </c>
      <c r="H3997">
        <v>0</v>
      </c>
      <c r="I3997" s="29">
        <f t="shared" si="62"/>
        <v>23586</v>
      </c>
      <c r="J3997" t="str">
        <f>IFERROR(VLOOKUP(E3997,'LEAID Match'!$A$2:$B$168,2,FALSE),"")</f>
        <v/>
      </c>
    </row>
    <row r="3998" spans="1:10">
      <c r="A3998" s="27">
        <v>2020</v>
      </c>
      <c r="B3998" t="s">
        <v>1429</v>
      </c>
      <c r="C3998" t="s">
        <v>1431</v>
      </c>
      <c r="D3998" t="s">
        <v>1433</v>
      </c>
      <c r="E3998" t="s">
        <v>390</v>
      </c>
      <c r="F3998" s="9" t="s">
        <v>390</v>
      </c>
      <c r="G3998" s="18">
        <v>150331</v>
      </c>
      <c r="H3998">
        <v>0</v>
      </c>
      <c r="I3998" s="29">
        <f t="shared" si="62"/>
        <v>150331</v>
      </c>
      <c r="J3998" t="str">
        <f>IFERROR(VLOOKUP(E3998,'LEAID Match'!$A$2:$B$168,2,FALSE),"")</f>
        <v/>
      </c>
    </row>
    <row r="3999" spans="1:10">
      <c r="A3999">
        <v>2021</v>
      </c>
      <c r="B3999" t="s">
        <v>1429</v>
      </c>
      <c r="C3999" t="s">
        <v>1431</v>
      </c>
      <c r="D3999" t="s">
        <v>1433</v>
      </c>
      <c r="E3999" t="s">
        <v>390</v>
      </c>
      <c r="F3999" s="9" t="s">
        <v>390</v>
      </c>
      <c r="G3999" s="18">
        <v>154440</v>
      </c>
      <c r="H3999">
        <v>0</v>
      </c>
      <c r="I3999" s="29">
        <f t="shared" si="62"/>
        <v>154440</v>
      </c>
      <c r="J3999" t="str">
        <f>IFERROR(VLOOKUP(E3999,'LEAID Match'!$A$2:$B$168,2,FALSE),"")</f>
        <v/>
      </c>
    </row>
    <row r="4000" spans="1:10">
      <c r="A4000">
        <v>2022</v>
      </c>
      <c r="B4000" t="s">
        <v>1429</v>
      </c>
      <c r="C4000" t="s">
        <v>1431</v>
      </c>
      <c r="D4000" t="s">
        <v>1433</v>
      </c>
      <c r="E4000" t="s">
        <v>390</v>
      </c>
      <c r="F4000" s="9" t="s">
        <v>390</v>
      </c>
      <c r="G4000" s="18">
        <v>201115</v>
      </c>
      <c r="H4000">
        <v>0</v>
      </c>
      <c r="I4000" s="29">
        <f t="shared" si="62"/>
        <v>201115</v>
      </c>
      <c r="J4000" t="str">
        <f>IFERROR(VLOOKUP(E4000,'LEAID Match'!$A$2:$B$168,2,FALSE),"")</f>
        <v/>
      </c>
    </row>
    <row r="4001" spans="1:10">
      <c r="A4001">
        <v>2023</v>
      </c>
      <c r="B4001" t="s">
        <v>1429</v>
      </c>
      <c r="C4001" t="s">
        <v>1431</v>
      </c>
      <c r="D4001" t="s">
        <v>1433</v>
      </c>
      <c r="E4001" t="s">
        <v>390</v>
      </c>
      <c r="F4001" t="s">
        <v>390</v>
      </c>
      <c r="G4001" s="28">
        <v>207511</v>
      </c>
      <c r="H4001">
        <v>0</v>
      </c>
      <c r="I4001" s="29">
        <f t="shared" si="62"/>
        <v>207511</v>
      </c>
      <c r="J4001" t="str">
        <f>IFERROR(VLOOKUP(E4001,'LEAID Match'!$A$2:$B$168,2,FALSE),"")</f>
        <v/>
      </c>
    </row>
    <row r="4002" spans="1:10">
      <c r="A4002" s="27">
        <v>2020</v>
      </c>
      <c r="B4002" t="s">
        <v>1429</v>
      </c>
      <c r="C4002" t="s">
        <v>1431</v>
      </c>
      <c r="D4002" t="s">
        <v>1433</v>
      </c>
      <c r="E4002" t="s">
        <v>391</v>
      </c>
      <c r="F4002" s="9" t="s">
        <v>391</v>
      </c>
      <c r="G4002" s="18">
        <v>48146</v>
      </c>
      <c r="H4002">
        <v>0</v>
      </c>
      <c r="I4002" s="29">
        <f t="shared" si="62"/>
        <v>48146</v>
      </c>
      <c r="J4002" t="str">
        <f>IFERROR(VLOOKUP(E4002,'LEAID Match'!$A$2:$B$168,2,FALSE),"")</f>
        <v/>
      </c>
    </row>
    <row r="4003" spans="1:10">
      <c r="A4003">
        <v>2021</v>
      </c>
      <c r="B4003" t="s">
        <v>1429</v>
      </c>
      <c r="C4003" t="s">
        <v>1431</v>
      </c>
      <c r="D4003" t="s">
        <v>1433</v>
      </c>
      <c r="E4003" t="s">
        <v>391</v>
      </c>
      <c r="F4003" s="9" t="s">
        <v>391</v>
      </c>
      <c r="G4003" s="18">
        <v>49670</v>
      </c>
      <c r="H4003">
        <v>0</v>
      </c>
      <c r="I4003" s="29">
        <f t="shared" si="62"/>
        <v>49670</v>
      </c>
      <c r="J4003" t="str">
        <f>IFERROR(VLOOKUP(E4003,'LEAID Match'!$A$2:$B$168,2,FALSE),"")</f>
        <v/>
      </c>
    </row>
    <row r="4004" spans="1:10">
      <c r="A4004">
        <v>2022</v>
      </c>
      <c r="B4004" t="s">
        <v>1429</v>
      </c>
      <c r="C4004" t="s">
        <v>1431</v>
      </c>
      <c r="D4004" t="s">
        <v>1433</v>
      </c>
      <c r="E4004" t="s">
        <v>391</v>
      </c>
      <c r="F4004" s="9" t="s">
        <v>391</v>
      </c>
      <c r="G4004" s="18">
        <v>68373</v>
      </c>
      <c r="H4004">
        <v>0</v>
      </c>
      <c r="I4004" s="29">
        <f t="shared" si="62"/>
        <v>68373</v>
      </c>
      <c r="J4004" t="str">
        <f>IFERROR(VLOOKUP(E4004,'LEAID Match'!$A$2:$B$168,2,FALSE),"")</f>
        <v/>
      </c>
    </row>
    <row r="4005" spans="1:10">
      <c r="A4005">
        <v>2023</v>
      </c>
      <c r="B4005" t="s">
        <v>1429</v>
      </c>
      <c r="C4005" t="s">
        <v>1431</v>
      </c>
      <c r="D4005" t="s">
        <v>1433</v>
      </c>
      <c r="E4005" t="s">
        <v>391</v>
      </c>
      <c r="F4005" t="s">
        <v>391</v>
      </c>
      <c r="G4005" s="28">
        <v>70939</v>
      </c>
      <c r="H4005">
        <v>0</v>
      </c>
      <c r="I4005" s="29">
        <f t="shared" si="62"/>
        <v>70939</v>
      </c>
      <c r="J4005" t="str">
        <f>IFERROR(VLOOKUP(E4005,'LEAID Match'!$A$2:$B$168,2,FALSE),"")</f>
        <v/>
      </c>
    </row>
    <row r="4006" spans="1:10">
      <c r="A4006" s="27">
        <v>2020</v>
      </c>
      <c r="B4006" t="s">
        <v>1429</v>
      </c>
      <c r="C4006" t="s">
        <v>1431</v>
      </c>
      <c r="D4006" t="s">
        <v>1433</v>
      </c>
      <c r="E4006" t="s">
        <v>392</v>
      </c>
      <c r="F4006" s="9" t="s">
        <v>392</v>
      </c>
      <c r="G4006" s="18">
        <v>121113</v>
      </c>
      <c r="H4006">
        <v>0</v>
      </c>
      <c r="I4006" s="29">
        <f t="shared" si="62"/>
        <v>121113</v>
      </c>
      <c r="J4006" t="str">
        <f>IFERROR(VLOOKUP(E4006,'LEAID Match'!$A$2:$B$168,2,FALSE),"")</f>
        <v/>
      </c>
    </row>
    <row r="4007" spans="1:10">
      <c r="A4007">
        <v>2021</v>
      </c>
      <c r="B4007" t="s">
        <v>1429</v>
      </c>
      <c r="C4007" t="s">
        <v>1431</v>
      </c>
      <c r="D4007" t="s">
        <v>1433</v>
      </c>
      <c r="E4007" t="s">
        <v>392</v>
      </c>
      <c r="F4007" s="9" t="s">
        <v>392</v>
      </c>
      <c r="G4007" s="18">
        <v>148891</v>
      </c>
      <c r="H4007">
        <v>0</v>
      </c>
      <c r="I4007" s="29">
        <f t="shared" si="62"/>
        <v>148891</v>
      </c>
      <c r="J4007" t="str">
        <f>IFERROR(VLOOKUP(E4007,'LEAID Match'!$A$2:$B$168,2,FALSE),"")</f>
        <v/>
      </c>
    </row>
    <row r="4008" spans="1:10">
      <c r="A4008">
        <v>2022</v>
      </c>
      <c r="B4008" t="s">
        <v>1429</v>
      </c>
      <c r="C4008" t="s">
        <v>1431</v>
      </c>
      <c r="D4008" t="s">
        <v>1433</v>
      </c>
      <c r="E4008" t="s">
        <v>392</v>
      </c>
      <c r="F4008" s="9" t="s">
        <v>392</v>
      </c>
      <c r="G4008" s="18">
        <v>214135</v>
      </c>
      <c r="H4008">
        <v>0</v>
      </c>
      <c r="I4008" s="29">
        <f t="shared" si="62"/>
        <v>214135</v>
      </c>
      <c r="J4008" t="str">
        <f>IFERROR(VLOOKUP(E4008,'LEAID Match'!$A$2:$B$168,2,FALSE),"")</f>
        <v/>
      </c>
    </row>
    <row r="4009" spans="1:10">
      <c r="A4009">
        <v>2023</v>
      </c>
      <c r="B4009" t="s">
        <v>1429</v>
      </c>
      <c r="C4009" t="s">
        <v>1431</v>
      </c>
      <c r="D4009" t="s">
        <v>1433</v>
      </c>
      <c r="E4009" t="s">
        <v>392</v>
      </c>
      <c r="F4009" t="s">
        <v>392</v>
      </c>
      <c r="G4009" s="28">
        <v>194008</v>
      </c>
      <c r="H4009">
        <v>0</v>
      </c>
      <c r="I4009" s="29">
        <f t="shared" si="62"/>
        <v>194008</v>
      </c>
      <c r="J4009" t="str">
        <f>IFERROR(VLOOKUP(E4009,'LEAID Match'!$A$2:$B$168,2,FALSE),"")</f>
        <v/>
      </c>
    </row>
    <row r="4010" spans="1:10">
      <c r="A4010" s="27">
        <v>2020</v>
      </c>
      <c r="B4010" t="s">
        <v>1429</v>
      </c>
      <c r="C4010" t="s">
        <v>1431</v>
      </c>
      <c r="D4010" t="s">
        <v>1433</v>
      </c>
      <c r="E4010" t="s">
        <v>393</v>
      </c>
      <c r="F4010" s="9" t="s">
        <v>393</v>
      </c>
      <c r="G4010" s="18">
        <v>172514</v>
      </c>
      <c r="H4010">
        <v>0</v>
      </c>
      <c r="I4010" s="29">
        <f t="shared" si="62"/>
        <v>172514</v>
      </c>
      <c r="J4010" t="str">
        <f>IFERROR(VLOOKUP(E4010,'LEAID Match'!$A$2:$B$168,2,FALSE),"")</f>
        <v/>
      </c>
    </row>
    <row r="4011" spans="1:10">
      <c r="A4011">
        <v>2021</v>
      </c>
      <c r="B4011" t="s">
        <v>1429</v>
      </c>
      <c r="C4011" t="s">
        <v>1431</v>
      </c>
      <c r="D4011" t="s">
        <v>1433</v>
      </c>
      <c r="E4011" t="s">
        <v>393</v>
      </c>
      <c r="F4011" s="9" t="s">
        <v>393</v>
      </c>
      <c r="G4011" s="18">
        <v>176057</v>
      </c>
      <c r="H4011">
        <v>0</v>
      </c>
      <c r="I4011" s="29">
        <f t="shared" si="62"/>
        <v>176057</v>
      </c>
      <c r="J4011" t="str">
        <f>IFERROR(VLOOKUP(E4011,'LEAID Match'!$A$2:$B$168,2,FALSE),"")</f>
        <v/>
      </c>
    </row>
    <row r="4012" spans="1:10">
      <c r="A4012">
        <v>2022</v>
      </c>
      <c r="B4012" t="s">
        <v>1429</v>
      </c>
      <c r="C4012" t="s">
        <v>1431</v>
      </c>
      <c r="D4012" t="s">
        <v>1433</v>
      </c>
      <c r="E4012" t="s">
        <v>393</v>
      </c>
      <c r="F4012" s="9" t="s">
        <v>393</v>
      </c>
      <c r="G4012" s="18">
        <v>197197</v>
      </c>
      <c r="H4012">
        <v>0</v>
      </c>
      <c r="I4012" s="29">
        <f t="shared" si="62"/>
        <v>197197</v>
      </c>
      <c r="J4012" t="str">
        <f>IFERROR(VLOOKUP(E4012,'LEAID Match'!$A$2:$B$168,2,FALSE),"")</f>
        <v/>
      </c>
    </row>
    <row r="4013" spans="1:10">
      <c r="A4013">
        <v>2023</v>
      </c>
      <c r="B4013" t="s">
        <v>1429</v>
      </c>
      <c r="C4013" t="s">
        <v>1431</v>
      </c>
      <c r="D4013" t="s">
        <v>1433</v>
      </c>
      <c r="E4013" t="s">
        <v>393</v>
      </c>
      <c r="F4013" t="s">
        <v>393</v>
      </c>
      <c r="G4013" s="28">
        <v>160310</v>
      </c>
      <c r="H4013">
        <v>0</v>
      </c>
      <c r="I4013" s="29">
        <f t="shared" si="62"/>
        <v>160310</v>
      </c>
      <c r="J4013" t="str">
        <f>IFERROR(VLOOKUP(E4013,'LEAID Match'!$A$2:$B$168,2,FALSE),"")</f>
        <v/>
      </c>
    </row>
    <row r="4014" spans="1:10">
      <c r="A4014" s="27">
        <v>2020</v>
      </c>
      <c r="B4014" t="s">
        <v>1429</v>
      </c>
      <c r="C4014" t="s">
        <v>1431</v>
      </c>
      <c r="D4014" t="s">
        <v>1433</v>
      </c>
      <c r="E4014" t="s">
        <v>394</v>
      </c>
      <c r="F4014" s="9" t="s">
        <v>394</v>
      </c>
      <c r="G4014" s="18">
        <v>1353712</v>
      </c>
      <c r="H4014">
        <v>0</v>
      </c>
      <c r="I4014" s="29">
        <f t="shared" si="62"/>
        <v>1353712</v>
      </c>
      <c r="J4014" t="str">
        <f>IFERROR(VLOOKUP(E4014,'LEAID Match'!$A$2:$B$168,2,FALSE),"")</f>
        <v/>
      </c>
    </row>
    <row r="4015" spans="1:10">
      <c r="A4015">
        <v>2021</v>
      </c>
      <c r="B4015" t="s">
        <v>1429</v>
      </c>
      <c r="C4015" t="s">
        <v>1431</v>
      </c>
      <c r="D4015" t="s">
        <v>1433</v>
      </c>
      <c r="E4015" t="s">
        <v>394</v>
      </c>
      <c r="F4015" s="9" t="s">
        <v>394</v>
      </c>
      <c r="G4015" s="18">
        <v>1388250</v>
      </c>
      <c r="H4015">
        <v>0</v>
      </c>
      <c r="I4015" s="29">
        <f t="shared" si="62"/>
        <v>1388250</v>
      </c>
      <c r="J4015" t="str">
        <f>IFERROR(VLOOKUP(E4015,'LEAID Match'!$A$2:$B$168,2,FALSE),"")</f>
        <v/>
      </c>
    </row>
    <row r="4016" spans="1:10">
      <c r="A4016">
        <v>2022</v>
      </c>
      <c r="B4016" t="s">
        <v>1429</v>
      </c>
      <c r="C4016" t="s">
        <v>1431</v>
      </c>
      <c r="D4016" t="s">
        <v>1433</v>
      </c>
      <c r="E4016" t="s">
        <v>394</v>
      </c>
      <c r="F4016" s="9" t="s">
        <v>394</v>
      </c>
      <c r="G4016" s="18">
        <v>1726150</v>
      </c>
      <c r="H4016">
        <v>0</v>
      </c>
      <c r="I4016" s="29">
        <f t="shared" si="62"/>
        <v>1726150</v>
      </c>
      <c r="J4016" t="str">
        <f>IFERROR(VLOOKUP(E4016,'LEAID Match'!$A$2:$B$168,2,FALSE),"")</f>
        <v/>
      </c>
    </row>
    <row r="4017" spans="1:10">
      <c r="A4017">
        <v>2023</v>
      </c>
      <c r="B4017" t="s">
        <v>1429</v>
      </c>
      <c r="C4017" t="s">
        <v>1431</v>
      </c>
      <c r="D4017" t="s">
        <v>1433</v>
      </c>
      <c r="E4017" t="s">
        <v>394</v>
      </c>
      <c r="F4017" t="s">
        <v>394</v>
      </c>
      <c r="G4017" s="28">
        <v>1702822</v>
      </c>
      <c r="H4017">
        <v>0</v>
      </c>
      <c r="I4017" s="29">
        <f t="shared" si="62"/>
        <v>1702822</v>
      </c>
      <c r="J4017" t="str">
        <f>IFERROR(VLOOKUP(E4017,'LEAID Match'!$A$2:$B$168,2,FALSE),"")</f>
        <v/>
      </c>
    </row>
    <row r="4018" spans="1:10">
      <c r="A4018" s="27">
        <v>2020</v>
      </c>
      <c r="B4018" t="s">
        <v>1429</v>
      </c>
      <c r="C4018" t="s">
        <v>1431</v>
      </c>
      <c r="D4018" t="s">
        <v>1433</v>
      </c>
      <c r="E4018" t="s">
        <v>395</v>
      </c>
      <c r="F4018" s="9" t="s">
        <v>395</v>
      </c>
      <c r="G4018" s="18">
        <v>860677</v>
      </c>
      <c r="H4018">
        <v>0</v>
      </c>
      <c r="I4018" s="29">
        <f t="shared" si="62"/>
        <v>860677</v>
      </c>
      <c r="J4018" t="str">
        <f>IFERROR(VLOOKUP(E4018,'LEAID Match'!$A$2:$B$168,2,FALSE),"")</f>
        <v/>
      </c>
    </row>
    <row r="4019" spans="1:10">
      <c r="A4019">
        <v>2021</v>
      </c>
      <c r="B4019" t="s">
        <v>1429</v>
      </c>
      <c r="C4019" t="s">
        <v>1431</v>
      </c>
      <c r="D4019" t="s">
        <v>1433</v>
      </c>
      <c r="E4019" t="s">
        <v>395</v>
      </c>
      <c r="F4019" s="9" t="s">
        <v>395</v>
      </c>
      <c r="G4019" s="18">
        <v>905786</v>
      </c>
      <c r="H4019">
        <v>0</v>
      </c>
      <c r="I4019" s="29">
        <f t="shared" si="62"/>
        <v>905786</v>
      </c>
      <c r="J4019" t="str">
        <f>IFERROR(VLOOKUP(E4019,'LEAID Match'!$A$2:$B$168,2,FALSE),"")</f>
        <v/>
      </c>
    </row>
    <row r="4020" spans="1:10">
      <c r="A4020">
        <v>2022</v>
      </c>
      <c r="B4020" t="s">
        <v>1429</v>
      </c>
      <c r="C4020" t="s">
        <v>1431</v>
      </c>
      <c r="D4020" t="s">
        <v>1433</v>
      </c>
      <c r="E4020" t="s">
        <v>395</v>
      </c>
      <c r="F4020" s="9" t="s">
        <v>395</v>
      </c>
      <c r="G4020" s="18">
        <v>1143745</v>
      </c>
      <c r="H4020">
        <v>0</v>
      </c>
      <c r="I4020" s="29">
        <f t="shared" si="62"/>
        <v>1143745</v>
      </c>
      <c r="J4020" t="str">
        <f>IFERROR(VLOOKUP(E4020,'LEAID Match'!$A$2:$B$168,2,FALSE),"")</f>
        <v/>
      </c>
    </row>
    <row r="4021" spans="1:10">
      <c r="A4021">
        <v>2023</v>
      </c>
      <c r="B4021" t="s">
        <v>1429</v>
      </c>
      <c r="C4021" t="s">
        <v>1431</v>
      </c>
      <c r="D4021" t="s">
        <v>1433</v>
      </c>
      <c r="E4021" t="s">
        <v>395</v>
      </c>
      <c r="F4021" t="s">
        <v>395</v>
      </c>
      <c r="G4021" s="28">
        <v>1268392</v>
      </c>
      <c r="H4021">
        <v>0</v>
      </c>
      <c r="I4021" s="29">
        <f t="shared" si="62"/>
        <v>1268392</v>
      </c>
      <c r="J4021" t="str">
        <f>IFERROR(VLOOKUP(E4021,'LEAID Match'!$A$2:$B$168,2,FALSE),"")</f>
        <v/>
      </c>
    </row>
    <row r="4022" spans="1:10">
      <c r="A4022" s="27">
        <v>2020</v>
      </c>
      <c r="B4022" t="s">
        <v>1429</v>
      </c>
      <c r="C4022" t="s">
        <v>1431</v>
      </c>
      <c r="D4022" t="s">
        <v>1433</v>
      </c>
      <c r="E4022" t="s">
        <v>396</v>
      </c>
      <c r="F4022" s="9" t="s">
        <v>396</v>
      </c>
      <c r="G4022" s="18">
        <v>142617</v>
      </c>
      <c r="H4022">
        <v>0</v>
      </c>
      <c r="I4022" s="29">
        <f t="shared" si="62"/>
        <v>142617</v>
      </c>
      <c r="J4022" t="str">
        <f>IFERROR(VLOOKUP(E4022,'LEAID Match'!$A$2:$B$168,2,FALSE),"")</f>
        <v/>
      </c>
    </row>
    <row r="4023" spans="1:10">
      <c r="A4023">
        <v>2021</v>
      </c>
      <c r="B4023" t="s">
        <v>1429</v>
      </c>
      <c r="C4023" t="s">
        <v>1431</v>
      </c>
      <c r="D4023" t="s">
        <v>1433</v>
      </c>
      <c r="E4023" t="s">
        <v>396</v>
      </c>
      <c r="F4023" s="9" t="s">
        <v>396</v>
      </c>
      <c r="G4023" s="18">
        <v>155724</v>
      </c>
      <c r="H4023">
        <v>0</v>
      </c>
      <c r="I4023" s="29">
        <f t="shared" si="62"/>
        <v>155724</v>
      </c>
      <c r="J4023" t="str">
        <f>IFERROR(VLOOKUP(E4023,'LEAID Match'!$A$2:$B$168,2,FALSE),"")</f>
        <v/>
      </c>
    </row>
    <row r="4024" spans="1:10">
      <c r="A4024">
        <v>2022</v>
      </c>
      <c r="B4024" t="s">
        <v>1429</v>
      </c>
      <c r="C4024" t="s">
        <v>1431</v>
      </c>
      <c r="D4024" t="s">
        <v>1433</v>
      </c>
      <c r="E4024" t="s">
        <v>396</v>
      </c>
      <c r="F4024" s="9" t="s">
        <v>396</v>
      </c>
      <c r="G4024" s="18">
        <v>172779</v>
      </c>
      <c r="H4024">
        <v>0</v>
      </c>
      <c r="I4024" s="29">
        <f t="shared" si="62"/>
        <v>172779</v>
      </c>
      <c r="J4024" t="str">
        <f>IFERROR(VLOOKUP(E4024,'LEAID Match'!$A$2:$B$168,2,FALSE),"")</f>
        <v/>
      </c>
    </row>
    <row r="4025" spans="1:10">
      <c r="A4025">
        <v>2023</v>
      </c>
      <c r="B4025" t="s">
        <v>1429</v>
      </c>
      <c r="C4025" t="s">
        <v>1431</v>
      </c>
      <c r="D4025" t="s">
        <v>1433</v>
      </c>
      <c r="E4025" t="s">
        <v>396</v>
      </c>
      <c r="F4025" t="s">
        <v>396</v>
      </c>
      <c r="G4025" s="28">
        <v>196461</v>
      </c>
      <c r="H4025">
        <v>0</v>
      </c>
      <c r="I4025" s="29">
        <f t="shared" si="62"/>
        <v>196461</v>
      </c>
      <c r="J4025" t="str">
        <f>IFERROR(VLOOKUP(E4025,'LEAID Match'!$A$2:$B$168,2,FALSE),"")</f>
        <v/>
      </c>
    </row>
    <row r="4026" spans="1:10">
      <c r="A4026">
        <v>2015</v>
      </c>
      <c r="B4026" t="s">
        <v>1429</v>
      </c>
      <c r="C4026" t="s">
        <v>1431</v>
      </c>
      <c r="D4026" t="s">
        <v>1433</v>
      </c>
      <c r="E4026" t="s">
        <v>893</v>
      </c>
      <c r="F4026" s="9" t="s">
        <v>1379</v>
      </c>
      <c r="G4026" s="18">
        <v>59124.31</v>
      </c>
      <c r="H4026">
        <v>0</v>
      </c>
      <c r="I4026" s="29">
        <f t="shared" si="62"/>
        <v>59124.31</v>
      </c>
      <c r="J4026" t="str">
        <f>IFERROR(VLOOKUP(E4026,'LEAID Match'!$A$2:$B$168,2,FALSE),"")</f>
        <v/>
      </c>
    </row>
    <row r="4027" spans="1:10">
      <c r="A4027">
        <v>2016</v>
      </c>
      <c r="B4027" t="s">
        <v>1429</v>
      </c>
      <c r="C4027" t="s">
        <v>1431</v>
      </c>
      <c r="D4027" t="s">
        <v>1433</v>
      </c>
      <c r="E4027" t="s">
        <v>893</v>
      </c>
      <c r="F4027" t="s">
        <v>893</v>
      </c>
      <c r="G4027" s="28">
        <v>61741</v>
      </c>
      <c r="H4027">
        <v>0</v>
      </c>
      <c r="I4027" s="29">
        <f t="shared" si="62"/>
        <v>61741</v>
      </c>
      <c r="J4027" t="str">
        <f>IFERROR(VLOOKUP(E4027,'LEAID Match'!$A$2:$B$168,2,FALSE),"")</f>
        <v/>
      </c>
    </row>
    <row r="4028" spans="1:10">
      <c r="A4028">
        <v>2017</v>
      </c>
      <c r="B4028" t="s">
        <v>1429</v>
      </c>
      <c r="C4028" t="s">
        <v>1431</v>
      </c>
      <c r="D4028" t="s">
        <v>1433</v>
      </c>
      <c r="E4028" t="s">
        <v>893</v>
      </c>
      <c r="F4028" t="s">
        <v>893</v>
      </c>
      <c r="G4028" s="28">
        <v>66745</v>
      </c>
      <c r="H4028">
        <v>0</v>
      </c>
      <c r="I4028" s="29">
        <f t="shared" si="62"/>
        <v>66745</v>
      </c>
      <c r="J4028" t="str">
        <f>IFERROR(VLOOKUP(E4028,'LEAID Match'!$A$2:$B$168,2,FALSE),"")</f>
        <v/>
      </c>
    </row>
    <row r="4029" spans="1:10">
      <c r="A4029" s="27">
        <v>2018</v>
      </c>
      <c r="B4029" t="s">
        <v>1429</v>
      </c>
      <c r="C4029" t="s">
        <v>1431</v>
      </c>
      <c r="D4029" t="s">
        <v>1433</v>
      </c>
      <c r="E4029" t="s">
        <v>893</v>
      </c>
      <c r="F4029" s="9" t="s">
        <v>893</v>
      </c>
      <c r="G4029" s="18">
        <v>59639</v>
      </c>
      <c r="H4029">
        <v>0</v>
      </c>
      <c r="I4029" s="29">
        <f t="shared" si="62"/>
        <v>59639</v>
      </c>
      <c r="J4029" t="str">
        <f>IFERROR(VLOOKUP(E4029,'LEAID Match'!$A$2:$B$168,2,FALSE),"")</f>
        <v/>
      </c>
    </row>
    <row r="4030" spans="1:10">
      <c r="A4030">
        <v>2019</v>
      </c>
      <c r="B4030" t="s">
        <v>1429</v>
      </c>
      <c r="C4030" t="s">
        <v>1431</v>
      </c>
      <c r="D4030" t="s">
        <v>1433</v>
      </c>
      <c r="E4030" t="s">
        <v>893</v>
      </c>
      <c r="F4030" s="9" t="s">
        <v>893</v>
      </c>
      <c r="G4030" s="18">
        <v>56267</v>
      </c>
      <c r="H4030">
        <v>0</v>
      </c>
      <c r="I4030" s="29">
        <f t="shared" si="62"/>
        <v>56267</v>
      </c>
      <c r="J4030" t="str">
        <f>IFERROR(VLOOKUP(E4030,'LEAID Match'!$A$2:$B$168,2,FALSE),"")</f>
        <v/>
      </c>
    </row>
    <row r="4031" spans="1:10">
      <c r="A4031">
        <v>2015</v>
      </c>
      <c r="B4031" t="s">
        <v>1429</v>
      </c>
      <c r="C4031" t="s">
        <v>1431</v>
      </c>
      <c r="D4031" t="s">
        <v>1433</v>
      </c>
      <c r="E4031" t="s">
        <v>894</v>
      </c>
      <c r="F4031" s="9" t="s">
        <v>1380</v>
      </c>
      <c r="G4031" s="18">
        <v>14401.9</v>
      </c>
      <c r="H4031">
        <v>0</v>
      </c>
      <c r="I4031" s="29">
        <f t="shared" si="62"/>
        <v>14401.9</v>
      </c>
      <c r="J4031" t="str">
        <f>IFERROR(VLOOKUP(E4031,'LEAID Match'!$A$2:$B$168,2,FALSE),"")</f>
        <v/>
      </c>
    </row>
    <row r="4032" spans="1:10">
      <c r="A4032">
        <v>2016</v>
      </c>
      <c r="B4032" t="s">
        <v>1429</v>
      </c>
      <c r="C4032" t="s">
        <v>1431</v>
      </c>
      <c r="D4032" t="s">
        <v>1433</v>
      </c>
      <c r="E4032" t="s">
        <v>894</v>
      </c>
      <c r="F4032" t="s">
        <v>894</v>
      </c>
      <c r="G4032" s="28">
        <v>14930</v>
      </c>
      <c r="H4032">
        <v>0</v>
      </c>
      <c r="I4032" s="29">
        <f t="shared" si="62"/>
        <v>14930</v>
      </c>
      <c r="J4032" t="str">
        <f>IFERROR(VLOOKUP(E4032,'LEAID Match'!$A$2:$B$168,2,FALSE),"")</f>
        <v/>
      </c>
    </row>
    <row r="4033" spans="1:10">
      <c r="A4033">
        <v>2017</v>
      </c>
      <c r="B4033" t="s">
        <v>1429</v>
      </c>
      <c r="C4033" t="s">
        <v>1431</v>
      </c>
      <c r="D4033" t="s">
        <v>1433</v>
      </c>
      <c r="E4033" t="s">
        <v>894</v>
      </c>
      <c r="F4033" t="s">
        <v>894</v>
      </c>
      <c r="G4033" s="28">
        <v>14643</v>
      </c>
      <c r="H4033">
        <v>0</v>
      </c>
      <c r="I4033" s="29">
        <f t="shared" si="62"/>
        <v>14643</v>
      </c>
      <c r="J4033" t="str">
        <f>IFERROR(VLOOKUP(E4033,'LEAID Match'!$A$2:$B$168,2,FALSE),"")</f>
        <v/>
      </c>
    </row>
    <row r="4034" spans="1:10">
      <c r="A4034" s="27">
        <v>2018</v>
      </c>
      <c r="B4034" t="s">
        <v>1429</v>
      </c>
      <c r="C4034" t="s">
        <v>1431</v>
      </c>
      <c r="D4034" t="s">
        <v>1433</v>
      </c>
      <c r="E4034" t="s">
        <v>894</v>
      </c>
      <c r="F4034" s="9" t="s">
        <v>894</v>
      </c>
      <c r="G4034" s="18">
        <v>14754</v>
      </c>
      <c r="H4034">
        <v>0</v>
      </c>
      <c r="I4034" s="29">
        <f t="shared" si="62"/>
        <v>14754</v>
      </c>
      <c r="J4034" t="str">
        <f>IFERROR(VLOOKUP(E4034,'LEAID Match'!$A$2:$B$168,2,FALSE),"")</f>
        <v/>
      </c>
    </row>
    <row r="4035" spans="1:10">
      <c r="A4035">
        <v>2019</v>
      </c>
      <c r="B4035" t="s">
        <v>1429</v>
      </c>
      <c r="C4035" t="s">
        <v>1431</v>
      </c>
      <c r="D4035" t="s">
        <v>1433</v>
      </c>
      <c r="E4035" t="s">
        <v>894</v>
      </c>
      <c r="F4035" s="9" t="s">
        <v>894</v>
      </c>
      <c r="G4035" s="18">
        <v>15289</v>
      </c>
      <c r="H4035">
        <v>0</v>
      </c>
      <c r="I4035" s="29">
        <f t="shared" ref="I4035:I4098" si="63">SUM(G4035:H4035)</f>
        <v>15289</v>
      </c>
      <c r="J4035" t="str">
        <f>IFERROR(VLOOKUP(E4035,'LEAID Match'!$A$2:$B$168,2,FALSE),"")</f>
        <v/>
      </c>
    </row>
    <row r="4036" spans="1:10">
      <c r="A4036">
        <v>2015</v>
      </c>
      <c r="B4036" t="s">
        <v>1429</v>
      </c>
      <c r="C4036" t="s">
        <v>1431</v>
      </c>
      <c r="D4036" t="s">
        <v>1433</v>
      </c>
      <c r="E4036" t="s">
        <v>895</v>
      </c>
      <c r="F4036" s="9" t="s">
        <v>1381</v>
      </c>
      <c r="G4036" s="18">
        <v>112184.99</v>
      </c>
      <c r="H4036">
        <v>0</v>
      </c>
      <c r="I4036" s="29">
        <f t="shared" si="63"/>
        <v>112184.99</v>
      </c>
      <c r="J4036" t="str">
        <f>IFERROR(VLOOKUP(E4036,'LEAID Match'!$A$2:$B$168,2,FALSE),"")</f>
        <v/>
      </c>
    </row>
    <row r="4037" spans="1:10">
      <c r="A4037">
        <v>2016</v>
      </c>
      <c r="B4037" t="s">
        <v>1429</v>
      </c>
      <c r="C4037" t="s">
        <v>1431</v>
      </c>
      <c r="D4037" t="s">
        <v>1433</v>
      </c>
      <c r="E4037" t="s">
        <v>895</v>
      </c>
      <c r="F4037" t="s">
        <v>895</v>
      </c>
      <c r="G4037" s="28">
        <v>134232</v>
      </c>
      <c r="H4037">
        <v>0</v>
      </c>
      <c r="I4037" s="29">
        <f t="shared" si="63"/>
        <v>134232</v>
      </c>
      <c r="J4037" t="str">
        <f>IFERROR(VLOOKUP(E4037,'LEAID Match'!$A$2:$B$168,2,FALSE),"")</f>
        <v/>
      </c>
    </row>
    <row r="4038" spans="1:10">
      <c r="A4038">
        <v>2017</v>
      </c>
      <c r="B4038" t="s">
        <v>1429</v>
      </c>
      <c r="C4038" t="s">
        <v>1431</v>
      </c>
      <c r="D4038" t="s">
        <v>1433</v>
      </c>
      <c r="E4038" t="s">
        <v>895</v>
      </c>
      <c r="F4038" t="s">
        <v>895</v>
      </c>
      <c r="G4038" s="28">
        <v>142030</v>
      </c>
      <c r="H4038">
        <v>0</v>
      </c>
      <c r="I4038" s="29">
        <f t="shared" si="63"/>
        <v>142030</v>
      </c>
      <c r="J4038" t="str">
        <f>IFERROR(VLOOKUP(E4038,'LEAID Match'!$A$2:$B$168,2,FALSE),"")</f>
        <v/>
      </c>
    </row>
    <row r="4039" spans="1:10">
      <c r="A4039" s="27">
        <v>2018</v>
      </c>
      <c r="B4039" t="s">
        <v>1429</v>
      </c>
      <c r="C4039" t="s">
        <v>1431</v>
      </c>
      <c r="D4039" t="s">
        <v>1433</v>
      </c>
      <c r="E4039" t="s">
        <v>895</v>
      </c>
      <c r="F4039" s="9" t="s">
        <v>895</v>
      </c>
      <c r="G4039" s="18">
        <v>161244</v>
      </c>
      <c r="H4039">
        <v>0</v>
      </c>
      <c r="I4039" s="29">
        <f t="shared" si="63"/>
        <v>161244</v>
      </c>
      <c r="J4039" t="str">
        <f>IFERROR(VLOOKUP(E4039,'LEAID Match'!$A$2:$B$168,2,FALSE),"")</f>
        <v/>
      </c>
    </row>
    <row r="4040" spans="1:10">
      <c r="A4040">
        <v>2019</v>
      </c>
      <c r="B4040" t="s">
        <v>1429</v>
      </c>
      <c r="C4040" t="s">
        <v>1431</v>
      </c>
      <c r="D4040" t="s">
        <v>1433</v>
      </c>
      <c r="E4040" t="s">
        <v>895</v>
      </c>
      <c r="F4040" s="9" t="s">
        <v>895</v>
      </c>
      <c r="G4040" s="18">
        <v>159881</v>
      </c>
      <c r="H4040">
        <v>0</v>
      </c>
      <c r="I4040" s="29">
        <f t="shared" si="63"/>
        <v>159881</v>
      </c>
      <c r="J4040" t="str">
        <f>IFERROR(VLOOKUP(E4040,'LEAID Match'!$A$2:$B$168,2,FALSE),"")</f>
        <v/>
      </c>
    </row>
    <row r="4041" spans="1:10">
      <c r="A4041">
        <v>2015</v>
      </c>
      <c r="B4041" t="s">
        <v>1429</v>
      </c>
      <c r="C4041" t="s">
        <v>1431</v>
      </c>
      <c r="D4041" t="s">
        <v>1433</v>
      </c>
      <c r="E4041" t="s">
        <v>1382</v>
      </c>
      <c r="F4041" s="9" t="s">
        <v>1382</v>
      </c>
      <c r="G4041" s="18">
        <v>12720.58</v>
      </c>
      <c r="H4041">
        <v>0</v>
      </c>
      <c r="I4041" s="29">
        <f t="shared" si="63"/>
        <v>12720.58</v>
      </c>
      <c r="J4041" t="str">
        <f>IFERROR(VLOOKUP(E4041,'LEAID Match'!$A$2:$B$168,2,FALSE),"")</f>
        <v/>
      </c>
    </row>
    <row r="4042" spans="1:10">
      <c r="A4042">
        <v>2016</v>
      </c>
      <c r="B4042" t="s">
        <v>1429</v>
      </c>
      <c r="C4042" t="s">
        <v>1431</v>
      </c>
      <c r="D4042" t="s">
        <v>1433</v>
      </c>
      <c r="E4042" t="s">
        <v>896</v>
      </c>
      <c r="F4042" t="s">
        <v>896</v>
      </c>
      <c r="G4042" s="28">
        <v>13589</v>
      </c>
      <c r="H4042">
        <v>0</v>
      </c>
      <c r="I4042" s="29">
        <f t="shared" si="63"/>
        <v>13589</v>
      </c>
      <c r="J4042" t="str">
        <f>IFERROR(VLOOKUP(E4042,'LEAID Match'!$A$2:$B$168,2,FALSE),"")</f>
        <v/>
      </c>
    </row>
    <row r="4043" spans="1:10">
      <c r="A4043">
        <v>2017</v>
      </c>
      <c r="B4043" t="s">
        <v>1429</v>
      </c>
      <c r="C4043" t="s">
        <v>1431</v>
      </c>
      <c r="D4043" t="s">
        <v>1433</v>
      </c>
      <c r="E4043" t="s">
        <v>896</v>
      </c>
      <c r="F4043" t="s">
        <v>896</v>
      </c>
      <c r="G4043" s="28">
        <v>14077</v>
      </c>
      <c r="H4043">
        <v>0</v>
      </c>
      <c r="I4043" s="29">
        <f t="shared" si="63"/>
        <v>14077</v>
      </c>
      <c r="J4043" t="str">
        <f>IFERROR(VLOOKUP(E4043,'LEAID Match'!$A$2:$B$168,2,FALSE),"")</f>
        <v/>
      </c>
    </row>
    <row r="4044" spans="1:10">
      <c r="A4044" s="27">
        <v>2018</v>
      </c>
      <c r="B4044" t="s">
        <v>1429</v>
      </c>
      <c r="C4044" t="s">
        <v>1431</v>
      </c>
      <c r="D4044" t="s">
        <v>1433</v>
      </c>
      <c r="E4044" t="s">
        <v>896</v>
      </c>
      <c r="F4044" s="9" t="s">
        <v>896</v>
      </c>
      <c r="G4044" s="18">
        <v>13152</v>
      </c>
      <c r="H4044">
        <v>0</v>
      </c>
      <c r="I4044" s="29">
        <f t="shared" si="63"/>
        <v>13152</v>
      </c>
      <c r="J4044" t="str">
        <f>IFERROR(VLOOKUP(E4044,'LEAID Match'!$A$2:$B$168,2,FALSE),"")</f>
        <v/>
      </c>
    </row>
    <row r="4045" spans="1:10">
      <c r="A4045">
        <v>2019</v>
      </c>
      <c r="B4045" t="s">
        <v>1429</v>
      </c>
      <c r="C4045" t="s">
        <v>1431</v>
      </c>
      <c r="D4045" t="s">
        <v>1433</v>
      </c>
      <c r="E4045" t="s">
        <v>896</v>
      </c>
      <c r="F4045" s="9" t="s">
        <v>896</v>
      </c>
      <c r="G4045" s="18">
        <v>16189</v>
      </c>
      <c r="H4045">
        <v>0</v>
      </c>
      <c r="I4045" s="29">
        <f t="shared" si="63"/>
        <v>16189</v>
      </c>
      <c r="J4045" t="str">
        <f>IFERROR(VLOOKUP(E4045,'LEAID Match'!$A$2:$B$168,2,FALSE),"")</f>
        <v/>
      </c>
    </row>
    <row r="4046" spans="1:10">
      <c r="A4046">
        <v>2015</v>
      </c>
      <c r="B4046" t="s">
        <v>1429</v>
      </c>
      <c r="C4046" t="s">
        <v>1431</v>
      </c>
      <c r="D4046" t="s">
        <v>1433</v>
      </c>
      <c r="E4046" t="s">
        <v>397</v>
      </c>
      <c r="F4046" s="9" t="s">
        <v>1383</v>
      </c>
      <c r="G4046" s="18">
        <v>61419.67</v>
      </c>
      <c r="H4046">
        <v>0</v>
      </c>
      <c r="I4046" s="29">
        <f t="shared" si="63"/>
        <v>61419.67</v>
      </c>
      <c r="J4046">
        <f>IFERROR(VLOOKUP(E4046,'LEAID Match'!$A$2:$B$168,2,FALSE),"")</f>
        <v>3306750</v>
      </c>
    </row>
    <row r="4047" spans="1:10">
      <c r="A4047">
        <v>2016</v>
      </c>
      <c r="B4047" t="s">
        <v>1429</v>
      </c>
      <c r="C4047" t="s">
        <v>1431</v>
      </c>
      <c r="D4047" t="s">
        <v>1433</v>
      </c>
      <c r="E4047" t="s">
        <v>397</v>
      </c>
      <c r="F4047" t="s">
        <v>897</v>
      </c>
      <c r="G4047" s="28">
        <v>69276</v>
      </c>
      <c r="H4047">
        <v>0</v>
      </c>
      <c r="I4047" s="29">
        <f t="shared" si="63"/>
        <v>69276</v>
      </c>
      <c r="J4047">
        <f>IFERROR(VLOOKUP(E4047,'LEAID Match'!$A$2:$B$168,2,FALSE),"")</f>
        <v>3306750</v>
      </c>
    </row>
    <row r="4048" spans="1:10">
      <c r="A4048">
        <v>2017</v>
      </c>
      <c r="B4048" t="s">
        <v>1429</v>
      </c>
      <c r="C4048" t="s">
        <v>1431</v>
      </c>
      <c r="D4048" t="s">
        <v>1433</v>
      </c>
      <c r="E4048" t="s">
        <v>397</v>
      </c>
      <c r="F4048" t="s">
        <v>897</v>
      </c>
      <c r="G4048" s="28">
        <v>68989</v>
      </c>
      <c r="H4048">
        <v>0</v>
      </c>
      <c r="I4048" s="29">
        <f t="shared" si="63"/>
        <v>68989</v>
      </c>
      <c r="J4048">
        <f>IFERROR(VLOOKUP(E4048,'LEAID Match'!$A$2:$B$168,2,FALSE),"")</f>
        <v>3306750</v>
      </c>
    </row>
    <row r="4049" spans="1:10">
      <c r="A4049" s="27">
        <v>2018</v>
      </c>
      <c r="B4049" t="s">
        <v>1429</v>
      </c>
      <c r="C4049" t="s">
        <v>1431</v>
      </c>
      <c r="D4049" t="s">
        <v>1433</v>
      </c>
      <c r="E4049" t="s">
        <v>397</v>
      </c>
      <c r="F4049" s="9" t="s">
        <v>897</v>
      </c>
      <c r="G4049" s="18">
        <v>88077</v>
      </c>
      <c r="H4049">
        <v>0</v>
      </c>
      <c r="I4049" s="29">
        <f t="shared" si="63"/>
        <v>88077</v>
      </c>
      <c r="J4049">
        <f>IFERROR(VLOOKUP(E4049,'LEAID Match'!$A$2:$B$168,2,FALSE),"")</f>
        <v>3306750</v>
      </c>
    </row>
    <row r="4050" spans="1:10">
      <c r="A4050">
        <v>2019</v>
      </c>
      <c r="B4050" t="s">
        <v>1429</v>
      </c>
      <c r="C4050" t="s">
        <v>1431</v>
      </c>
      <c r="D4050" t="s">
        <v>1433</v>
      </c>
      <c r="E4050" t="s">
        <v>397</v>
      </c>
      <c r="F4050" s="9" t="s">
        <v>897</v>
      </c>
      <c r="G4050" s="18">
        <v>96794</v>
      </c>
      <c r="H4050">
        <v>0</v>
      </c>
      <c r="I4050" s="29">
        <f t="shared" si="63"/>
        <v>96794</v>
      </c>
      <c r="J4050">
        <f>IFERROR(VLOOKUP(E4050,'LEAID Match'!$A$2:$B$168,2,FALSE),"")</f>
        <v>3306750</v>
      </c>
    </row>
    <row r="4051" spans="1:10">
      <c r="A4051" s="27">
        <v>2020</v>
      </c>
      <c r="B4051" t="s">
        <v>1429</v>
      </c>
      <c r="C4051" t="s">
        <v>1431</v>
      </c>
      <c r="D4051" t="s">
        <v>1433</v>
      </c>
      <c r="E4051" t="s">
        <v>397</v>
      </c>
      <c r="F4051" s="9" t="s">
        <v>397</v>
      </c>
      <c r="G4051" s="18">
        <v>108159</v>
      </c>
      <c r="H4051">
        <v>0</v>
      </c>
      <c r="I4051" s="29">
        <f t="shared" si="63"/>
        <v>108159</v>
      </c>
      <c r="J4051">
        <f>IFERROR(VLOOKUP(E4051,'LEAID Match'!$A$2:$B$168,2,FALSE),"")</f>
        <v>3306750</v>
      </c>
    </row>
    <row r="4052" spans="1:10">
      <c r="A4052">
        <v>2021</v>
      </c>
      <c r="B4052" t="s">
        <v>1429</v>
      </c>
      <c r="C4052" t="s">
        <v>1431</v>
      </c>
      <c r="D4052" t="s">
        <v>1433</v>
      </c>
      <c r="E4052" t="s">
        <v>397</v>
      </c>
      <c r="F4052" s="9" t="s">
        <v>397</v>
      </c>
      <c r="G4052" s="18">
        <v>115756</v>
      </c>
      <c r="H4052">
        <v>0</v>
      </c>
      <c r="I4052" s="29">
        <f t="shared" si="63"/>
        <v>115756</v>
      </c>
      <c r="J4052">
        <f>IFERROR(VLOOKUP(E4052,'LEAID Match'!$A$2:$B$168,2,FALSE),"")</f>
        <v>3306750</v>
      </c>
    </row>
    <row r="4053" spans="1:10">
      <c r="A4053">
        <v>2022</v>
      </c>
      <c r="B4053" t="s">
        <v>1429</v>
      </c>
      <c r="C4053" t="s">
        <v>1431</v>
      </c>
      <c r="D4053" t="s">
        <v>1433</v>
      </c>
      <c r="E4053" t="s">
        <v>397</v>
      </c>
      <c r="F4053" s="9" t="s">
        <v>397</v>
      </c>
      <c r="G4053" s="18">
        <v>149721</v>
      </c>
      <c r="H4053">
        <v>0</v>
      </c>
      <c r="I4053" s="29">
        <f t="shared" si="63"/>
        <v>149721</v>
      </c>
      <c r="J4053">
        <f>IFERROR(VLOOKUP(E4053,'LEAID Match'!$A$2:$B$168,2,FALSE),"")</f>
        <v>3306750</v>
      </c>
    </row>
    <row r="4054" spans="1:10">
      <c r="A4054">
        <v>2023</v>
      </c>
      <c r="B4054" t="s">
        <v>1429</v>
      </c>
      <c r="C4054" t="s">
        <v>1431</v>
      </c>
      <c r="D4054" t="s">
        <v>1433</v>
      </c>
      <c r="E4054" t="s">
        <v>397</v>
      </c>
      <c r="F4054" t="s">
        <v>397</v>
      </c>
      <c r="G4054" s="28">
        <v>168569</v>
      </c>
      <c r="H4054">
        <v>0</v>
      </c>
      <c r="I4054" s="29">
        <f t="shared" si="63"/>
        <v>168569</v>
      </c>
      <c r="J4054">
        <f>IFERROR(VLOOKUP(E4054,'LEAID Match'!$A$2:$B$168,2,FALSE),"")</f>
        <v>3306750</v>
      </c>
    </row>
    <row r="4055" spans="1:10">
      <c r="A4055">
        <v>2015</v>
      </c>
      <c r="B4055" t="s">
        <v>1429</v>
      </c>
      <c r="C4055" t="s">
        <v>1431</v>
      </c>
      <c r="D4055" t="s">
        <v>1433</v>
      </c>
      <c r="E4055" t="s">
        <v>898</v>
      </c>
      <c r="F4055" s="9" t="s">
        <v>1384</v>
      </c>
      <c r="G4055" s="18">
        <v>18421.740000000002</v>
      </c>
      <c r="H4055">
        <v>0</v>
      </c>
      <c r="I4055" s="29">
        <f t="shared" si="63"/>
        <v>18421.740000000002</v>
      </c>
      <c r="J4055" t="str">
        <f>IFERROR(VLOOKUP(E4055,'LEAID Match'!$A$2:$B$168,2,FALSE),"")</f>
        <v/>
      </c>
    </row>
    <row r="4056" spans="1:10">
      <c r="A4056">
        <v>2016</v>
      </c>
      <c r="B4056" t="s">
        <v>1429</v>
      </c>
      <c r="C4056" t="s">
        <v>1431</v>
      </c>
      <c r="D4056" t="s">
        <v>1433</v>
      </c>
      <c r="E4056" t="s">
        <v>898</v>
      </c>
      <c r="F4056" t="s">
        <v>898</v>
      </c>
      <c r="G4056" s="28">
        <v>21163</v>
      </c>
      <c r="H4056">
        <v>0</v>
      </c>
      <c r="I4056" s="29">
        <f t="shared" si="63"/>
        <v>21163</v>
      </c>
      <c r="J4056" t="str">
        <f>IFERROR(VLOOKUP(E4056,'LEAID Match'!$A$2:$B$168,2,FALSE),"")</f>
        <v/>
      </c>
    </row>
    <row r="4057" spans="1:10">
      <c r="A4057">
        <v>2017</v>
      </c>
      <c r="B4057" t="s">
        <v>1429</v>
      </c>
      <c r="C4057" t="s">
        <v>1431</v>
      </c>
      <c r="D4057" t="s">
        <v>1433</v>
      </c>
      <c r="E4057" t="s">
        <v>898</v>
      </c>
      <c r="F4057" t="s">
        <v>898</v>
      </c>
      <c r="G4057" s="28">
        <v>21018</v>
      </c>
      <c r="H4057">
        <v>0</v>
      </c>
      <c r="I4057" s="29">
        <f t="shared" si="63"/>
        <v>21018</v>
      </c>
      <c r="J4057" t="str">
        <f>IFERROR(VLOOKUP(E4057,'LEAID Match'!$A$2:$B$168,2,FALSE),"")</f>
        <v/>
      </c>
    </row>
    <row r="4058" spans="1:10">
      <c r="A4058" s="27">
        <v>2018</v>
      </c>
      <c r="B4058" t="s">
        <v>1429</v>
      </c>
      <c r="C4058" t="s">
        <v>1431</v>
      </c>
      <c r="D4058" t="s">
        <v>1433</v>
      </c>
      <c r="E4058" t="s">
        <v>898</v>
      </c>
      <c r="F4058" s="9" t="s">
        <v>898</v>
      </c>
      <c r="G4058" s="18">
        <v>22585</v>
      </c>
      <c r="H4058">
        <v>0</v>
      </c>
      <c r="I4058" s="29">
        <f t="shared" si="63"/>
        <v>22585</v>
      </c>
      <c r="J4058" t="str">
        <f>IFERROR(VLOOKUP(E4058,'LEAID Match'!$A$2:$B$168,2,FALSE),"")</f>
        <v/>
      </c>
    </row>
    <row r="4059" spans="1:10">
      <c r="A4059">
        <v>2019</v>
      </c>
      <c r="B4059" t="s">
        <v>1429</v>
      </c>
      <c r="C4059" t="s">
        <v>1431</v>
      </c>
      <c r="D4059" t="s">
        <v>1433</v>
      </c>
      <c r="E4059" t="s">
        <v>898</v>
      </c>
      <c r="F4059" s="9" t="s">
        <v>898</v>
      </c>
      <c r="G4059" s="18">
        <v>22075</v>
      </c>
      <c r="H4059">
        <v>0</v>
      </c>
      <c r="I4059" s="29">
        <f t="shared" si="63"/>
        <v>22075</v>
      </c>
      <c r="J4059" t="str">
        <f>IFERROR(VLOOKUP(E4059,'LEAID Match'!$A$2:$B$168,2,FALSE),"")</f>
        <v/>
      </c>
    </row>
    <row r="4060" spans="1:10">
      <c r="A4060" s="27">
        <v>2020</v>
      </c>
      <c r="B4060" t="s">
        <v>1429</v>
      </c>
      <c r="C4060" t="s">
        <v>1431</v>
      </c>
      <c r="D4060" t="s">
        <v>1433</v>
      </c>
      <c r="E4060" t="s">
        <v>398</v>
      </c>
      <c r="F4060" s="9" t="s">
        <v>398</v>
      </c>
      <c r="G4060" s="18">
        <v>22296</v>
      </c>
      <c r="H4060">
        <v>0</v>
      </c>
      <c r="I4060" s="29">
        <f t="shared" si="63"/>
        <v>22296</v>
      </c>
      <c r="J4060" t="str">
        <f>IFERROR(VLOOKUP(E4060,'LEAID Match'!$A$2:$B$168,2,FALSE),"")</f>
        <v/>
      </c>
    </row>
    <row r="4061" spans="1:10">
      <c r="A4061">
        <v>2021</v>
      </c>
      <c r="B4061" t="s">
        <v>1429</v>
      </c>
      <c r="C4061" t="s">
        <v>1431</v>
      </c>
      <c r="D4061" t="s">
        <v>1433</v>
      </c>
      <c r="E4061" t="s">
        <v>398</v>
      </c>
      <c r="F4061" s="9" t="s">
        <v>398</v>
      </c>
      <c r="G4061" s="18">
        <v>24242</v>
      </c>
      <c r="H4061">
        <v>0</v>
      </c>
      <c r="I4061" s="29">
        <f t="shared" si="63"/>
        <v>24242</v>
      </c>
      <c r="J4061" t="str">
        <f>IFERROR(VLOOKUP(E4061,'LEAID Match'!$A$2:$B$168,2,FALSE),"")</f>
        <v/>
      </c>
    </row>
    <row r="4062" spans="1:10">
      <c r="A4062">
        <v>2022</v>
      </c>
      <c r="B4062" t="s">
        <v>1429</v>
      </c>
      <c r="C4062" t="s">
        <v>1431</v>
      </c>
      <c r="D4062" t="s">
        <v>1433</v>
      </c>
      <c r="E4062" t="s">
        <v>398</v>
      </c>
      <c r="F4062" s="9" t="s">
        <v>398</v>
      </c>
      <c r="G4062" s="18">
        <v>39865</v>
      </c>
      <c r="H4062">
        <v>0</v>
      </c>
      <c r="I4062" s="29">
        <f t="shared" si="63"/>
        <v>39865</v>
      </c>
      <c r="J4062" t="str">
        <f>IFERROR(VLOOKUP(E4062,'LEAID Match'!$A$2:$B$168,2,FALSE),"")</f>
        <v/>
      </c>
    </row>
    <row r="4063" spans="1:10">
      <c r="A4063">
        <v>2023</v>
      </c>
      <c r="B4063" t="s">
        <v>1429</v>
      </c>
      <c r="C4063" t="s">
        <v>1431</v>
      </c>
      <c r="D4063" t="s">
        <v>1433</v>
      </c>
      <c r="E4063" t="s">
        <v>398</v>
      </c>
      <c r="F4063" t="s">
        <v>398</v>
      </c>
      <c r="G4063" s="28">
        <v>45031</v>
      </c>
      <c r="H4063">
        <v>0</v>
      </c>
      <c r="I4063" s="29">
        <f t="shared" si="63"/>
        <v>45031</v>
      </c>
      <c r="J4063" t="str">
        <f>IFERROR(VLOOKUP(E4063,'LEAID Match'!$A$2:$B$168,2,FALSE),"")</f>
        <v/>
      </c>
    </row>
    <row r="4064" spans="1:10">
      <c r="A4064">
        <v>2015</v>
      </c>
      <c r="B4064" t="s">
        <v>1429</v>
      </c>
      <c r="C4064" t="s">
        <v>1431</v>
      </c>
      <c r="D4064" t="s">
        <v>1433</v>
      </c>
      <c r="E4064" t="s">
        <v>899</v>
      </c>
      <c r="F4064" s="9" t="s">
        <v>1385</v>
      </c>
      <c r="G4064" s="18">
        <v>4076.99</v>
      </c>
      <c r="H4064">
        <v>0</v>
      </c>
      <c r="I4064" s="29">
        <f t="shared" si="63"/>
        <v>4076.99</v>
      </c>
      <c r="J4064" t="str">
        <f>IFERROR(VLOOKUP(E4064,'LEAID Match'!$A$2:$B$168,2,FALSE),"")</f>
        <v/>
      </c>
    </row>
    <row r="4065" spans="1:10">
      <c r="A4065">
        <v>2016</v>
      </c>
      <c r="B4065" t="s">
        <v>1429</v>
      </c>
      <c r="C4065" t="s">
        <v>1431</v>
      </c>
      <c r="D4065" t="s">
        <v>1433</v>
      </c>
      <c r="E4065" t="s">
        <v>899</v>
      </c>
      <c r="F4065" t="s">
        <v>899</v>
      </c>
      <c r="G4065" s="28">
        <v>8441</v>
      </c>
      <c r="H4065">
        <v>0</v>
      </c>
      <c r="I4065" s="29">
        <f t="shared" si="63"/>
        <v>8441</v>
      </c>
      <c r="J4065" t="str">
        <f>IFERROR(VLOOKUP(E4065,'LEAID Match'!$A$2:$B$168,2,FALSE),"")</f>
        <v/>
      </c>
    </row>
    <row r="4066" spans="1:10">
      <c r="A4066">
        <v>2017</v>
      </c>
      <c r="B4066" t="s">
        <v>1429</v>
      </c>
      <c r="C4066" t="s">
        <v>1431</v>
      </c>
      <c r="D4066" t="s">
        <v>1433</v>
      </c>
      <c r="E4066" t="s">
        <v>899</v>
      </c>
      <c r="F4066" t="s">
        <v>899</v>
      </c>
      <c r="G4066" s="28">
        <v>14424</v>
      </c>
      <c r="H4066">
        <v>0</v>
      </c>
      <c r="I4066" s="29">
        <f t="shared" si="63"/>
        <v>14424</v>
      </c>
      <c r="J4066" t="str">
        <f>IFERROR(VLOOKUP(E4066,'LEAID Match'!$A$2:$B$168,2,FALSE),"")</f>
        <v/>
      </c>
    </row>
    <row r="4067" spans="1:10">
      <c r="A4067" s="27">
        <v>2018</v>
      </c>
      <c r="B4067" t="s">
        <v>1429</v>
      </c>
      <c r="C4067" t="s">
        <v>1431</v>
      </c>
      <c r="D4067" t="s">
        <v>1433</v>
      </c>
      <c r="E4067" t="s">
        <v>899</v>
      </c>
      <c r="F4067" s="9" t="s">
        <v>899</v>
      </c>
      <c r="G4067" s="18">
        <v>16462</v>
      </c>
      <c r="H4067">
        <v>0</v>
      </c>
      <c r="I4067" s="29">
        <f t="shared" si="63"/>
        <v>16462</v>
      </c>
      <c r="J4067" t="str">
        <f>IFERROR(VLOOKUP(E4067,'LEAID Match'!$A$2:$B$168,2,FALSE),"")</f>
        <v/>
      </c>
    </row>
    <row r="4068" spans="1:10">
      <c r="A4068">
        <v>2019</v>
      </c>
      <c r="B4068" t="s">
        <v>1429</v>
      </c>
      <c r="C4068" t="s">
        <v>1431</v>
      </c>
      <c r="D4068" t="s">
        <v>1433</v>
      </c>
      <c r="E4068" t="s">
        <v>899</v>
      </c>
      <c r="F4068" s="9" t="s">
        <v>899</v>
      </c>
      <c r="G4068" s="18">
        <v>16746</v>
      </c>
      <c r="H4068">
        <v>0</v>
      </c>
      <c r="I4068" s="29">
        <f t="shared" si="63"/>
        <v>16746</v>
      </c>
      <c r="J4068" t="str">
        <f>IFERROR(VLOOKUP(E4068,'LEAID Match'!$A$2:$B$168,2,FALSE),"")</f>
        <v/>
      </c>
    </row>
    <row r="4069" spans="1:10">
      <c r="A4069" s="27">
        <v>2020</v>
      </c>
      <c r="B4069" t="s">
        <v>1429</v>
      </c>
      <c r="C4069" t="s">
        <v>1431</v>
      </c>
      <c r="D4069" t="s">
        <v>1433</v>
      </c>
      <c r="E4069" t="s">
        <v>399</v>
      </c>
      <c r="F4069" s="9" t="s">
        <v>399</v>
      </c>
      <c r="G4069" s="18">
        <v>26403</v>
      </c>
      <c r="H4069">
        <v>0</v>
      </c>
      <c r="I4069" s="29">
        <f t="shared" si="63"/>
        <v>26403</v>
      </c>
      <c r="J4069" t="str">
        <f>IFERROR(VLOOKUP(E4069,'LEAID Match'!$A$2:$B$168,2,FALSE),"")</f>
        <v/>
      </c>
    </row>
    <row r="4070" spans="1:10">
      <c r="A4070">
        <v>2021</v>
      </c>
      <c r="B4070" t="s">
        <v>1429</v>
      </c>
      <c r="C4070" t="s">
        <v>1431</v>
      </c>
      <c r="D4070" t="s">
        <v>1433</v>
      </c>
      <c r="E4070" t="s">
        <v>399</v>
      </c>
      <c r="F4070" s="9" t="s">
        <v>399</v>
      </c>
      <c r="G4070" s="18">
        <v>11886</v>
      </c>
      <c r="H4070">
        <v>0</v>
      </c>
      <c r="I4070" s="29">
        <f t="shared" si="63"/>
        <v>11886</v>
      </c>
      <c r="J4070" t="str">
        <f>IFERROR(VLOOKUP(E4070,'LEAID Match'!$A$2:$B$168,2,FALSE),"")</f>
        <v/>
      </c>
    </row>
    <row r="4071" spans="1:10">
      <c r="A4071">
        <v>2022</v>
      </c>
      <c r="B4071" t="s">
        <v>1429</v>
      </c>
      <c r="C4071" t="s">
        <v>1431</v>
      </c>
      <c r="D4071" t="s">
        <v>1433</v>
      </c>
      <c r="E4071" t="s">
        <v>399</v>
      </c>
      <c r="F4071" s="9" t="s">
        <v>399</v>
      </c>
      <c r="G4071" s="18">
        <v>19632</v>
      </c>
      <c r="H4071">
        <v>0</v>
      </c>
      <c r="I4071" s="29">
        <f t="shared" si="63"/>
        <v>19632</v>
      </c>
      <c r="J4071" t="str">
        <f>IFERROR(VLOOKUP(E4071,'LEAID Match'!$A$2:$B$168,2,FALSE),"")</f>
        <v/>
      </c>
    </row>
    <row r="4072" spans="1:10">
      <c r="A4072">
        <v>2023</v>
      </c>
      <c r="B4072" t="s">
        <v>1429</v>
      </c>
      <c r="C4072" t="s">
        <v>1431</v>
      </c>
      <c r="D4072" t="s">
        <v>1433</v>
      </c>
      <c r="E4072" t="s">
        <v>399</v>
      </c>
      <c r="F4072" t="s">
        <v>399</v>
      </c>
      <c r="G4072" s="28">
        <v>26637</v>
      </c>
      <c r="H4072">
        <v>0</v>
      </c>
      <c r="I4072" s="29">
        <f t="shared" si="63"/>
        <v>26637</v>
      </c>
      <c r="J4072" t="str">
        <f>IFERROR(VLOOKUP(E4072,'LEAID Match'!$A$2:$B$168,2,FALSE),"")</f>
        <v/>
      </c>
    </row>
    <row r="4073" spans="1:10">
      <c r="A4073">
        <v>2015</v>
      </c>
      <c r="B4073" t="s">
        <v>1429</v>
      </c>
      <c r="C4073" t="s">
        <v>1431</v>
      </c>
      <c r="D4073" t="s">
        <v>1433</v>
      </c>
      <c r="E4073" t="s">
        <v>900</v>
      </c>
      <c r="F4073" s="9" t="s">
        <v>1386</v>
      </c>
      <c r="G4073" s="18">
        <v>219872.78</v>
      </c>
      <c r="H4073">
        <v>0</v>
      </c>
      <c r="I4073" s="29">
        <f t="shared" si="63"/>
        <v>219872.78</v>
      </c>
      <c r="J4073" t="str">
        <f>IFERROR(VLOOKUP(E4073,'LEAID Match'!$A$2:$B$168,2,FALSE),"")</f>
        <v/>
      </c>
    </row>
    <row r="4074" spans="1:10">
      <c r="A4074">
        <v>2016</v>
      </c>
      <c r="B4074" t="s">
        <v>1429</v>
      </c>
      <c r="C4074" t="s">
        <v>1431</v>
      </c>
      <c r="D4074" t="s">
        <v>1433</v>
      </c>
      <c r="E4074" t="s">
        <v>900</v>
      </c>
      <c r="F4074" t="s">
        <v>900</v>
      </c>
      <c r="G4074" s="28">
        <v>245907</v>
      </c>
      <c r="H4074">
        <v>0</v>
      </c>
      <c r="I4074" s="29">
        <f t="shared" si="63"/>
        <v>245907</v>
      </c>
      <c r="J4074" t="str">
        <f>IFERROR(VLOOKUP(E4074,'LEAID Match'!$A$2:$B$168,2,FALSE),"")</f>
        <v/>
      </c>
    </row>
    <row r="4075" spans="1:10">
      <c r="A4075">
        <v>2017</v>
      </c>
      <c r="B4075" t="s">
        <v>1429</v>
      </c>
      <c r="C4075" t="s">
        <v>1431</v>
      </c>
      <c r="D4075" t="s">
        <v>1433</v>
      </c>
      <c r="E4075" t="s">
        <v>900</v>
      </c>
      <c r="F4075" t="s">
        <v>900</v>
      </c>
      <c r="G4075" s="28">
        <v>270172</v>
      </c>
      <c r="H4075">
        <v>0</v>
      </c>
      <c r="I4075" s="29">
        <f t="shared" si="63"/>
        <v>270172</v>
      </c>
      <c r="J4075" t="str">
        <f>IFERROR(VLOOKUP(E4075,'LEAID Match'!$A$2:$B$168,2,FALSE),"")</f>
        <v/>
      </c>
    </row>
    <row r="4076" spans="1:10">
      <c r="A4076" s="27">
        <v>2018</v>
      </c>
      <c r="B4076" t="s">
        <v>1429</v>
      </c>
      <c r="C4076" t="s">
        <v>1431</v>
      </c>
      <c r="D4076" t="s">
        <v>1433</v>
      </c>
      <c r="E4076" t="s">
        <v>900</v>
      </c>
      <c r="F4076" s="9" t="s">
        <v>900</v>
      </c>
      <c r="G4076" s="18">
        <v>334687</v>
      </c>
      <c r="H4076">
        <v>0</v>
      </c>
      <c r="I4076" s="29">
        <f t="shared" si="63"/>
        <v>334687</v>
      </c>
      <c r="J4076" t="str">
        <f>IFERROR(VLOOKUP(E4076,'LEAID Match'!$A$2:$B$168,2,FALSE),"")</f>
        <v/>
      </c>
    </row>
    <row r="4077" spans="1:10">
      <c r="A4077">
        <v>2019</v>
      </c>
      <c r="B4077" t="s">
        <v>1429</v>
      </c>
      <c r="C4077" t="s">
        <v>1431</v>
      </c>
      <c r="D4077" t="s">
        <v>1433</v>
      </c>
      <c r="E4077" t="s">
        <v>900</v>
      </c>
      <c r="F4077" s="9" t="s">
        <v>900</v>
      </c>
      <c r="G4077" s="18">
        <v>413065</v>
      </c>
      <c r="H4077">
        <v>0</v>
      </c>
      <c r="I4077" s="29">
        <f t="shared" si="63"/>
        <v>413065</v>
      </c>
      <c r="J4077" t="str">
        <f>IFERROR(VLOOKUP(E4077,'LEAID Match'!$A$2:$B$168,2,FALSE),"")</f>
        <v/>
      </c>
    </row>
    <row r="4078" spans="1:10">
      <c r="A4078" s="27">
        <v>2020</v>
      </c>
      <c r="B4078" t="s">
        <v>1429</v>
      </c>
      <c r="C4078" t="s">
        <v>1431</v>
      </c>
      <c r="D4078" t="s">
        <v>1433</v>
      </c>
      <c r="E4078" t="s">
        <v>900</v>
      </c>
      <c r="F4078" s="9" t="s">
        <v>400</v>
      </c>
      <c r="G4078" s="18">
        <v>483274</v>
      </c>
      <c r="H4078">
        <v>0</v>
      </c>
      <c r="I4078" s="29">
        <f t="shared" si="63"/>
        <v>483274</v>
      </c>
      <c r="J4078" t="str">
        <f>IFERROR(VLOOKUP(E4078,'LEAID Match'!$A$2:$B$168,2,FALSE),"")</f>
        <v/>
      </c>
    </row>
    <row r="4079" spans="1:10">
      <c r="A4079">
        <v>2021</v>
      </c>
      <c r="B4079" t="s">
        <v>1429</v>
      </c>
      <c r="C4079" t="s">
        <v>1431</v>
      </c>
      <c r="D4079" t="s">
        <v>1433</v>
      </c>
      <c r="E4079" t="s">
        <v>900</v>
      </c>
      <c r="F4079" s="9" t="s">
        <v>400</v>
      </c>
      <c r="G4079" s="18">
        <v>628701</v>
      </c>
      <c r="H4079">
        <v>0</v>
      </c>
      <c r="I4079" s="29">
        <f t="shared" si="63"/>
        <v>628701</v>
      </c>
      <c r="J4079" t="str">
        <f>IFERROR(VLOOKUP(E4079,'LEAID Match'!$A$2:$B$168,2,FALSE),"")</f>
        <v/>
      </c>
    </row>
    <row r="4080" spans="1:10">
      <c r="A4080">
        <v>2022</v>
      </c>
      <c r="B4080" t="s">
        <v>1429</v>
      </c>
      <c r="C4080" t="s">
        <v>1431</v>
      </c>
      <c r="D4080" t="s">
        <v>1433</v>
      </c>
      <c r="E4080" t="s">
        <v>900</v>
      </c>
      <c r="F4080" s="9" t="s">
        <v>400</v>
      </c>
      <c r="G4080" s="18">
        <v>769750</v>
      </c>
      <c r="H4080">
        <v>0</v>
      </c>
      <c r="I4080" s="29">
        <f t="shared" si="63"/>
        <v>769750</v>
      </c>
      <c r="J4080" t="str">
        <f>IFERROR(VLOOKUP(E4080,'LEAID Match'!$A$2:$B$168,2,FALSE),"")</f>
        <v/>
      </c>
    </row>
    <row r="4081" spans="1:10">
      <c r="A4081">
        <v>2023</v>
      </c>
      <c r="B4081" t="s">
        <v>1429</v>
      </c>
      <c r="C4081" t="s">
        <v>1431</v>
      </c>
      <c r="D4081" t="s">
        <v>1433</v>
      </c>
      <c r="E4081" t="s">
        <v>900</v>
      </c>
      <c r="F4081" t="s">
        <v>400</v>
      </c>
      <c r="G4081" s="28">
        <v>799710</v>
      </c>
      <c r="H4081">
        <v>0</v>
      </c>
      <c r="I4081" s="29">
        <f t="shared" si="63"/>
        <v>799710</v>
      </c>
      <c r="J4081" t="str">
        <f>IFERROR(VLOOKUP(E4081,'LEAID Match'!$A$2:$B$168,2,FALSE),"")</f>
        <v/>
      </c>
    </row>
    <row r="4082" spans="1:10">
      <c r="A4082">
        <v>2015</v>
      </c>
      <c r="B4082" t="s">
        <v>1429</v>
      </c>
      <c r="C4082" t="s">
        <v>1431</v>
      </c>
      <c r="D4082" t="s">
        <v>1433</v>
      </c>
      <c r="E4082" t="s">
        <v>1387</v>
      </c>
      <c r="F4082" s="9" t="s">
        <v>1387</v>
      </c>
      <c r="G4082" s="18">
        <v>245483.97</v>
      </c>
      <c r="H4082">
        <v>0</v>
      </c>
      <c r="I4082" s="29">
        <f t="shared" si="63"/>
        <v>245483.97</v>
      </c>
      <c r="J4082" t="str">
        <f>IFERROR(VLOOKUP(E4082,'LEAID Match'!$A$2:$B$168,2,FALSE),"")</f>
        <v/>
      </c>
    </row>
    <row r="4083" spans="1:10">
      <c r="A4083">
        <v>2016</v>
      </c>
      <c r="B4083" t="s">
        <v>1429</v>
      </c>
      <c r="C4083" t="s">
        <v>1431</v>
      </c>
      <c r="D4083" t="s">
        <v>1433</v>
      </c>
      <c r="E4083" t="s">
        <v>901</v>
      </c>
      <c r="F4083" t="s">
        <v>901</v>
      </c>
      <c r="G4083" s="28">
        <v>266480</v>
      </c>
      <c r="H4083">
        <v>0</v>
      </c>
      <c r="I4083" s="29">
        <f t="shared" si="63"/>
        <v>266480</v>
      </c>
      <c r="J4083" t="str">
        <f>IFERROR(VLOOKUP(E4083,'LEAID Match'!$A$2:$B$168,2,FALSE),"")</f>
        <v/>
      </c>
    </row>
    <row r="4084" spans="1:10">
      <c r="A4084">
        <v>2017</v>
      </c>
      <c r="B4084" t="s">
        <v>1429</v>
      </c>
      <c r="C4084" t="s">
        <v>1431</v>
      </c>
      <c r="D4084" t="s">
        <v>1433</v>
      </c>
      <c r="E4084" t="s">
        <v>901</v>
      </c>
      <c r="F4084" t="s">
        <v>901</v>
      </c>
      <c r="G4084" s="28">
        <v>267513</v>
      </c>
      <c r="H4084">
        <v>0</v>
      </c>
      <c r="I4084" s="29">
        <f t="shared" si="63"/>
        <v>267513</v>
      </c>
      <c r="J4084" t="str">
        <f>IFERROR(VLOOKUP(E4084,'LEAID Match'!$A$2:$B$168,2,FALSE),"")</f>
        <v/>
      </c>
    </row>
    <row r="4085" spans="1:10">
      <c r="A4085" s="27">
        <v>2018</v>
      </c>
      <c r="B4085" t="s">
        <v>1429</v>
      </c>
      <c r="C4085" t="s">
        <v>1431</v>
      </c>
      <c r="D4085" t="s">
        <v>1433</v>
      </c>
      <c r="E4085" t="s">
        <v>901</v>
      </c>
      <c r="F4085" s="9" t="s">
        <v>901</v>
      </c>
      <c r="G4085" s="18">
        <v>311942</v>
      </c>
      <c r="H4085">
        <v>0</v>
      </c>
      <c r="I4085" s="29">
        <f t="shared" si="63"/>
        <v>311942</v>
      </c>
      <c r="J4085" t="str">
        <f>IFERROR(VLOOKUP(E4085,'LEAID Match'!$A$2:$B$168,2,FALSE),"")</f>
        <v/>
      </c>
    </row>
    <row r="4086" spans="1:10">
      <c r="A4086">
        <v>2019</v>
      </c>
      <c r="B4086" t="s">
        <v>1429</v>
      </c>
      <c r="C4086" t="s">
        <v>1431</v>
      </c>
      <c r="D4086" t="s">
        <v>1433</v>
      </c>
      <c r="E4086" t="s">
        <v>901</v>
      </c>
      <c r="F4086" s="9" t="s">
        <v>901</v>
      </c>
      <c r="G4086" s="18">
        <v>362193</v>
      </c>
      <c r="H4086">
        <v>0</v>
      </c>
      <c r="I4086" s="29">
        <f t="shared" si="63"/>
        <v>362193</v>
      </c>
      <c r="J4086" t="str">
        <f>IFERROR(VLOOKUP(E4086,'LEAID Match'!$A$2:$B$168,2,FALSE),"")</f>
        <v/>
      </c>
    </row>
    <row r="4087" spans="1:10">
      <c r="A4087">
        <v>2015</v>
      </c>
      <c r="B4087" t="s">
        <v>1429</v>
      </c>
      <c r="C4087" t="s">
        <v>1431</v>
      </c>
      <c r="D4087" t="s">
        <v>1433</v>
      </c>
      <c r="E4087" t="s">
        <v>401</v>
      </c>
      <c r="F4087" s="9" t="s">
        <v>1388</v>
      </c>
      <c r="G4087" s="18">
        <v>328565.62</v>
      </c>
      <c r="H4087">
        <v>0</v>
      </c>
      <c r="I4087" s="29">
        <f t="shared" si="63"/>
        <v>328565.62</v>
      </c>
      <c r="J4087">
        <f>IFERROR(VLOOKUP(E4087,'LEAID Match'!$A$2:$B$168,2,FALSE),"")</f>
        <v>3306780</v>
      </c>
    </row>
    <row r="4088" spans="1:10">
      <c r="A4088">
        <v>2016</v>
      </c>
      <c r="B4088" t="s">
        <v>1429</v>
      </c>
      <c r="C4088" t="s">
        <v>1431</v>
      </c>
      <c r="D4088" t="s">
        <v>1433</v>
      </c>
      <c r="E4088" t="s">
        <v>401</v>
      </c>
      <c r="F4088" t="s">
        <v>943</v>
      </c>
      <c r="G4088" s="28">
        <v>337076</v>
      </c>
      <c r="H4088">
        <v>0</v>
      </c>
      <c r="I4088" s="29">
        <f t="shared" si="63"/>
        <v>337076</v>
      </c>
      <c r="J4088">
        <f>IFERROR(VLOOKUP(E4088,'LEAID Match'!$A$2:$B$168,2,FALSE),"")</f>
        <v>3306780</v>
      </c>
    </row>
    <row r="4089" spans="1:10">
      <c r="A4089">
        <v>2017</v>
      </c>
      <c r="B4089" t="s">
        <v>1429</v>
      </c>
      <c r="C4089" t="s">
        <v>1431</v>
      </c>
      <c r="D4089" t="s">
        <v>1433</v>
      </c>
      <c r="E4089" t="s">
        <v>401</v>
      </c>
      <c r="F4089" t="s">
        <v>943</v>
      </c>
      <c r="G4089" s="28">
        <v>351556</v>
      </c>
      <c r="H4089">
        <v>0</v>
      </c>
      <c r="I4089" s="29">
        <f t="shared" si="63"/>
        <v>351556</v>
      </c>
      <c r="J4089">
        <f>IFERROR(VLOOKUP(E4089,'LEAID Match'!$A$2:$B$168,2,FALSE),"")</f>
        <v>3306780</v>
      </c>
    </row>
    <row r="4090" spans="1:10">
      <c r="A4090" s="27">
        <v>2018</v>
      </c>
      <c r="B4090" t="s">
        <v>1429</v>
      </c>
      <c r="C4090" t="s">
        <v>1431</v>
      </c>
      <c r="D4090" t="s">
        <v>1433</v>
      </c>
      <c r="E4090" t="s">
        <v>401</v>
      </c>
      <c r="F4090" s="9" t="s">
        <v>902</v>
      </c>
      <c r="G4090" s="18">
        <v>439167</v>
      </c>
      <c r="H4090">
        <v>0</v>
      </c>
      <c r="I4090" s="29">
        <f t="shared" si="63"/>
        <v>439167</v>
      </c>
      <c r="J4090">
        <f>IFERROR(VLOOKUP(E4090,'LEAID Match'!$A$2:$B$168,2,FALSE),"")</f>
        <v>3306780</v>
      </c>
    </row>
    <row r="4091" spans="1:10">
      <c r="A4091">
        <v>2019</v>
      </c>
      <c r="B4091" t="s">
        <v>1429</v>
      </c>
      <c r="C4091" t="s">
        <v>1431</v>
      </c>
      <c r="D4091" t="s">
        <v>1433</v>
      </c>
      <c r="E4091" t="s">
        <v>401</v>
      </c>
      <c r="F4091" s="9" t="s">
        <v>902</v>
      </c>
      <c r="G4091" s="18">
        <v>482153</v>
      </c>
      <c r="H4091">
        <v>0</v>
      </c>
      <c r="I4091" s="29">
        <f t="shared" si="63"/>
        <v>482153</v>
      </c>
      <c r="J4091">
        <f>IFERROR(VLOOKUP(E4091,'LEAID Match'!$A$2:$B$168,2,FALSE),"")</f>
        <v>3306780</v>
      </c>
    </row>
    <row r="4092" spans="1:10">
      <c r="A4092" s="27">
        <v>2020</v>
      </c>
      <c r="B4092" t="s">
        <v>1429</v>
      </c>
      <c r="C4092" t="s">
        <v>1431</v>
      </c>
      <c r="D4092" t="s">
        <v>1433</v>
      </c>
      <c r="E4092" t="s">
        <v>401</v>
      </c>
      <c r="F4092" s="9" t="s">
        <v>401</v>
      </c>
      <c r="G4092" s="18">
        <v>498810</v>
      </c>
      <c r="H4092">
        <v>0</v>
      </c>
      <c r="I4092" s="29">
        <f t="shared" si="63"/>
        <v>498810</v>
      </c>
      <c r="J4092">
        <f>IFERROR(VLOOKUP(E4092,'LEAID Match'!$A$2:$B$168,2,FALSE),"")</f>
        <v>3306780</v>
      </c>
    </row>
    <row r="4093" spans="1:10">
      <c r="A4093">
        <v>2021</v>
      </c>
      <c r="B4093" t="s">
        <v>1429</v>
      </c>
      <c r="C4093" t="s">
        <v>1431</v>
      </c>
      <c r="D4093" t="s">
        <v>1433</v>
      </c>
      <c r="E4093" t="s">
        <v>401</v>
      </c>
      <c r="F4093" s="9" t="s">
        <v>401</v>
      </c>
      <c r="G4093" s="18">
        <v>500931</v>
      </c>
      <c r="H4093">
        <v>0</v>
      </c>
      <c r="I4093" s="29">
        <f t="shared" si="63"/>
        <v>500931</v>
      </c>
      <c r="J4093">
        <f>IFERROR(VLOOKUP(E4093,'LEAID Match'!$A$2:$B$168,2,FALSE),"")</f>
        <v>3306780</v>
      </c>
    </row>
    <row r="4094" spans="1:10">
      <c r="A4094">
        <v>2022</v>
      </c>
      <c r="B4094" t="s">
        <v>1429</v>
      </c>
      <c r="C4094" t="s">
        <v>1431</v>
      </c>
      <c r="D4094" t="s">
        <v>1433</v>
      </c>
      <c r="E4094" t="s">
        <v>401</v>
      </c>
      <c r="F4094" s="9" t="s">
        <v>401</v>
      </c>
      <c r="G4094" s="18">
        <v>672627</v>
      </c>
      <c r="H4094">
        <v>0</v>
      </c>
      <c r="I4094" s="29">
        <f t="shared" si="63"/>
        <v>672627</v>
      </c>
      <c r="J4094">
        <f>IFERROR(VLOOKUP(E4094,'LEAID Match'!$A$2:$B$168,2,FALSE),"")</f>
        <v>3306780</v>
      </c>
    </row>
    <row r="4095" spans="1:10">
      <c r="A4095">
        <v>2023</v>
      </c>
      <c r="B4095" t="s">
        <v>1429</v>
      </c>
      <c r="C4095" t="s">
        <v>1431</v>
      </c>
      <c r="D4095" t="s">
        <v>1433</v>
      </c>
      <c r="E4095" t="s">
        <v>401</v>
      </c>
      <c r="F4095" t="s">
        <v>401</v>
      </c>
      <c r="G4095" s="28">
        <v>652236</v>
      </c>
      <c r="H4095">
        <v>0</v>
      </c>
      <c r="I4095" s="29">
        <f t="shared" si="63"/>
        <v>652236</v>
      </c>
      <c r="J4095">
        <f>IFERROR(VLOOKUP(E4095,'LEAID Match'!$A$2:$B$168,2,FALSE),"")</f>
        <v>3306780</v>
      </c>
    </row>
    <row r="4096" spans="1:10">
      <c r="A4096">
        <v>2015</v>
      </c>
      <c r="B4096" t="s">
        <v>1429</v>
      </c>
      <c r="C4096" t="s">
        <v>1431</v>
      </c>
      <c r="D4096" t="s">
        <v>1433</v>
      </c>
      <c r="E4096" t="s">
        <v>903</v>
      </c>
      <c r="F4096" s="9" t="s">
        <v>1389</v>
      </c>
      <c r="G4096" s="18">
        <v>106355.79</v>
      </c>
      <c r="H4096">
        <v>0</v>
      </c>
      <c r="I4096" s="29">
        <f t="shared" si="63"/>
        <v>106355.79</v>
      </c>
      <c r="J4096" t="str">
        <f>IFERROR(VLOOKUP(E4096,'LEAID Match'!$A$2:$B$168,2,FALSE),"")</f>
        <v/>
      </c>
    </row>
    <row r="4097" spans="1:10">
      <c r="A4097">
        <v>2016</v>
      </c>
      <c r="B4097" t="s">
        <v>1429</v>
      </c>
      <c r="C4097" t="s">
        <v>1431</v>
      </c>
      <c r="D4097" t="s">
        <v>1433</v>
      </c>
      <c r="E4097" t="s">
        <v>903</v>
      </c>
      <c r="F4097" t="s">
        <v>903</v>
      </c>
      <c r="G4097" s="28">
        <v>116848</v>
      </c>
      <c r="H4097">
        <v>0</v>
      </c>
      <c r="I4097" s="29">
        <f t="shared" si="63"/>
        <v>116848</v>
      </c>
      <c r="J4097" t="str">
        <f>IFERROR(VLOOKUP(E4097,'LEAID Match'!$A$2:$B$168,2,FALSE),"")</f>
        <v/>
      </c>
    </row>
    <row r="4098" spans="1:10">
      <c r="A4098">
        <v>2017</v>
      </c>
      <c r="B4098" t="s">
        <v>1429</v>
      </c>
      <c r="C4098" t="s">
        <v>1431</v>
      </c>
      <c r="D4098" t="s">
        <v>1433</v>
      </c>
      <c r="E4098" t="s">
        <v>903</v>
      </c>
      <c r="F4098" t="s">
        <v>903</v>
      </c>
      <c r="G4098" s="28">
        <v>135816</v>
      </c>
      <c r="H4098">
        <v>0</v>
      </c>
      <c r="I4098" s="29">
        <f t="shared" si="63"/>
        <v>135816</v>
      </c>
      <c r="J4098" t="str">
        <f>IFERROR(VLOOKUP(E4098,'LEAID Match'!$A$2:$B$168,2,FALSE),"")</f>
        <v/>
      </c>
    </row>
    <row r="4099" spans="1:10">
      <c r="A4099" s="27">
        <v>2018</v>
      </c>
      <c r="B4099" t="s">
        <v>1429</v>
      </c>
      <c r="C4099" t="s">
        <v>1431</v>
      </c>
      <c r="D4099" t="s">
        <v>1433</v>
      </c>
      <c r="E4099" t="s">
        <v>903</v>
      </c>
      <c r="F4099" s="9" t="s">
        <v>903</v>
      </c>
      <c r="G4099" s="18">
        <v>155500</v>
      </c>
      <c r="H4099">
        <v>0</v>
      </c>
      <c r="I4099" s="29">
        <f t="shared" ref="I4099:I4162" si="64">SUM(G4099:H4099)</f>
        <v>155500</v>
      </c>
      <c r="J4099" t="str">
        <f>IFERROR(VLOOKUP(E4099,'LEAID Match'!$A$2:$B$168,2,FALSE),"")</f>
        <v/>
      </c>
    </row>
    <row r="4100" spans="1:10">
      <c r="A4100">
        <v>2019</v>
      </c>
      <c r="B4100" t="s">
        <v>1429</v>
      </c>
      <c r="C4100" t="s">
        <v>1431</v>
      </c>
      <c r="D4100" t="s">
        <v>1433</v>
      </c>
      <c r="E4100" t="s">
        <v>903</v>
      </c>
      <c r="F4100" s="9" t="s">
        <v>903</v>
      </c>
      <c r="G4100" s="18">
        <v>182087</v>
      </c>
      <c r="H4100">
        <v>0</v>
      </c>
      <c r="I4100" s="29">
        <f t="shared" si="64"/>
        <v>182087</v>
      </c>
      <c r="J4100" t="str">
        <f>IFERROR(VLOOKUP(E4100,'LEAID Match'!$A$2:$B$168,2,FALSE),"")</f>
        <v/>
      </c>
    </row>
    <row r="4101" spans="1:10">
      <c r="A4101">
        <v>2015</v>
      </c>
      <c r="B4101" t="s">
        <v>1429</v>
      </c>
      <c r="C4101" t="s">
        <v>1431</v>
      </c>
      <c r="D4101" t="s">
        <v>1433</v>
      </c>
      <c r="E4101" t="s">
        <v>904</v>
      </c>
      <c r="F4101" s="9" t="s">
        <v>1390</v>
      </c>
      <c r="G4101" s="18">
        <v>103042.73</v>
      </c>
      <c r="H4101">
        <v>0</v>
      </c>
      <c r="I4101" s="29">
        <f t="shared" si="64"/>
        <v>103042.73</v>
      </c>
      <c r="J4101" t="str">
        <f>IFERROR(VLOOKUP(E4101,'LEAID Match'!$A$2:$B$168,2,FALSE),"")</f>
        <v/>
      </c>
    </row>
    <row r="4102" spans="1:10">
      <c r="A4102">
        <v>2016</v>
      </c>
      <c r="B4102" t="s">
        <v>1429</v>
      </c>
      <c r="C4102" t="s">
        <v>1431</v>
      </c>
      <c r="D4102" t="s">
        <v>1433</v>
      </c>
      <c r="E4102" t="s">
        <v>904</v>
      </c>
      <c r="F4102" t="s">
        <v>904</v>
      </c>
      <c r="G4102" s="28">
        <v>103159</v>
      </c>
      <c r="H4102">
        <v>0</v>
      </c>
      <c r="I4102" s="29">
        <f t="shared" si="64"/>
        <v>103159</v>
      </c>
      <c r="J4102" t="str">
        <f>IFERROR(VLOOKUP(E4102,'LEAID Match'!$A$2:$B$168,2,FALSE),"")</f>
        <v/>
      </c>
    </row>
    <row r="4103" spans="1:10">
      <c r="A4103">
        <v>2017</v>
      </c>
      <c r="B4103" t="s">
        <v>1429</v>
      </c>
      <c r="C4103" t="s">
        <v>1431</v>
      </c>
      <c r="D4103" t="s">
        <v>1433</v>
      </c>
      <c r="E4103" t="s">
        <v>904</v>
      </c>
      <c r="F4103" t="s">
        <v>904</v>
      </c>
      <c r="G4103" s="28">
        <v>117622</v>
      </c>
      <c r="H4103">
        <v>0</v>
      </c>
      <c r="I4103" s="29">
        <f t="shared" si="64"/>
        <v>117622</v>
      </c>
      <c r="J4103" t="str">
        <f>IFERROR(VLOOKUP(E4103,'LEAID Match'!$A$2:$B$168,2,FALSE),"")</f>
        <v/>
      </c>
    </row>
    <row r="4104" spans="1:10">
      <c r="A4104" s="27">
        <v>2018</v>
      </c>
      <c r="B4104" t="s">
        <v>1429</v>
      </c>
      <c r="C4104" t="s">
        <v>1431</v>
      </c>
      <c r="D4104" t="s">
        <v>1433</v>
      </c>
      <c r="E4104" t="s">
        <v>904</v>
      </c>
      <c r="F4104" s="9" t="s">
        <v>904</v>
      </c>
      <c r="G4104" s="18">
        <v>133166</v>
      </c>
      <c r="H4104">
        <v>0</v>
      </c>
      <c r="I4104" s="29">
        <f t="shared" si="64"/>
        <v>133166</v>
      </c>
      <c r="J4104" t="str">
        <f>IFERROR(VLOOKUP(E4104,'LEAID Match'!$A$2:$B$168,2,FALSE),"")</f>
        <v/>
      </c>
    </row>
    <row r="4105" spans="1:10">
      <c r="A4105">
        <v>2019</v>
      </c>
      <c r="B4105" t="s">
        <v>1429</v>
      </c>
      <c r="C4105" t="s">
        <v>1431</v>
      </c>
      <c r="D4105" t="s">
        <v>1433</v>
      </c>
      <c r="E4105" t="s">
        <v>904</v>
      </c>
      <c r="F4105" s="9" t="s">
        <v>904</v>
      </c>
      <c r="G4105" s="18">
        <v>126023</v>
      </c>
      <c r="H4105">
        <v>0</v>
      </c>
      <c r="I4105" s="29">
        <f t="shared" si="64"/>
        <v>126023</v>
      </c>
      <c r="J4105" t="str">
        <f>IFERROR(VLOOKUP(E4105,'LEAID Match'!$A$2:$B$168,2,FALSE),"")</f>
        <v/>
      </c>
    </row>
    <row r="4106" spans="1:10">
      <c r="A4106">
        <v>2015</v>
      </c>
      <c r="B4106" t="s">
        <v>1429</v>
      </c>
      <c r="C4106" t="s">
        <v>1431</v>
      </c>
      <c r="D4106" t="s">
        <v>1433</v>
      </c>
      <c r="E4106" t="s">
        <v>402</v>
      </c>
      <c r="F4106" s="9" t="s">
        <v>1391</v>
      </c>
      <c r="G4106" s="18">
        <v>7447.96</v>
      </c>
      <c r="H4106">
        <v>0</v>
      </c>
      <c r="I4106" s="29">
        <f t="shared" si="64"/>
        <v>7447.96</v>
      </c>
      <c r="J4106" t="str">
        <f>IFERROR(VLOOKUP(E4106,'LEAID Match'!$A$2:$B$168,2,FALSE),"")</f>
        <v/>
      </c>
    </row>
    <row r="4107" spans="1:10">
      <c r="A4107">
        <v>2016</v>
      </c>
      <c r="B4107" t="s">
        <v>1429</v>
      </c>
      <c r="C4107" t="s">
        <v>1431</v>
      </c>
      <c r="D4107" t="s">
        <v>1433</v>
      </c>
      <c r="E4107" t="s">
        <v>402</v>
      </c>
      <c r="F4107" t="s">
        <v>402</v>
      </c>
      <c r="G4107" s="28">
        <v>11300</v>
      </c>
      <c r="H4107">
        <v>0</v>
      </c>
      <c r="I4107" s="29">
        <f t="shared" si="64"/>
        <v>11300</v>
      </c>
      <c r="J4107" t="str">
        <f>IFERROR(VLOOKUP(E4107,'LEAID Match'!$A$2:$B$168,2,FALSE),"")</f>
        <v/>
      </c>
    </row>
    <row r="4108" spans="1:10">
      <c r="A4108">
        <v>2017</v>
      </c>
      <c r="B4108" t="s">
        <v>1429</v>
      </c>
      <c r="C4108" t="s">
        <v>1431</v>
      </c>
      <c r="D4108" t="s">
        <v>1433</v>
      </c>
      <c r="E4108" t="s">
        <v>402</v>
      </c>
      <c r="F4108" t="s">
        <v>402</v>
      </c>
      <c r="G4108" s="28">
        <v>11516</v>
      </c>
      <c r="H4108">
        <v>0</v>
      </c>
      <c r="I4108" s="29">
        <f t="shared" si="64"/>
        <v>11516</v>
      </c>
      <c r="J4108" t="str">
        <f>IFERROR(VLOOKUP(E4108,'LEAID Match'!$A$2:$B$168,2,FALSE),"")</f>
        <v/>
      </c>
    </row>
    <row r="4109" spans="1:10">
      <c r="A4109" s="27">
        <v>2018</v>
      </c>
      <c r="B4109" t="s">
        <v>1429</v>
      </c>
      <c r="C4109" t="s">
        <v>1431</v>
      </c>
      <c r="D4109" t="s">
        <v>1433</v>
      </c>
      <c r="E4109" t="s">
        <v>402</v>
      </c>
      <c r="F4109" s="9" t="s">
        <v>402</v>
      </c>
      <c r="G4109" s="18">
        <v>12490</v>
      </c>
      <c r="H4109">
        <v>0</v>
      </c>
      <c r="I4109" s="29">
        <f t="shared" si="64"/>
        <v>12490</v>
      </c>
      <c r="J4109" t="str">
        <f>IFERROR(VLOOKUP(E4109,'LEAID Match'!$A$2:$B$168,2,FALSE),"")</f>
        <v/>
      </c>
    </row>
    <row r="4110" spans="1:10">
      <c r="A4110">
        <v>2019</v>
      </c>
      <c r="B4110" t="s">
        <v>1429</v>
      </c>
      <c r="C4110" t="s">
        <v>1431</v>
      </c>
      <c r="D4110" t="s">
        <v>1433</v>
      </c>
      <c r="E4110" t="s">
        <v>402</v>
      </c>
      <c r="F4110" s="9" t="s">
        <v>402</v>
      </c>
      <c r="G4110" s="18">
        <v>12836</v>
      </c>
      <c r="H4110">
        <v>0</v>
      </c>
      <c r="I4110" s="29">
        <f t="shared" si="64"/>
        <v>12836</v>
      </c>
      <c r="J4110" t="str">
        <f>IFERROR(VLOOKUP(E4110,'LEAID Match'!$A$2:$B$168,2,FALSE),"")</f>
        <v/>
      </c>
    </row>
    <row r="4111" spans="1:10">
      <c r="A4111" s="27">
        <v>2020</v>
      </c>
      <c r="B4111" t="s">
        <v>1429</v>
      </c>
      <c r="C4111" t="s">
        <v>1431</v>
      </c>
      <c r="D4111" t="s">
        <v>1433</v>
      </c>
      <c r="E4111" t="s">
        <v>402</v>
      </c>
      <c r="F4111" s="9" t="s">
        <v>402</v>
      </c>
      <c r="G4111" s="18">
        <v>12831</v>
      </c>
      <c r="H4111">
        <v>0</v>
      </c>
      <c r="I4111" s="29">
        <f t="shared" si="64"/>
        <v>12831</v>
      </c>
      <c r="J4111" t="str">
        <f>IFERROR(VLOOKUP(E4111,'LEAID Match'!$A$2:$B$168,2,FALSE),"")</f>
        <v/>
      </c>
    </row>
    <row r="4112" spans="1:10">
      <c r="A4112">
        <v>2021</v>
      </c>
      <c r="B4112" t="s">
        <v>1429</v>
      </c>
      <c r="C4112" t="s">
        <v>1431</v>
      </c>
      <c r="D4112" t="s">
        <v>1433</v>
      </c>
      <c r="E4112" t="s">
        <v>402</v>
      </c>
      <c r="F4112" s="9" t="s">
        <v>402</v>
      </c>
      <c r="G4112" s="18">
        <v>12115</v>
      </c>
      <c r="H4112">
        <v>0</v>
      </c>
      <c r="I4112" s="29">
        <f t="shared" si="64"/>
        <v>12115</v>
      </c>
      <c r="J4112" t="str">
        <f>IFERROR(VLOOKUP(E4112,'LEAID Match'!$A$2:$B$168,2,FALSE),"")</f>
        <v/>
      </c>
    </row>
    <row r="4113" spans="1:10">
      <c r="A4113">
        <v>2022</v>
      </c>
      <c r="B4113" t="s">
        <v>1429</v>
      </c>
      <c r="C4113" t="s">
        <v>1431</v>
      </c>
      <c r="D4113" t="s">
        <v>1433</v>
      </c>
      <c r="E4113" t="s">
        <v>402</v>
      </c>
      <c r="F4113" s="9" t="s">
        <v>402</v>
      </c>
      <c r="G4113" s="18">
        <v>14842</v>
      </c>
      <c r="H4113">
        <v>0</v>
      </c>
      <c r="I4113" s="29">
        <f t="shared" si="64"/>
        <v>14842</v>
      </c>
      <c r="J4113" t="str">
        <f>IFERROR(VLOOKUP(E4113,'LEAID Match'!$A$2:$B$168,2,FALSE),"")</f>
        <v/>
      </c>
    </row>
    <row r="4114" spans="1:10">
      <c r="A4114">
        <v>2023</v>
      </c>
      <c r="B4114" t="s">
        <v>1429</v>
      </c>
      <c r="C4114" t="s">
        <v>1431</v>
      </c>
      <c r="D4114" t="s">
        <v>1433</v>
      </c>
      <c r="E4114" t="s">
        <v>402</v>
      </c>
      <c r="F4114" t="s">
        <v>402</v>
      </c>
      <c r="G4114" s="28">
        <v>13294</v>
      </c>
      <c r="H4114">
        <v>0</v>
      </c>
      <c r="I4114" s="29">
        <f t="shared" si="64"/>
        <v>13294</v>
      </c>
      <c r="J4114" t="str">
        <f>IFERROR(VLOOKUP(E4114,'LEAID Match'!$A$2:$B$168,2,FALSE),"")</f>
        <v/>
      </c>
    </row>
    <row r="4115" spans="1:10">
      <c r="A4115">
        <v>2016</v>
      </c>
      <c r="B4115" t="s">
        <v>1429</v>
      </c>
      <c r="C4115" t="s">
        <v>1431</v>
      </c>
      <c r="D4115" t="s">
        <v>1433</v>
      </c>
      <c r="E4115" t="s">
        <v>905</v>
      </c>
      <c r="F4115" t="s">
        <v>905</v>
      </c>
      <c r="H4115">
        <v>0</v>
      </c>
      <c r="I4115" s="29">
        <f t="shared" si="64"/>
        <v>0</v>
      </c>
      <c r="J4115" t="str">
        <f>IFERROR(VLOOKUP(E4115,'LEAID Match'!$A$2:$B$168,2,FALSE),"")</f>
        <v/>
      </c>
    </row>
    <row r="4116" spans="1:10">
      <c r="A4116">
        <v>2017</v>
      </c>
      <c r="B4116" t="s">
        <v>1429</v>
      </c>
      <c r="C4116" t="s">
        <v>1431</v>
      </c>
      <c r="D4116" t="s">
        <v>1433</v>
      </c>
      <c r="E4116" t="s">
        <v>905</v>
      </c>
      <c r="F4116" t="s">
        <v>905</v>
      </c>
      <c r="G4116" s="28">
        <v>5567</v>
      </c>
      <c r="H4116">
        <v>0</v>
      </c>
      <c r="I4116" s="29">
        <f t="shared" si="64"/>
        <v>5567</v>
      </c>
      <c r="J4116" t="str">
        <f>IFERROR(VLOOKUP(E4116,'LEAID Match'!$A$2:$B$168,2,FALSE),"")</f>
        <v/>
      </c>
    </row>
    <row r="4117" spans="1:10">
      <c r="A4117" s="27">
        <v>2018</v>
      </c>
      <c r="B4117" t="s">
        <v>1429</v>
      </c>
      <c r="C4117" t="s">
        <v>1431</v>
      </c>
      <c r="D4117" t="s">
        <v>1433</v>
      </c>
      <c r="E4117" t="s">
        <v>905</v>
      </c>
      <c r="F4117" s="9" t="s">
        <v>905</v>
      </c>
      <c r="G4117" s="18">
        <v>12513</v>
      </c>
      <c r="H4117">
        <v>0</v>
      </c>
      <c r="I4117" s="29">
        <f t="shared" si="64"/>
        <v>12513</v>
      </c>
      <c r="J4117" t="str">
        <f>IFERROR(VLOOKUP(E4117,'LEAID Match'!$A$2:$B$168,2,FALSE),"")</f>
        <v/>
      </c>
    </row>
    <row r="4118" spans="1:10">
      <c r="A4118">
        <v>2019</v>
      </c>
      <c r="B4118" t="s">
        <v>1429</v>
      </c>
      <c r="C4118" t="s">
        <v>1431</v>
      </c>
      <c r="D4118" t="s">
        <v>1433</v>
      </c>
      <c r="E4118" t="s">
        <v>905</v>
      </c>
      <c r="F4118" s="9" t="s">
        <v>905</v>
      </c>
      <c r="G4118" s="18">
        <v>12513</v>
      </c>
      <c r="H4118">
        <v>0</v>
      </c>
      <c r="I4118" s="29">
        <f t="shared" si="64"/>
        <v>12513</v>
      </c>
      <c r="J4118" t="str">
        <f>IFERROR(VLOOKUP(E4118,'LEAID Match'!$A$2:$B$168,2,FALSE),"")</f>
        <v/>
      </c>
    </row>
    <row r="4119" spans="1:10">
      <c r="A4119">
        <v>2015</v>
      </c>
      <c r="B4119" t="s">
        <v>1429</v>
      </c>
      <c r="C4119" t="s">
        <v>1431</v>
      </c>
      <c r="D4119" t="s">
        <v>1433</v>
      </c>
      <c r="E4119" t="s">
        <v>403</v>
      </c>
      <c r="F4119" s="9" t="s">
        <v>1392</v>
      </c>
      <c r="G4119" s="18">
        <v>72683.12</v>
      </c>
      <c r="H4119">
        <v>0</v>
      </c>
      <c r="I4119" s="29">
        <f t="shared" si="64"/>
        <v>72683.12</v>
      </c>
      <c r="J4119">
        <f>IFERROR(VLOOKUP(E4119,'LEAID Match'!$A$2:$B$168,2,FALSE),"")</f>
        <v>3306870</v>
      </c>
    </row>
    <row r="4120" spans="1:10">
      <c r="A4120">
        <v>2016</v>
      </c>
      <c r="B4120" t="s">
        <v>1429</v>
      </c>
      <c r="C4120" t="s">
        <v>1431</v>
      </c>
      <c r="D4120" t="s">
        <v>1433</v>
      </c>
      <c r="E4120" t="s">
        <v>403</v>
      </c>
      <c r="F4120" t="s">
        <v>906</v>
      </c>
      <c r="G4120" s="28">
        <v>90498</v>
      </c>
      <c r="H4120">
        <v>0</v>
      </c>
      <c r="I4120" s="29">
        <f t="shared" si="64"/>
        <v>90498</v>
      </c>
      <c r="J4120">
        <f>IFERROR(VLOOKUP(E4120,'LEAID Match'!$A$2:$B$168,2,FALSE),"")</f>
        <v>3306870</v>
      </c>
    </row>
    <row r="4121" spans="1:10">
      <c r="A4121">
        <v>2017</v>
      </c>
      <c r="B4121" t="s">
        <v>1429</v>
      </c>
      <c r="C4121" t="s">
        <v>1431</v>
      </c>
      <c r="D4121" t="s">
        <v>1433</v>
      </c>
      <c r="E4121" t="s">
        <v>403</v>
      </c>
      <c r="F4121" t="s">
        <v>906</v>
      </c>
      <c r="G4121" s="28">
        <v>86332</v>
      </c>
      <c r="H4121">
        <v>0</v>
      </c>
      <c r="I4121" s="29">
        <f t="shared" si="64"/>
        <v>86332</v>
      </c>
      <c r="J4121">
        <f>IFERROR(VLOOKUP(E4121,'LEAID Match'!$A$2:$B$168,2,FALSE),"")</f>
        <v>3306870</v>
      </c>
    </row>
    <row r="4122" spans="1:10">
      <c r="A4122" s="27">
        <v>2018</v>
      </c>
      <c r="B4122" t="s">
        <v>1429</v>
      </c>
      <c r="C4122" t="s">
        <v>1431</v>
      </c>
      <c r="D4122" t="s">
        <v>1433</v>
      </c>
      <c r="E4122" t="s">
        <v>403</v>
      </c>
      <c r="F4122" s="9" t="s">
        <v>906</v>
      </c>
      <c r="G4122" s="18">
        <v>95167</v>
      </c>
      <c r="H4122">
        <v>0</v>
      </c>
      <c r="I4122" s="29">
        <f t="shared" si="64"/>
        <v>95167</v>
      </c>
      <c r="J4122">
        <f>IFERROR(VLOOKUP(E4122,'LEAID Match'!$A$2:$B$168,2,FALSE),"")</f>
        <v>3306870</v>
      </c>
    </row>
    <row r="4123" spans="1:10">
      <c r="A4123">
        <v>2019</v>
      </c>
      <c r="B4123" t="s">
        <v>1429</v>
      </c>
      <c r="C4123" t="s">
        <v>1431</v>
      </c>
      <c r="D4123" t="s">
        <v>1433</v>
      </c>
      <c r="E4123" t="s">
        <v>403</v>
      </c>
      <c r="F4123" s="9" t="s">
        <v>906</v>
      </c>
      <c r="G4123" s="18">
        <v>95490</v>
      </c>
      <c r="H4123">
        <v>0</v>
      </c>
      <c r="I4123" s="29">
        <f t="shared" si="64"/>
        <v>95490</v>
      </c>
      <c r="J4123">
        <f>IFERROR(VLOOKUP(E4123,'LEAID Match'!$A$2:$B$168,2,FALSE),"")</f>
        <v>3306870</v>
      </c>
    </row>
    <row r="4124" spans="1:10">
      <c r="A4124" s="27">
        <v>2020</v>
      </c>
      <c r="B4124" t="s">
        <v>1429</v>
      </c>
      <c r="C4124" t="s">
        <v>1431</v>
      </c>
      <c r="D4124" t="s">
        <v>1433</v>
      </c>
      <c r="E4124" t="s">
        <v>403</v>
      </c>
      <c r="F4124" s="9" t="s">
        <v>403</v>
      </c>
      <c r="G4124" s="18">
        <v>102602</v>
      </c>
      <c r="H4124">
        <v>0</v>
      </c>
      <c r="I4124" s="29">
        <f t="shared" si="64"/>
        <v>102602</v>
      </c>
      <c r="J4124">
        <f>IFERROR(VLOOKUP(E4124,'LEAID Match'!$A$2:$B$168,2,FALSE),"")</f>
        <v>3306870</v>
      </c>
    </row>
    <row r="4125" spans="1:10">
      <c r="A4125">
        <v>2021</v>
      </c>
      <c r="B4125" t="s">
        <v>1429</v>
      </c>
      <c r="C4125" t="s">
        <v>1431</v>
      </c>
      <c r="D4125" t="s">
        <v>1433</v>
      </c>
      <c r="E4125" t="s">
        <v>403</v>
      </c>
      <c r="F4125" s="9" t="s">
        <v>403</v>
      </c>
      <c r="G4125" s="18">
        <v>108978</v>
      </c>
      <c r="H4125">
        <v>0</v>
      </c>
      <c r="I4125" s="29">
        <f t="shared" si="64"/>
        <v>108978</v>
      </c>
      <c r="J4125">
        <f>IFERROR(VLOOKUP(E4125,'LEAID Match'!$A$2:$B$168,2,FALSE),"")</f>
        <v>3306870</v>
      </c>
    </row>
    <row r="4126" spans="1:10">
      <c r="A4126">
        <v>2022</v>
      </c>
      <c r="B4126" t="s">
        <v>1429</v>
      </c>
      <c r="C4126" t="s">
        <v>1431</v>
      </c>
      <c r="D4126" t="s">
        <v>1433</v>
      </c>
      <c r="E4126" t="s">
        <v>403</v>
      </c>
      <c r="F4126" s="9" t="s">
        <v>403</v>
      </c>
      <c r="G4126" s="18">
        <v>139897</v>
      </c>
      <c r="H4126">
        <v>0</v>
      </c>
      <c r="I4126" s="29">
        <f t="shared" si="64"/>
        <v>139897</v>
      </c>
      <c r="J4126">
        <f>IFERROR(VLOOKUP(E4126,'LEAID Match'!$A$2:$B$168,2,FALSE),"")</f>
        <v>3306870</v>
      </c>
    </row>
    <row r="4127" spans="1:10">
      <c r="A4127">
        <v>2023</v>
      </c>
      <c r="B4127" t="s">
        <v>1429</v>
      </c>
      <c r="C4127" t="s">
        <v>1431</v>
      </c>
      <c r="D4127" t="s">
        <v>1433</v>
      </c>
      <c r="E4127" t="s">
        <v>403</v>
      </c>
      <c r="F4127" t="s">
        <v>403</v>
      </c>
      <c r="G4127" s="28">
        <v>133207</v>
      </c>
      <c r="H4127">
        <v>0</v>
      </c>
      <c r="I4127" s="29">
        <f t="shared" si="64"/>
        <v>133207</v>
      </c>
      <c r="J4127">
        <f>IFERROR(VLOOKUP(E4127,'LEAID Match'!$A$2:$B$168,2,FALSE),"")</f>
        <v>3306870</v>
      </c>
    </row>
    <row r="4128" spans="1:10">
      <c r="A4128">
        <v>2015</v>
      </c>
      <c r="B4128" t="s">
        <v>1429</v>
      </c>
      <c r="C4128" t="s">
        <v>1431</v>
      </c>
      <c r="D4128" t="s">
        <v>1433</v>
      </c>
      <c r="E4128" t="s">
        <v>907</v>
      </c>
      <c r="F4128" s="9" t="s">
        <v>1393</v>
      </c>
      <c r="G4128" s="18">
        <v>39605.129999999997</v>
      </c>
      <c r="H4128">
        <v>0</v>
      </c>
      <c r="I4128" s="29">
        <f t="shared" si="64"/>
        <v>39605.129999999997</v>
      </c>
      <c r="J4128" t="str">
        <f>IFERROR(VLOOKUP(E4128,'LEAID Match'!$A$2:$B$168,2,FALSE),"")</f>
        <v/>
      </c>
    </row>
    <row r="4129" spans="1:10">
      <c r="A4129">
        <v>2016</v>
      </c>
      <c r="B4129" t="s">
        <v>1429</v>
      </c>
      <c r="C4129" t="s">
        <v>1431</v>
      </c>
      <c r="D4129" t="s">
        <v>1433</v>
      </c>
      <c r="E4129" t="s">
        <v>907</v>
      </c>
      <c r="F4129" t="s">
        <v>907</v>
      </c>
      <c r="G4129" s="28">
        <v>33330</v>
      </c>
      <c r="H4129">
        <v>0</v>
      </c>
      <c r="I4129" s="29">
        <f t="shared" si="64"/>
        <v>33330</v>
      </c>
      <c r="J4129" t="str">
        <f>IFERROR(VLOOKUP(E4129,'LEAID Match'!$A$2:$B$168,2,FALSE),"")</f>
        <v/>
      </c>
    </row>
    <row r="4130" spans="1:10">
      <c r="A4130">
        <v>2017</v>
      </c>
      <c r="B4130" t="s">
        <v>1429</v>
      </c>
      <c r="C4130" t="s">
        <v>1431</v>
      </c>
      <c r="D4130" t="s">
        <v>1433</v>
      </c>
      <c r="E4130" t="s">
        <v>907</v>
      </c>
      <c r="F4130" t="s">
        <v>907</v>
      </c>
      <c r="G4130" s="28">
        <v>30519</v>
      </c>
      <c r="H4130">
        <v>0</v>
      </c>
      <c r="I4130" s="29">
        <f t="shared" si="64"/>
        <v>30519</v>
      </c>
      <c r="J4130" t="str">
        <f>IFERROR(VLOOKUP(E4130,'LEAID Match'!$A$2:$B$168,2,FALSE),"")</f>
        <v/>
      </c>
    </row>
    <row r="4131" spans="1:10">
      <c r="A4131" s="27">
        <v>2018</v>
      </c>
      <c r="B4131" t="s">
        <v>1429</v>
      </c>
      <c r="C4131" t="s">
        <v>1431</v>
      </c>
      <c r="D4131" t="s">
        <v>1433</v>
      </c>
      <c r="E4131" t="s">
        <v>907</v>
      </c>
      <c r="F4131" s="9" t="s">
        <v>907</v>
      </c>
      <c r="G4131" s="18">
        <v>45453</v>
      </c>
      <c r="H4131">
        <v>0</v>
      </c>
      <c r="I4131" s="29">
        <f t="shared" si="64"/>
        <v>45453</v>
      </c>
      <c r="J4131" t="str">
        <f>IFERROR(VLOOKUP(E4131,'LEAID Match'!$A$2:$B$168,2,FALSE),"")</f>
        <v/>
      </c>
    </row>
    <row r="4132" spans="1:10">
      <c r="A4132">
        <v>2019</v>
      </c>
      <c r="B4132" t="s">
        <v>1429</v>
      </c>
      <c r="C4132" t="s">
        <v>1431</v>
      </c>
      <c r="D4132" t="s">
        <v>1433</v>
      </c>
      <c r="E4132" t="s">
        <v>907</v>
      </c>
      <c r="F4132" s="9" t="s">
        <v>907</v>
      </c>
      <c r="G4132" s="18">
        <v>43641</v>
      </c>
      <c r="H4132">
        <v>0</v>
      </c>
      <c r="I4132" s="29">
        <f t="shared" si="64"/>
        <v>43641</v>
      </c>
      <c r="J4132" t="str">
        <f>IFERROR(VLOOKUP(E4132,'LEAID Match'!$A$2:$B$168,2,FALSE),"")</f>
        <v/>
      </c>
    </row>
    <row r="4133" spans="1:10">
      <c r="A4133">
        <v>2015</v>
      </c>
      <c r="B4133" t="s">
        <v>1429</v>
      </c>
      <c r="C4133" t="s">
        <v>1431</v>
      </c>
      <c r="D4133" t="s">
        <v>1433</v>
      </c>
      <c r="E4133" t="s">
        <v>404</v>
      </c>
      <c r="F4133" s="9" t="s">
        <v>1394</v>
      </c>
      <c r="G4133" s="18">
        <v>31170.19</v>
      </c>
      <c r="H4133">
        <v>0</v>
      </c>
      <c r="I4133" s="29">
        <f t="shared" si="64"/>
        <v>31170.19</v>
      </c>
      <c r="J4133">
        <f>IFERROR(VLOOKUP(E4133,'LEAID Match'!$A$2:$B$168,2,FALSE),"")</f>
        <v>3306900</v>
      </c>
    </row>
    <row r="4134" spans="1:10">
      <c r="A4134">
        <v>2016</v>
      </c>
      <c r="B4134" t="s">
        <v>1429</v>
      </c>
      <c r="C4134" t="s">
        <v>1431</v>
      </c>
      <c r="D4134" t="s">
        <v>1433</v>
      </c>
      <c r="E4134" t="s">
        <v>404</v>
      </c>
      <c r="F4134" t="s">
        <v>908</v>
      </c>
      <c r="G4134" s="28">
        <v>38374</v>
      </c>
      <c r="H4134">
        <v>0</v>
      </c>
      <c r="I4134" s="29">
        <f t="shared" si="64"/>
        <v>38374</v>
      </c>
      <c r="J4134">
        <f>IFERROR(VLOOKUP(E4134,'LEAID Match'!$A$2:$B$168,2,FALSE),"")</f>
        <v>3306900</v>
      </c>
    </row>
    <row r="4135" spans="1:10">
      <c r="A4135">
        <v>2017</v>
      </c>
      <c r="B4135" t="s">
        <v>1429</v>
      </c>
      <c r="C4135" t="s">
        <v>1431</v>
      </c>
      <c r="D4135" t="s">
        <v>1433</v>
      </c>
      <c r="E4135" t="s">
        <v>404</v>
      </c>
      <c r="F4135" t="s">
        <v>908</v>
      </c>
      <c r="G4135" s="28">
        <v>39186</v>
      </c>
      <c r="H4135">
        <v>0</v>
      </c>
      <c r="I4135" s="29">
        <f t="shared" si="64"/>
        <v>39186</v>
      </c>
      <c r="J4135">
        <f>IFERROR(VLOOKUP(E4135,'LEAID Match'!$A$2:$B$168,2,FALSE),"")</f>
        <v>3306900</v>
      </c>
    </row>
    <row r="4136" spans="1:10">
      <c r="A4136" s="27">
        <v>2018</v>
      </c>
      <c r="B4136" t="s">
        <v>1429</v>
      </c>
      <c r="C4136" t="s">
        <v>1431</v>
      </c>
      <c r="D4136" t="s">
        <v>1433</v>
      </c>
      <c r="E4136" t="s">
        <v>404</v>
      </c>
      <c r="F4136" s="9" t="s">
        <v>908</v>
      </c>
      <c r="G4136" s="18">
        <v>48909</v>
      </c>
      <c r="H4136">
        <v>0</v>
      </c>
      <c r="I4136" s="29">
        <f t="shared" si="64"/>
        <v>48909</v>
      </c>
      <c r="J4136">
        <f>IFERROR(VLOOKUP(E4136,'LEAID Match'!$A$2:$B$168,2,FALSE),"")</f>
        <v>3306900</v>
      </c>
    </row>
    <row r="4137" spans="1:10">
      <c r="A4137">
        <v>2019</v>
      </c>
      <c r="B4137" t="s">
        <v>1429</v>
      </c>
      <c r="C4137" t="s">
        <v>1431</v>
      </c>
      <c r="D4137" t="s">
        <v>1433</v>
      </c>
      <c r="E4137" t="s">
        <v>404</v>
      </c>
      <c r="F4137" s="9" t="s">
        <v>908</v>
      </c>
      <c r="G4137" s="18">
        <v>50405</v>
      </c>
      <c r="H4137">
        <v>0</v>
      </c>
      <c r="I4137" s="29">
        <f t="shared" si="64"/>
        <v>50405</v>
      </c>
      <c r="J4137">
        <f>IFERROR(VLOOKUP(E4137,'LEAID Match'!$A$2:$B$168,2,FALSE),"")</f>
        <v>3306900</v>
      </c>
    </row>
    <row r="4138" spans="1:10">
      <c r="A4138" s="27">
        <v>2020</v>
      </c>
      <c r="B4138" t="s">
        <v>1429</v>
      </c>
      <c r="C4138" t="s">
        <v>1431</v>
      </c>
      <c r="D4138" t="s">
        <v>1433</v>
      </c>
      <c r="E4138" t="s">
        <v>404</v>
      </c>
      <c r="F4138" s="9" t="s">
        <v>404</v>
      </c>
      <c r="G4138" s="18">
        <v>44325</v>
      </c>
      <c r="H4138">
        <v>0</v>
      </c>
      <c r="I4138" s="29">
        <f t="shared" si="64"/>
        <v>44325</v>
      </c>
      <c r="J4138">
        <f>IFERROR(VLOOKUP(E4138,'LEAID Match'!$A$2:$B$168,2,FALSE),"")</f>
        <v>3306900</v>
      </c>
    </row>
    <row r="4139" spans="1:10">
      <c r="A4139">
        <v>2021</v>
      </c>
      <c r="B4139" t="s">
        <v>1429</v>
      </c>
      <c r="C4139" t="s">
        <v>1431</v>
      </c>
      <c r="D4139" t="s">
        <v>1433</v>
      </c>
      <c r="E4139" t="s">
        <v>404</v>
      </c>
      <c r="F4139" s="9" t="s">
        <v>404</v>
      </c>
      <c r="G4139" s="18">
        <v>56758</v>
      </c>
      <c r="H4139">
        <v>0</v>
      </c>
      <c r="I4139" s="29">
        <f t="shared" si="64"/>
        <v>56758</v>
      </c>
      <c r="J4139">
        <f>IFERROR(VLOOKUP(E4139,'LEAID Match'!$A$2:$B$168,2,FALSE),"")</f>
        <v>3306900</v>
      </c>
    </row>
    <row r="4140" spans="1:10">
      <c r="A4140">
        <v>2022</v>
      </c>
      <c r="B4140" t="s">
        <v>1429</v>
      </c>
      <c r="C4140" t="s">
        <v>1431</v>
      </c>
      <c r="D4140" t="s">
        <v>1433</v>
      </c>
      <c r="E4140" t="s">
        <v>404</v>
      </c>
      <c r="F4140" s="9" t="s">
        <v>404</v>
      </c>
      <c r="G4140" s="18">
        <v>70775</v>
      </c>
      <c r="H4140">
        <v>0</v>
      </c>
      <c r="I4140" s="29">
        <f t="shared" si="64"/>
        <v>70775</v>
      </c>
      <c r="J4140">
        <f>IFERROR(VLOOKUP(E4140,'LEAID Match'!$A$2:$B$168,2,FALSE),"")</f>
        <v>3306900</v>
      </c>
    </row>
    <row r="4141" spans="1:10">
      <c r="A4141">
        <v>2023</v>
      </c>
      <c r="B4141" t="s">
        <v>1429</v>
      </c>
      <c r="C4141" t="s">
        <v>1431</v>
      </c>
      <c r="D4141" t="s">
        <v>1433</v>
      </c>
      <c r="E4141" t="s">
        <v>404</v>
      </c>
      <c r="F4141" t="s">
        <v>404</v>
      </c>
      <c r="G4141" s="28">
        <v>71461</v>
      </c>
      <c r="H4141">
        <v>0</v>
      </c>
      <c r="I4141" s="29">
        <f t="shared" si="64"/>
        <v>71461</v>
      </c>
      <c r="J4141">
        <f>IFERROR(VLOOKUP(E4141,'LEAID Match'!$A$2:$B$168,2,FALSE),"")</f>
        <v>3306900</v>
      </c>
    </row>
    <row r="4142" spans="1:10">
      <c r="A4142">
        <v>2015</v>
      </c>
      <c r="B4142" t="s">
        <v>1429</v>
      </c>
      <c r="C4142" t="s">
        <v>1431</v>
      </c>
      <c r="D4142" t="s">
        <v>1433</v>
      </c>
      <c r="E4142" t="s">
        <v>405</v>
      </c>
      <c r="F4142" s="9" t="s">
        <v>1395</v>
      </c>
      <c r="G4142" s="18">
        <v>24577.84</v>
      </c>
      <c r="H4142">
        <v>0</v>
      </c>
      <c r="I4142" s="29">
        <f t="shared" si="64"/>
        <v>24577.84</v>
      </c>
      <c r="J4142" t="str">
        <f>IFERROR(VLOOKUP(E4142,'LEAID Match'!$A$2:$B$168,2,FALSE),"")</f>
        <v/>
      </c>
    </row>
    <row r="4143" spans="1:10">
      <c r="A4143">
        <v>2016</v>
      </c>
      <c r="B4143" t="s">
        <v>1429</v>
      </c>
      <c r="C4143" t="s">
        <v>1431</v>
      </c>
      <c r="D4143" t="s">
        <v>1433</v>
      </c>
      <c r="E4143" t="s">
        <v>405</v>
      </c>
      <c r="F4143" t="s">
        <v>405</v>
      </c>
      <c r="G4143" s="28">
        <v>28047</v>
      </c>
      <c r="H4143">
        <v>0</v>
      </c>
      <c r="I4143" s="29">
        <f t="shared" si="64"/>
        <v>28047</v>
      </c>
      <c r="J4143" t="str">
        <f>IFERROR(VLOOKUP(E4143,'LEAID Match'!$A$2:$B$168,2,FALSE),"")</f>
        <v/>
      </c>
    </row>
    <row r="4144" spans="1:10">
      <c r="A4144">
        <v>2017</v>
      </c>
      <c r="B4144" t="s">
        <v>1429</v>
      </c>
      <c r="C4144" t="s">
        <v>1431</v>
      </c>
      <c r="D4144" t="s">
        <v>1433</v>
      </c>
      <c r="E4144" t="s">
        <v>405</v>
      </c>
      <c r="F4144" t="s">
        <v>405</v>
      </c>
      <c r="G4144" s="28">
        <v>30875</v>
      </c>
      <c r="H4144">
        <v>0</v>
      </c>
      <c r="I4144" s="29">
        <f t="shared" si="64"/>
        <v>30875</v>
      </c>
      <c r="J4144" t="str">
        <f>IFERROR(VLOOKUP(E4144,'LEAID Match'!$A$2:$B$168,2,FALSE),"")</f>
        <v/>
      </c>
    </row>
    <row r="4145" spans="1:10">
      <c r="A4145" s="27">
        <v>2018</v>
      </c>
      <c r="B4145" t="s">
        <v>1429</v>
      </c>
      <c r="C4145" t="s">
        <v>1431</v>
      </c>
      <c r="D4145" t="s">
        <v>1433</v>
      </c>
      <c r="E4145" t="s">
        <v>405</v>
      </c>
      <c r="F4145" s="9" t="s">
        <v>405</v>
      </c>
      <c r="G4145" s="18">
        <v>38424</v>
      </c>
      <c r="H4145">
        <v>0</v>
      </c>
      <c r="I4145" s="29">
        <f t="shared" si="64"/>
        <v>38424</v>
      </c>
      <c r="J4145" t="str">
        <f>IFERROR(VLOOKUP(E4145,'LEAID Match'!$A$2:$B$168,2,FALSE),"")</f>
        <v/>
      </c>
    </row>
    <row r="4146" spans="1:10">
      <c r="A4146">
        <v>2019</v>
      </c>
      <c r="B4146" t="s">
        <v>1429</v>
      </c>
      <c r="C4146" t="s">
        <v>1431</v>
      </c>
      <c r="D4146" t="s">
        <v>1433</v>
      </c>
      <c r="E4146" t="s">
        <v>405</v>
      </c>
      <c r="F4146" s="9" t="s">
        <v>405</v>
      </c>
      <c r="G4146" s="18">
        <v>37001</v>
      </c>
      <c r="H4146">
        <v>0</v>
      </c>
      <c r="I4146" s="29">
        <f t="shared" si="64"/>
        <v>37001</v>
      </c>
      <c r="J4146" t="str">
        <f>IFERROR(VLOOKUP(E4146,'LEAID Match'!$A$2:$B$168,2,FALSE),"")</f>
        <v/>
      </c>
    </row>
    <row r="4147" spans="1:10">
      <c r="A4147" s="27">
        <v>2020</v>
      </c>
      <c r="B4147" t="s">
        <v>1429</v>
      </c>
      <c r="C4147" t="s">
        <v>1431</v>
      </c>
      <c r="D4147" t="s">
        <v>1433</v>
      </c>
      <c r="E4147" t="s">
        <v>405</v>
      </c>
      <c r="F4147" s="9" t="s">
        <v>405</v>
      </c>
      <c r="G4147" s="18">
        <v>32512</v>
      </c>
      <c r="H4147">
        <v>0</v>
      </c>
      <c r="I4147" s="29">
        <f t="shared" si="64"/>
        <v>32512</v>
      </c>
      <c r="J4147" t="str">
        <f>IFERROR(VLOOKUP(E4147,'LEAID Match'!$A$2:$B$168,2,FALSE),"")</f>
        <v/>
      </c>
    </row>
    <row r="4148" spans="1:10">
      <c r="A4148">
        <v>2021</v>
      </c>
      <c r="B4148" t="s">
        <v>1429</v>
      </c>
      <c r="C4148" t="s">
        <v>1431</v>
      </c>
      <c r="D4148" t="s">
        <v>1433</v>
      </c>
      <c r="E4148" t="s">
        <v>405</v>
      </c>
      <c r="F4148" s="9" t="s">
        <v>405</v>
      </c>
      <c r="G4148" s="18">
        <v>32187</v>
      </c>
      <c r="H4148">
        <v>0</v>
      </c>
      <c r="I4148" s="29">
        <f t="shared" si="64"/>
        <v>32187</v>
      </c>
      <c r="J4148" t="str">
        <f>IFERROR(VLOOKUP(E4148,'LEAID Match'!$A$2:$B$168,2,FALSE),"")</f>
        <v/>
      </c>
    </row>
    <row r="4149" spans="1:10">
      <c r="A4149">
        <v>2022</v>
      </c>
      <c r="B4149" t="s">
        <v>1429</v>
      </c>
      <c r="C4149" t="s">
        <v>1431</v>
      </c>
      <c r="D4149" t="s">
        <v>1433</v>
      </c>
      <c r="E4149" t="s">
        <v>405</v>
      </c>
      <c r="F4149" s="9" t="s">
        <v>405</v>
      </c>
      <c r="G4149" s="18">
        <v>77823</v>
      </c>
      <c r="H4149">
        <v>0</v>
      </c>
      <c r="I4149" s="29">
        <f t="shared" si="64"/>
        <v>77823</v>
      </c>
      <c r="J4149" t="str">
        <f>IFERROR(VLOOKUP(E4149,'LEAID Match'!$A$2:$B$168,2,FALSE),"")</f>
        <v/>
      </c>
    </row>
    <row r="4150" spans="1:10">
      <c r="A4150">
        <v>2023</v>
      </c>
      <c r="B4150" t="s">
        <v>1429</v>
      </c>
      <c r="C4150" t="s">
        <v>1431</v>
      </c>
      <c r="D4150" t="s">
        <v>1433</v>
      </c>
      <c r="E4150" t="s">
        <v>405</v>
      </c>
      <c r="F4150" t="s">
        <v>405</v>
      </c>
      <c r="G4150" s="28">
        <v>107578</v>
      </c>
      <c r="H4150">
        <v>0</v>
      </c>
      <c r="I4150" s="29">
        <f t="shared" si="64"/>
        <v>107578</v>
      </c>
      <c r="J4150" t="str">
        <f>IFERROR(VLOOKUP(E4150,'LEAID Match'!$A$2:$B$168,2,FALSE),"")</f>
        <v/>
      </c>
    </row>
    <row r="4151" spans="1:10">
      <c r="A4151">
        <v>2015</v>
      </c>
      <c r="B4151" t="s">
        <v>1429</v>
      </c>
      <c r="C4151" t="s">
        <v>1431</v>
      </c>
      <c r="D4151" t="s">
        <v>1433</v>
      </c>
      <c r="E4151" t="s">
        <v>909</v>
      </c>
      <c r="F4151" s="9" t="s">
        <v>1396</v>
      </c>
      <c r="G4151" s="18">
        <v>154327.45000000001</v>
      </c>
      <c r="H4151">
        <v>0</v>
      </c>
      <c r="I4151" s="29">
        <f t="shared" si="64"/>
        <v>154327.45000000001</v>
      </c>
      <c r="J4151" t="str">
        <f>IFERROR(VLOOKUP(E4151,'LEAID Match'!$A$2:$B$168,2,FALSE),"")</f>
        <v/>
      </c>
    </row>
    <row r="4152" spans="1:10">
      <c r="A4152">
        <v>2016</v>
      </c>
      <c r="B4152" t="s">
        <v>1429</v>
      </c>
      <c r="C4152" t="s">
        <v>1431</v>
      </c>
      <c r="D4152" t="s">
        <v>1433</v>
      </c>
      <c r="E4152" t="s">
        <v>909</v>
      </c>
      <c r="F4152" t="s">
        <v>909</v>
      </c>
      <c r="G4152" s="28">
        <v>163132</v>
      </c>
      <c r="H4152">
        <v>0</v>
      </c>
      <c r="I4152" s="29">
        <f t="shared" si="64"/>
        <v>163132</v>
      </c>
      <c r="J4152" t="str">
        <f>IFERROR(VLOOKUP(E4152,'LEAID Match'!$A$2:$B$168,2,FALSE),"")</f>
        <v/>
      </c>
    </row>
    <row r="4153" spans="1:10">
      <c r="A4153">
        <v>2017</v>
      </c>
      <c r="B4153" t="s">
        <v>1429</v>
      </c>
      <c r="C4153" t="s">
        <v>1431</v>
      </c>
      <c r="D4153" t="s">
        <v>1433</v>
      </c>
      <c r="E4153" t="s">
        <v>909</v>
      </c>
      <c r="F4153" t="s">
        <v>909</v>
      </c>
      <c r="G4153" s="28">
        <v>171494</v>
      </c>
      <c r="H4153">
        <v>0</v>
      </c>
      <c r="I4153" s="29">
        <f t="shared" si="64"/>
        <v>171494</v>
      </c>
      <c r="J4153" t="str">
        <f>IFERROR(VLOOKUP(E4153,'LEAID Match'!$A$2:$B$168,2,FALSE),"")</f>
        <v/>
      </c>
    </row>
    <row r="4154" spans="1:10">
      <c r="A4154" s="27">
        <v>2018</v>
      </c>
      <c r="B4154" t="s">
        <v>1429</v>
      </c>
      <c r="C4154" t="s">
        <v>1431</v>
      </c>
      <c r="D4154" t="s">
        <v>1433</v>
      </c>
      <c r="E4154" t="s">
        <v>909</v>
      </c>
      <c r="F4154" s="9" t="s">
        <v>909</v>
      </c>
      <c r="G4154" s="18">
        <v>181813</v>
      </c>
      <c r="H4154">
        <v>0</v>
      </c>
      <c r="I4154" s="29">
        <f t="shared" si="64"/>
        <v>181813</v>
      </c>
      <c r="J4154" t="str">
        <f>IFERROR(VLOOKUP(E4154,'LEAID Match'!$A$2:$B$168,2,FALSE),"")</f>
        <v/>
      </c>
    </row>
    <row r="4155" spans="1:10">
      <c r="A4155">
        <v>2019</v>
      </c>
      <c r="B4155" t="s">
        <v>1429</v>
      </c>
      <c r="C4155" t="s">
        <v>1431</v>
      </c>
      <c r="D4155" t="s">
        <v>1433</v>
      </c>
      <c r="E4155" t="s">
        <v>909</v>
      </c>
      <c r="F4155" s="9" t="s">
        <v>909</v>
      </c>
      <c r="G4155" s="18">
        <v>192716</v>
      </c>
      <c r="H4155">
        <v>0</v>
      </c>
      <c r="I4155" s="29">
        <f t="shared" si="64"/>
        <v>192716</v>
      </c>
      <c r="J4155" t="str">
        <f>IFERROR(VLOOKUP(E4155,'LEAID Match'!$A$2:$B$168,2,FALSE),"")</f>
        <v/>
      </c>
    </row>
    <row r="4156" spans="1:10">
      <c r="A4156">
        <v>2015</v>
      </c>
      <c r="B4156" t="s">
        <v>1429</v>
      </c>
      <c r="C4156" t="s">
        <v>1431</v>
      </c>
      <c r="D4156" t="s">
        <v>1433</v>
      </c>
      <c r="E4156" t="s">
        <v>406</v>
      </c>
      <c r="F4156" s="9" t="s">
        <v>1397</v>
      </c>
      <c r="G4156" s="18">
        <v>46198.96</v>
      </c>
      <c r="H4156">
        <v>0</v>
      </c>
      <c r="I4156" s="29">
        <f t="shared" si="64"/>
        <v>46198.96</v>
      </c>
      <c r="J4156">
        <f>IFERROR(VLOOKUP(E4156,'LEAID Match'!$A$2:$B$168,2,FALSE),"")</f>
        <v>3306910</v>
      </c>
    </row>
    <row r="4157" spans="1:10">
      <c r="A4157">
        <v>2016</v>
      </c>
      <c r="B4157" t="s">
        <v>1429</v>
      </c>
      <c r="C4157" t="s">
        <v>1431</v>
      </c>
      <c r="D4157" t="s">
        <v>1433</v>
      </c>
      <c r="E4157" t="s">
        <v>406</v>
      </c>
      <c r="F4157" t="s">
        <v>910</v>
      </c>
      <c r="G4157" s="28">
        <v>52359</v>
      </c>
      <c r="H4157">
        <v>0</v>
      </c>
      <c r="I4157" s="29">
        <f t="shared" si="64"/>
        <v>52359</v>
      </c>
      <c r="J4157">
        <f>IFERROR(VLOOKUP(E4157,'LEAID Match'!$A$2:$B$168,2,FALSE),"")</f>
        <v>3306910</v>
      </c>
    </row>
    <row r="4158" spans="1:10">
      <c r="A4158">
        <v>2017</v>
      </c>
      <c r="B4158" t="s">
        <v>1429</v>
      </c>
      <c r="C4158" t="s">
        <v>1431</v>
      </c>
      <c r="D4158" t="s">
        <v>1433</v>
      </c>
      <c r="E4158" t="s">
        <v>406</v>
      </c>
      <c r="F4158" t="s">
        <v>910</v>
      </c>
      <c r="G4158" s="28">
        <v>46175</v>
      </c>
      <c r="H4158">
        <v>0</v>
      </c>
      <c r="I4158" s="29">
        <f t="shared" si="64"/>
        <v>46175</v>
      </c>
      <c r="J4158">
        <f>IFERROR(VLOOKUP(E4158,'LEAID Match'!$A$2:$B$168,2,FALSE),"")</f>
        <v>3306910</v>
      </c>
    </row>
    <row r="4159" spans="1:10">
      <c r="A4159" s="27">
        <v>2018</v>
      </c>
      <c r="B4159" t="s">
        <v>1429</v>
      </c>
      <c r="C4159" t="s">
        <v>1431</v>
      </c>
      <c r="D4159" t="s">
        <v>1433</v>
      </c>
      <c r="E4159" t="s">
        <v>406</v>
      </c>
      <c r="F4159" s="9" t="s">
        <v>910</v>
      </c>
      <c r="G4159" s="18">
        <v>63058</v>
      </c>
      <c r="H4159">
        <v>0</v>
      </c>
      <c r="I4159" s="29">
        <f t="shared" si="64"/>
        <v>63058</v>
      </c>
      <c r="J4159">
        <f>IFERROR(VLOOKUP(E4159,'LEAID Match'!$A$2:$B$168,2,FALSE),"")</f>
        <v>3306910</v>
      </c>
    </row>
    <row r="4160" spans="1:10">
      <c r="A4160">
        <v>2019</v>
      </c>
      <c r="B4160" t="s">
        <v>1429</v>
      </c>
      <c r="C4160" t="s">
        <v>1431</v>
      </c>
      <c r="D4160" t="s">
        <v>1433</v>
      </c>
      <c r="E4160" t="s">
        <v>406</v>
      </c>
      <c r="F4160" s="9" t="s">
        <v>910</v>
      </c>
      <c r="G4160" s="18">
        <v>60670</v>
      </c>
      <c r="H4160">
        <v>0</v>
      </c>
      <c r="I4160" s="29">
        <f t="shared" si="64"/>
        <v>60670</v>
      </c>
      <c r="J4160">
        <f>IFERROR(VLOOKUP(E4160,'LEAID Match'!$A$2:$B$168,2,FALSE),"")</f>
        <v>3306910</v>
      </c>
    </row>
    <row r="4161" spans="1:10">
      <c r="A4161" s="27">
        <v>2020</v>
      </c>
      <c r="B4161" t="s">
        <v>1429</v>
      </c>
      <c r="C4161" t="s">
        <v>1431</v>
      </c>
      <c r="D4161" t="s">
        <v>1433</v>
      </c>
      <c r="E4161" t="s">
        <v>406</v>
      </c>
      <c r="F4161" s="9" t="s">
        <v>406</v>
      </c>
      <c r="G4161" s="18">
        <v>61310</v>
      </c>
      <c r="H4161">
        <v>0</v>
      </c>
      <c r="I4161" s="29">
        <f t="shared" si="64"/>
        <v>61310</v>
      </c>
      <c r="J4161">
        <f>IFERROR(VLOOKUP(E4161,'LEAID Match'!$A$2:$B$168,2,FALSE),"")</f>
        <v>3306910</v>
      </c>
    </row>
    <row r="4162" spans="1:10">
      <c r="A4162">
        <v>2021</v>
      </c>
      <c r="B4162" t="s">
        <v>1429</v>
      </c>
      <c r="C4162" t="s">
        <v>1431</v>
      </c>
      <c r="D4162" t="s">
        <v>1433</v>
      </c>
      <c r="E4162" t="s">
        <v>406</v>
      </c>
      <c r="F4162" s="9" t="s">
        <v>406</v>
      </c>
      <c r="G4162" s="18">
        <v>88632</v>
      </c>
      <c r="H4162">
        <v>0</v>
      </c>
      <c r="I4162" s="29">
        <f t="shared" si="64"/>
        <v>88632</v>
      </c>
      <c r="J4162">
        <f>IFERROR(VLOOKUP(E4162,'LEAID Match'!$A$2:$B$168,2,FALSE),"")</f>
        <v>3306910</v>
      </c>
    </row>
    <row r="4163" spans="1:10">
      <c r="A4163">
        <v>2022</v>
      </c>
      <c r="B4163" t="s">
        <v>1429</v>
      </c>
      <c r="C4163" t="s">
        <v>1431</v>
      </c>
      <c r="D4163" t="s">
        <v>1433</v>
      </c>
      <c r="E4163" t="s">
        <v>406</v>
      </c>
      <c r="F4163" s="9" t="s">
        <v>406</v>
      </c>
      <c r="G4163" s="18">
        <v>111865</v>
      </c>
      <c r="H4163">
        <v>0</v>
      </c>
      <c r="I4163" s="29">
        <f t="shared" ref="I4163:I4226" si="65">SUM(G4163:H4163)</f>
        <v>111865</v>
      </c>
      <c r="J4163">
        <f>IFERROR(VLOOKUP(E4163,'LEAID Match'!$A$2:$B$168,2,FALSE),"")</f>
        <v>3306910</v>
      </c>
    </row>
    <row r="4164" spans="1:10">
      <c r="A4164">
        <v>2023</v>
      </c>
      <c r="B4164" t="s">
        <v>1429</v>
      </c>
      <c r="C4164" t="s">
        <v>1431</v>
      </c>
      <c r="D4164" t="s">
        <v>1433</v>
      </c>
      <c r="E4164" t="s">
        <v>406</v>
      </c>
      <c r="F4164" t="s">
        <v>406</v>
      </c>
      <c r="G4164" s="28">
        <v>115478</v>
      </c>
      <c r="H4164">
        <v>0</v>
      </c>
      <c r="I4164" s="29">
        <f t="shared" si="65"/>
        <v>115478</v>
      </c>
      <c r="J4164">
        <f>IFERROR(VLOOKUP(E4164,'LEAID Match'!$A$2:$B$168,2,FALSE),"")</f>
        <v>3306910</v>
      </c>
    </row>
    <row r="4165" spans="1:10">
      <c r="A4165">
        <v>2015</v>
      </c>
      <c r="B4165" t="s">
        <v>1429</v>
      </c>
      <c r="C4165" t="s">
        <v>1431</v>
      </c>
      <c r="D4165" t="s">
        <v>1433</v>
      </c>
      <c r="E4165" t="s">
        <v>911</v>
      </c>
      <c r="F4165" s="9" t="s">
        <v>1398</v>
      </c>
      <c r="G4165" s="18">
        <v>249817.38</v>
      </c>
      <c r="H4165">
        <v>0</v>
      </c>
      <c r="I4165" s="29">
        <f t="shared" si="65"/>
        <v>249817.38</v>
      </c>
      <c r="J4165" t="str">
        <f>IFERROR(VLOOKUP(E4165,'LEAID Match'!$A$2:$B$168,2,FALSE),"")</f>
        <v/>
      </c>
    </row>
    <row r="4166" spans="1:10">
      <c r="A4166">
        <v>2016</v>
      </c>
      <c r="B4166" t="s">
        <v>1429</v>
      </c>
      <c r="C4166" t="s">
        <v>1431</v>
      </c>
      <c r="D4166" t="s">
        <v>1433</v>
      </c>
      <c r="E4166" t="s">
        <v>911</v>
      </c>
      <c r="F4166" t="s">
        <v>911</v>
      </c>
      <c r="G4166" s="28">
        <v>263750</v>
      </c>
      <c r="H4166">
        <v>0</v>
      </c>
      <c r="I4166" s="29">
        <f t="shared" si="65"/>
        <v>263750</v>
      </c>
      <c r="J4166" t="str">
        <f>IFERROR(VLOOKUP(E4166,'LEAID Match'!$A$2:$B$168,2,FALSE),"")</f>
        <v/>
      </c>
    </row>
    <row r="4167" spans="1:10">
      <c r="A4167">
        <v>2017</v>
      </c>
      <c r="B4167" t="s">
        <v>1429</v>
      </c>
      <c r="C4167" t="s">
        <v>1431</v>
      </c>
      <c r="D4167" t="s">
        <v>1433</v>
      </c>
      <c r="E4167" t="s">
        <v>911</v>
      </c>
      <c r="F4167" t="s">
        <v>911</v>
      </c>
      <c r="G4167" s="28">
        <v>248666</v>
      </c>
      <c r="H4167">
        <v>0</v>
      </c>
      <c r="I4167" s="29">
        <f t="shared" si="65"/>
        <v>248666</v>
      </c>
      <c r="J4167" t="str">
        <f>IFERROR(VLOOKUP(E4167,'LEAID Match'!$A$2:$B$168,2,FALSE),"")</f>
        <v/>
      </c>
    </row>
    <row r="4168" spans="1:10">
      <c r="A4168" s="27">
        <v>2018</v>
      </c>
      <c r="B4168" t="s">
        <v>1429</v>
      </c>
      <c r="C4168" t="s">
        <v>1431</v>
      </c>
      <c r="D4168" t="s">
        <v>1433</v>
      </c>
      <c r="E4168" t="s">
        <v>911</v>
      </c>
      <c r="F4168" s="9" t="s">
        <v>911</v>
      </c>
      <c r="G4168" s="18">
        <v>286024</v>
      </c>
      <c r="H4168">
        <v>0</v>
      </c>
      <c r="I4168" s="29">
        <f t="shared" si="65"/>
        <v>286024</v>
      </c>
      <c r="J4168" t="str">
        <f>IFERROR(VLOOKUP(E4168,'LEAID Match'!$A$2:$B$168,2,FALSE),"")</f>
        <v/>
      </c>
    </row>
    <row r="4169" spans="1:10">
      <c r="A4169">
        <v>2019</v>
      </c>
      <c r="B4169" t="s">
        <v>1429</v>
      </c>
      <c r="C4169" t="s">
        <v>1431</v>
      </c>
      <c r="D4169" t="s">
        <v>1433</v>
      </c>
      <c r="E4169" t="s">
        <v>911</v>
      </c>
      <c r="F4169" s="9" t="s">
        <v>911</v>
      </c>
      <c r="G4169" s="18">
        <v>294703</v>
      </c>
      <c r="H4169">
        <v>0</v>
      </c>
      <c r="I4169" s="29">
        <f t="shared" si="65"/>
        <v>294703</v>
      </c>
      <c r="J4169" t="str">
        <f>IFERROR(VLOOKUP(E4169,'LEAID Match'!$A$2:$B$168,2,FALSE),"")</f>
        <v/>
      </c>
    </row>
    <row r="4170" spans="1:10">
      <c r="A4170">
        <v>2015</v>
      </c>
      <c r="B4170" t="s">
        <v>1429</v>
      </c>
      <c r="C4170" t="s">
        <v>1431</v>
      </c>
      <c r="D4170" t="s">
        <v>1433</v>
      </c>
      <c r="E4170" t="s">
        <v>407</v>
      </c>
      <c r="F4170" s="9" t="s">
        <v>1399</v>
      </c>
      <c r="G4170" s="18">
        <v>577140.80000000005</v>
      </c>
      <c r="H4170">
        <v>0</v>
      </c>
      <c r="I4170" s="29">
        <f t="shared" si="65"/>
        <v>577140.80000000005</v>
      </c>
      <c r="J4170">
        <f>IFERROR(VLOOKUP(E4170,'LEAID Match'!$A$2:$B$168,2,FALSE),"")</f>
        <v>3306930</v>
      </c>
    </row>
    <row r="4171" spans="1:10">
      <c r="A4171">
        <v>2016</v>
      </c>
      <c r="B4171" t="s">
        <v>1429</v>
      </c>
      <c r="C4171" t="s">
        <v>1431</v>
      </c>
      <c r="D4171" t="s">
        <v>1433</v>
      </c>
      <c r="E4171" t="s">
        <v>407</v>
      </c>
      <c r="F4171" t="s">
        <v>912</v>
      </c>
      <c r="G4171" s="28">
        <v>631174</v>
      </c>
      <c r="H4171">
        <v>0</v>
      </c>
      <c r="I4171" s="29">
        <f t="shared" si="65"/>
        <v>631174</v>
      </c>
      <c r="J4171">
        <f>IFERROR(VLOOKUP(E4171,'LEAID Match'!$A$2:$B$168,2,FALSE),"")</f>
        <v>3306930</v>
      </c>
    </row>
    <row r="4172" spans="1:10">
      <c r="A4172">
        <v>2017</v>
      </c>
      <c r="B4172" t="s">
        <v>1429</v>
      </c>
      <c r="C4172" t="s">
        <v>1431</v>
      </c>
      <c r="D4172" t="s">
        <v>1433</v>
      </c>
      <c r="E4172" t="s">
        <v>407</v>
      </c>
      <c r="F4172" t="s">
        <v>912</v>
      </c>
      <c r="G4172" s="28">
        <v>659209</v>
      </c>
      <c r="H4172">
        <v>0</v>
      </c>
      <c r="I4172" s="29">
        <f t="shared" si="65"/>
        <v>659209</v>
      </c>
      <c r="J4172">
        <f>IFERROR(VLOOKUP(E4172,'LEAID Match'!$A$2:$B$168,2,FALSE),"")</f>
        <v>3306930</v>
      </c>
    </row>
    <row r="4173" spans="1:10">
      <c r="A4173" s="27">
        <v>2018</v>
      </c>
      <c r="B4173" t="s">
        <v>1429</v>
      </c>
      <c r="C4173" t="s">
        <v>1431</v>
      </c>
      <c r="D4173" t="s">
        <v>1433</v>
      </c>
      <c r="E4173" t="s">
        <v>407</v>
      </c>
      <c r="F4173" s="9" t="s">
        <v>912</v>
      </c>
      <c r="G4173" s="18">
        <v>828656</v>
      </c>
      <c r="H4173">
        <v>0</v>
      </c>
      <c r="I4173" s="29">
        <f t="shared" si="65"/>
        <v>828656</v>
      </c>
      <c r="J4173">
        <f>IFERROR(VLOOKUP(E4173,'LEAID Match'!$A$2:$B$168,2,FALSE),"")</f>
        <v>3306930</v>
      </c>
    </row>
    <row r="4174" spans="1:10">
      <c r="A4174">
        <v>2019</v>
      </c>
      <c r="B4174" t="s">
        <v>1429</v>
      </c>
      <c r="C4174" t="s">
        <v>1431</v>
      </c>
      <c r="D4174" t="s">
        <v>1433</v>
      </c>
      <c r="E4174" t="s">
        <v>407</v>
      </c>
      <c r="F4174" s="9" t="s">
        <v>912</v>
      </c>
      <c r="G4174" s="18">
        <v>789878</v>
      </c>
      <c r="H4174">
        <v>0</v>
      </c>
      <c r="I4174" s="29">
        <f t="shared" si="65"/>
        <v>789878</v>
      </c>
      <c r="J4174">
        <f>IFERROR(VLOOKUP(E4174,'LEAID Match'!$A$2:$B$168,2,FALSE),"")</f>
        <v>3306930</v>
      </c>
    </row>
    <row r="4175" spans="1:10">
      <c r="A4175" s="27">
        <v>2020</v>
      </c>
      <c r="B4175" t="s">
        <v>1429</v>
      </c>
      <c r="C4175" t="s">
        <v>1431</v>
      </c>
      <c r="D4175" t="s">
        <v>1433</v>
      </c>
      <c r="E4175" t="s">
        <v>407</v>
      </c>
      <c r="F4175" s="9" t="s">
        <v>407</v>
      </c>
      <c r="G4175" s="18">
        <v>832728</v>
      </c>
      <c r="H4175">
        <v>0</v>
      </c>
      <c r="I4175" s="29">
        <f t="shared" si="65"/>
        <v>832728</v>
      </c>
      <c r="J4175">
        <f>IFERROR(VLOOKUP(E4175,'LEAID Match'!$A$2:$B$168,2,FALSE),"")</f>
        <v>3306930</v>
      </c>
    </row>
    <row r="4176" spans="1:10">
      <c r="A4176">
        <v>2021</v>
      </c>
      <c r="B4176" t="s">
        <v>1429</v>
      </c>
      <c r="C4176" t="s">
        <v>1431</v>
      </c>
      <c r="D4176" t="s">
        <v>1433</v>
      </c>
      <c r="E4176" t="s">
        <v>407</v>
      </c>
      <c r="F4176" s="9" t="s">
        <v>407</v>
      </c>
      <c r="G4176" s="18">
        <v>856220</v>
      </c>
      <c r="H4176">
        <v>0</v>
      </c>
      <c r="I4176" s="29">
        <f t="shared" si="65"/>
        <v>856220</v>
      </c>
      <c r="J4176">
        <f>IFERROR(VLOOKUP(E4176,'LEAID Match'!$A$2:$B$168,2,FALSE),"")</f>
        <v>3306930</v>
      </c>
    </row>
    <row r="4177" spans="1:10">
      <c r="A4177">
        <v>2022</v>
      </c>
      <c r="B4177" t="s">
        <v>1429</v>
      </c>
      <c r="C4177" t="s">
        <v>1431</v>
      </c>
      <c r="D4177" t="s">
        <v>1433</v>
      </c>
      <c r="E4177" t="s">
        <v>407</v>
      </c>
      <c r="F4177" s="9" t="s">
        <v>407</v>
      </c>
      <c r="G4177" s="18">
        <v>1072011</v>
      </c>
      <c r="H4177">
        <v>0</v>
      </c>
      <c r="I4177" s="29">
        <f t="shared" si="65"/>
        <v>1072011</v>
      </c>
      <c r="J4177">
        <f>IFERROR(VLOOKUP(E4177,'LEAID Match'!$A$2:$B$168,2,FALSE),"")</f>
        <v>3306930</v>
      </c>
    </row>
    <row r="4178" spans="1:10">
      <c r="A4178">
        <v>2023</v>
      </c>
      <c r="B4178" t="s">
        <v>1429</v>
      </c>
      <c r="C4178" t="s">
        <v>1431</v>
      </c>
      <c r="D4178" t="s">
        <v>1433</v>
      </c>
      <c r="E4178" t="s">
        <v>407</v>
      </c>
      <c r="F4178" t="s">
        <v>407</v>
      </c>
      <c r="G4178" s="28">
        <v>1121302</v>
      </c>
      <c r="H4178">
        <v>0</v>
      </c>
      <c r="I4178" s="29">
        <f t="shared" si="65"/>
        <v>1121302</v>
      </c>
      <c r="J4178">
        <f>IFERROR(VLOOKUP(E4178,'LEAID Match'!$A$2:$B$168,2,FALSE),"")</f>
        <v>3306930</v>
      </c>
    </row>
    <row r="4179" spans="1:10">
      <c r="A4179">
        <v>2015</v>
      </c>
      <c r="B4179" t="s">
        <v>1429</v>
      </c>
      <c r="C4179" t="s">
        <v>1431</v>
      </c>
      <c r="D4179" t="s">
        <v>1433</v>
      </c>
      <c r="E4179" t="s">
        <v>913</v>
      </c>
      <c r="F4179" s="9" t="s">
        <v>1400</v>
      </c>
      <c r="G4179" s="18">
        <v>33867.08</v>
      </c>
      <c r="H4179">
        <v>0</v>
      </c>
      <c r="I4179" s="29">
        <f t="shared" si="65"/>
        <v>33867.08</v>
      </c>
      <c r="J4179" t="str">
        <f>IFERROR(VLOOKUP(E4179,'LEAID Match'!$A$2:$B$168,2,FALSE),"")</f>
        <v/>
      </c>
    </row>
    <row r="4180" spans="1:10">
      <c r="A4180">
        <v>2016</v>
      </c>
      <c r="B4180" t="s">
        <v>1429</v>
      </c>
      <c r="C4180" t="s">
        <v>1431</v>
      </c>
      <c r="D4180" t="s">
        <v>1433</v>
      </c>
      <c r="E4180" t="s">
        <v>913</v>
      </c>
      <c r="F4180" t="s">
        <v>913</v>
      </c>
      <c r="G4180" s="28">
        <v>37225</v>
      </c>
      <c r="H4180">
        <v>0</v>
      </c>
      <c r="I4180" s="29">
        <f t="shared" si="65"/>
        <v>37225</v>
      </c>
      <c r="J4180" t="str">
        <f>IFERROR(VLOOKUP(E4180,'LEAID Match'!$A$2:$B$168,2,FALSE),"")</f>
        <v/>
      </c>
    </row>
    <row r="4181" spans="1:10">
      <c r="A4181">
        <v>2017</v>
      </c>
      <c r="B4181" t="s">
        <v>1429</v>
      </c>
      <c r="C4181" t="s">
        <v>1431</v>
      </c>
      <c r="D4181" t="s">
        <v>1433</v>
      </c>
      <c r="E4181" t="s">
        <v>913</v>
      </c>
      <c r="F4181" t="s">
        <v>913</v>
      </c>
      <c r="G4181" s="28">
        <v>37819</v>
      </c>
      <c r="H4181">
        <v>0</v>
      </c>
      <c r="I4181" s="29">
        <f t="shared" si="65"/>
        <v>37819</v>
      </c>
      <c r="J4181" t="str">
        <f>IFERROR(VLOOKUP(E4181,'LEAID Match'!$A$2:$B$168,2,FALSE),"")</f>
        <v/>
      </c>
    </row>
    <row r="4182" spans="1:10">
      <c r="A4182" s="27">
        <v>2018</v>
      </c>
      <c r="B4182" t="s">
        <v>1429</v>
      </c>
      <c r="C4182" t="s">
        <v>1431</v>
      </c>
      <c r="D4182" t="s">
        <v>1433</v>
      </c>
      <c r="E4182" t="s">
        <v>913</v>
      </c>
      <c r="F4182" s="9" t="s">
        <v>913</v>
      </c>
      <c r="G4182" s="18">
        <v>30492</v>
      </c>
      <c r="H4182">
        <v>0</v>
      </c>
      <c r="I4182" s="29">
        <f t="shared" si="65"/>
        <v>30492</v>
      </c>
      <c r="J4182" t="str">
        <f>IFERROR(VLOOKUP(E4182,'LEAID Match'!$A$2:$B$168,2,FALSE),"")</f>
        <v/>
      </c>
    </row>
    <row r="4183" spans="1:10">
      <c r="A4183">
        <v>2019</v>
      </c>
      <c r="B4183" t="s">
        <v>1429</v>
      </c>
      <c r="C4183" t="s">
        <v>1431</v>
      </c>
      <c r="D4183" t="s">
        <v>1433</v>
      </c>
      <c r="E4183" t="s">
        <v>913</v>
      </c>
      <c r="F4183" s="9" t="s">
        <v>913</v>
      </c>
      <c r="G4183" s="18">
        <v>33939</v>
      </c>
      <c r="H4183">
        <v>0</v>
      </c>
      <c r="I4183" s="29">
        <f t="shared" si="65"/>
        <v>33939</v>
      </c>
      <c r="J4183" t="str">
        <f>IFERROR(VLOOKUP(E4183,'LEAID Match'!$A$2:$B$168,2,FALSE),"")</f>
        <v/>
      </c>
    </row>
    <row r="4184" spans="1:10">
      <c r="A4184">
        <v>2015</v>
      </c>
      <c r="B4184" t="s">
        <v>1429</v>
      </c>
      <c r="C4184" t="s">
        <v>1431</v>
      </c>
      <c r="D4184" t="s">
        <v>1433</v>
      </c>
      <c r="E4184" t="s">
        <v>408</v>
      </c>
      <c r="F4184" s="9" t="s">
        <v>1401</v>
      </c>
      <c r="G4184" s="18">
        <v>9259.35</v>
      </c>
      <c r="H4184">
        <v>0</v>
      </c>
      <c r="I4184" s="29">
        <f t="shared" si="65"/>
        <v>9259.35</v>
      </c>
      <c r="J4184" t="str">
        <f>IFERROR(VLOOKUP(E4184,'LEAID Match'!$A$2:$B$168,2,FALSE),"")</f>
        <v/>
      </c>
    </row>
    <row r="4185" spans="1:10">
      <c r="A4185">
        <v>2016</v>
      </c>
      <c r="B4185" t="s">
        <v>1429</v>
      </c>
      <c r="C4185" t="s">
        <v>1431</v>
      </c>
      <c r="D4185" t="s">
        <v>1433</v>
      </c>
      <c r="E4185" t="s">
        <v>408</v>
      </c>
      <c r="F4185" t="s">
        <v>408</v>
      </c>
      <c r="G4185" s="28">
        <v>10818</v>
      </c>
      <c r="H4185">
        <v>0</v>
      </c>
      <c r="I4185" s="29">
        <f t="shared" si="65"/>
        <v>10818</v>
      </c>
      <c r="J4185" t="str">
        <f>IFERROR(VLOOKUP(E4185,'LEAID Match'!$A$2:$B$168,2,FALSE),"")</f>
        <v/>
      </c>
    </row>
    <row r="4186" spans="1:10">
      <c r="A4186">
        <v>2017</v>
      </c>
      <c r="B4186" t="s">
        <v>1429</v>
      </c>
      <c r="C4186" t="s">
        <v>1431</v>
      </c>
      <c r="D4186" t="s">
        <v>1433</v>
      </c>
      <c r="E4186" t="s">
        <v>408</v>
      </c>
      <c r="F4186" t="s">
        <v>408</v>
      </c>
      <c r="G4186" s="28">
        <v>10828</v>
      </c>
      <c r="H4186">
        <v>0</v>
      </c>
      <c r="I4186" s="29">
        <f t="shared" si="65"/>
        <v>10828</v>
      </c>
      <c r="J4186" t="str">
        <f>IFERROR(VLOOKUP(E4186,'LEAID Match'!$A$2:$B$168,2,FALSE),"")</f>
        <v/>
      </c>
    </row>
    <row r="4187" spans="1:10">
      <c r="A4187" s="27">
        <v>2018</v>
      </c>
      <c r="B4187" t="s">
        <v>1429</v>
      </c>
      <c r="C4187" t="s">
        <v>1431</v>
      </c>
      <c r="D4187" t="s">
        <v>1433</v>
      </c>
      <c r="E4187" t="s">
        <v>408</v>
      </c>
      <c r="F4187" s="9" t="s">
        <v>408</v>
      </c>
      <c r="G4187" s="18">
        <v>11425</v>
      </c>
      <c r="H4187">
        <v>0</v>
      </c>
      <c r="I4187" s="29">
        <f t="shared" si="65"/>
        <v>11425</v>
      </c>
      <c r="J4187" t="str">
        <f>IFERROR(VLOOKUP(E4187,'LEAID Match'!$A$2:$B$168,2,FALSE),"")</f>
        <v/>
      </c>
    </row>
    <row r="4188" spans="1:10">
      <c r="A4188">
        <v>2019</v>
      </c>
      <c r="B4188" t="s">
        <v>1429</v>
      </c>
      <c r="C4188" t="s">
        <v>1431</v>
      </c>
      <c r="D4188" t="s">
        <v>1433</v>
      </c>
      <c r="E4188" t="s">
        <v>408</v>
      </c>
      <c r="F4188" s="9" t="s">
        <v>408</v>
      </c>
      <c r="G4188" s="18">
        <v>11759</v>
      </c>
      <c r="H4188">
        <v>0</v>
      </c>
      <c r="I4188" s="29">
        <f t="shared" si="65"/>
        <v>11759</v>
      </c>
      <c r="J4188" t="str">
        <f>IFERROR(VLOOKUP(E4188,'LEAID Match'!$A$2:$B$168,2,FALSE),"")</f>
        <v/>
      </c>
    </row>
    <row r="4189" spans="1:10">
      <c r="A4189" s="27">
        <v>2020</v>
      </c>
      <c r="B4189" t="s">
        <v>1429</v>
      </c>
      <c r="C4189" t="s">
        <v>1431</v>
      </c>
      <c r="D4189" t="s">
        <v>1433</v>
      </c>
      <c r="E4189" t="s">
        <v>408</v>
      </c>
      <c r="F4189" s="9" t="s">
        <v>408</v>
      </c>
      <c r="G4189" s="18">
        <v>11938</v>
      </c>
      <c r="H4189">
        <v>0</v>
      </c>
      <c r="I4189" s="29">
        <f t="shared" si="65"/>
        <v>11938</v>
      </c>
      <c r="J4189" t="str">
        <f>IFERROR(VLOOKUP(E4189,'LEAID Match'!$A$2:$B$168,2,FALSE),"")</f>
        <v/>
      </c>
    </row>
    <row r="4190" spans="1:10">
      <c r="A4190">
        <v>2021</v>
      </c>
      <c r="B4190" t="s">
        <v>1429</v>
      </c>
      <c r="C4190" t="s">
        <v>1431</v>
      </c>
      <c r="D4190" t="s">
        <v>1433</v>
      </c>
      <c r="E4190" t="s">
        <v>408</v>
      </c>
      <c r="F4190" s="9" t="s">
        <v>408</v>
      </c>
      <c r="G4190" s="18">
        <v>12292</v>
      </c>
      <c r="H4190">
        <v>0</v>
      </c>
      <c r="I4190" s="29">
        <f t="shared" si="65"/>
        <v>12292</v>
      </c>
      <c r="J4190" t="str">
        <f>IFERROR(VLOOKUP(E4190,'LEAID Match'!$A$2:$B$168,2,FALSE),"")</f>
        <v/>
      </c>
    </row>
    <row r="4191" spans="1:10">
      <c r="A4191">
        <v>2022</v>
      </c>
      <c r="B4191" t="s">
        <v>1429</v>
      </c>
      <c r="C4191" t="s">
        <v>1431</v>
      </c>
      <c r="D4191" t="s">
        <v>1433</v>
      </c>
      <c r="E4191" t="s">
        <v>408</v>
      </c>
      <c r="F4191" s="9" t="s">
        <v>408</v>
      </c>
      <c r="G4191" s="18">
        <v>12627</v>
      </c>
      <c r="H4191">
        <v>0</v>
      </c>
      <c r="I4191" s="29">
        <f t="shared" si="65"/>
        <v>12627</v>
      </c>
      <c r="J4191" t="str">
        <f>IFERROR(VLOOKUP(E4191,'LEAID Match'!$A$2:$B$168,2,FALSE),"")</f>
        <v/>
      </c>
    </row>
    <row r="4192" spans="1:10">
      <c r="A4192">
        <v>2023</v>
      </c>
      <c r="B4192" t="s">
        <v>1429</v>
      </c>
      <c r="C4192" t="s">
        <v>1431</v>
      </c>
      <c r="D4192" t="s">
        <v>1433</v>
      </c>
      <c r="E4192" t="s">
        <v>408</v>
      </c>
      <c r="F4192" t="s">
        <v>408</v>
      </c>
      <c r="G4192" s="28">
        <v>13047</v>
      </c>
      <c r="H4192">
        <v>0</v>
      </c>
      <c r="I4192" s="29">
        <f t="shared" si="65"/>
        <v>13047</v>
      </c>
      <c r="J4192" t="str">
        <f>IFERROR(VLOOKUP(E4192,'LEAID Match'!$A$2:$B$168,2,FALSE),"")</f>
        <v/>
      </c>
    </row>
    <row r="4193" spans="1:10">
      <c r="A4193">
        <v>2015</v>
      </c>
      <c r="B4193" t="s">
        <v>1429</v>
      </c>
      <c r="C4193" t="s">
        <v>1431</v>
      </c>
      <c r="D4193" t="s">
        <v>1433</v>
      </c>
      <c r="E4193" t="s">
        <v>409</v>
      </c>
      <c r="F4193" s="9" t="s">
        <v>1402</v>
      </c>
      <c r="G4193" s="18">
        <v>38036.089999999997</v>
      </c>
      <c r="H4193">
        <v>0</v>
      </c>
      <c r="I4193" s="29">
        <f t="shared" si="65"/>
        <v>38036.089999999997</v>
      </c>
      <c r="J4193">
        <f>IFERROR(VLOOKUP(E4193,'LEAID Match'!$A$2:$B$168,2,FALSE),"")</f>
        <v>3306990</v>
      </c>
    </row>
    <row r="4194" spans="1:10">
      <c r="A4194">
        <v>2016</v>
      </c>
      <c r="B4194" t="s">
        <v>1429</v>
      </c>
      <c r="C4194" t="s">
        <v>1431</v>
      </c>
      <c r="D4194" t="s">
        <v>1433</v>
      </c>
      <c r="E4194" t="s">
        <v>409</v>
      </c>
      <c r="F4194" t="s">
        <v>914</v>
      </c>
      <c r="G4194" s="28">
        <v>57280</v>
      </c>
      <c r="H4194">
        <v>0</v>
      </c>
      <c r="I4194" s="29">
        <f t="shared" si="65"/>
        <v>57280</v>
      </c>
      <c r="J4194">
        <f>IFERROR(VLOOKUP(E4194,'LEAID Match'!$A$2:$B$168,2,FALSE),"")</f>
        <v>3306990</v>
      </c>
    </row>
    <row r="4195" spans="1:10">
      <c r="A4195">
        <v>2017</v>
      </c>
      <c r="B4195" t="s">
        <v>1429</v>
      </c>
      <c r="C4195" t="s">
        <v>1431</v>
      </c>
      <c r="D4195" t="s">
        <v>1433</v>
      </c>
      <c r="E4195" t="s">
        <v>409</v>
      </c>
      <c r="F4195" t="s">
        <v>914</v>
      </c>
      <c r="G4195" s="28">
        <v>70663</v>
      </c>
      <c r="H4195">
        <v>0</v>
      </c>
      <c r="I4195" s="29">
        <f t="shared" si="65"/>
        <v>70663</v>
      </c>
      <c r="J4195">
        <f>IFERROR(VLOOKUP(E4195,'LEAID Match'!$A$2:$B$168,2,FALSE),"")</f>
        <v>3306990</v>
      </c>
    </row>
    <row r="4196" spans="1:10">
      <c r="A4196" s="27">
        <v>2018</v>
      </c>
      <c r="B4196" t="s">
        <v>1429</v>
      </c>
      <c r="C4196" t="s">
        <v>1431</v>
      </c>
      <c r="D4196" t="s">
        <v>1433</v>
      </c>
      <c r="E4196" t="s">
        <v>409</v>
      </c>
      <c r="F4196" s="9" t="s">
        <v>914</v>
      </c>
      <c r="G4196" s="18">
        <v>80793</v>
      </c>
      <c r="H4196">
        <v>0</v>
      </c>
      <c r="I4196" s="29">
        <f t="shared" si="65"/>
        <v>80793</v>
      </c>
      <c r="J4196">
        <f>IFERROR(VLOOKUP(E4196,'LEAID Match'!$A$2:$B$168,2,FALSE),"")</f>
        <v>3306990</v>
      </c>
    </row>
    <row r="4197" spans="1:10">
      <c r="A4197">
        <v>2019</v>
      </c>
      <c r="B4197" t="s">
        <v>1429</v>
      </c>
      <c r="C4197" t="s">
        <v>1431</v>
      </c>
      <c r="D4197" t="s">
        <v>1433</v>
      </c>
      <c r="E4197" t="s">
        <v>409</v>
      </c>
      <c r="F4197" s="9" t="s">
        <v>914</v>
      </c>
      <c r="G4197" s="18">
        <v>81348</v>
      </c>
      <c r="H4197">
        <v>0</v>
      </c>
      <c r="I4197" s="29">
        <f t="shared" si="65"/>
        <v>81348</v>
      </c>
      <c r="J4197">
        <f>IFERROR(VLOOKUP(E4197,'LEAID Match'!$A$2:$B$168,2,FALSE),"")</f>
        <v>3306990</v>
      </c>
    </row>
    <row r="4198" spans="1:10">
      <c r="A4198" s="27">
        <v>2020</v>
      </c>
      <c r="B4198" t="s">
        <v>1429</v>
      </c>
      <c r="C4198" t="s">
        <v>1431</v>
      </c>
      <c r="D4198" t="s">
        <v>1433</v>
      </c>
      <c r="E4198" t="s">
        <v>409</v>
      </c>
      <c r="F4198" s="9" t="s">
        <v>409</v>
      </c>
      <c r="G4198" s="18">
        <v>89473</v>
      </c>
      <c r="H4198">
        <v>0</v>
      </c>
      <c r="I4198" s="29">
        <f t="shared" si="65"/>
        <v>89473</v>
      </c>
      <c r="J4198">
        <f>IFERROR(VLOOKUP(E4198,'LEAID Match'!$A$2:$B$168,2,FALSE),"")</f>
        <v>3306990</v>
      </c>
    </row>
    <row r="4199" spans="1:10">
      <c r="A4199">
        <v>2021</v>
      </c>
      <c r="B4199" t="s">
        <v>1429</v>
      </c>
      <c r="C4199" t="s">
        <v>1431</v>
      </c>
      <c r="D4199" t="s">
        <v>1433</v>
      </c>
      <c r="E4199" t="s">
        <v>409</v>
      </c>
      <c r="F4199" s="9" t="s">
        <v>409</v>
      </c>
      <c r="G4199" s="18">
        <v>91951</v>
      </c>
      <c r="H4199">
        <v>0</v>
      </c>
      <c r="I4199" s="29">
        <f t="shared" si="65"/>
        <v>91951</v>
      </c>
      <c r="J4199">
        <f>IFERROR(VLOOKUP(E4199,'LEAID Match'!$A$2:$B$168,2,FALSE),"")</f>
        <v>3306990</v>
      </c>
    </row>
    <row r="4200" spans="1:10">
      <c r="A4200">
        <v>2022</v>
      </c>
      <c r="B4200" t="s">
        <v>1429</v>
      </c>
      <c r="C4200" t="s">
        <v>1431</v>
      </c>
      <c r="D4200" t="s">
        <v>1433</v>
      </c>
      <c r="E4200" t="s">
        <v>409</v>
      </c>
      <c r="F4200" s="9" t="s">
        <v>409</v>
      </c>
      <c r="G4200" s="18">
        <v>125451</v>
      </c>
      <c r="H4200">
        <v>0</v>
      </c>
      <c r="I4200" s="29">
        <f t="shared" si="65"/>
        <v>125451</v>
      </c>
      <c r="J4200">
        <f>IFERROR(VLOOKUP(E4200,'LEAID Match'!$A$2:$B$168,2,FALSE),"")</f>
        <v>3306990</v>
      </c>
    </row>
    <row r="4201" spans="1:10">
      <c r="A4201">
        <v>2023</v>
      </c>
      <c r="B4201" t="s">
        <v>1429</v>
      </c>
      <c r="C4201" t="s">
        <v>1431</v>
      </c>
      <c r="D4201" t="s">
        <v>1433</v>
      </c>
      <c r="E4201" t="s">
        <v>409</v>
      </c>
      <c r="F4201" t="s">
        <v>409</v>
      </c>
      <c r="G4201" s="28">
        <v>127195</v>
      </c>
      <c r="H4201">
        <v>0</v>
      </c>
      <c r="I4201" s="29">
        <f t="shared" si="65"/>
        <v>127195</v>
      </c>
      <c r="J4201">
        <f>IFERROR(VLOOKUP(E4201,'LEAID Match'!$A$2:$B$168,2,FALSE),"")</f>
        <v>3306990</v>
      </c>
    </row>
    <row r="4202" spans="1:10">
      <c r="A4202">
        <v>2015</v>
      </c>
      <c r="B4202" t="s">
        <v>1429</v>
      </c>
      <c r="C4202" t="s">
        <v>1431</v>
      </c>
      <c r="D4202" t="s">
        <v>1433</v>
      </c>
      <c r="E4202" t="s">
        <v>915</v>
      </c>
      <c r="F4202" s="9" t="s">
        <v>1403</v>
      </c>
      <c r="G4202" s="18">
        <v>20666.419999999998</v>
      </c>
      <c r="H4202">
        <v>0</v>
      </c>
      <c r="I4202" s="29">
        <f t="shared" si="65"/>
        <v>20666.419999999998</v>
      </c>
      <c r="J4202" t="str">
        <f>IFERROR(VLOOKUP(E4202,'LEAID Match'!$A$2:$B$168,2,FALSE),"")</f>
        <v/>
      </c>
    </row>
    <row r="4203" spans="1:10">
      <c r="A4203">
        <v>2016</v>
      </c>
      <c r="B4203" t="s">
        <v>1429</v>
      </c>
      <c r="C4203" t="s">
        <v>1431</v>
      </c>
      <c r="D4203" t="s">
        <v>1433</v>
      </c>
      <c r="E4203" t="s">
        <v>915</v>
      </c>
      <c r="F4203" t="s">
        <v>915</v>
      </c>
      <c r="G4203" s="28">
        <v>20419</v>
      </c>
      <c r="H4203">
        <v>0</v>
      </c>
      <c r="I4203" s="29">
        <f t="shared" si="65"/>
        <v>20419</v>
      </c>
      <c r="J4203" t="str">
        <f>IFERROR(VLOOKUP(E4203,'LEAID Match'!$A$2:$B$168,2,FALSE),"")</f>
        <v/>
      </c>
    </row>
    <row r="4204" spans="1:10">
      <c r="A4204">
        <v>2017</v>
      </c>
      <c r="B4204" t="s">
        <v>1429</v>
      </c>
      <c r="C4204" t="s">
        <v>1431</v>
      </c>
      <c r="D4204" t="s">
        <v>1433</v>
      </c>
      <c r="E4204" t="s">
        <v>915</v>
      </c>
      <c r="F4204" t="s">
        <v>915</v>
      </c>
      <c r="G4204" s="28">
        <v>22477</v>
      </c>
      <c r="H4204">
        <v>0</v>
      </c>
      <c r="I4204" s="29">
        <f t="shared" si="65"/>
        <v>22477</v>
      </c>
      <c r="J4204" t="str">
        <f>IFERROR(VLOOKUP(E4204,'LEAID Match'!$A$2:$B$168,2,FALSE),"")</f>
        <v/>
      </c>
    </row>
    <row r="4205" spans="1:10">
      <c r="A4205" s="27">
        <v>2018</v>
      </c>
      <c r="B4205" t="s">
        <v>1429</v>
      </c>
      <c r="C4205" t="s">
        <v>1431</v>
      </c>
      <c r="D4205" t="s">
        <v>1433</v>
      </c>
      <c r="E4205" t="s">
        <v>915</v>
      </c>
      <c r="F4205" s="9" t="s">
        <v>915</v>
      </c>
      <c r="G4205" s="18">
        <v>21663</v>
      </c>
      <c r="H4205">
        <v>0</v>
      </c>
      <c r="I4205" s="29">
        <f t="shared" si="65"/>
        <v>21663</v>
      </c>
      <c r="J4205" t="str">
        <f>IFERROR(VLOOKUP(E4205,'LEAID Match'!$A$2:$B$168,2,FALSE),"")</f>
        <v/>
      </c>
    </row>
    <row r="4206" spans="1:10">
      <c r="A4206">
        <v>2019</v>
      </c>
      <c r="B4206" t="s">
        <v>1429</v>
      </c>
      <c r="C4206" t="s">
        <v>1431</v>
      </c>
      <c r="D4206" t="s">
        <v>1433</v>
      </c>
      <c r="E4206" t="s">
        <v>915</v>
      </c>
      <c r="F4206" s="9" t="s">
        <v>915</v>
      </c>
      <c r="G4206" s="18">
        <v>22425</v>
      </c>
      <c r="H4206">
        <v>0</v>
      </c>
      <c r="I4206" s="29">
        <f t="shared" si="65"/>
        <v>22425</v>
      </c>
      <c r="J4206" t="str">
        <f>IFERROR(VLOOKUP(E4206,'LEAID Match'!$A$2:$B$168,2,FALSE),"")</f>
        <v/>
      </c>
    </row>
    <row r="4207" spans="1:10">
      <c r="A4207">
        <v>2015</v>
      </c>
      <c r="B4207" t="s">
        <v>1429</v>
      </c>
      <c r="C4207" t="s">
        <v>1431</v>
      </c>
      <c r="D4207" t="s">
        <v>1433</v>
      </c>
      <c r="E4207" t="s">
        <v>410</v>
      </c>
      <c r="F4207" s="9" t="s">
        <v>1404</v>
      </c>
      <c r="G4207" s="18">
        <v>97516.09</v>
      </c>
      <c r="H4207">
        <v>0</v>
      </c>
      <c r="I4207" s="29">
        <f t="shared" si="65"/>
        <v>97516.09</v>
      </c>
      <c r="J4207">
        <f>IFERROR(VLOOKUP(E4207,'LEAID Match'!$A$2:$B$168,2,FALSE),"")</f>
        <v>3307020</v>
      </c>
    </row>
    <row r="4208" spans="1:10">
      <c r="A4208">
        <v>2016</v>
      </c>
      <c r="B4208" t="s">
        <v>1429</v>
      </c>
      <c r="C4208" t="s">
        <v>1431</v>
      </c>
      <c r="D4208" t="s">
        <v>1433</v>
      </c>
      <c r="E4208" t="s">
        <v>410</v>
      </c>
      <c r="F4208" t="s">
        <v>916</v>
      </c>
      <c r="G4208" s="28">
        <v>108185</v>
      </c>
      <c r="H4208">
        <v>0</v>
      </c>
      <c r="I4208" s="29">
        <f t="shared" si="65"/>
        <v>108185</v>
      </c>
      <c r="J4208">
        <f>IFERROR(VLOOKUP(E4208,'LEAID Match'!$A$2:$B$168,2,FALSE),"")</f>
        <v>3307020</v>
      </c>
    </row>
    <row r="4209" spans="1:10">
      <c r="A4209">
        <v>2017</v>
      </c>
      <c r="B4209" t="s">
        <v>1429</v>
      </c>
      <c r="C4209" t="s">
        <v>1431</v>
      </c>
      <c r="D4209" t="s">
        <v>1433</v>
      </c>
      <c r="E4209" t="s">
        <v>410</v>
      </c>
      <c r="F4209" t="s">
        <v>916</v>
      </c>
      <c r="G4209" s="28">
        <v>106879</v>
      </c>
      <c r="H4209">
        <v>0</v>
      </c>
      <c r="I4209" s="29">
        <f t="shared" si="65"/>
        <v>106879</v>
      </c>
      <c r="J4209">
        <f>IFERROR(VLOOKUP(E4209,'LEAID Match'!$A$2:$B$168,2,FALSE),"")</f>
        <v>3307020</v>
      </c>
    </row>
    <row r="4210" spans="1:10">
      <c r="A4210" s="27">
        <v>2018</v>
      </c>
      <c r="B4210" t="s">
        <v>1429</v>
      </c>
      <c r="C4210" t="s">
        <v>1431</v>
      </c>
      <c r="D4210" t="s">
        <v>1433</v>
      </c>
      <c r="E4210" t="s">
        <v>410</v>
      </c>
      <c r="F4210" s="9" t="s">
        <v>916</v>
      </c>
      <c r="G4210" s="18">
        <v>135495</v>
      </c>
      <c r="H4210">
        <v>0</v>
      </c>
      <c r="I4210" s="29">
        <f t="shared" si="65"/>
        <v>135495</v>
      </c>
      <c r="J4210">
        <f>IFERROR(VLOOKUP(E4210,'LEAID Match'!$A$2:$B$168,2,FALSE),"")</f>
        <v>3307020</v>
      </c>
    </row>
    <row r="4211" spans="1:10">
      <c r="A4211">
        <v>2019</v>
      </c>
      <c r="B4211" t="s">
        <v>1429</v>
      </c>
      <c r="C4211" t="s">
        <v>1431</v>
      </c>
      <c r="D4211" t="s">
        <v>1433</v>
      </c>
      <c r="E4211" t="s">
        <v>410</v>
      </c>
      <c r="F4211" s="9" t="s">
        <v>916</v>
      </c>
      <c r="G4211" s="18">
        <v>142141</v>
      </c>
      <c r="H4211">
        <v>0</v>
      </c>
      <c r="I4211" s="29">
        <f t="shared" si="65"/>
        <v>142141</v>
      </c>
      <c r="J4211">
        <f>IFERROR(VLOOKUP(E4211,'LEAID Match'!$A$2:$B$168,2,FALSE),"")</f>
        <v>3307020</v>
      </c>
    </row>
    <row r="4212" spans="1:10">
      <c r="A4212" s="27">
        <v>2020</v>
      </c>
      <c r="B4212" t="s">
        <v>1429</v>
      </c>
      <c r="C4212" t="s">
        <v>1431</v>
      </c>
      <c r="D4212" t="s">
        <v>1433</v>
      </c>
      <c r="E4212" t="s">
        <v>410</v>
      </c>
      <c r="F4212" s="9" t="s">
        <v>410</v>
      </c>
      <c r="G4212" s="18">
        <v>149424</v>
      </c>
      <c r="H4212">
        <v>0</v>
      </c>
      <c r="I4212" s="29">
        <f t="shared" si="65"/>
        <v>149424</v>
      </c>
      <c r="J4212">
        <f>IFERROR(VLOOKUP(E4212,'LEAID Match'!$A$2:$B$168,2,FALSE),"")</f>
        <v>3307020</v>
      </c>
    </row>
    <row r="4213" spans="1:10">
      <c r="A4213">
        <v>2021</v>
      </c>
      <c r="B4213" t="s">
        <v>1429</v>
      </c>
      <c r="C4213" t="s">
        <v>1431</v>
      </c>
      <c r="D4213" t="s">
        <v>1433</v>
      </c>
      <c r="E4213" t="s">
        <v>410</v>
      </c>
      <c r="F4213" s="9" t="s">
        <v>410</v>
      </c>
      <c r="G4213" s="18">
        <v>158213</v>
      </c>
      <c r="H4213">
        <v>0</v>
      </c>
      <c r="I4213" s="29">
        <f t="shared" si="65"/>
        <v>158213</v>
      </c>
      <c r="J4213">
        <f>IFERROR(VLOOKUP(E4213,'LEAID Match'!$A$2:$B$168,2,FALSE),"")</f>
        <v>3307020</v>
      </c>
    </row>
    <row r="4214" spans="1:10">
      <c r="A4214">
        <v>2022</v>
      </c>
      <c r="B4214" t="s">
        <v>1429</v>
      </c>
      <c r="C4214" t="s">
        <v>1431</v>
      </c>
      <c r="D4214" t="s">
        <v>1433</v>
      </c>
      <c r="E4214" t="s">
        <v>410</v>
      </c>
      <c r="F4214" s="9" t="s">
        <v>410</v>
      </c>
      <c r="G4214" s="18">
        <v>203642</v>
      </c>
      <c r="H4214">
        <v>0</v>
      </c>
      <c r="I4214" s="29">
        <f t="shared" si="65"/>
        <v>203642</v>
      </c>
      <c r="J4214">
        <f>IFERROR(VLOOKUP(E4214,'LEAID Match'!$A$2:$B$168,2,FALSE),"")</f>
        <v>3307020</v>
      </c>
    </row>
    <row r="4215" spans="1:10">
      <c r="A4215">
        <v>2023</v>
      </c>
      <c r="B4215" t="s">
        <v>1429</v>
      </c>
      <c r="C4215" t="s">
        <v>1431</v>
      </c>
      <c r="D4215" t="s">
        <v>1433</v>
      </c>
      <c r="E4215" t="s">
        <v>410</v>
      </c>
      <c r="F4215" t="s">
        <v>410</v>
      </c>
      <c r="G4215" s="28">
        <v>207083</v>
      </c>
      <c r="H4215">
        <v>0</v>
      </c>
      <c r="I4215" s="29">
        <f t="shared" si="65"/>
        <v>207083</v>
      </c>
      <c r="J4215">
        <f>IFERROR(VLOOKUP(E4215,'LEAID Match'!$A$2:$B$168,2,FALSE),"")</f>
        <v>3307020</v>
      </c>
    </row>
    <row r="4216" spans="1:10">
      <c r="A4216">
        <v>2015</v>
      </c>
      <c r="B4216" t="s">
        <v>1429</v>
      </c>
      <c r="C4216" t="s">
        <v>1431</v>
      </c>
      <c r="D4216" t="s">
        <v>1433</v>
      </c>
      <c r="E4216" t="s">
        <v>411</v>
      </c>
      <c r="F4216" s="9" t="s">
        <v>1405</v>
      </c>
      <c r="G4216" s="18">
        <v>1022684.65</v>
      </c>
      <c r="H4216">
        <v>0</v>
      </c>
      <c r="I4216" s="29">
        <f t="shared" si="65"/>
        <v>1022684.65</v>
      </c>
      <c r="J4216">
        <f>IFERROR(VLOOKUP(E4216,'LEAID Match'!$A$2:$B$168,2,FALSE),"")</f>
        <v>3307050</v>
      </c>
    </row>
    <row r="4217" spans="1:10">
      <c r="A4217">
        <v>2016</v>
      </c>
      <c r="B4217" t="s">
        <v>1429</v>
      </c>
      <c r="C4217" t="s">
        <v>1431</v>
      </c>
      <c r="D4217" t="s">
        <v>1433</v>
      </c>
      <c r="E4217" t="s">
        <v>411</v>
      </c>
      <c r="F4217" t="s">
        <v>917</v>
      </c>
      <c r="G4217" s="28">
        <v>1118646</v>
      </c>
      <c r="H4217">
        <v>0</v>
      </c>
      <c r="I4217" s="29">
        <f t="shared" si="65"/>
        <v>1118646</v>
      </c>
      <c r="J4217">
        <f>IFERROR(VLOOKUP(E4217,'LEAID Match'!$A$2:$B$168,2,FALSE),"")</f>
        <v>3307050</v>
      </c>
    </row>
    <row r="4218" spans="1:10">
      <c r="A4218">
        <v>2017</v>
      </c>
      <c r="B4218" t="s">
        <v>1429</v>
      </c>
      <c r="C4218" t="s">
        <v>1431</v>
      </c>
      <c r="D4218" t="s">
        <v>1433</v>
      </c>
      <c r="E4218" t="s">
        <v>411</v>
      </c>
      <c r="F4218" t="s">
        <v>917</v>
      </c>
      <c r="G4218" s="28">
        <v>1139228</v>
      </c>
      <c r="H4218">
        <v>0</v>
      </c>
      <c r="I4218" s="29">
        <f t="shared" si="65"/>
        <v>1139228</v>
      </c>
      <c r="J4218">
        <f>IFERROR(VLOOKUP(E4218,'LEAID Match'!$A$2:$B$168,2,FALSE),"")</f>
        <v>3307050</v>
      </c>
    </row>
    <row r="4219" spans="1:10">
      <c r="A4219" s="27">
        <v>2018</v>
      </c>
      <c r="B4219" t="s">
        <v>1429</v>
      </c>
      <c r="C4219" t="s">
        <v>1431</v>
      </c>
      <c r="D4219" t="s">
        <v>1433</v>
      </c>
      <c r="E4219" t="s">
        <v>411</v>
      </c>
      <c r="F4219" s="9" t="s">
        <v>917</v>
      </c>
      <c r="G4219" s="18">
        <v>1404204</v>
      </c>
      <c r="H4219">
        <v>0</v>
      </c>
      <c r="I4219" s="29">
        <f t="shared" si="65"/>
        <v>1404204</v>
      </c>
      <c r="J4219">
        <f>IFERROR(VLOOKUP(E4219,'LEAID Match'!$A$2:$B$168,2,FALSE),"")</f>
        <v>3307050</v>
      </c>
    </row>
    <row r="4220" spans="1:10">
      <c r="A4220">
        <v>2019</v>
      </c>
      <c r="B4220" t="s">
        <v>1429</v>
      </c>
      <c r="C4220" t="s">
        <v>1431</v>
      </c>
      <c r="D4220" t="s">
        <v>1433</v>
      </c>
      <c r="E4220" t="s">
        <v>411</v>
      </c>
      <c r="F4220" s="9" t="s">
        <v>917</v>
      </c>
      <c r="G4220" s="18">
        <v>1389146</v>
      </c>
      <c r="H4220">
        <v>0</v>
      </c>
      <c r="I4220" s="29">
        <f t="shared" si="65"/>
        <v>1389146</v>
      </c>
      <c r="J4220">
        <f>IFERROR(VLOOKUP(E4220,'LEAID Match'!$A$2:$B$168,2,FALSE),"")</f>
        <v>3307050</v>
      </c>
    </row>
    <row r="4221" spans="1:10">
      <c r="A4221" s="27">
        <v>2020</v>
      </c>
      <c r="B4221" t="s">
        <v>1429</v>
      </c>
      <c r="C4221" t="s">
        <v>1431</v>
      </c>
      <c r="D4221" t="s">
        <v>1433</v>
      </c>
      <c r="E4221" t="s">
        <v>411</v>
      </c>
      <c r="F4221" s="9" t="s">
        <v>411</v>
      </c>
      <c r="G4221" s="18">
        <v>1425647</v>
      </c>
      <c r="H4221">
        <v>0</v>
      </c>
      <c r="I4221" s="29">
        <f t="shared" si="65"/>
        <v>1425647</v>
      </c>
      <c r="J4221">
        <f>IFERROR(VLOOKUP(E4221,'LEAID Match'!$A$2:$B$168,2,FALSE),"")</f>
        <v>3307050</v>
      </c>
    </row>
    <row r="4222" spans="1:10">
      <c r="A4222">
        <v>2021</v>
      </c>
      <c r="B4222" t="s">
        <v>1429</v>
      </c>
      <c r="C4222" t="s">
        <v>1431</v>
      </c>
      <c r="D4222" t="s">
        <v>1433</v>
      </c>
      <c r="E4222" t="s">
        <v>411</v>
      </c>
      <c r="F4222" s="9" t="s">
        <v>411</v>
      </c>
      <c r="G4222" s="18">
        <v>1493252</v>
      </c>
      <c r="H4222">
        <v>0</v>
      </c>
      <c r="I4222" s="29">
        <f t="shared" si="65"/>
        <v>1493252</v>
      </c>
      <c r="J4222">
        <f>IFERROR(VLOOKUP(E4222,'LEAID Match'!$A$2:$B$168,2,FALSE),"")</f>
        <v>3307050</v>
      </c>
    </row>
    <row r="4223" spans="1:10">
      <c r="A4223">
        <v>2022</v>
      </c>
      <c r="B4223" t="s">
        <v>1429</v>
      </c>
      <c r="C4223" t="s">
        <v>1431</v>
      </c>
      <c r="D4223" t="s">
        <v>1433</v>
      </c>
      <c r="E4223" t="s">
        <v>411</v>
      </c>
      <c r="F4223" s="9" t="s">
        <v>411</v>
      </c>
      <c r="G4223" s="18">
        <v>1855040</v>
      </c>
      <c r="H4223">
        <v>0</v>
      </c>
      <c r="I4223" s="29">
        <f t="shared" si="65"/>
        <v>1855040</v>
      </c>
      <c r="J4223">
        <f>IFERROR(VLOOKUP(E4223,'LEAID Match'!$A$2:$B$168,2,FALSE),"")</f>
        <v>3307050</v>
      </c>
    </row>
    <row r="4224" spans="1:10">
      <c r="A4224">
        <v>2023</v>
      </c>
      <c r="B4224" t="s">
        <v>1429</v>
      </c>
      <c r="C4224" t="s">
        <v>1431</v>
      </c>
      <c r="D4224" t="s">
        <v>1433</v>
      </c>
      <c r="E4224" t="s">
        <v>411</v>
      </c>
      <c r="F4224" t="s">
        <v>411</v>
      </c>
      <c r="G4224" s="28">
        <v>1956439</v>
      </c>
      <c r="H4224">
        <v>0</v>
      </c>
      <c r="I4224" s="29">
        <f t="shared" si="65"/>
        <v>1956439</v>
      </c>
      <c r="J4224">
        <f>IFERROR(VLOOKUP(E4224,'LEAID Match'!$A$2:$B$168,2,FALSE),"")</f>
        <v>3307050</v>
      </c>
    </row>
    <row r="4225" spans="1:10">
      <c r="A4225">
        <v>2015</v>
      </c>
      <c r="B4225" t="s">
        <v>1429</v>
      </c>
      <c r="C4225" t="s">
        <v>1431</v>
      </c>
      <c r="D4225" t="s">
        <v>1433</v>
      </c>
      <c r="E4225" t="s">
        <v>918</v>
      </c>
      <c r="F4225" s="9" t="s">
        <v>1406</v>
      </c>
      <c r="G4225" s="18">
        <v>112702.23</v>
      </c>
      <c r="H4225">
        <v>0</v>
      </c>
      <c r="I4225" s="29">
        <f t="shared" si="65"/>
        <v>112702.23</v>
      </c>
      <c r="J4225" t="str">
        <f>IFERROR(VLOOKUP(E4225,'LEAID Match'!$A$2:$B$168,2,FALSE),"")</f>
        <v/>
      </c>
    </row>
    <row r="4226" spans="1:10">
      <c r="A4226">
        <v>2016</v>
      </c>
      <c r="B4226" t="s">
        <v>1429</v>
      </c>
      <c r="C4226" t="s">
        <v>1431</v>
      </c>
      <c r="D4226" t="s">
        <v>1433</v>
      </c>
      <c r="E4226" t="s">
        <v>918</v>
      </c>
      <c r="F4226" t="s">
        <v>918</v>
      </c>
      <c r="G4226" s="28">
        <v>118632</v>
      </c>
      <c r="H4226">
        <v>0</v>
      </c>
      <c r="I4226" s="29">
        <f t="shared" si="65"/>
        <v>118632</v>
      </c>
      <c r="J4226" t="str">
        <f>IFERROR(VLOOKUP(E4226,'LEAID Match'!$A$2:$B$168,2,FALSE),"")</f>
        <v/>
      </c>
    </row>
    <row r="4227" spans="1:10">
      <c r="A4227">
        <v>2017</v>
      </c>
      <c r="B4227" t="s">
        <v>1429</v>
      </c>
      <c r="C4227" t="s">
        <v>1431</v>
      </c>
      <c r="D4227" t="s">
        <v>1433</v>
      </c>
      <c r="E4227" t="s">
        <v>918</v>
      </c>
      <c r="F4227" t="s">
        <v>918</v>
      </c>
      <c r="G4227" s="28">
        <v>117235</v>
      </c>
      <c r="H4227">
        <v>0</v>
      </c>
      <c r="I4227" s="29">
        <f t="shared" ref="I4227:I4290" si="66">SUM(G4227:H4227)</f>
        <v>117235</v>
      </c>
      <c r="J4227" t="str">
        <f>IFERROR(VLOOKUP(E4227,'LEAID Match'!$A$2:$B$168,2,FALSE),"")</f>
        <v/>
      </c>
    </row>
    <row r="4228" spans="1:10">
      <c r="A4228" s="27">
        <v>2018</v>
      </c>
      <c r="B4228" t="s">
        <v>1429</v>
      </c>
      <c r="C4228" t="s">
        <v>1431</v>
      </c>
      <c r="D4228" t="s">
        <v>1433</v>
      </c>
      <c r="E4228" t="s">
        <v>918</v>
      </c>
      <c r="F4228" s="9" t="s">
        <v>918</v>
      </c>
      <c r="G4228" s="18">
        <v>134113</v>
      </c>
      <c r="H4228">
        <v>0</v>
      </c>
      <c r="I4228" s="29">
        <f t="shared" si="66"/>
        <v>134113</v>
      </c>
      <c r="J4228" t="str">
        <f>IFERROR(VLOOKUP(E4228,'LEAID Match'!$A$2:$B$168,2,FALSE),"")</f>
        <v/>
      </c>
    </row>
    <row r="4229" spans="1:10">
      <c r="A4229">
        <v>2019</v>
      </c>
      <c r="B4229" t="s">
        <v>1429</v>
      </c>
      <c r="C4229" t="s">
        <v>1431</v>
      </c>
      <c r="D4229" t="s">
        <v>1433</v>
      </c>
      <c r="E4229" t="s">
        <v>918</v>
      </c>
      <c r="F4229" s="9" t="s">
        <v>918</v>
      </c>
      <c r="G4229" s="18">
        <v>150695</v>
      </c>
      <c r="H4229">
        <v>0</v>
      </c>
      <c r="I4229" s="29">
        <f t="shared" si="66"/>
        <v>150695</v>
      </c>
      <c r="J4229" t="str">
        <f>IFERROR(VLOOKUP(E4229,'LEAID Match'!$A$2:$B$168,2,FALSE),"")</f>
        <v/>
      </c>
    </row>
    <row r="4230" spans="1:10">
      <c r="A4230">
        <v>2015</v>
      </c>
      <c r="B4230" t="s">
        <v>1429</v>
      </c>
      <c r="C4230" t="s">
        <v>1431</v>
      </c>
      <c r="D4230" t="s">
        <v>1433</v>
      </c>
      <c r="E4230" t="s">
        <v>919</v>
      </c>
      <c r="F4230" s="9" t="s">
        <v>1407</v>
      </c>
      <c r="G4230" s="18">
        <v>34349.040000000001</v>
      </c>
      <c r="H4230">
        <v>0</v>
      </c>
      <c r="I4230" s="29">
        <f t="shared" si="66"/>
        <v>34349.040000000001</v>
      </c>
      <c r="J4230" t="str">
        <f>IFERROR(VLOOKUP(E4230,'LEAID Match'!$A$2:$B$168,2,FALSE),"")</f>
        <v/>
      </c>
    </row>
    <row r="4231" spans="1:10">
      <c r="A4231">
        <v>2016</v>
      </c>
      <c r="B4231" t="s">
        <v>1429</v>
      </c>
      <c r="C4231" t="s">
        <v>1431</v>
      </c>
      <c r="D4231" t="s">
        <v>1433</v>
      </c>
      <c r="E4231" t="s">
        <v>919</v>
      </c>
      <c r="F4231" t="s">
        <v>919</v>
      </c>
      <c r="G4231" s="28">
        <v>39096</v>
      </c>
      <c r="H4231">
        <v>0</v>
      </c>
      <c r="I4231" s="29">
        <f t="shared" si="66"/>
        <v>39096</v>
      </c>
      <c r="J4231" t="str">
        <f>IFERROR(VLOOKUP(E4231,'LEAID Match'!$A$2:$B$168,2,FALSE),"")</f>
        <v/>
      </c>
    </row>
    <row r="4232" spans="1:10">
      <c r="A4232">
        <v>2017</v>
      </c>
      <c r="B4232" t="s">
        <v>1429</v>
      </c>
      <c r="C4232" t="s">
        <v>1431</v>
      </c>
      <c r="D4232" t="s">
        <v>1433</v>
      </c>
      <c r="E4232" t="s">
        <v>919</v>
      </c>
      <c r="F4232" t="s">
        <v>919</v>
      </c>
      <c r="G4232" s="28">
        <v>40418</v>
      </c>
      <c r="H4232">
        <v>0</v>
      </c>
      <c r="I4232" s="29">
        <f t="shared" si="66"/>
        <v>40418</v>
      </c>
      <c r="J4232" t="str">
        <f>IFERROR(VLOOKUP(E4232,'LEAID Match'!$A$2:$B$168,2,FALSE),"")</f>
        <v/>
      </c>
    </row>
    <row r="4233" spans="1:10">
      <c r="A4233" s="27">
        <v>2018</v>
      </c>
      <c r="B4233" t="s">
        <v>1429</v>
      </c>
      <c r="C4233" t="s">
        <v>1431</v>
      </c>
      <c r="D4233" t="s">
        <v>1433</v>
      </c>
      <c r="E4233" t="s">
        <v>919</v>
      </c>
      <c r="F4233" s="9" t="s">
        <v>919</v>
      </c>
      <c r="G4233" s="18">
        <v>44084</v>
      </c>
      <c r="H4233">
        <v>0</v>
      </c>
      <c r="I4233" s="29">
        <f t="shared" si="66"/>
        <v>44084</v>
      </c>
      <c r="J4233" t="str">
        <f>IFERROR(VLOOKUP(E4233,'LEAID Match'!$A$2:$B$168,2,FALSE),"")</f>
        <v/>
      </c>
    </row>
    <row r="4234" spans="1:10">
      <c r="A4234">
        <v>2019</v>
      </c>
      <c r="B4234" t="s">
        <v>1429</v>
      </c>
      <c r="C4234" t="s">
        <v>1431</v>
      </c>
      <c r="D4234" t="s">
        <v>1433</v>
      </c>
      <c r="E4234" t="s">
        <v>919</v>
      </c>
      <c r="F4234" s="9" t="s">
        <v>919</v>
      </c>
      <c r="G4234" s="18">
        <v>43811</v>
      </c>
      <c r="H4234">
        <v>0</v>
      </c>
      <c r="I4234" s="29">
        <f t="shared" si="66"/>
        <v>43811</v>
      </c>
      <c r="J4234" t="str">
        <f>IFERROR(VLOOKUP(E4234,'LEAID Match'!$A$2:$B$168,2,FALSE),"")</f>
        <v/>
      </c>
    </row>
    <row r="4235" spans="1:10">
      <c r="A4235">
        <v>2015</v>
      </c>
      <c r="B4235" t="s">
        <v>1429</v>
      </c>
      <c r="C4235" t="s">
        <v>1431</v>
      </c>
      <c r="D4235" t="s">
        <v>1433</v>
      </c>
      <c r="E4235" t="s">
        <v>920</v>
      </c>
      <c r="F4235" s="9" t="s">
        <v>1408</v>
      </c>
      <c r="G4235" s="18">
        <v>98832.75</v>
      </c>
      <c r="H4235">
        <v>0</v>
      </c>
      <c r="I4235" s="29">
        <f t="shared" si="66"/>
        <v>98832.75</v>
      </c>
      <c r="J4235" t="str">
        <f>IFERROR(VLOOKUP(E4235,'LEAID Match'!$A$2:$B$168,2,FALSE),"")</f>
        <v/>
      </c>
    </row>
    <row r="4236" spans="1:10">
      <c r="A4236">
        <v>2016</v>
      </c>
      <c r="B4236" t="s">
        <v>1429</v>
      </c>
      <c r="C4236" t="s">
        <v>1431</v>
      </c>
      <c r="D4236" t="s">
        <v>1433</v>
      </c>
      <c r="E4236" t="s">
        <v>920</v>
      </c>
      <c r="F4236" t="s">
        <v>920</v>
      </c>
      <c r="G4236" s="28">
        <v>115119</v>
      </c>
      <c r="H4236">
        <v>0</v>
      </c>
      <c r="I4236" s="29">
        <f t="shared" si="66"/>
        <v>115119</v>
      </c>
      <c r="J4236" t="str">
        <f>IFERROR(VLOOKUP(E4236,'LEAID Match'!$A$2:$B$168,2,FALSE),"")</f>
        <v/>
      </c>
    </row>
    <row r="4237" spans="1:10">
      <c r="A4237">
        <v>2017</v>
      </c>
      <c r="B4237" t="s">
        <v>1429</v>
      </c>
      <c r="C4237" t="s">
        <v>1431</v>
      </c>
      <c r="D4237" t="s">
        <v>1433</v>
      </c>
      <c r="E4237" t="s">
        <v>920</v>
      </c>
      <c r="F4237" t="s">
        <v>920</v>
      </c>
      <c r="G4237" s="28">
        <v>111863</v>
      </c>
      <c r="H4237">
        <v>0</v>
      </c>
      <c r="I4237" s="29">
        <f t="shared" si="66"/>
        <v>111863</v>
      </c>
      <c r="J4237" t="str">
        <f>IFERROR(VLOOKUP(E4237,'LEAID Match'!$A$2:$B$168,2,FALSE),"")</f>
        <v/>
      </c>
    </row>
    <row r="4238" spans="1:10">
      <c r="A4238" s="27">
        <v>2018</v>
      </c>
      <c r="B4238" t="s">
        <v>1429</v>
      </c>
      <c r="C4238" t="s">
        <v>1431</v>
      </c>
      <c r="D4238" t="s">
        <v>1433</v>
      </c>
      <c r="E4238" t="s">
        <v>920</v>
      </c>
      <c r="F4238" s="9" t="s">
        <v>920</v>
      </c>
      <c r="G4238" s="18">
        <v>117553</v>
      </c>
      <c r="H4238">
        <v>0</v>
      </c>
      <c r="I4238" s="29">
        <f t="shared" si="66"/>
        <v>117553</v>
      </c>
      <c r="J4238" t="str">
        <f>IFERROR(VLOOKUP(E4238,'LEAID Match'!$A$2:$B$168,2,FALSE),"")</f>
        <v/>
      </c>
    </row>
    <row r="4239" spans="1:10">
      <c r="A4239">
        <v>2019</v>
      </c>
      <c r="B4239" t="s">
        <v>1429</v>
      </c>
      <c r="C4239" t="s">
        <v>1431</v>
      </c>
      <c r="D4239" t="s">
        <v>1433</v>
      </c>
      <c r="E4239" t="s">
        <v>920</v>
      </c>
      <c r="F4239" s="9" t="s">
        <v>920</v>
      </c>
      <c r="G4239" s="18">
        <v>121018</v>
      </c>
      <c r="H4239">
        <v>0</v>
      </c>
      <c r="I4239" s="29">
        <f t="shared" si="66"/>
        <v>121018</v>
      </c>
      <c r="J4239" t="str">
        <f>IFERROR(VLOOKUP(E4239,'LEAID Match'!$A$2:$B$168,2,FALSE),"")</f>
        <v/>
      </c>
    </row>
    <row r="4240" spans="1:10">
      <c r="A4240">
        <v>2015</v>
      </c>
      <c r="B4240" t="s">
        <v>1429</v>
      </c>
      <c r="C4240" t="s">
        <v>1431</v>
      </c>
      <c r="D4240" t="s">
        <v>1433</v>
      </c>
      <c r="E4240" t="s">
        <v>412</v>
      </c>
      <c r="F4240" s="9" t="s">
        <v>1409</v>
      </c>
      <c r="G4240" s="18">
        <v>574956.57999999996</v>
      </c>
      <c r="H4240">
        <v>0</v>
      </c>
      <c r="I4240" s="29">
        <f t="shared" si="66"/>
        <v>574956.57999999996</v>
      </c>
      <c r="J4240">
        <f>IFERROR(VLOOKUP(E4240,'LEAID Match'!$A$2:$B$168,2,FALSE),"")</f>
        <v>3307115</v>
      </c>
    </row>
    <row r="4241" spans="1:10">
      <c r="A4241">
        <v>2016</v>
      </c>
      <c r="B4241" t="s">
        <v>1429</v>
      </c>
      <c r="C4241" t="s">
        <v>1431</v>
      </c>
      <c r="D4241" t="s">
        <v>1433</v>
      </c>
      <c r="E4241" t="s">
        <v>412</v>
      </c>
      <c r="F4241" t="s">
        <v>921</v>
      </c>
      <c r="G4241" s="28">
        <v>591696</v>
      </c>
      <c r="H4241">
        <v>0</v>
      </c>
      <c r="I4241" s="29">
        <f t="shared" si="66"/>
        <v>591696</v>
      </c>
      <c r="J4241">
        <f>IFERROR(VLOOKUP(E4241,'LEAID Match'!$A$2:$B$168,2,FALSE),"")</f>
        <v>3307115</v>
      </c>
    </row>
    <row r="4242" spans="1:10">
      <c r="A4242">
        <v>2017</v>
      </c>
      <c r="B4242" t="s">
        <v>1429</v>
      </c>
      <c r="C4242" t="s">
        <v>1431</v>
      </c>
      <c r="D4242" t="s">
        <v>1433</v>
      </c>
      <c r="E4242" t="s">
        <v>412</v>
      </c>
      <c r="F4242" t="s">
        <v>921</v>
      </c>
      <c r="G4242" s="28">
        <v>600228</v>
      </c>
      <c r="H4242">
        <v>0</v>
      </c>
      <c r="I4242" s="29">
        <f t="shared" si="66"/>
        <v>600228</v>
      </c>
      <c r="J4242">
        <f>IFERROR(VLOOKUP(E4242,'LEAID Match'!$A$2:$B$168,2,FALSE),"")</f>
        <v>3307115</v>
      </c>
    </row>
    <row r="4243" spans="1:10">
      <c r="A4243" s="27">
        <v>2018</v>
      </c>
      <c r="B4243" t="s">
        <v>1429</v>
      </c>
      <c r="C4243" t="s">
        <v>1431</v>
      </c>
      <c r="D4243" t="s">
        <v>1433</v>
      </c>
      <c r="E4243" t="s">
        <v>412</v>
      </c>
      <c r="F4243" s="9" t="s">
        <v>921</v>
      </c>
      <c r="G4243" s="18">
        <v>732472</v>
      </c>
      <c r="H4243">
        <v>0</v>
      </c>
      <c r="I4243" s="29">
        <f t="shared" si="66"/>
        <v>732472</v>
      </c>
      <c r="J4243">
        <f>IFERROR(VLOOKUP(E4243,'LEAID Match'!$A$2:$B$168,2,FALSE),"")</f>
        <v>3307115</v>
      </c>
    </row>
    <row r="4244" spans="1:10">
      <c r="A4244">
        <v>2019</v>
      </c>
      <c r="B4244" t="s">
        <v>1429</v>
      </c>
      <c r="C4244" t="s">
        <v>1431</v>
      </c>
      <c r="D4244" t="s">
        <v>1433</v>
      </c>
      <c r="E4244" t="s">
        <v>412</v>
      </c>
      <c r="F4244" s="9" t="s">
        <v>921</v>
      </c>
      <c r="G4244" s="18">
        <v>775048</v>
      </c>
      <c r="H4244">
        <v>0</v>
      </c>
      <c r="I4244" s="29">
        <f t="shared" si="66"/>
        <v>775048</v>
      </c>
      <c r="J4244">
        <f>IFERROR(VLOOKUP(E4244,'LEAID Match'!$A$2:$B$168,2,FALSE),"")</f>
        <v>3307115</v>
      </c>
    </row>
    <row r="4245" spans="1:10">
      <c r="A4245" s="27">
        <v>2020</v>
      </c>
      <c r="B4245" t="s">
        <v>1429</v>
      </c>
      <c r="C4245" t="s">
        <v>1431</v>
      </c>
      <c r="D4245" t="s">
        <v>1433</v>
      </c>
      <c r="E4245" t="s">
        <v>412</v>
      </c>
      <c r="F4245" s="9" t="s">
        <v>412</v>
      </c>
      <c r="G4245" s="18">
        <v>806253</v>
      </c>
      <c r="H4245">
        <v>0</v>
      </c>
      <c r="I4245" s="29">
        <f t="shared" si="66"/>
        <v>806253</v>
      </c>
      <c r="J4245">
        <f>IFERROR(VLOOKUP(E4245,'LEAID Match'!$A$2:$B$168,2,FALSE),"")</f>
        <v>3307115</v>
      </c>
    </row>
    <row r="4246" spans="1:10">
      <c r="A4246">
        <v>2021</v>
      </c>
      <c r="B4246" t="s">
        <v>1429</v>
      </c>
      <c r="C4246" t="s">
        <v>1431</v>
      </c>
      <c r="D4246" t="s">
        <v>1433</v>
      </c>
      <c r="E4246" t="s">
        <v>412</v>
      </c>
      <c r="F4246" s="9" t="s">
        <v>412</v>
      </c>
      <c r="G4246" s="18">
        <v>785642</v>
      </c>
      <c r="H4246">
        <v>0</v>
      </c>
      <c r="I4246" s="29">
        <f t="shared" si="66"/>
        <v>785642</v>
      </c>
      <c r="J4246">
        <f>IFERROR(VLOOKUP(E4246,'LEAID Match'!$A$2:$B$168,2,FALSE),"")</f>
        <v>3307115</v>
      </c>
    </row>
    <row r="4247" spans="1:10">
      <c r="A4247">
        <v>2022</v>
      </c>
      <c r="B4247" t="s">
        <v>1429</v>
      </c>
      <c r="C4247" t="s">
        <v>1431</v>
      </c>
      <c r="D4247" t="s">
        <v>1433</v>
      </c>
      <c r="E4247" t="s">
        <v>412</v>
      </c>
      <c r="F4247" s="9" t="s">
        <v>412</v>
      </c>
      <c r="G4247" s="18">
        <v>983951</v>
      </c>
      <c r="H4247">
        <v>0</v>
      </c>
      <c r="I4247" s="29">
        <f t="shared" si="66"/>
        <v>983951</v>
      </c>
      <c r="J4247">
        <f>IFERROR(VLOOKUP(E4247,'LEAID Match'!$A$2:$B$168,2,FALSE),"")</f>
        <v>3307115</v>
      </c>
    </row>
    <row r="4248" spans="1:10">
      <c r="A4248">
        <v>2023</v>
      </c>
      <c r="B4248" t="s">
        <v>1429</v>
      </c>
      <c r="C4248" t="s">
        <v>1431</v>
      </c>
      <c r="D4248" t="s">
        <v>1433</v>
      </c>
      <c r="E4248" t="s">
        <v>412</v>
      </c>
      <c r="F4248" t="s">
        <v>412</v>
      </c>
      <c r="G4248" s="28">
        <v>965306</v>
      </c>
      <c r="H4248">
        <v>0</v>
      </c>
      <c r="I4248" s="29">
        <f t="shared" si="66"/>
        <v>965306</v>
      </c>
      <c r="J4248">
        <f>IFERROR(VLOOKUP(E4248,'LEAID Match'!$A$2:$B$168,2,FALSE),"")</f>
        <v>3307115</v>
      </c>
    </row>
    <row r="4249" spans="1:10">
      <c r="A4249">
        <v>2015</v>
      </c>
      <c r="B4249" t="s">
        <v>1429</v>
      </c>
      <c r="C4249" t="s">
        <v>1431</v>
      </c>
      <c r="D4249" t="s">
        <v>1433</v>
      </c>
      <c r="E4249" t="s">
        <v>922</v>
      </c>
      <c r="F4249" s="9" t="s">
        <v>1410</v>
      </c>
      <c r="G4249" s="18">
        <v>152002.96</v>
      </c>
      <c r="H4249">
        <v>0</v>
      </c>
      <c r="I4249" s="29">
        <f t="shared" si="66"/>
        <v>152002.96</v>
      </c>
      <c r="J4249" t="str">
        <f>IFERROR(VLOOKUP(E4249,'LEAID Match'!$A$2:$B$168,2,FALSE),"")</f>
        <v/>
      </c>
    </row>
    <row r="4250" spans="1:10">
      <c r="A4250">
        <v>2016</v>
      </c>
      <c r="B4250" t="s">
        <v>1429</v>
      </c>
      <c r="C4250" t="s">
        <v>1431</v>
      </c>
      <c r="D4250" t="s">
        <v>1433</v>
      </c>
      <c r="E4250" t="s">
        <v>922</v>
      </c>
      <c r="F4250" t="s">
        <v>922</v>
      </c>
      <c r="G4250" s="28">
        <v>153448</v>
      </c>
      <c r="H4250">
        <v>0</v>
      </c>
      <c r="I4250" s="29">
        <f t="shared" si="66"/>
        <v>153448</v>
      </c>
      <c r="J4250" t="str">
        <f>IFERROR(VLOOKUP(E4250,'LEAID Match'!$A$2:$B$168,2,FALSE),"")</f>
        <v/>
      </c>
    </row>
    <row r="4251" spans="1:10">
      <c r="A4251">
        <v>2017</v>
      </c>
      <c r="B4251" t="s">
        <v>1429</v>
      </c>
      <c r="C4251" t="s">
        <v>1431</v>
      </c>
      <c r="D4251" t="s">
        <v>1433</v>
      </c>
      <c r="E4251" t="s">
        <v>922</v>
      </c>
      <c r="F4251" t="s">
        <v>922</v>
      </c>
      <c r="G4251" s="28">
        <v>156337</v>
      </c>
      <c r="H4251">
        <v>0</v>
      </c>
      <c r="I4251" s="29">
        <f t="shared" si="66"/>
        <v>156337</v>
      </c>
      <c r="J4251" t="str">
        <f>IFERROR(VLOOKUP(E4251,'LEAID Match'!$A$2:$B$168,2,FALSE),"")</f>
        <v/>
      </c>
    </row>
    <row r="4252" spans="1:10">
      <c r="A4252" s="27">
        <v>2018</v>
      </c>
      <c r="B4252" t="s">
        <v>1429</v>
      </c>
      <c r="C4252" t="s">
        <v>1431</v>
      </c>
      <c r="D4252" t="s">
        <v>1433</v>
      </c>
      <c r="E4252" t="s">
        <v>922</v>
      </c>
      <c r="F4252" s="9" t="s">
        <v>922</v>
      </c>
      <c r="G4252" s="18">
        <v>173281</v>
      </c>
      <c r="H4252">
        <v>0</v>
      </c>
      <c r="I4252" s="29">
        <f t="shared" si="66"/>
        <v>173281</v>
      </c>
      <c r="J4252" t="str">
        <f>IFERROR(VLOOKUP(E4252,'LEAID Match'!$A$2:$B$168,2,FALSE),"")</f>
        <v/>
      </c>
    </row>
    <row r="4253" spans="1:10">
      <c r="A4253">
        <v>2019</v>
      </c>
      <c r="B4253" t="s">
        <v>1429</v>
      </c>
      <c r="C4253" t="s">
        <v>1431</v>
      </c>
      <c r="D4253" t="s">
        <v>1433</v>
      </c>
      <c r="E4253" t="s">
        <v>922</v>
      </c>
      <c r="F4253" s="9" t="s">
        <v>922</v>
      </c>
      <c r="G4253" s="18">
        <v>161385</v>
      </c>
      <c r="H4253">
        <v>0</v>
      </c>
      <c r="I4253" s="29">
        <f t="shared" si="66"/>
        <v>161385</v>
      </c>
      <c r="J4253" t="str">
        <f>IFERROR(VLOOKUP(E4253,'LEAID Match'!$A$2:$B$168,2,FALSE),"")</f>
        <v/>
      </c>
    </row>
    <row r="4254" spans="1:10">
      <c r="A4254">
        <v>2015</v>
      </c>
      <c r="B4254" t="s">
        <v>1429</v>
      </c>
      <c r="C4254" t="s">
        <v>1431</v>
      </c>
      <c r="D4254" t="s">
        <v>1433</v>
      </c>
      <c r="E4254" t="s">
        <v>413</v>
      </c>
      <c r="F4254" s="9" t="s">
        <v>1411</v>
      </c>
      <c r="G4254" s="18">
        <v>323606.02</v>
      </c>
      <c r="H4254">
        <v>0</v>
      </c>
      <c r="I4254" s="29">
        <f t="shared" si="66"/>
        <v>323606.02</v>
      </c>
      <c r="J4254">
        <f>IFERROR(VLOOKUP(E4254,'LEAID Match'!$A$2:$B$168,2,FALSE),"")</f>
        <v>3307140</v>
      </c>
    </row>
    <row r="4255" spans="1:10">
      <c r="A4255">
        <v>2016</v>
      </c>
      <c r="B4255" t="s">
        <v>1429</v>
      </c>
      <c r="C4255" t="s">
        <v>1431</v>
      </c>
      <c r="D4255" t="s">
        <v>1433</v>
      </c>
      <c r="E4255" t="s">
        <v>413</v>
      </c>
      <c r="F4255" t="s">
        <v>923</v>
      </c>
      <c r="G4255" s="28">
        <v>330168</v>
      </c>
      <c r="H4255">
        <v>0</v>
      </c>
      <c r="I4255" s="29">
        <f t="shared" si="66"/>
        <v>330168</v>
      </c>
      <c r="J4255">
        <f>IFERROR(VLOOKUP(E4255,'LEAID Match'!$A$2:$B$168,2,FALSE),"")</f>
        <v>3307140</v>
      </c>
    </row>
    <row r="4256" spans="1:10">
      <c r="A4256">
        <v>2017</v>
      </c>
      <c r="B4256" t="s">
        <v>1429</v>
      </c>
      <c r="C4256" t="s">
        <v>1431</v>
      </c>
      <c r="D4256" t="s">
        <v>1433</v>
      </c>
      <c r="E4256" t="s">
        <v>413</v>
      </c>
      <c r="F4256" t="s">
        <v>923</v>
      </c>
      <c r="G4256" s="28">
        <v>336180</v>
      </c>
      <c r="H4256">
        <v>0</v>
      </c>
      <c r="I4256" s="29">
        <f t="shared" si="66"/>
        <v>336180</v>
      </c>
      <c r="J4256">
        <f>IFERROR(VLOOKUP(E4256,'LEAID Match'!$A$2:$B$168,2,FALSE),"")</f>
        <v>3307140</v>
      </c>
    </row>
    <row r="4257" spans="1:10">
      <c r="A4257" s="27">
        <v>2018</v>
      </c>
      <c r="B4257" t="s">
        <v>1429</v>
      </c>
      <c r="C4257" t="s">
        <v>1431</v>
      </c>
      <c r="D4257" t="s">
        <v>1433</v>
      </c>
      <c r="E4257" t="s">
        <v>413</v>
      </c>
      <c r="F4257" s="9" t="s">
        <v>923</v>
      </c>
      <c r="G4257" s="18">
        <v>423673</v>
      </c>
      <c r="H4257">
        <v>0</v>
      </c>
      <c r="I4257" s="29">
        <f t="shared" si="66"/>
        <v>423673</v>
      </c>
      <c r="J4257">
        <f>IFERROR(VLOOKUP(E4257,'LEAID Match'!$A$2:$B$168,2,FALSE),"")</f>
        <v>3307140</v>
      </c>
    </row>
    <row r="4258" spans="1:10">
      <c r="A4258">
        <v>2019</v>
      </c>
      <c r="B4258" t="s">
        <v>1429</v>
      </c>
      <c r="C4258" t="s">
        <v>1431</v>
      </c>
      <c r="D4258" t="s">
        <v>1433</v>
      </c>
      <c r="E4258" t="s">
        <v>413</v>
      </c>
      <c r="F4258" s="9" t="s">
        <v>923</v>
      </c>
      <c r="G4258" s="18">
        <v>444411</v>
      </c>
      <c r="H4258">
        <v>0</v>
      </c>
      <c r="I4258" s="29">
        <f t="shared" si="66"/>
        <v>444411</v>
      </c>
      <c r="J4258">
        <f>IFERROR(VLOOKUP(E4258,'LEAID Match'!$A$2:$B$168,2,FALSE),"")</f>
        <v>3307140</v>
      </c>
    </row>
    <row r="4259" spans="1:10">
      <c r="A4259" s="27">
        <v>2020</v>
      </c>
      <c r="B4259" t="s">
        <v>1429</v>
      </c>
      <c r="C4259" t="s">
        <v>1431</v>
      </c>
      <c r="D4259" t="s">
        <v>1433</v>
      </c>
      <c r="E4259" t="s">
        <v>413</v>
      </c>
      <c r="F4259" s="9" t="s">
        <v>413</v>
      </c>
      <c r="G4259" s="18">
        <v>464489</v>
      </c>
      <c r="H4259">
        <v>0</v>
      </c>
      <c r="I4259" s="29">
        <f t="shared" si="66"/>
        <v>464489</v>
      </c>
      <c r="J4259">
        <f>IFERROR(VLOOKUP(E4259,'LEAID Match'!$A$2:$B$168,2,FALSE),"")</f>
        <v>3307140</v>
      </c>
    </row>
    <row r="4260" spans="1:10">
      <c r="A4260">
        <v>2021</v>
      </c>
      <c r="B4260" t="s">
        <v>1429</v>
      </c>
      <c r="C4260" t="s">
        <v>1431</v>
      </c>
      <c r="D4260" t="s">
        <v>1433</v>
      </c>
      <c r="E4260" t="s">
        <v>413</v>
      </c>
      <c r="F4260" s="9" t="s">
        <v>413</v>
      </c>
      <c r="G4260" s="18">
        <v>397835</v>
      </c>
      <c r="H4260">
        <v>0</v>
      </c>
      <c r="I4260" s="29">
        <f t="shared" si="66"/>
        <v>397835</v>
      </c>
      <c r="J4260">
        <f>IFERROR(VLOOKUP(E4260,'LEAID Match'!$A$2:$B$168,2,FALSE),"")</f>
        <v>3307140</v>
      </c>
    </row>
    <row r="4261" spans="1:10">
      <c r="A4261">
        <v>2022</v>
      </c>
      <c r="B4261" t="s">
        <v>1429</v>
      </c>
      <c r="C4261" t="s">
        <v>1431</v>
      </c>
      <c r="D4261" t="s">
        <v>1433</v>
      </c>
      <c r="E4261" t="s">
        <v>413</v>
      </c>
      <c r="F4261" s="9" t="s">
        <v>413</v>
      </c>
      <c r="G4261" s="18">
        <v>563043</v>
      </c>
      <c r="H4261">
        <v>0</v>
      </c>
      <c r="I4261" s="29">
        <f t="shared" si="66"/>
        <v>563043</v>
      </c>
      <c r="J4261">
        <f>IFERROR(VLOOKUP(E4261,'LEAID Match'!$A$2:$B$168,2,FALSE),"")</f>
        <v>3307140</v>
      </c>
    </row>
    <row r="4262" spans="1:10">
      <c r="A4262">
        <v>2023</v>
      </c>
      <c r="B4262" t="s">
        <v>1429</v>
      </c>
      <c r="C4262" t="s">
        <v>1431</v>
      </c>
      <c r="D4262" t="s">
        <v>1433</v>
      </c>
      <c r="E4262" t="s">
        <v>413</v>
      </c>
      <c r="F4262" t="s">
        <v>413</v>
      </c>
      <c r="G4262" s="28">
        <v>541662</v>
      </c>
      <c r="H4262">
        <v>0</v>
      </c>
      <c r="I4262" s="29">
        <f t="shared" si="66"/>
        <v>541662</v>
      </c>
      <c r="J4262">
        <f>IFERROR(VLOOKUP(E4262,'LEAID Match'!$A$2:$B$168,2,FALSE),"")</f>
        <v>3307140</v>
      </c>
    </row>
    <row r="4263" spans="1:10">
      <c r="A4263">
        <v>2015</v>
      </c>
      <c r="B4263" t="s">
        <v>1429</v>
      </c>
      <c r="C4263" t="s">
        <v>1431</v>
      </c>
      <c r="D4263" t="s">
        <v>1433</v>
      </c>
      <c r="E4263" t="s">
        <v>924</v>
      </c>
      <c r="F4263" s="9" t="s">
        <v>1412</v>
      </c>
      <c r="G4263" s="18">
        <v>1064217.26</v>
      </c>
      <c r="H4263">
        <v>0</v>
      </c>
      <c r="I4263" s="29">
        <f t="shared" si="66"/>
        <v>1064217.26</v>
      </c>
      <c r="J4263" t="str">
        <f>IFERROR(VLOOKUP(E4263,'LEAID Match'!$A$2:$B$168,2,FALSE),"")</f>
        <v/>
      </c>
    </row>
    <row r="4264" spans="1:10">
      <c r="A4264">
        <v>2016</v>
      </c>
      <c r="B4264" t="s">
        <v>1429</v>
      </c>
      <c r="C4264" t="s">
        <v>1431</v>
      </c>
      <c r="D4264" t="s">
        <v>1433</v>
      </c>
      <c r="E4264" t="s">
        <v>924</v>
      </c>
      <c r="F4264" t="s">
        <v>924</v>
      </c>
      <c r="G4264" s="28">
        <v>1145875</v>
      </c>
      <c r="H4264">
        <v>0</v>
      </c>
      <c r="I4264" s="29">
        <f t="shared" si="66"/>
        <v>1145875</v>
      </c>
      <c r="J4264" t="str">
        <f>IFERROR(VLOOKUP(E4264,'LEAID Match'!$A$2:$B$168,2,FALSE),"")</f>
        <v/>
      </c>
    </row>
    <row r="4265" spans="1:10">
      <c r="A4265">
        <v>2017</v>
      </c>
      <c r="B4265" t="s">
        <v>1429</v>
      </c>
      <c r="C4265" t="s">
        <v>1431</v>
      </c>
      <c r="D4265" t="s">
        <v>1433</v>
      </c>
      <c r="E4265" t="s">
        <v>924</v>
      </c>
      <c r="F4265" t="s">
        <v>924</v>
      </c>
      <c r="G4265" s="28">
        <v>1162737</v>
      </c>
      <c r="H4265">
        <v>0</v>
      </c>
      <c r="I4265" s="29">
        <f t="shared" si="66"/>
        <v>1162737</v>
      </c>
      <c r="J4265" t="str">
        <f>IFERROR(VLOOKUP(E4265,'LEAID Match'!$A$2:$B$168,2,FALSE),"")</f>
        <v/>
      </c>
    </row>
    <row r="4266" spans="1:10">
      <c r="A4266" s="27">
        <v>2018</v>
      </c>
      <c r="B4266" t="s">
        <v>1429</v>
      </c>
      <c r="C4266" t="s">
        <v>1431</v>
      </c>
      <c r="D4266" t="s">
        <v>1433</v>
      </c>
      <c r="E4266" t="s">
        <v>924</v>
      </c>
      <c r="F4266" s="9" t="s">
        <v>924</v>
      </c>
      <c r="G4266" s="18">
        <v>1286117</v>
      </c>
      <c r="H4266">
        <v>0</v>
      </c>
      <c r="I4266" s="29">
        <f t="shared" si="66"/>
        <v>1286117</v>
      </c>
      <c r="J4266" t="str">
        <f>IFERROR(VLOOKUP(E4266,'LEAID Match'!$A$2:$B$168,2,FALSE),"")</f>
        <v/>
      </c>
    </row>
    <row r="4267" spans="1:10">
      <c r="A4267">
        <v>2019</v>
      </c>
      <c r="B4267" t="s">
        <v>1429</v>
      </c>
      <c r="C4267" t="s">
        <v>1431</v>
      </c>
      <c r="D4267" t="s">
        <v>1433</v>
      </c>
      <c r="E4267" t="s">
        <v>924</v>
      </c>
      <c r="F4267" s="9" t="s">
        <v>924</v>
      </c>
      <c r="G4267" s="18">
        <v>1280494</v>
      </c>
      <c r="H4267">
        <v>0</v>
      </c>
      <c r="I4267" s="29">
        <f t="shared" si="66"/>
        <v>1280494</v>
      </c>
      <c r="J4267" t="str">
        <f>IFERROR(VLOOKUP(E4267,'LEAID Match'!$A$2:$B$168,2,FALSE),"")</f>
        <v/>
      </c>
    </row>
    <row r="4268" spans="1:10">
      <c r="A4268">
        <v>2015</v>
      </c>
      <c r="B4268" t="s">
        <v>1429</v>
      </c>
      <c r="C4268" t="s">
        <v>1431</v>
      </c>
      <c r="D4268" t="s">
        <v>1433</v>
      </c>
      <c r="E4268" t="s">
        <v>414</v>
      </c>
      <c r="F4268" s="9" t="s">
        <v>1413</v>
      </c>
      <c r="G4268" s="18">
        <v>2099139.42</v>
      </c>
      <c r="H4268">
        <v>0</v>
      </c>
      <c r="I4268" s="29">
        <f t="shared" si="66"/>
        <v>2099139.42</v>
      </c>
      <c r="J4268">
        <f>IFERROR(VLOOKUP(E4268,'LEAID Match'!$A$2:$B$168,2,FALSE),"")</f>
        <v>3307170</v>
      </c>
    </row>
    <row r="4269" spans="1:10">
      <c r="A4269">
        <v>2016</v>
      </c>
      <c r="B4269" t="s">
        <v>1429</v>
      </c>
      <c r="C4269" t="s">
        <v>1431</v>
      </c>
      <c r="D4269" t="s">
        <v>1433</v>
      </c>
      <c r="E4269" t="s">
        <v>414</v>
      </c>
      <c r="F4269" t="s">
        <v>925</v>
      </c>
      <c r="G4269" s="28">
        <v>2388031</v>
      </c>
      <c r="H4269">
        <v>0</v>
      </c>
      <c r="I4269" s="29">
        <f t="shared" si="66"/>
        <v>2388031</v>
      </c>
      <c r="J4269">
        <f>IFERROR(VLOOKUP(E4269,'LEAID Match'!$A$2:$B$168,2,FALSE),"")</f>
        <v>3307170</v>
      </c>
    </row>
    <row r="4270" spans="1:10">
      <c r="A4270">
        <v>2017</v>
      </c>
      <c r="B4270" t="s">
        <v>1429</v>
      </c>
      <c r="C4270" t="s">
        <v>1431</v>
      </c>
      <c r="D4270" t="s">
        <v>1433</v>
      </c>
      <c r="E4270" t="s">
        <v>414</v>
      </c>
      <c r="F4270" t="s">
        <v>925</v>
      </c>
      <c r="G4270" s="28">
        <v>2503795</v>
      </c>
      <c r="H4270">
        <v>0</v>
      </c>
      <c r="I4270" s="29">
        <f t="shared" si="66"/>
        <v>2503795</v>
      </c>
      <c r="J4270">
        <f>IFERROR(VLOOKUP(E4270,'LEAID Match'!$A$2:$B$168,2,FALSE),"")</f>
        <v>3307170</v>
      </c>
    </row>
    <row r="4271" spans="1:10">
      <c r="A4271" s="27">
        <v>2018</v>
      </c>
      <c r="B4271" t="s">
        <v>1429</v>
      </c>
      <c r="C4271" t="s">
        <v>1431</v>
      </c>
      <c r="D4271" t="s">
        <v>1433</v>
      </c>
      <c r="E4271" t="s">
        <v>414</v>
      </c>
      <c r="F4271" s="9" t="s">
        <v>925</v>
      </c>
      <c r="G4271" s="18">
        <v>3165098</v>
      </c>
      <c r="H4271">
        <v>0</v>
      </c>
      <c r="I4271" s="29">
        <f t="shared" si="66"/>
        <v>3165098</v>
      </c>
      <c r="J4271">
        <f>IFERROR(VLOOKUP(E4271,'LEAID Match'!$A$2:$B$168,2,FALSE),"")</f>
        <v>3307170</v>
      </c>
    </row>
    <row r="4272" spans="1:10">
      <c r="A4272">
        <v>2019</v>
      </c>
      <c r="B4272" t="s">
        <v>1429</v>
      </c>
      <c r="C4272" t="s">
        <v>1431</v>
      </c>
      <c r="D4272" t="s">
        <v>1433</v>
      </c>
      <c r="E4272" t="s">
        <v>414</v>
      </c>
      <c r="F4272" s="9" t="s">
        <v>925</v>
      </c>
      <c r="G4272" s="18">
        <v>3313157</v>
      </c>
      <c r="H4272">
        <v>0</v>
      </c>
      <c r="I4272" s="29">
        <f t="shared" si="66"/>
        <v>3313157</v>
      </c>
      <c r="J4272">
        <f>IFERROR(VLOOKUP(E4272,'LEAID Match'!$A$2:$B$168,2,FALSE),"")</f>
        <v>3307170</v>
      </c>
    </row>
    <row r="4273" spans="1:10">
      <c r="A4273" s="27">
        <v>2020</v>
      </c>
      <c r="B4273" t="s">
        <v>1429</v>
      </c>
      <c r="C4273" t="s">
        <v>1431</v>
      </c>
      <c r="D4273" t="s">
        <v>1433</v>
      </c>
      <c r="E4273" t="s">
        <v>414</v>
      </c>
      <c r="F4273" s="9" t="s">
        <v>414</v>
      </c>
      <c r="G4273" s="18">
        <v>3535954</v>
      </c>
      <c r="H4273">
        <v>0</v>
      </c>
      <c r="I4273" s="29">
        <f t="shared" si="66"/>
        <v>3535954</v>
      </c>
      <c r="J4273">
        <f>IFERROR(VLOOKUP(E4273,'LEAID Match'!$A$2:$B$168,2,FALSE),"")</f>
        <v>3307170</v>
      </c>
    </row>
    <row r="4274" spans="1:10">
      <c r="A4274">
        <v>2021</v>
      </c>
      <c r="B4274" t="s">
        <v>1429</v>
      </c>
      <c r="C4274" t="s">
        <v>1431</v>
      </c>
      <c r="D4274" t="s">
        <v>1433</v>
      </c>
      <c r="E4274" t="s">
        <v>414</v>
      </c>
      <c r="F4274" s="9" t="s">
        <v>414</v>
      </c>
      <c r="G4274" s="18">
        <v>3459829</v>
      </c>
      <c r="H4274">
        <v>0</v>
      </c>
      <c r="I4274" s="29">
        <f t="shared" si="66"/>
        <v>3459829</v>
      </c>
      <c r="J4274">
        <f>IFERROR(VLOOKUP(E4274,'LEAID Match'!$A$2:$B$168,2,FALSE),"")</f>
        <v>3307170</v>
      </c>
    </row>
    <row r="4275" spans="1:10">
      <c r="A4275">
        <v>2022</v>
      </c>
      <c r="B4275" t="s">
        <v>1429</v>
      </c>
      <c r="C4275" t="s">
        <v>1431</v>
      </c>
      <c r="D4275" t="s">
        <v>1433</v>
      </c>
      <c r="E4275" t="s">
        <v>414</v>
      </c>
      <c r="F4275" s="9" t="s">
        <v>414</v>
      </c>
      <c r="G4275" s="18">
        <v>4379230</v>
      </c>
      <c r="H4275">
        <v>0</v>
      </c>
      <c r="I4275" s="29">
        <f t="shared" si="66"/>
        <v>4379230</v>
      </c>
      <c r="J4275">
        <f>IFERROR(VLOOKUP(E4275,'LEAID Match'!$A$2:$B$168,2,FALSE),"")</f>
        <v>3307170</v>
      </c>
    </row>
    <row r="4276" spans="1:10">
      <c r="A4276">
        <v>2023</v>
      </c>
      <c r="B4276" t="s">
        <v>1429</v>
      </c>
      <c r="C4276" t="s">
        <v>1431</v>
      </c>
      <c r="D4276" t="s">
        <v>1433</v>
      </c>
      <c r="E4276" t="s">
        <v>414</v>
      </c>
      <c r="F4276" t="s">
        <v>414</v>
      </c>
      <c r="G4276" s="28">
        <v>4551432</v>
      </c>
      <c r="H4276">
        <v>0</v>
      </c>
      <c r="I4276" s="29">
        <f t="shared" si="66"/>
        <v>4551432</v>
      </c>
      <c r="J4276">
        <f>IFERROR(VLOOKUP(E4276,'LEAID Match'!$A$2:$B$168,2,FALSE),"")</f>
        <v>3307170</v>
      </c>
    </row>
    <row r="4277" spans="1:10">
      <c r="A4277">
        <v>2015</v>
      </c>
      <c r="B4277" t="s">
        <v>1429</v>
      </c>
      <c r="C4277" t="s">
        <v>1431</v>
      </c>
      <c r="D4277" t="s">
        <v>1433</v>
      </c>
      <c r="E4277" t="s">
        <v>415</v>
      </c>
      <c r="F4277" s="9" t="s">
        <v>1414</v>
      </c>
      <c r="G4277" s="18">
        <v>1207829.3</v>
      </c>
      <c r="H4277">
        <v>0</v>
      </c>
      <c r="I4277" s="29">
        <f t="shared" si="66"/>
        <v>1207829.3</v>
      </c>
      <c r="J4277">
        <f>IFERROR(VLOOKUP(E4277,'LEAID Match'!$A$2:$B$168,2,FALSE),"")</f>
        <v>3307230</v>
      </c>
    </row>
    <row r="4278" spans="1:10">
      <c r="A4278">
        <v>2016</v>
      </c>
      <c r="B4278" t="s">
        <v>1429</v>
      </c>
      <c r="C4278" t="s">
        <v>1431</v>
      </c>
      <c r="D4278" t="s">
        <v>1433</v>
      </c>
      <c r="E4278" t="s">
        <v>415</v>
      </c>
      <c r="F4278" t="s">
        <v>926</v>
      </c>
      <c r="G4278" s="28">
        <v>1327736</v>
      </c>
      <c r="H4278">
        <v>0</v>
      </c>
      <c r="I4278" s="29">
        <f t="shared" si="66"/>
        <v>1327736</v>
      </c>
      <c r="J4278">
        <f>IFERROR(VLOOKUP(E4278,'LEAID Match'!$A$2:$B$168,2,FALSE),"")</f>
        <v>3307230</v>
      </c>
    </row>
    <row r="4279" spans="1:10">
      <c r="A4279">
        <v>2017</v>
      </c>
      <c r="B4279" t="s">
        <v>1429</v>
      </c>
      <c r="C4279" t="s">
        <v>1431</v>
      </c>
      <c r="D4279" t="s">
        <v>1433</v>
      </c>
      <c r="E4279" t="s">
        <v>415</v>
      </c>
      <c r="F4279" t="s">
        <v>926</v>
      </c>
      <c r="G4279" s="28">
        <v>1313060</v>
      </c>
      <c r="H4279">
        <v>0</v>
      </c>
      <c r="I4279" s="29">
        <f t="shared" si="66"/>
        <v>1313060</v>
      </c>
      <c r="J4279">
        <f>IFERROR(VLOOKUP(E4279,'LEAID Match'!$A$2:$B$168,2,FALSE),"")</f>
        <v>3307230</v>
      </c>
    </row>
    <row r="4280" spans="1:10">
      <c r="A4280" s="27">
        <v>2018</v>
      </c>
      <c r="B4280" t="s">
        <v>1429</v>
      </c>
      <c r="C4280" t="s">
        <v>1431</v>
      </c>
      <c r="D4280" t="s">
        <v>1433</v>
      </c>
      <c r="E4280" t="s">
        <v>415</v>
      </c>
      <c r="F4280" s="9" t="s">
        <v>926</v>
      </c>
      <c r="G4280" s="18">
        <v>1635650</v>
      </c>
      <c r="H4280">
        <v>0</v>
      </c>
      <c r="I4280" s="29">
        <f t="shared" si="66"/>
        <v>1635650</v>
      </c>
      <c r="J4280">
        <f>IFERROR(VLOOKUP(E4280,'LEAID Match'!$A$2:$B$168,2,FALSE),"")</f>
        <v>3307230</v>
      </c>
    </row>
    <row r="4281" spans="1:10">
      <c r="A4281">
        <v>2019</v>
      </c>
      <c r="B4281" t="s">
        <v>1429</v>
      </c>
      <c r="C4281" t="s">
        <v>1431</v>
      </c>
      <c r="D4281" t="s">
        <v>1433</v>
      </c>
      <c r="E4281" t="s">
        <v>415</v>
      </c>
      <c r="F4281" s="9" t="s">
        <v>926</v>
      </c>
      <c r="G4281" s="18">
        <v>1710645</v>
      </c>
      <c r="H4281">
        <v>0</v>
      </c>
      <c r="I4281" s="29">
        <f t="shared" si="66"/>
        <v>1710645</v>
      </c>
      <c r="J4281">
        <f>IFERROR(VLOOKUP(E4281,'LEAID Match'!$A$2:$B$168,2,FALSE),"")</f>
        <v>3307230</v>
      </c>
    </row>
    <row r="4282" spans="1:10">
      <c r="A4282" s="27">
        <v>2020</v>
      </c>
      <c r="B4282" t="s">
        <v>1429</v>
      </c>
      <c r="C4282" t="s">
        <v>1431</v>
      </c>
      <c r="D4282" t="s">
        <v>1433</v>
      </c>
      <c r="E4282" t="s">
        <v>415</v>
      </c>
      <c r="F4282" s="9" t="s">
        <v>415</v>
      </c>
      <c r="G4282" s="18">
        <v>1788080</v>
      </c>
      <c r="H4282">
        <v>0</v>
      </c>
      <c r="I4282" s="29">
        <f t="shared" si="66"/>
        <v>1788080</v>
      </c>
      <c r="J4282">
        <f>IFERROR(VLOOKUP(E4282,'LEAID Match'!$A$2:$B$168,2,FALSE),"")</f>
        <v>3307230</v>
      </c>
    </row>
    <row r="4283" spans="1:10">
      <c r="A4283">
        <v>2021</v>
      </c>
      <c r="B4283" t="s">
        <v>1429</v>
      </c>
      <c r="C4283" t="s">
        <v>1431</v>
      </c>
      <c r="D4283" t="s">
        <v>1433</v>
      </c>
      <c r="E4283" t="s">
        <v>415</v>
      </c>
      <c r="F4283" s="9" t="s">
        <v>415</v>
      </c>
      <c r="G4283" s="18">
        <v>1836310</v>
      </c>
      <c r="H4283">
        <v>0</v>
      </c>
      <c r="I4283" s="29">
        <f t="shared" si="66"/>
        <v>1836310</v>
      </c>
      <c r="J4283">
        <f>IFERROR(VLOOKUP(E4283,'LEAID Match'!$A$2:$B$168,2,FALSE),"")</f>
        <v>3307230</v>
      </c>
    </row>
    <row r="4284" spans="1:10">
      <c r="A4284">
        <v>2022</v>
      </c>
      <c r="B4284" t="s">
        <v>1429</v>
      </c>
      <c r="C4284" t="s">
        <v>1431</v>
      </c>
      <c r="D4284" t="s">
        <v>1433</v>
      </c>
      <c r="E4284" t="s">
        <v>415</v>
      </c>
      <c r="F4284" s="9" t="s">
        <v>415</v>
      </c>
      <c r="G4284" s="18">
        <v>2415191</v>
      </c>
      <c r="H4284">
        <v>0</v>
      </c>
      <c r="I4284" s="29">
        <f t="shared" si="66"/>
        <v>2415191</v>
      </c>
      <c r="J4284">
        <f>IFERROR(VLOOKUP(E4284,'LEAID Match'!$A$2:$B$168,2,FALSE),"")</f>
        <v>3307230</v>
      </c>
    </row>
    <row r="4285" spans="1:10">
      <c r="A4285">
        <v>2023</v>
      </c>
      <c r="B4285" t="s">
        <v>1429</v>
      </c>
      <c r="C4285" t="s">
        <v>1431</v>
      </c>
      <c r="D4285" t="s">
        <v>1433</v>
      </c>
      <c r="E4285" t="s">
        <v>415</v>
      </c>
      <c r="F4285" t="s">
        <v>415</v>
      </c>
      <c r="G4285" s="28">
        <v>2093840</v>
      </c>
      <c r="H4285">
        <v>0</v>
      </c>
      <c r="I4285" s="29">
        <f t="shared" si="66"/>
        <v>2093840</v>
      </c>
      <c r="J4285">
        <f>IFERROR(VLOOKUP(E4285,'LEAID Match'!$A$2:$B$168,2,FALSE),"")</f>
        <v>3307230</v>
      </c>
    </row>
    <row r="4286" spans="1:10">
      <c r="A4286">
        <v>2015</v>
      </c>
      <c r="B4286" t="s">
        <v>1429</v>
      </c>
      <c r="C4286" t="s">
        <v>1431</v>
      </c>
      <c r="D4286" t="s">
        <v>1433</v>
      </c>
      <c r="E4286" t="s">
        <v>927</v>
      </c>
      <c r="F4286" s="9" t="s">
        <v>1415</v>
      </c>
      <c r="G4286" s="18">
        <v>1166288.6599999999</v>
      </c>
      <c r="H4286">
        <v>0</v>
      </c>
      <c r="I4286" s="29">
        <f t="shared" si="66"/>
        <v>1166288.6599999999</v>
      </c>
      <c r="J4286">
        <f>IFERROR(VLOOKUP(E4286,'LEAID Match'!$A$2:$B$168,2,FALSE),"")</f>
        <v>3307300</v>
      </c>
    </row>
    <row r="4287" spans="1:10">
      <c r="A4287">
        <v>2016</v>
      </c>
      <c r="B4287" t="s">
        <v>1429</v>
      </c>
      <c r="C4287" t="s">
        <v>1431</v>
      </c>
      <c r="D4287" t="s">
        <v>1433</v>
      </c>
      <c r="E4287" t="s">
        <v>927</v>
      </c>
      <c r="F4287" t="s">
        <v>927</v>
      </c>
      <c r="G4287" s="28">
        <v>1281530</v>
      </c>
      <c r="H4287">
        <v>0</v>
      </c>
      <c r="I4287" s="29">
        <f t="shared" si="66"/>
        <v>1281530</v>
      </c>
      <c r="J4287">
        <f>IFERROR(VLOOKUP(E4287,'LEAID Match'!$A$2:$B$168,2,FALSE),"")</f>
        <v>3307300</v>
      </c>
    </row>
    <row r="4288" spans="1:10">
      <c r="A4288">
        <v>2017</v>
      </c>
      <c r="B4288" t="s">
        <v>1429</v>
      </c>
      <c r="C4288" t="s">
        <v>1431</v>
      </c>
      <c r="D4288" t="s">
        <v>1433</v>
      </c>
      <c r="E4288" t="s">
        <v>927</v>
      </c>
      <c r="F4288" t="s">
        <v>927</v>
      </c>
      <c r="G4288" s="28">
        <v>1324448</v>
      </c>
      <c r="H4288">
        <v>0</v>
      </c>
      <c r="I4288" s="29">
        <f t="shared" si="66"/>
        <v>1324448</v>
      </c>
      <c r="J4288">
        <f>IFERROR(VLOOKUP(E4288,'LEAID Match'!$A$2:$B$168,2,FALSE),"")</f>
        <v>3307300</v>
      </c>
    </row>
    <row r="4289" spans="1:10">
      <c r="A4289" s="27">
        <v>2018</v>
      </c>
      <c r="B4289" t="s">
        <v>1429</v>
      </c>
      <c r="C4289" t="s">
        <v>1431</v>
      </c>
      <c r="D4289" t="s">
        <v>1433</v>
      </c>
      <c r="E4289" t="s">
        <v>927</v>
      </c>
      <c r="F4289" s="9" t="s">
        <v>927</v>
      </c>
      <c r="G4289" s="18">
        <v>1607399</v>
      </c>
      <c r="H4289">
        <v>0</v>
      </c>
      <c r="I4289" s="29">
        <f t="shared" si="66"/>
        <v>1607399</v>
      </c>
      <c r="J4289">
        <f>IFERROR(VLOOKUP(E4289,'LEAID Match'!$A$2:$B$168,2,FALSE),"")</f>
        <v>3307300</v>
      </c>
    </row>
    <row r="4290" spans="1:10">
      <c r="A4290">
        <v>2019</v>
      </c>
      <c r="B4290" t="s">
        <v>1429</v>
      </c>
      <c r="C4290" t="s">
        <v>1431</v>
      </c>
      <c r="D4290" t="s">
        <v>1433</v>
      </c>
      <c r="E4290" t="s">
        <v>927</v>
      </c>
      <c r="F4290" s="9" t="s">
        <v>927</v>
      </c>
      <c r="G4290" s="18">
        <v>1598289</v>
      </c>
      <c r="H4290">
        <v>0</v>
      </c>
      <c r="I4290" s="29">
        <f t="shared" si="66"/>
        <v>1598289</v>
      </c>
      <c r="J4290">
        <f>IFERROR(VLOOKUP(E4290,'LEAID Match'!$A$2:$B$168,2,FALSE),"")</f>
        <v>3307300</v>
      </c>
    </row>
    <row r="4291" spans="1:10">
      <c r="A4291" s="27">
        <v>2020</v>
      </c>
      <c r="B4291" t="s">
        <v>1429</v>
      </c>
      <c r="C4291" t="s">
        <v>1431</v>
      </c>
      <c r="D4291" t="s">
        <v>1433</v>
      </c>
      <c r="E4291" t="s">
        <v>416</v>
      </c>
      <c r="F4291" s="9" t="s">
        <v>416</v>
      </c>
      <c r="G4291" s="18">
        <v>1707604</v>
      </c>
      <c r="H4291">
        <v>0</v>
      </c>
      <c r="I4291" s="29">
        <f t="shared" ref="I4291:I4322" si="67">SUM(G4291:H4291)</f>
        <v>1707604</v>
      </c>
      <c r="J4291">
        <f>IFERROR(VLOOKUP(E4291,'LEAID Match'!$A$2:$B$168,2,FALSE),"")</f>
        <v>3307300</v>
      </c>
    </row>
    <row r="4292" spans="1:10">
      <c r="A4292">
        <v>2021</v>
      </c>
      <c r="B4292" t="s">
        <v>1429</v>
      </c>
      <c r="C4292" t="s">
        <v>1431</v>
      </c>
      <c r="D4292" t="s">
        <v>1433</v>
      </c>
      <c r="E4292" t="s">
        <v>416</v>
      </c>
      <c r="F4292" s="9" t="s">
        <v>416</v>
      </c>
      <c r="G4292" s="18">
        <v>1665904</v>
      </c>
      <c r="H4292">
        <v>0</v>
      </c>
      <c r="I4292" s="29">
        <f t="shared" si="67"/>
        <v>1665904</v>
      </c>
      <c r="J4292">
        <f>IFERROR(VLOOKUP(E4292,'LEAID Match'!$A$2:$B$168,2,FALSE),"")</f>
        <v>3307300</v>
      </c>
    </row>
    <row r="4293" spans="1:10">
      <c r="A4293">
        <v>2022</v>
      </c>
      <c r="B4293" t="s">
        <v>1429</v>
      </c>
      <c r="C4293" t="s">
        <v>1431</v>
      </c>
      <c r="D4293" t="s">
        <v>1433</v>
      </c>
      <c r="E4293" t="s">
        <v>416</v>
      </c>
      <c r="F4293" s="9" t="s">
        <v>416</v>
      </c>
      <c r="G4293" s="18">
        <v>2119378</v>
      </c>
      <c r="H4293">
        <v>0</v>
      </c>
      <c r="I4293" s="29">
        <f t="shared" si="67"/>
        <v>2119378</v>
      </c>
      <c r="J4293">
        <f>IFERROR(VLOOKUP(E4293,'LEAID Match'!$A$2:$B$168,2,FALSE),"")</f>
        <v>3307300</v>
      </c>
    </row>
    <row r="4294" spans="1:10">
      <c r="A4294">
        <v>2023</v>
      </c>
      <c r="B4294" t="s">
        <v>1429</v>
      </c>
      <c r="C4294" t="s">
        <v>1431</v>
      </c>
      <c r="D4294" t="s">
        <v>1433</v>
      </c>
      <c r="E4294" t="s">
        <v>416</v>
      </c>
      <c r="F4294" t="s">
        <v>416</v>
      </c>
      <c r="G4294" s="28">
        <v>1978945</v>
      </c>
      <c r="H4294">
        <v>0</v>
      </c>
      <c r="I4294" s="29">
        <f t="shared" si="67"/>
        <v>1978945</v>
      </c>
      <c r="J4294">
        <f>IFERROR(VLOOKUP(E4294,'LEAID Match'!$A$2:$B$168,2,FALSE),"")</f>
        <v>3307300</v>
      </c>
    </row>
    <row r="4295" spans="1:10">
      <c r="A4295">
        <v>2015</v>
      </c>
      <c r="B4295" t="s">
        <v>1429</v>
      </c>
      <c r="C4295" t="s">
        <v>1431</v>
      </c>
      <c r="D4295" t="s">
        <v>1433</v>
      </c>
      <c r="E4295" t="s">
        <v>928</v>
      </c>
      <c r="F4295" s="9" t="s">
        <v>1416</v>
      </c>
      <c r="G4295" s="18">
        <v>611969.44999999995</v>
      </c>
      <c r="H4295">
        <v>0</v>
      </c>
      <c r="I4295" s="29">
        <f t="shared" si="67"/>
        <v>611969.44999999995</v>
      </c>
      <c r="J4295" t="str">
        <f>IFERROR(VLOOKUP(E4295,'LEAID Match'!$A$2:$B$168,2,FALSE),"")</f>
        <v/>
      </c>
    </row>
    <row r="4296" spans="1:10">
      <c r="A4296">
        <v>2016</v>
      </c>
      <c r="B4296" t="s">
        <v>1429</v>
      </c>
      <c r="C4296" t="s">
        <v>1431</v>
      </c>
      <c r="D4296" t="s">
        <v>1433</v>
      </c>
      <c r="E4296" t="s">
        <v>928</v>
      </c>
      <c r="F4296" t="s">
        <v>928</v>
      </c>
      <c r="G4296" s="28">
        <v>672857</v>
      </c>
      <c r="H4296">
        <v>0</v>
      </c>
      <c r="I4296" s="29">
        <f t="shared" si="67"/>
        <v>672857</v>
      </c>
      <c r="J4296" t="str">
        <f>IFERROR(VLOOKUP(E4296,'LEAID Match'!$A$2:$B$168,2,FALSE),"")</f>
        <v/>
      </c>
    </row>
    <row r="4297" spans="1:10">
      <c r="A4297">
        <v>2017</v>
      </c>
      <c r="B4297" t="s">
        <v>1429</v>
      </c>
      <c r="C4297" t="s">
        <v>1431</v>
      </c>
      <c r="D4297" t="s">
        <v>1433</v>
      </c>
      <c r="E4297" t="s">
        <v>928</v>
      </c>
      <c r="F4297" t="s">
        <v>928</v>
      </c>
      <c r="G4297" s="28">
        <v>748660</v>
      </c>
      <c r="H4297">
        <v>0</v>
      </c>
      <c r="I4297" s="29">
        <f t="shared" si="67"/>
        <v>748660</v>
      </c>
      <c r="J4297" t="str">
        <f>IFERROR(VLOOKUP(E4297,'LEAID Match'!$A$2:$B$168,2,FALSE),"")</f>
        <v/>
      </c>
    </row>
    <row r="4298" spans="1:10">
      <c r="A4298" s="27">
        <v>2018</v>
      </c>
      <c r="B4298" t="s">
        <v>1429</v>
      </c>
      <c r="C4298" t="s">
        <v>1431</v>
      </c>
      <c r="D4298" t="s">
        <v>1433</v>
      </c>
      <c r="E4298" t="s">
        <v>928</v>
      </c>
      <c r="F4298" s="9" t="s">
        <v>928</v>
      </c>
      <c r="G4298" s="18">
        <v>826191</v>
      </c>
      <c r="H4298">
        <v>0</v>
      </c>
      <c r="I4298" s="29">
        <f t="shared" si="67"/>
        <v>826191</v>
      </c>
      <c r="J4298" t="str">
        <f>IFERROR(VLOOKUP(E4298,'LEAID Match'!$A$2:$B$168,2,FALSE),"")</f>
        <v/>
      </c>
    </row>
    <row r="4299" spans="1:10">
      <c r="A4299">
        <v>2019</v>
      </c>
      <c r="B4299" t="s">
        <v>1429</v>
      </c>
      <c r="C4299" t="s">
        <v>1431</v>
      </c>
      <c r="D4299" t="s">
        <v>1433</v>
      </c>
      <c r="E4299" t="s">
        <v>928</v>
      </c>
      <c r="F4299" s="9" t="s">
        <v>928</v>
      </c>
      <c r="G4299" s="18">
        <v>865416</v>
      </c>
      <c r="H4299">
        <v>0</v>
      </c>
      <c r="I4299" s="29">
        <f t="shared" si="67"/>
        <v>865416</v>
      </c>
      <c r="J4299" t="str">
        <f>IFERROR(VLOOKUP(E4299,'LEAID Match'!$A$2:$B$168,2,FALSE),"")</f>
        <v/>
      </c>
    </row>
    <row r="4300" spans="1:10">
      <c r="A4300">
        <v>2015</v>
      </c>
      <c r="B4300" t="s">
        <v>1429</v>
      </c>
      <c r="C4300" t="s">
        <v>1431</v>
      </c>
      <c r="D4300" t="s">
        <v>1433</v>
      </c>
      <c r="E4300" t="s">
        <v>929</v>
      </c>
      <c r="F4300" s="9" t="s">
        <v>1417</v>
      </c>
      <c r="G4300" s="18">
        <v>97396.45</v>
      </c>
      <c r="H4300">
        <v>0</v>
      </c>
      <c r="I4300" s="29">
        <f t="shared" si="67"/>
        <v>97396.45</v>
      </c>
      <c r="J4300" t="str">
        <f>IFERROR(VLOOKUP(E4300,'LEAID Match'!$A$2:$B$168,2,FALSE),"")</f>
        <v/>
      </c>
    </row>
    <row r="4301" spans="1:10">
      <c r="A4301">
        <v>2016</v>
      </c>
      <c r="B4301" t="s">
        <v>1429</v>
      </c>
      <c r="C4301" t="s">
        <v>1431</v>
      </c>
      <c r="D4301" t="s">
        <v>1433</v>
      </c>
      <c r="E4301" t="s">
        <v>929</v>
      </c>
      <c r="F4301" t="s">
        <v>929</v>
      </c>
      <c r="G4301" s="28">
        <v>114205</v>
      </c>
      <c r="H4301">
        <v>0</v>
      </c>
      <c r="I4301" s="29">
        <f t="shared" si="67"/>
        <v>114205</v>
      </c>
      <c r="J4301" t="str">
        <f>IFERROR(VLOOKUP(E4301,'LEAID Match'!$A$2:$B$168,2,FALSE),"")</f>
        <v/>
      </c>
    </row>
    <row r="4302" spans="1:10">
      <c r="A4302">
        <v>2017</v>
      </c>
      <c r="B4302" t="s">
        <v>1429</v>
      </c>
      <c r="C4302" t="s">
        <v>1431</v>
      </c>
      <c r="D4302" t="s">
        <v>1433</v>
      </c>
      <c r="E4302" t="s">
        <v>929</v>
      </c>
      <c r="F4302" t="s">
        <v>929</v>
      </c>
      <c r="G4302" s="28">
        <v>121678</v>
      </c>
      <c r="H4302">
        <v>0</v>
      </c>
      <c r="I4302" s="29">
        <f t="shared" si="67"/>
        <v>121678</v>
      </c>
      <c r="J4302" t="str">
        <f>IFERROR(VLOOKUP(E4302,'LEAID Match'!$A$2:$B$168,2,FALSE),"")</f>
        <v/>
      </c>
    </row>
    <row r="4303" spans="1:10">
      <c r="A4303" s="27">
        <v>2018</v>
      </c>
      <c r="B4303" t="s">
        <v>1429</v>
      </c>
      <c r="C4303" t="s">
        <v>1431</v>
      </c>
      <c r="D4303" t="s">
        <v>1433</v>
      </c>
      <c r="E4303" t="s">
        <v>929</v>
      </c>
      <c r="F4303" s="9" t="s">
        <v>929</v>
      </c>
      <c r="G4303" s="18">
        <v>129541</v>
      </c>
      <c r="H4303">
        <v>0</v>
      </c>
      <c r="I4303" s="29">
        <f t="shared" si="67"/>
        <v>129541</v>
      </c>
      <c r="J4303" t="str">
        <f>IFERROR(VLOOKUP(E4303,'LEAID Match'!$A$2:$B$168,2,FALSE),"")</f>
        <v/>
      </c>
    </row>
    <row r="4304" spans="1:10">
      <c r="A4304">
        <v>2019</v>
      </c>
      <c r="B4304" t="s">
        <v>1429</v>
      </c>
      <c r="C4304" t="s">
        <v>1431</v>
      </c>
      <c r="D4304" t="s">
        <v>1433</v>
      </c>
      <c r="E4304" t="s">
        <v>929</v>
      </c>
      <c r="F4304" s="9" t="s">
        <v>929</v>
      </c>
      <c r="G4304" s="18">
        <v>140919</v>
      </c>
      <c r="H4304">
        <v>0</v>
      </c>
      <c r="I4304" s="29">
        <f t="shared" si="67"/>
        <v>140919</v>
      </c>
      <c r="J4304" t="str">
        <f>IFERROR(VLOOKUP(E4304,'LEAID Match'!$A$2:$B$168,2,FALSE),"")</f>
        <v/>
      </c>
    </row>
    <row r="4305" spans="1:10">
      <c r="A4305">
        <v>2015</v>
      </c>
      <c r="B4305" t="s">
        <v>1429</v>
      </c>
      <c r="C4305" t="s">
        <v>1431</v>
      </c>
      <c r="D4305" t="s">
        <v>1433</v>
      </c>
      <c r="E4305" t="s">
        <v>417</v>
      </c>
      <c r="F4305" s="9" t="s">
        <v>1418</v>
      </c>
      <c r="G4305" s="18">
        <v>29861.74</v>
      </c>
      <c r="H4305">
        <v>0</v>
      </c>
      <c r="I4305" s="29">
        <f t="shared" si="67"/>
        <v>29861.74</v>
      </c>
      <c r="J4305" t="str">
        <f>IFERROR(VLOOKUP(E4305,'LEAID Match'!$A$2:$B$168,2,FALSE),"")</f>
        <v/>
      </c>
    </row>
    <row r="4306" spans="1:10">
      <c r="A4306">
        <v>2016</v>
      </c>
      <c r="B4306" t="s">
        <v>1429</v>
      </c>
      <c r="C4306" t="s">
        <v>1431</v>
      </c>
      <c r="D4306" t="s">
        <v>1433</v>
      </c>
      <c r="E4306" t="s">
        <v>417</v>
      </c>
      <c r="F4306" t="s">
        <v>417</v>
      </c>
      <c r="G4306" s="28">
        <v>33947</v>
      </c>
      <c r="H4306">
        <v>0</v>
      </c>
      <c r="I4306" s="29">
        <f t="shared" si="67"/>
        <v>33947</v>
      </c>
      <c r="J4306" t="str">
        <f>IFERROR(VLOOKUP(E4306,'LEAID Match'!$A$2:$B$168,2,FALSE),"")</f>
        <v/>
      </c>
    </row>
    <row r="4307" spans="1:10">
      <c r="A4307">
        <v>2017</v>
      </c>
      <c r="B4307" t="s">
        <v>1429</v>
      </c>
      <c r="C4307" t="s">
        <v>1431</v>
      </c>
      <c r="D4307" t="s">
        <v>1433</v>
      </c>
      <c r="E4307" t="s">
        <v>417</v>
      </c>
      <c r="F4307" t="s">
        <v>417</v>
      </c>
      <c r="G4307" s="28">
        <v>37724</v>
      </c>
      <c r="H4307">
        <v>0</v>
      </c>
      <c r="I4307" s="29">
        <f t="shared" si="67"/>
        <v>37724</v>
      </c>
      <c r="J4307" t="str">
        <f>IFERROR(VLOOKUP(E4307,'LEAID Match'!$A$2:$B$168,2,FALSE),"")</f>
        <v/>
      </c>
    </row>
    <row r="4308" spans="1:10">
      <c r="A4308" s="27">
        <v>2018</v>
      </c>
      <c r="B4308" t="s">
        <v>1429</v>
      </c>
      <c r="C4308" t="s">
        <v>1431</v>
      </c>
      <c r="D4308" t="s">
        <v>1433</v>
      </c>
      <c r="E4308" t="s">
        <v>417</v>
      </c>
      <c r="F4308" s="9" t="s">
        <v>417</v>
      </c>
      <c r="G4308" s="18">
        <v>44180</v>
      </c>
      <c r="H4308">
        <v>0</v>
      </c>
      <c r="I4308" s="29">
        <f t="shared" si="67"/>
        <v>44180</v>
      </c>
      <c r="J4308" t="str">
        <f>IFERROR(VLOOKUP(E4308,'LEAID Match'!$A$2:$B$168,2,FALSE),"")</f>
        <v/>
      </c>
    </row>
    <row r="4309" spans="1:10">
      <c r="A4309">
        <v>2019</v>
      </c>
      <c r="B4309" t="s">
        <v>1429</v>
      </c>
      <c r="C4309" t="s">
        <v>1431</v>
      </c>
      <c r="D4309" t="s">
        <v>1433</v>
      </c>
      <c r="E4309" t="s">
        <v>417</v>
      </c>
      <c r="F4309" s="9" t="s">
        <v>417</v>
      </c>
      <c r="G4309" s="18">
        <v>51044</v>
      </c>
      <c r="H4309">
        <v>0</v>
      </c>
      <c r="I4309" s="29">
        <f t="shared" si="67"/>
        <v>51044</v>
      </c>
      <c r="J4309" t="str">
        <f>IFERROR(VLOOKUP(E4309,'LEAID Match'!$A$2:$B$168,2,FALSE),"")</f>
        <v/>
      </c>
    </row>
    <row r="4310" spans="1:10">
      <c r="A4310" s="27">
        <v>2020</v>
      </c>
      <c r="B4310" t="s">
        <v>1429</v>
      </c>
      <c r="C4310" t="s">
        <v>1431</v>
      </c>
      <c r="D4310" t="s">
        <v>1433</v>
      </c>
      <c r="E4310" t="s">
        <v>417</v>
      </c>
      <c r="F4310" s="9" t="s">
        <v>417</v>
      </c>
      <c r="G4310" s="18">
        <v>44542</v>
      </c>
      <c r="H4310">
        <v>0</v>
      </c>
      <c r="I4310" s="29">
        <f t="shared" si="67"/>
        <v>44542</v>
      </c>
      <c r="J4310" t="str">
        <f>IFERROR(VLOOKUP(E4310,'LEAID Match'!$A$2:$B$168,2,FALSE),"")</f>
        <v/>
      </c>
    </row>
    <row r="4311" spans="1:10">
      <c r="A4311">
        <v>2021</v>
      </c>
      <c r="B4311" t="s">
        <v>1429</v>
      </c>
      <c r="C4311" t="s">
        <v>1431</v>
      </c>
      <c r="D4311" t="s">
        <v>1433</v>
      </c>
      <c r="E4311" t="s">
        <v>417</v>
      </c>
      <c r="F4311" s="9" t="s">
        <v>417</v>
      </c>
      <c r="G4311" s="18">
        <v>46114</v>
      </c>
      <c r="H4311">
        <v>0</v>
      </c>
      <c r="I4311" s="29">
        <f t="shared" si="67"/>
        <v>46114</v>
      </c>
      <c r="J4311" t="str">
        <f>IFERROR(VLOOKUP(E4311,'LEAID Match'!$A$2:$B$168,2,FALSE),"")</f>
        <v/>
      </c>
    </row>
    <row r="4312" spans="1:10">
      <c r="A4312">
        <v>2022</v>
      </c>
      <c r="B4312" t="s">
        <v>1429</v>
      </c>
      <c r="C4312" t="s">
        <v>1431</v>
      </c>
      <c r="D4312" t="s">
        <v>1433</v>
      </c>
      <c r="E4312" t="s">
        <v>417</v>
      </c>
      <c r="F4312" s="9" t="s">
        <v>417</v>
      </c>
      <c r="G4312" s="18">
        <v>69074</v>
      </c>
      <c r="H4312">
        <v>0</v>
      </c>
      <c r="I4312" s="29">
        <f t="shared" si="67"/>
        <v>69074</v>
      </c>
      <c r="J4312" t="str">
        <f>IFERROR(VLOOKUP(E4312,'LEAID Match'!$A$2:$B$168,2,FALSE),"")</f>
        <v/>
      </c>
    </row>
    <row r="4313" spans="1:10">
      <c r="A4313">
        <v>2023</v>
      </c>
      <c r="B4313" t="s">
        <v>1429</v>
      </c>
      <c r="C4313" t="s">
        <v>1431</v>
      </c>
      <c r="D4313" t="s">
        <v>1433</v>
      </c>
      <c r="E4313" t="s">
        <v>417</v>
      </c>
      <c r="F4313" t="s">
        <v>417</v>
      </c>
      <c r="G4313" s="28">
        <v>98720</v>
      </c>
      <c r="H4313">
        <v>0</v>
      </c>
      <c r="I4313" s="29">
        <f t="shared" si="67"/>
        <v>98720</v>
      </c>
      <c r="J4313" t="str">
        <f>IFERROR(VLOOKUP(E4313,'LEAID Match'!$A$2:$B$168,2,FALSE),"")</f>
        <v/>
      </c>
    </row>
    <row r="4314" spans="1:10">
      <c r="A4314">
        <v>2015</v>
      </c>
      <c r="B4314" t="s">
        <v>1429</v>
      </c>
      <c r="C4314" t="s">
        <v>1431</v>
      </c>
      <c r="D4314" t="s">
        <v>1433</v>
      </c>
      <c r="E4314" t="s">
        <v>418</v>
      </c>
      <c r="F4314" s="9" t="s">
        <v>1419</v>
      </c>
      <c r="G4314" s="18">
        <v>39776.86</v>
      </c>
      <c r="H4314">
        <v>0</v>
      </c>
      <c r="I4314" s="29">
        <f t="shared" si="67"/>
        <v>39776.86</v>
      </c>
      <c r="J4314" t="str">
        <f>IFERROR(VLOOKUP(E4314,'LEAID Match'!$A$2:$B$168,2,FALSE),"")</f>
        <v/>
      </c>
    </row>
    <row r="4315" spans="1:10">
      <c r="A4315">
        <v>2016</v>
      </c>
      <c r="B4315" t="s">
        <v>1429</v>
      </c>
      <c r="C4315" t="s">
        <v>1431</v>
      </c>
      <c r="D4315" t="s">
        <v>1433</v>
      </c>
      <c r="E4315" t="s">
        <v>418</v>
      </c>
      <c r="F4315" t="s">
        <v>418</v>
      </c>
      <c r="G4315" s="28">
        <v>42731</v>
      </c>
      <c r="H4315">
        <v>0</v>
      </c>
      <c r="I4315" s="29">
        <f t="shared" si="67"/>
        <v>42731</v>
      </c>
      <c r="J4315" t="str">
        <f>IFERROR(VLOOKUP(E4315,'LEAID Match'!$A$2:$B$168,2,FALSE),"")</f>
        <v/>
      </c>
    </row>
    <row r="4316" spans="1:10">
      <c r="A4316">
        <v>2017</v>
      </c>
      <c r="B4316" t="s">
        <v>1429</v>
      </c>
      <c r="C4316" t="s">
        <v>1431</v>
      </c>
      <c r="D4316" t="s">
        <v>1433</v>
      </c>
      <c r="E4316" t="s">
        <v>418</v>
      </c>
      <c r="F4316" t="s">
        <v>418</v>
      </c>
      <c r="G4316" s="28">
        <v>45553</v>
      </c>
      <c r="H4316">
        <v>0</v>
      </c>
      <c r="I4316" s="29">
        <f t="shared" si="67"/>
        <v>45553</v>
      </c>
      <c r="J4316" t="str">
        <f>IFERROR(VLOOKUP(E4316,'LEAID Match'!$A$2:$B$168,2,FALSE),"")</f>
        <v/>
      </c>
    </row>
    <row r="4317" spans="1:10">
      <c r="A4317" s="27">
        <v>2018</v>
      </c>
      <c r="B4317" t="s">
        <v>1429</v>
      </c>
      <c r="C4317" t="s">
        <v>1431</v>
      </c>
      <c r="D4317" t="s">
        <v>1433</v>
      </c>
      <c r="E4317" t="s">
        <v>418</v>
      </c>
      <c r="F4317" s="9" t="s">
        <v>418</v>
      </c>
      <c r="G4317" s="18">
        <v>42394</v>
      </c>
      <c r="H4317">
        <v>0</v>
      </c>
      <c r="I4317" s="29">
        <f t="shared" si="67"/>
        <v>42394</v>
      </c>
      <c r="J4317" t="str">
        <f>IFERROR(VLOOKUP(E4317,'LEAID Match'!$A$2:$B$168,2,FALSE),"")</f>
        <v/>
      </c>
    </row>
    <row r="4318" spans="1:10">
      <c r="A4318">
        <v>2019</v>
      </c>
      <c r="B4318" t="s">
        <v>1429</v>
      </c>
      <c r="C4318" t="s">
        <v>1431</v>
      </c>
      <c r="D4318" t="s">
        <v>1433</v>
      </c>
      <c r="E4318" t="s">
        <v>418</v>
      </c>
      <c r="F4318" s="9" t="s">
        <v>418</v>
      </c>
      <c r="G4318" s="18">
        <v>37969</v>
      </c>
      <c r="H4318">
        <v>0</v>
      </c>
      <c r="I4318" s="29">
        <f t="shared" si="67"/>
        <v>37969</v>
      </c>
      <c r="J4318" t="str">
        <f>IFERROR(VLOOKUP(E4318,'LEAID Match'!$A$2:$B$168,2,FALSE),"")</f>
        <v/>
      </c>
    </row>
    <row r="4319" spans="1:10">
      <c r="A4319" s="27">
        <v>2020</v>
      </c>
      <c r="B4319" t="s">
        <v>1429</v>
      </c>
      <c r="C4319" t="s">
        <v>1431</v>
      </c>
      <c r="D4319" t="s">
        <v>1433</v>
      </c>
      <c r="E4319" t="s">
        <v>418</v>
      </c>
      <c r="F4319" s="9" t="s">
        <v>418</v>
      </c>
      <c r="G4319" s="18">
        <v>36032</v>
      </c>
      <c r="H4319">
        <v>0</v>
      </c>
      <c r="I4319" s="29">
        <f t="shared" si="67"/>
        <v>36032</v>
      </c>
      <c r="J4319" t="str">
        <f>IFERROR(VLOOKUP(E4319,'LEAID Match'!$A$2:$B$168,2,FALSE),"")</f>
        <v/>
      </c>
    </row>
    <row r="4320" spans="1:10">
      <c r="A4320">
        <v>2021</v>
      </c>
      <c r="B4320" t="s">
        <v>1429</v>
      </c>
      <c r="C4320" t="s">
        <v>1431</v>
      </c>
      <c r="D4320" t="s">
        <v>1433</v>
      </c>
      <c r="E4320" t="s">
        <v>418</v>
      </c>
      <c r="F4320" s="9" t="s">
        <v>418</v>
      </c>
      <c r="G4320" s="18">
        <v>39879</v>
      </c>
      <c r="H4320">
        <v>0</v>
      </c>
      <c r="I4320" s="29">
        <f t="shared" si="67"/>
        <v>39879</v>
      </c>
      <c r="J4320" t="str">
        <f>IFERROR(VLOOKUP(E4320,'LEAID Match'!$A$2:$B$168,2,FALSE),"")</f>
        <v/>
      </c>
    </row>
    <row r="4321" spans="1:10">
      <c r="A4321">
        <v>2022</v>
      </c>
      <c r="B4321" t="s">
        <v>1429</v>
      </c>
      <c r="C4321" t="s">
        <v>1431</v>
      </c>
      <c r="D4321" t="s">
        <v>1433</v>
      </c>
      <c r="E4321" t="s">
        <v>418</v>
      </c>
      <c r="F4321" s="9" t="s">
        <v>418</v>
      </c>
      <c r="G4321" s="18">
        <v>54331</v>
      </c>
      <c r="H4321">
        <v>0</v>
      </c>
      <c r="I4321" s="29">
        <f t="shared" si="67"/>
        <v>54331</v>
      </c>
      <c r="J4321" t="str">
        <f>IFERROR(VLOOKUP(E4321,'LEAID Match'!$A$2:$B$168,2,FALSE),"")</f>
        <v/>
      </c>
    </row>
    <row r="4322" spans="1:10">
      <c r="A4322">
        <v>2023</v>
      </c>
      <c r="B4322" t="s">
        <v>1429</v>
      </c>
      <c r="C4322" t="s">
        <v>1431</v>
      </c>
      <c r="D4322" t="s">
        <v>1433</v>
      </c>
      <c r="E4322" t="s">
        <v>418</v>
      </c>
      <c r="F4322" t="s">
        <v>418</v>
      </c>
      <c r="G4322" s="28">
        <v>31079</v>
      </c>
      <c r="H4322">
        <v>0</v>
      </c>
      <c r="I4322" s="29">
        <f t="shared" si="67"/>
        <v>31079</v>
      </c>
      <c r="J4322" t="str">
        <f>IFERROR(VLOOKUP(E4322,'LEAID Match'!$A$2:$B$168,2,FALSE),"")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D7CD2-4217-EC4B-8901-CDDE00825EC9}">
  <sheetPr>
    <tabColor rgb="FFFF0000"/>
  </sheetPr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4419F-B395-5248-8040-7E38F9AA573B}">
  <sheetPr>
    <tabColor rgb="FFFFFF00"/>
  </sheetPr>
  <dimension ref="A1:K473"/>
  <sheetViews>
    <sheetView workbookViewId="0">
      <selection activeCell="E2" sqref="E2:G467"/>
    </sheetView>
  </sheetViews>
  <sheetFormatPr baseColWidth="10" defaultRowHeight="16"/>
  <cols>
    <col min="2" max="2" width="28.5" style="9" bestFit="1" customWidth="1"/>
    <col min="3" max="3" width="18.83203125" style="9" bestFit="1" customWidth="1"/>
    <col min="4" max="4" width="3.83203125" style="9" customWidth="1"/>
    <col min="5" max="6" width="15" style="9" customWidth="1"/>
    <col min="7" max="7" width="18.83203125" style="9" bestFit="1" customWidth="1"/>
  </cols>
  <sheetData>
    <row r="1" spans="1:9">
      <c r="A1" t="s">
        <v>1421</v>
      </c>
      <c r="B1" s="9" t="s">
        <v>419</v>
      </c>
      <c r="C1" s="9" t="s">
        <v>1422</v>
      </c>
      <c r="E1" t="s">
        <v>1421</v>
      </c>
      <c r="F1" s="9" t="s">
        <v>419</v>
      </c>
      <c r="G1" s="9" t="s">
        <v>1422</v>
      </c>
    </row>
    <row r="2" spans="1:9">
      <c r="A2">
        <v>2023</v>
      </c>
      <c r="B2" s="9" t="s">
        <v>0</v>
      </c>
      <c r="C2" s="10">
        <v>522842</v>
      </c>
      <c r="D2" s="10"/>
      <c r="E2">
        <v>2022</v>
      </c>
      <c r="F2" s="9" t="s">
        <v>0</v>
      </c>
      <c r="G2" s="10">
        <v>519261</v>
      </c>
      <c r="H2" s="2"/>
      <c r="I2" s="1"/>
    </row>
    <row r="3" spans="1:9">
      <c r="A3">
        <v>2023</v>
      </c>
      <c r="B3" s="9" t="s">
        <v>1</v>
      </c>
      <c r="C3" s="10">
        <v>810441</v>
      </c>
      <c r="D3" s="10"/>
      <c r="E3">
        <v>2022</v>
      </c>
      <c r="F3" s="9" t="s">
        <v>1</v>
      </c>
      <c r="G3" s="10">
        <v>834939</v>
      </c>
      <c r="H3" s="2"/>
      <c r="I3" s="3"/>
    </row>
    <row r="4" spans="1:9">
      <c r="A4">
        <v>2023</v>
      </c>
      <c r="B4" s="9" t="s">
        <v>2</v>
      </c>
      <c r="C4" s="10">
        <v>2691798</v>
      </c>
      <c r="D4" s="10"/>
      <c r="E4">
        <v>2022</v>
      </c>
      <c r="F4" s="9" t="s">
        <v>2</v>
      </c>
      <c r="G4" s="10">
        <v>2738262</v>
      </c>
      <c r="H4" s="2"/>
      <c r="I4" s="3"/>
    </row>
    <row r="5" spans="1:9">
      <c r="A5">
        <v>2023</v>
      </c>
      <c r="B5" s="9" t="s">
        <v>3</v>
      </c>
      <c r="C5" s="10">
        <v>340073</v>
      </c>
      <c r="D5" s="10"/>
      <c r="E5">
        <v>2022</v>
      </c>
      <c r="F5" s="9" t="s">
        <v>3</v>
      </c>
      <c r="G5" s="10">
        <v>338223</v>
      </c>
      <c r="H5" s="2"/>
      <c r="I5" s="3"/>
    </row>
    <row r="6" spans="1:9">
      <c r="A6">
        <v>2023</v>
      </c>
      <c r="B6" s="9" t="s">
        <v>4</v>
      </c>
      <c r="C6" s="10">
        <v>118659</v>
      </c>
      <c r="D6" s="10"/>
      <c r="E6">
        <v>2022</v>
      </c>
      <c r="F6" s="9" t="s">
        <v>4</v>
      </c>
      <c r="G6" s="10">
        <v>107946</v>
      </c>
      <c r="H6" s="2"/>
      <c r="I6" s="3"/>
    </row>
    <row r="7" spans="1:9">
      <c r="A7">
        <v>2023</v>
      </c>
      <c r="B7" s="9" t="s">
        <v>5</v>
      </c>
      <c r="C7" s="10">
        <v>349587</v>
      </c>
      <c r="D7" s="10"/>
      <c r="E7">
        <v>2022</v>
      </c>
      <c r="F7" s="9" t="s">
        <v>5</v>
      </c>
      <c r="G7" s="10">
        <v>331478</v>
      </c>
      <c r="H7" s="2"/>
      <c r="I7" s="3"/>
    </row>
    <row r="8" spans="1:9">
      <c r="A8">
        <v>2023</v>
      </c>
      <c r="B8" s="9" t="s">
        <v>6</v>
      </c>
      <c r="C8" s="10">
        <v>768265</v>
      </c>
      <c r="D8" s="10"/>
      <c r="E8">
        <v>2022</v>
      </c>
      <c r="F8" s="9" t="s">
        <v>6</v>
      </c>
      <c r="G8" s="10">
        <v>791606</v>
      </c>
      <c r="H8" s="2"/>
      <c r="I8" s="3"/>
    </row>
    <row r="9" spans="1:9">
      <c r="A9">
        <v>2023</v>
      </c>
      <c r="B9" s="9" t="s">
        <v>7</v>
      </c>
      <c r="C9" s="10">
        <v>680775</v>
      </c>
      <c r="D9" s="10"/>
      <c r="E9">
        <v>2022</v>
      </c>
      <c r="F9" s="9" t="s">
        <v>7</v>
      </c>
      <c r="G9" s="10">
        <v>786707</v>
      </c>
      <c r="H9" s="2"/>
      <c r="I9" s="3"/>
    </row>
    <row r="10" spans="1:9">
      <c r="A10">
        <v>2023</v>
      </c>
      <c r="B10" s="9" t="s">
        <v>8</v>
      </c>
      <c r="C10" s="10">
        <v>1623198</v>
      </c>
      <c r="D10" s="10"/>
      <c r="E10">
        <v>2022</v>
      </c>
      <c r="F10" s="9" t="s">
        <v>8</v>
      </c>
      <c r="G10" s="10">
        <v>1567097</v>
      </c>
      <c r="H10" s="2"/>
      <c r="I10" s="3"/>
    </row>
    <row r="11" spans="1:9">
      <c r="A11">
        <v>2023</v>
      </c>
      <c r="B11" s="9" t="s">
        <v>9</v>
      </c>
      <c r="C11" s="10">
        <v>415676</v>
      </c>
      <c r="D11" s="10"/>
      <c r="E11">
        <v>2022</v>
      </c>
      <c r="F11" s="9" t="s">
        <v>9</v>
      </c>
      <c r="G11" s="10">
        <v>479290</v>
      </c>
      <c r="H11" s="2"/>
      <c r="I11" s="3"/>
    </row>
    <row r="12" spans="1:9">
      <c r="A12">
        <v>2023</v>
      </c>
      <c r="B12" s="9" t="s">
        <v>10</v>
      </c>
      <c r="C12" s="10">
        <v>120388</v>
      </c>
      <c r="D12" s="10"/>
      <c r="E12">
        <v>2022</v>
      </c>
      <c r="F12" s="9" t="s">
        <v>10</v>
      </c>
      <c r="G12" s="10">
        <v>125648</v>
      </c>
      <c r="H12" s="2"/>
      <c r="I12" s="3"/>
    </row>
    <row r="13" spans="1:9">
      <c r="A13">
        <v>2023</v>
      </c>
      <c r="B13" s="9" t="s">
        <v>11</v>
      </c>
      <c r="C13" s="10">
        <v>45025</v>
      </c>
      <c r="D13" s="10"/>
      <c r="E13">
        <v>2022</v>
      </c>
      <c r="F13" s="9" t="s">
        <v>11</v>
      </c>
      <c r="G13" s="10">
        <v>41869</v>
      </c>
      <c r="H13" s="2"/>
      <c r="I13" s="3"/>
    </row>
    <row r="14" spans="1:9">
      <c r="A14">
        <v>2023</v>
      </c>
      <c r="B14" s="9" t="s">
        <v>12</v>
      </c>
      <c r="C14" s="10">
        <v>6272374</v>
      </c>
      <c r="D14" s="10"/>
      <c r="E14">
        <v>2022</v>
      </c>
      <c r="F14" s="9" t="s">
        <v>12</v>
      </c>
      <c r="G14" s="10">
        <v>6244874</v>
      </c>
      <c r="H14" s="2"/>
      <c r="I14" s="3"/>
    </row>
    <row r="15" spans="1:9">
      <c r="A15">
        <v>2023</v>
      </c>
      <c r="B15" s="9" t="s">
        <v>13</v>
      </c>
      <c r="C15" s="10">
        <v>1811184</v>
      </c>
      <c r="D15" s="10"/>
      <c r="E15">
        <v>2022</v>
      </c>
      <c r="F15" s="9" t="s">
        <v>13</v>
      </c>
      <c r="G15" s="10">
        <v>1702672</v>
      </c>
      <c r="H15" s="2"/>
      <c r="I15" s="3"/>
    </row>
    <row r="16" spans="1:9">
      <c r="A16">
        <v>2023</v>
      </c>
      <c r="B16" s="9" t="s">
        <v>14</v>
      </c>
      <c r="C16" s="10">
        <v>7245</v>
      </c>
      <c r="D16" s="10"/>
      <c r="E16">
        <v>2022</v>
      </c>
      <c r="F16" s="9" t="s">
        <v>14</v>
      </c>
      <c r="G16" s="10">
        <v>6955</v>
      </c>
      <c r="H16" s="2"/>
      <c r="I16" s="3"/>
    </row>
    <row r="17" spans="1:9">
      <c r="A17">
        <v>2023</v>
      </c>
      <c r="B17" s="9" t="s">
        <v>15</v>
      </c>
      <c r="C17" s="10">
        <v>47577</v>
      </c>
      <c r="D17" s="10"/>
      <c r="E17">
        <v>2022</v>
      </c>
      <c r="F17" s="9" t="s">
        <v>15</v>
      </c>
      <c r="G17" s="10">
        <v>41556</v>
      </c>
      <c r="H17" s="2"/>
      <c r="I17" s="3"/>
    </row>
    <row r="18" spans="1:9">
      <c r="A18">
        <v>2023</v>
      </c>
      <c r="B18" s="9" t="s">
        <v>16</v>
      </c>
      <c r="C18" s="10">
        <v>81477</v>
      </c>
      <c r="D18" s="10"/>
      <c r="E18">
        <v>2022</v>
      </c>
      <c r="F18" s="9" t="s">
        <v>16</v>
      </c>
      <c r="G18" s="10">
        <v>85205</v>
      </c>
      <c r="H18" s="2"/>
      <c r="I18" s="3"/>
    </row>
    <row r="19" spans="1:9">
      <c r="A19">
        <v>2023</v>
      </c>
      <c r="B19" s="9" t="s">
        <v>17</v>
      </c>
      <c r="C19" s="10">
        <v>332355</v>
      </c>
      <c r="D19" s="10"/>
      <c r="E19">
        <v>2022</v>
      </c>
      <c r="F19" s="9" t="s">
        <v>17</v>
      </c>
      <c r="G19" s="10">
        <v>352607</v>
      </c>
      <c r="H19" s="2"/>
      <c r="I19" s="3"/>
    </row>
    <row r="20" spans="1:9">
      <c r="A20">
        <v>2023</v>
      </c>
      <c r="B20" s="9" t="s">
        <v>18</v>
      </c>
      <c r="C20" s="10">
        <v>2893483</v>
      </c>
      <c r="D20" s="10"/>
      <c r="E20">
        <v>2022</v>
      </c>
      <c r="F20" s="9" t="s">
        <v>18</v>
      </c>
      <c r="G20" s="10">
        <v>2815990</v>
      </c>
      <c r="H20" s="2"/>
      <c r="I20" s="3"/>
    </row>
    <row r="21" spans="1:9">
      <c r="A21">
        <v>2023</v>
      </c>
      <c r="B21" s="9" t="s">
        <v>19</v>
      </c>
      <c r="C21" s="10">
        <v>519240</v>
      </c>
      <c r="D21" s="10"/>
      <c r="E21">
        <v>2022</v>
      </c>
      <c r="F21" s="9" t="s">
        <v>19</v>
      </c>
      <c r="G21" s="10">
        <v>494052</v>
      </c>
      <c r="H21" s="2"/>
      <c r="I21" s="3"/>
    </row>
    <row r="22" spans="1:9">
      <c r="A22">
        <v>2023</v>
      </c>
      <c r="B22" s="9" t="s">
        <v>20</v>
      </c>
      <c r="C22" s="10">
        <v>12247</v>
      </c>
      <c r="D22" s="10"/>
      <c r="E22">
        <v>2022</v>
      </c>
      <c r="F22" s="9" t="s">
        <v>20</v>
      </c>
      <c r="G22" s="10">
        <v>9558</v>
      </c>
      <c r="H22" s="2"/>
      <c r="I22" s="3"/>
    </row>
    <row r="23" spans="1:9">
      <c r="A23">
        <v>2023</v>
      </c>
      <c r="B23" s="9" t="s">
        <v>21</v>
      </c>
      <c r="C23" s="10">
        <v>810615</v>
      </c>
      <c r="D23" s="10"/>
      <c r="E23">
        <v>2022</v>
      </c>
      <c r="F23" s="9" t="s">
        <v>21</v>
      </c>
      <c r="G23" s="10">
        <v>785843</v>
      </c>
      <c r="H23" s="2"/>
      <c r="I23" s="3"/>
    </row>
    <row r="24" spans="1:9">
      <c r="A24">
        <v>2023</v>
      </c>
      <c r="B24" s="9" t="s">
        <v>22</v>
      </c>
      <c r="C24" s="10">
        <v>558568</v>
      </c>
      <c r="D24" s="10"/>
      <c r="E24">
        <v>2022</v>
      </c>
      <c r="F24" s="9" t="s">
        <v>22</v>
      </c>
      <c r="G24" s="10">
        <v>539011</v>
      </c>
      <c r="H24" s="2"/>
      <c r="I24" s="3"/>
    </row>
    <row r="25" spans="1:9">
      <c r="A25">
        <v>2023</v>
      </c>
      <c r="B25" s="9" t="s">
        <v>23</v>
      </c>
      <c r="C25" s="10">
        <v>417229</v>
      </c>
      <c r="D25" s="10"/>
      <c r="E25">
        <v>2022</v>
      </c>
      <c r="F25" s="9" t="s">
        <v>23</v>
      </c>
      <c r="G25" s="10">
        <v>422148</v>
      </c>
      <c r="H25" s="2"/>
      <c r="I25" s="3"/>
    </row>
    <row r="26" spans="1:9">
      <c r="A26">
        <v>2023</v>
      </c>
      <c r="B26" s="9" t="s">
        <v>24</v>
      </c>
      <c r="C26" s="10">
        <v>1983414</v>
      </c>
      <c r="D26" s="10"/>
      <c r="E26">
        <v>2022</v>
      </c>
      <c r="F26" s="9" t="s">
        <v>24</v>
      </c>
      <c r="G26" s="10">
        <v>1938819</v>
      </c>
      <c r="H26" s="2"/>
      <c r="I26" s="3"/>
    </row>
    <row r="27" spans="1:9">
      <c r="A27">
        <v>2023</v>
      </c>
      <c r="B27" s="9" t="s">
        <v>25</v>
      </c>
      <c r="C27" s="10">
        <v>18494</v>
      </c>
      <c r="D27" s="10"/>
      <c r="E27">
        <v>2022</v>
      </c>
      <c r="F27" s="9" t="s">
        <v>25</v>
      </c>
      <c r="G27" s="10">
        <v>17535</v>
      </c>
      <c r="H27" s="2"/>
      <c r="I27" s="3"/>
    </row>
    <row r="28" spans="1:9">
      <c r="A28">
        <v>2023</v>
      </c>
      <c r="B28" s="9" t="s">
        <v>26</v>
      </c>
      <c r="C28" s="10">
        <v>27476</v>
      </c>
      <c r="D28" s="10"/>
      <c r="E28">
        <v>2022</v>
      </c>
      <c r="F28" s="9" t="s">
        <v>26</v>
      </c>
      <c r="G28" s="10">
        <v>28182</v>
      </c>
      <c r="H28" s="2"/>
      <c r="I28" s="3"/>
    </row>
    <row r="29" spans="1:9">
      <c r="A29">
        <v>2023</v>
      </c>
      <c r="B29" s="9" t="s">
        <v>27</v>
      </c>
      <c r="C29" s="10">
        <v>2681014</v>
      </c>
      <c r="D29" s="10"/>
      <c r="E29">
        <v>2022</v>
      </c>
      <c r="F29" s="9" t="s">
        <v>27</v>
      </c>
      <c r="G29" s="10">
        <v>2464168</v>
      </c>
      <c r="H29" s="2"/>
      <c r="I29" s="3"/>
    </row>
    <row r="30" spans="1:9">
      <c r="A30">
        <v>2023</v>
      </c>
      <c r="B30" s="9" t="s">
        <v>28</v>
      </c>
      <c r="C30" s="10">
        <v>799127</v>
      </c>
      <c r="D30" s="10"/>
      <c r="E30">
        <v>2022</v>
      </c>
      <c r="F30" s="9" t="s">
        <v>28</v>
      </c>
      <c r="G30" s="10">
        <v>762498</v>
      </c>
      <c r="H30" s="2"/>
      <c r="I30" s="3"/>
    </row>
    <row r="31" spans="1:9">
      <c r="A31">
        <v>2023</v>
      </c>
      <c r="B31" s="9" t="s">
        <v>29</v>
      </c>
      <c r="C31" s="10">
        <v>430535</v>
      </c>
      <c r="D31" s="10"/>
      <c r="E31">
        <v>2022</v>
      </c>
      <c r="F31" s="9" t="s">
        <v>29</v>
      </c>
      <c r="G31" s="10">
        <v>427446</v>
      </c>
      <c r="H31" s="2"/>
      <c r="I31" s="3"/>
    </row>
    <row r="32" spans="1:9">
      <c r="A32">
        <v>2023</v>
      </c>
      <c r="B32" s="9" t="s">
        <v>30</v>
      </c>
      <c r="C32" s="10">
        <v>396192</v>
      </c>
      <c r="D32" s="10"/>
      <c r="E32">
        <v>2022</v>
      </c>
      <c r="F32" s="9" t="s">
        <v>30</v>
      </c>
      <c r="G32" s="10">
        <v>388869</v>
      </c>
      <c r="H32" s="2"/>
      <c r="I32" s="3"/>
    </row>
    <row r="33" spans="1:9">
      <c r="A33">
        <v>2023</v>
      </c>
      <c r="B33" s="9" t="s">
        <v>31</v>
      </c>
      <c r="C33" s="10">
        <v>1421422</v>
      </c>
      <c r="D33" s="10"/>
      <c r="E33">
        <v>2022</v>
      </c>
      <c r="F33" s="9" t="s">
        <v>31</v>
      </c>
      <c r="G33" s="10">
        <v>1345950</v>
      </c>
      <c r="H33" s="2"/>
      <c r="I33" s="3"/>
    </row>
    <row r="34" spans="1:9">
      <c r="A34">
        <v>2023</v>
      </c>
      <c r="B34" s="9" t="s">
        <v>32</v>
      </c>
      <c r="C34" s="10">
        <v>1318196</v>
      </c>
      <c r="D34" s="10"/>
      <c r="E34">
        <v>2022</v>
      </c>
      <c r="F34" s="9" t="s">
        <v>32</v>
      </c>
      <c r="G34" s="10">
        <v>1311655</v>
      </c>
      <c r="H34" s="2"/>
      <c r="I34" s="3"/>
    </row>
    <row r="35" spans="1:9">
      <c r="A35">
        <v>2023</v>
      </c>
      <c r="B35" s="9" t="s">
        <v>33</v>
      </c>
      <c r="C35" s="10">
        <v>7749151</v>
      </c>
      <c r="D35" s="10"/>
      <c r="E35">
        <v>2022</v>
      </c>
      <c r="F35" s="9" t="s">
        <v>33</v>
      </c>
      <c r="G35" s="10">
        <v>7466206</v>
      </c>
      <c r="H35" s="2"/>
      <c r="I35" s="3"/>
    </row>
    <row r="36" spans="1:9">
      <c r="A36">
        <v>2023</v>
      </c>
      <c r="B36" s="9" t="s">
        <v>34</v>
      </c>
      <c r="C36" s="10">
        <v>9855624</v>
      </c>
      <c r="D36" s="10"/>
      <c r="E36">
        <v>2022</v>
      </c>
      <c r="F36" s="9" t="s">
        <v>34</v>
      </c>
      <c r="G36" s="10">
        <v>9258499</v>
      </c>
      <c r="H36" s="2"/>
      <c r="I36" s="3"/>
    </row>
    <row r="37" spans="1:9">
      <c r="A37">
        <v>2023</v>
      </c>
      <c r="B37" s="9" t="s">
        <v>35</v>
      </c>
      <c r="C37" s="10">
        <v>1228472</v>
      </c>
      <c r="D37" s="10"/>
      <c r="E37">
        <v>2022</v>
      </c>
      <c r="F37" s="9" t="s">
        <v>35</v>
      </c>
      <c r="G37" s="10">
        <v>1163614</v>
      </c>
      <c r="H37" s="2"/>
      <c r="I37" s="3"/>
    </row>
    <row r="38" spans="1:9">
      <c r="A38">
        <v>2023</v>
      </c>
      <c r="B38" s="9" t="s">
        <v>36</v>
      </c>
      <c r="C38" s="10">
        <v>4156061</v>
      </c>
      <c r="D38" s="10"/>
      <c r="E38">
        <v>2022</v>
      </c>
      <c r="F38" s="9" t="s">
        <v>36</v>
      </c>
      <c r="G38" s="10">
        <v>4023810</v>
      </c>
      <c r="H38" s="2"/>
      <c r="I38" s="3"/>
    </row>
    <row r="39" spans="1:9">
      <c r="A39">
        <v>2023</v>
      </c>
      <c r="B39" s="9" t="s">
        <v>37</v>
      </c>
      <c r="C39" s="10">
        <v>2957030</v>
      </c>
      <c r="D39" s="10"/>
      <c r="E39">
        <v>2022</v>
      </c>
      <c r="F39" s="9" t="s">
        <v>37</v>
      </c>
      <c r="G39" s="10">
        <v>2708689</v>
      </c>
      <c r="H39" s="2"/>
      <c r="I39" s="3"/>
    </row>
    <row r="40" spans="1:9">
      <c r="A40">
        <v>2023</v>
      </c>
      <c r="B40" s="9" t="s">
        <v>38</v>
      </c>
      <c r="C40" s="10">
        <v>3172748</v>
      </c>
      <c r="D40" s="10"/>
      <c r="E40">
        <v>2022</v>
      </c>
      <c r="F40" s="9" t="s">
        <v>38</v>
      </c>
      <c r="G40" s="10">
        <v>2906407</v>
      </c>
      <c r="H40" s="2"/>
      <c r="I40" s="3"/>
    </row>
    <row r="41" spans="1:9">
      <c r="A41">
        <v>2023</v>
      </c>
      <c r="B41" s="9" t="s">
        <v>39</v>
      </c>
      <c r="C41" s="10">
        <v>13903864</v>
      </c>
      <c r="D41" s="10"/>
      <c r="E41">
        <v>2022</v>
      </c>
      <c r="F41" s="9" t="s">
        <v>39</v>
      </c>
      <c r="G41" s="10">
        <v>13481732</v>
      </c>
      <c r="H41" s="2"/>
      <c r="I41" s="3"/>
    </row>
    <row r="42" spans="1:9">
      <c r="A42">
        <v>2023</v>
      </c>
      <c r="B42" s="9" t="s">
        <v>40</v>
      </c>
      <c r="C42" s="10">
        <v>13675030</v>
      </c>
      <c r="D42" s="10"/>
      <c r="E42">
        <v>2022</v>
      </c>
      <c r="F42" s="9" t="s">
        <v>40</v>
      </c>
      <c r="G42" s="10">
        <v>13643300</v>
      </c>
      <c r="H42" s="2"/>
      <c r="I42" s="3"/>
    </row>
    <row r="43" spans="1:9">
      <c r="A43">
        <v>2023</v>
      </c>
      <c r="B43" s="9" t="s">
        <v>41</v>
      </c>
      <c r="C43" s="10">
        <v>6089994</v>
      </c>
      <c r="D43" s="10"/>
      <c r="E43">
        <v>2022</v>
      </c>
      <c r="F43" s="9" t="s">
        <v>41</v>
      </c>
      <c r="G43" s="10">
        <v>5990893</v>
      </c>
      <c r="H43" s="2"/>
      <c r="I43" s="3"/>
    </row>
    <row r="44" spans="1:9">
      <c r="A44">
        <v>2023</v>
      </c>
      <c r="B44" s="9" t="s">
        <v>42</v>
      </c>
      <c r="C44" s="10">
        <v>3597905</v>
      </c>
      <c r="D44" s="10"/>
      <c r="E44">
        <v>2022</v>
      </c>
      <c r="F44" s="9" t="s">
        <v>42</v>
      </c>
      <c r="G44" s="10">
        <v>3405723</v>
      </c>
      <c r="H44" s="2"/>
      <c r="I44" s="3"/>
    </row>
    <row r="45" spans="1:9">
      <c r="A45">
        <v>2023</v>
      </c>
      <c r="B45" s="9" t="s">
        <v>43</v>
      </c>
      <c r="C45" s="10">
        <v>1492759</v>
      </c>
      <c r="D45" s="10"/>
      <c r="E45">
        <v>2022</v>
      </c>
      <c r="F45" s="9" t="s">
        <v>43</v>
      </c>
      <c r="G45" s="10">
        <v>1483054</v>
      </c>
      <c r="H45" s="2"/>
      <c r="I45" s="3"/>
    </row>
    <row r="46" spans="1:9">
      <c r="A46">
        <v>2023</v>
      </c>
      <c r="B46" s="9" t="s">
        <v>44</v>
      </c>
      <c r="C46" s="10">
        <v>2747987</v>
      </c>
      <c r="D46" s="10"/>
      <c r="E46">
        <v>2022</v>
      </c>
      <c r="F46" s="9" t="s">
        <v>44</v>
      </c>
      <c r="G46" s="10">
        <v>2647463</v>
      </c>
      <c r="H46" s="2"/>
      <c r="I46" s="3"/>
    </row>
    <row r="47" spans="1:9">
      <c r="A47">
        <v>2023</v>
      </c>
      <c r="B47" s="9" t="s">
        <v>45</v>
      </c>
      <c r="C47" s="10">
        <v>3288</v>
      </c>
      <c r="D47" s="10"/>
      <c r="E47">
        <v>2022</v>
      </c>
      <c r="F47" s="9" t="s">
        <v>45</v>
      </c>
      <c r="G47" s="10">
        <v>19153</v>
      </c>
      <c r="H47" s="2"/>
      <c r="I47" s="1"/>
    </row>
    <row r="48" spans="1:9">
      <c r="A48">
        <v>2023</v>
      </c>
      <c r="B48" s="9" t="s">
        <v>46</v>
      </c>
      <c r="C48" s="10">
        <v>473831</v>
      </c>
      <c r="D48" s="10"/>
      <c r="E48">
        <v>2022</v>
      </c>
      <c r="F48" s="9" t="s">
        <v>46</v>
      </c>
      <c r="G48" s="10">
        <v>426868</v>
      </c>
      <c r="H48" s="2"/>
      <c r="I48" s="3"/>
    </row>
    <row r="49" spans="1:9">
      <c r="A49">
        <v>2023</v>
      </c>
      <c r="B49" s="9" t="s">
        <v>47</v>
      </c>
      <c r="C49" s="10">
        <v>6047197</v>
      </c>
      <c r="D49" s="10"/>
      <c r="E49">
        <v>2022</v>
      </c>
      <c r="F49" s="9" t="s">
        <v>47</v>
      </c>
      <c r="G49" s="10">
        <v>5780566</v>
      </c>
      <c r="H49" s="2"/>
      <c r="I49" s="3"/>
    </row>
    <row r="50" spans="1:9">
      <c r="A50">
        <v>2023</v>
      </c>
      <c r="B50" s="9" t="s">
        <v>48</v>
      </c>
      <c r="C50" s="10">
        <v>8475299</v>
      </c>
      <c r="D50" s="10"/>
      <c r="E50">
        <v>2022</v>
      </c>
      <c r="F50" s="9" t="s">
        <v>48</v>
      </c>
      <c r="G50" s="10">
        <v>8044021</v>
      </c>
      <c r="H50" s="2"/>
      <c r="I50" s="3"/>
    </row>
    <row r="51" spans="1:9">
      <c r="A51">
        <v>2023</v>
      </c>
      <c r="B51" s="9" t="s">
        <v>49</v>
      </c>
      <c r="C51" s="10">
        <v>4623072</v>
      </c>
      <c r="D51" s="10"/>
      <c r="E51">
        <v>2022</v>
      </c>
      <c r="F51" s="9" t="s">
        <v>49</v>
      </c>
      <c r="G51" s="10">
        <v>4539986</v>
      </c>
      <c r="H51" s="2"/>
      <c r="I51" s="3"/>
    </row>
    <row r="52" spans="1:9">
      <c r="A52">
        <v>2023</v>
      </c>
      <c r="B52" s="9" t="s">
        <v>50</v>
      </c>
      <c r="C52" s="10">
        <v>2738060</v>
      </c>
      <c r="D52" s="10"/>
      <c r="E52">
        <v>2022</v>
      </c>
      <c r="F52" s="9" t="s">
        <v>50</v>
      </c>
      <c r="G52" s="10">
        <v>2648791</v>
      </c>
      <c r="H52" s="2"/>
      <c r="I52" s="3"/>
    </row>
    <row r="53" spans="1:9">
      <c r="A53">
        <v>2023</v>
      </c>
      <c r="B53" s="9" t="s">
        <v>51</v>
      </c>
      <c r="C53" s="10">
        <v>185536</v>
      </c>
      <c r="D53" s="10"/>
      <c r="E53">
        <v>2022</v>
      </c>
      <c r="F53" s="9" t="s">
        <v>51</v>
      </c>
      <c r="G53" s="10">
        <v>157095</v>
      </c>
      <c r="H53" s="2"/>
      <c r="I53" s="3"/>
    </row>
    <row r="54" spans="1:9">
      <c r="A54">
        <v>2023</v>
      </c>
      <c r="B54" s="9" t="s">
        <v>52</v>
      </c>
      <c r="C54" s="10">
        <v>5994</v>
      </c>
      <c r="D54" s="10"/>
      <c r="E54">
        <v>2022</v>
      </c>
      <c r="F54" s="9" t="s">
        <v>52</v>
      </c>
      <c r="G54" s="10">
        <v>5860</v>
      </c>
      <c r="H54" s="2"/>
      <c r="I54" s="3"/>
    </row>
    <row r="55" spans="1:9">
      <c r="A55">
        <v>2023</v>
      </c>
      <c r="B55" s="9" t="s">
        <v>53</v>
      </c>
      <c r="C55" s="10">
        <v>1122819</v>
      </c>
      <c r="D55" s="10"/>
      <c r="E55">
        <v>2022</v>
      </c>
      <c r="F55" s="9" t="s">
        <v>53</v>
      </c>
      <c r="G55" s="10">
        <v>1035364</v>
      </c>
      <c r="H55" s="2"/>
      <c r="I55" s="3"/>
    </row>
    <row r="56" spans="1:9">
      <c r="A56">
        <v>2023</v>
      </c>
      <c r="B56" s="9" t="s">
        <v>54</v>
      </c>
      <c r="C56" s="10">
        <v>579838</v>
      </c>
      <c r="D56" s="10"/>
      <c r="E56">
        <v>2022</v>
      </c>
      <c r="F56" s="9" t="s">
        <v>54</v>
      </c>
      <c r="G56" s="10">
        <v>525752</v>
      </c>
      <c r="H56" s="2"/>
      <c r="I56" s="3"/>
    </row>
    <row r="57" spans="1:9">
      <c r="A57">
        <v>2023</v>
      </c>
      <c r="B57" s="9" t="s">
        <v>55</v>
      </c>
      <c r="C57" s="10">
        <v>241749</v>
      </c>
      <c r="D57" s="10"/>
      <c r="E57">
        <v>2022</v>
      </c>
      <c r="F57" s="9" t="s">
        <v>55</v>
      </c>
      <c r="G57" s="10">
        <v>218796</v>
      </c>
      <c r="H57" s="2"/>
      <c r="I57" s="3"/>
    </row>
    <row r="58" spans="1:9">
      <c r="A58">
        <v>2023</v>
      </c>
      <c r="B58" s="9" t="s">
        <v>56</v>
      </c>
      <c r="C58" s="10">
        <v>5087103</v>
      </c>
      <c r="D58" s="10"/>
      <c r="E58">
        <v>2022</v>
      </c>
      <c r="F58" s="9" t="s">
        <v>56</v>
      </c>
      <c r="G58" s="10">
        <v>5161799</v>
      </c>
      <c r="H58" s="2"/>
      <c r="I58" s="3"/>
    </row>
    <row r="59" spans="1:9">
      <c r="A59">
        <v>2023</v>
      </c>
      <c r="B59" s="9" t="s">
        <v>57</v>
      </c>
      <c r="C59" s="10">
        <v>25623</v>
      </c>
      <c r="D59" s="10"/>
      <c r="E59">
        <v>2022</v>
      </c>
      <c r="F59" s="9" t="s">
        <v>57</v>
      </c>
      <c r="G59" s="10">
        <v>26950</v>
      </c>
      <c r="H59" s="2"/>
      <c r="I59" s="3"/>
    </row>
    <row r="60" spans="1:9">
      <c r="A60">
        <v>2023</v>
      </c>
      <c r="B60" s="9" t="s">
        <v>58</v>
      </c>
      <c r="C60" s="10">
        <v>730945</v>
      </c>
      <c r="D60" s="10"/>
      <c r="E60">
        <v>2022</v>
      </c>
      <c r="F60" s="9" t="s">
        <v>58</v>
      </c>
      <c r="G60" s="10">
        <v>719519</v>
      </c>
      <c r="H60" s="2"/>
      <c r="I60" s="3"/>
    </row>
    <row r="61" spans="1:9">
      <c r="A61">
        <v>2023</v>
      </c>
      <c r="B61" s="9" t="s">
        <v>59</v>
      </c>
      <c r="C61" s="10">
        <v>5396196</v>
      </c>
      <c r="D61" s="10"/>
      <c r="E61">
        <v>2022</v>
      </c>
      <c r="F61" s="9" t="s">
        <v>59</v>
      </c>
      <c r="G61" s="10">
        <v>5148324</v>
      </c>
      <c r="H61" s="2"/>
      <c r="I61" s="3"/>
    </row>
    <row r="62" spans="1:9">
      <c r="A62">
        <v>2023</v>
      </c>
      <c r="B62" s="9" t="s">
        <v>60</v>
      </c>
      <c r="C62" s="10">
        <v>6717</v>
      </c>
      <c r="D62" s="10"/>
      <c r="E62">
        <v>2022</v>
      </c>
      <c r="F62" s="9" t="s">
        <v>60</v>
      </c>
      <c r="G62" s="10">
        <v>5940</v>
      </c>
      <c r="H62" s="2"/>
      <c r="I62" s="3"/>
    </row>
    <row r="63" spans="1:9">
      <c r="A63">
        <v>2023</v>
      </c>
      <c r="B63" s="9" t="s">
        <v>61</v>
      </c>
      <c r="C63" s="10">
        <v>216222</v>
      </c>
      <c r="D63" s="10"/>
      <c r="E63">
        <v>2022</v>
      </c>
      <c r="F63" s="9" t="s">
        <v>61</v>
      </c>
      <c r="G63" s="10">
        <v>196072</v>
      </c>
      <c r="H63" s="2"/>
      <c r="I63" s="3"/>
    </row>
    <row r="64" spans="1:9">
      <c r="A64">
        <v>2023</v>
      </c>
      <c r="B64" s="9" t="s">
        <v>62</v>
      </c>
      <c r="C64" s="10">
        <v>1372585</v>
      </c>
      <c r="D64" s="10"/>
      <c r="E64">
        <v>2022</v>
      </c>
      <c r="F64" s="9" t="s">
        <v>62</v>
      </c>
      <c r="G64" s="10">
        <v>1357725</v>
      </c>
      <c r="H64" s="2"/>
      <c r="I64" s="3"/>
    </row>
    <row r="65" spans="1:9">
      <c r="A65">
        <v>2023</v>
      </c>
      <c r="B65" s="9" t="s">
        <v>63</v>
      </c>
      <c r="C65" s="10">
        <v>309999</v>
      </c>
      <c r="D65" s="10"/>
      <c r="E65">
        <v>2022</v>
      </c>
      <c r="F65" s="9" t="s">
        <v>63</v>
      </c>
      <c r="G65" s="10">
        <v>295930</v>
      </c>
      <c r="H65" s="2"/>
      <c r="I65" s="3"/>
    </row>
    <row r="66" spans="1:9">
      <c r="A66">
        <v>2023</v>
      </c>
      <c r="B66" s="9" t="s">
        <v>64</v>
      </c>
      <c r="C66" s="10">
        <v>247910</v>
      </c>
      <c r="D66" s="10"/>
      <c r="E66">
        <v>2022</v>
      </c>
      <c r="F66" s="9" t="s">
        <v>64</v>
      </c>
      <c r="G66" s="10">
        <v>212722</v>
      </c>
      <c r="H66" s="2"/>
      <c r="I66" s="3"/>
    </row>
    <row r="67" spans="1:9">
      <c r="A67">
        <v>2023</v>
      </c>
      <c r="B67" s="9" t="s">
        <v>65</v>
      </c>
      <c r="C67" s="10">
        <v>1467095</v>
      </c>
      <c r="D67" s="10"/>
      <c r="E67">
        <v>2022</v>
      </c>
      <c r="F67" s="9" t="s">
        <v>65</v>
      </c>
      <c r="G67" s="10">
        <v>1512783</v>
      </c>
      <c r="H67" s="2"/>
      <c r="I67" s="3"/>
    </row>
    <row r="68" spans="1:9">
      <c r="A68">
        <v>2023</v>
      </c>
      <c r="B68" s="9" t="s">
        <v>66</v>
      </c>
      <c r="C68" s="10">
        <v>582855</v>
      </c>
      <c r="D68" s="10"/>
      <c r="E68">
        <v>2022</v>
      </c>
      <c r="F68" s="9" t="s">
        <v>66</v>
      </c>
      <c r="G68" s="10">
        <v>554524</v>
      </c>
      <c r="H68" s="2"/>
      <c r="I68" s="3"/>
    </row>
    <row r="69" spans="1:9">
      <c r="A69">
        <v>2023</v>
      </c>
      <c r="B69" s="9" t="s">
        <v>67</v>
      </c>
      <c r="C69" s="10">
        <v>22981</v>
      </c>
      <c r="D69" s="10"/>
      <c r="E69">
        <v>2022</v>
      </c>
      <c r="F69" s="9" t="s">
        <v>67</v>
      </c>
      <c r="G69" s="10">
        <v>22430</v>
      </c>
      <c r="H69" s="2"/>
      <c r="I69" s="3"/>
    </row>
    <row r="70" spans="1:9">
      <c r="A70">
        <v>2023</v>
      </c>
      <c r="B70" s="9" t="s">
        <v>68</v>
      </c>
      <c r="C70" s="10">
        <v>5486893</v>
      </c>
      <c r="D70" s="10"/>
      <c r="E70">
        <v>2022</v>
      </c>
      <c r="F70" s="9" t="s">
        <v>68</v>
      </c>
      <c r="G70" s="10">
        <v>5270464</v>
      </c>
      <c r="H70" s="2"/>
      <c r="I70" s="3"/>
    </row>
    <row r="71" spans="1:9">
      <c r="A71">
        <v>2023</v>
      </c>
      <c r="B71" s="9" t="s">
        <v>69</v>
      </c>
      <c r="C71" s="10">
        <v>2084944</v>
      </c>
      <c r="D71" s="10"/>
      <c r="E71">
        <v>2022</v>
      </c>
      <c r="F71" s="9" t="s">
        <v>69</v>
      </c>
      <c r="G71" s="10">
        <v>1965523</v>
      </c>
      <c r="H71" s="2"/>
      <c r="I71" s="3"/>
    </row>
    <row r="72" spans="1:9">
      <c r="A72">
        <v>2023</v>
      </c>
      <c r="B72" s="9" t="s">
        <v>70</v>
      </c>
      <c r="C72" s="10">
        <v>2789279</v>
      </c>
      <c r="D72" s="10"/>
      <c r="E72">
        <v>2022</v>
      </c>
      <c r="F72" s="9" t="s">
        <v>70</v>
      </c>
      <c r="G72" s="10">
        <v>2685265</v>
      </c>
      <c r="H72" s="2"/>
      <c r="I72" s="3"/>
    </row>
    <row r="73" spans="1:9">
      <c r="A73">
        <v>2023</v>
      </c>
      <c r="B73" s="9" t="s">
        <v>71</v>
      </c>
      <c r="C73" s="10">
        <v>1343284</v>
      </c>
      <c r="D73" s="10"/>
      <c r="E73">
        <v>2022</v>
      </c>
      <c r="F73" s="9" t="s">
        <v>71</v>
      </c>
      <c r="G73" s="10">
        <v>1315952</v>
      </c>
      <c r="H73" s="2"/>
      <c r="I73" s="3"/>
    </row>
    <row r="74" spans="1:9">
      <c r="A74">
        <v>2023</v>
      </c>
      <c r="B74" s="9" t="s">
        <v>72</v>
      </c>
      <c r="C74" s="10">
        <v>1478028</v>
      </c>
      <c r="D74" s="10"/>
      <c r="E74">
        <v>2022</v>
      </c>
      <c r="F74" s="9" t="s">
        <v>72</v>
      </c>
      <c r="G74" s="10">
        <v>1430049</v>
      </c>
      <c r="H74" s="2"/>
      <c r="I74" s="3"/>
    </row>
    <row r="75" spans="1:9">
      <c r="A75">
        <v>2023</v>
      </c>
      <c r="B75" s="9" t="s">
        <v>73</v>
      </c>
      <c r="C75" s="10">
        <v>110473</v>
      </c>
      <c r="D75" s="10"/>
      <c r="E75">
        <v>2022</v>
      </c>
      <c r="F75" s="9" t="s">
        <v>73</v>
      </c>
      <c r="G75" s="10">
        <v>123499</v>
      </c>
      <c r="H75" s="2"/>
      <c r="I75" s="3"/>
    </row>
    <row r="76" spans="1:9">
      <c r="A76">
        <v>2023</v>
      </c>
      <c r="B76" s="9" t="s">
        <v>74</v>
      </c>
      <c r="C76" s="10">
        <v>580505</v>
      </c>
      <c r="D76" s="10"/>
      <c r="E76">
        <v>2022</v>
      </c>
      <c r="F76" s="9" t="s">
        <v>74</v>
      </c>
      <c r="G76" s="10">
        <v>573656</v>
      </c>
      <c r="H76" s="2"/>
      <c r="I76" s="3"/>
    </row>
    <row r="77" spans="1:9">
      <c r="A77">
        <v>2023</v>
      </c>
      <c r="B77" s="9" t="s">
        <v>75</v>
      </c>
      <c r="C77" s="10">
        <v>2136097</v>
      </c>
      <c r="D77" s="10"/>
      <c r="E77">
        <v>2022</v>
      </c>
      <c r="F77" s="9" t="s">
        <v>75</v>
      </c>
      <c r="G77" s="10">
        <v>2125959</v>
      </c>
      <c r="H77" s="2"/>
      <c r="I77" s="3"/>
    </row>
    <row r="78" spans="1:9">
      <c r="A78">
        <v>2023</v>
      </c>
      <c r="B78" s="9" t="s">
        <v>76</v>
      </c>
      <c r="C78" s="10">
        <v>706772</v>
      </c>
      <c r="D78" s="10"/>
      <c r="E78">
        <v>2022</v>
      </c>
      <c r="F78" s="9" t="s">
        <v>76</v>
      </c>
      <c r="G78" s="10">
        <v>664923</v>
      </c>
      <c r="H78" s="2"/>
      <c r="I78" s="3"/>
    </row>
    <row r="79" spans="1:9">
      <c r="A79">
        <v>2023</v>
      </c>
      <c r="B79" s="9" t="s">
        <v>77</v>
      </c>
      <c r="C79" s="10">
        <v>3984828</v>
      </c>
      <c r="D79" s="10"/>
      <c r="E79">
        <v>2022</v>
      </c>
      <c r="F79" s="9" t="s">
        <v>77</v>
      </c>
      <c r="G79" s="10">
        <v>3913267</v>
      </c>
      <c r="H79" s="2"/>
      <c r="I79" s="3"/>
    </row>
    <row r="80" spans="1:9">
      <c r="A80">
        <v>2023</v>
      </c>
      <c r="B80" s="9" t="s">
        <v>78</v>
      </c>
      <c r="C80" s="10">
        <v>19648</v>
      </c>
      <c r="D80" s="10"/>
      <c r="E80">
        <v>2022</v>
      </c>
      <c r="F80" s="9" t="s">
        <v>78</v>
      </c>
      <c r="G80" s="10">
        <v>18449</v>
      </c>
      <c r="H80" s="2"/>
      <c r="I80" s="3"/>
    </row>
    <row r="81" spans="1:9">
      <c r="A81">
        <v>2023</v>
      </c>
      <c r="B81" s="9" t="s">
        <v>79</v>
      </c>
      <c r="C81" s="10">
        <v>4563443</v>
      </c>
      <c r="D81" s="10"/>
      <c r="E81">
        <v>2022</v>
      </c>
      <c r="F81" s="9" t="s">
        <v>79</v>
      </c>
      <c r="G81" s="10">
        <v>4442144</v>
      </c>
      <c r="H81" s="2"/>
      <c r="I81" s="3"/>
    </row>
    <row r="82" spans="1:9">
      <c r="A82">
        <v>2023</v>
      </c>
      <c r="B82" s="9" t="s">
        <v>80</v>
      </c>
      <c r="C82" s="10">
        <v>2617656</v>
      </c>
      <c r="D82" s="10"/>
      <c r="E82">
        <v>2022</v>
      </c>
      <c r="F82" s="9" t="s">
        <v>80</v>
      </c>
      <c r="G82" s="10">
        <v>2679903</v>
      </c>
      <c r="H82" s="2"/>
      <c r="I82" s="3"/>
    </row>
    <row r="83" spans="1:9">
      <c r="A83">
        <v>2023</v>
      </c>
      <c r="B83" s="9" t="s">
        <v>81</v>
      </c>
      <c r="C83" s="10">
        <v>458401</v>
      </c>
      <c r="D83" s="10"/>
      <c r="E83">
        <v>2022</v>
      </c>
      <c r="F83" s="9" t="s">
        <v>81</v>
      </c>
      <c r="G83" s="10">
        <v>462750</v>
      </c>
      <c r="H83" s="2"/>
      <c r="I83" s="3"/>
    </row>
    <row r="84" spans="1:9">
      <c r="A84">
        <v>2023</v>
      </c>
      <c r="B84" s="9" t="s">
        <v>82</v>
      </c>
      <c r="C84" s="10">
        <v>164599</v>
      </c>
      <c r="D84" s="10"/>
      <c r="E84">
        <v>2022</v>
      </c>
      <c r="F84" s="9" t="s">
        <v>82</v>
      </c>
      <c r="G84" s="10">
        <v>143656</v>
      </c>
      <c r="H84" s="2"/>
      <c r="I84" s="3"/>
    </row>
    <row r="85" spans="1:9">
      <c r="A85">
        <v>2023</v>
      </c>
      <c r="B85" s="9" t="s">
        <v>83</v>
      </c>
      <c r="C85" s="10">
        <v>726386</v>
      </c>
      <c r="D85" s="10"/>
      <c r="E85">
        <v>2022</v>
      </c>
      <c r="F85" s="9" t="s">
        <v>83</v>
      </c>
      <c r="G85" s="10">
        <v>631686</v>
      </c>
      <c r="H85" s="2"/>
      <c r="I85" s="3"/>
    </row>
    <row r="86" spans="1:9">
      <c r="A86">
        <v>2023</v>
      </c>
      <c r="B86" s="9" t="s">
        <v>84</v>
      </c>
      <c r="C86" s="10">
        <v>629989</v>
      </c>
      <c r="D86" s="10"/>
      <c r="E86">
        <v>2022</v>
      </c>
      <c r="F86" s="9" t="s">
        <v>84</v>
      </c>
      <c r="G86" s="10">
        <v>578527</v>
      </c>
      <c r="H86" s="2"/>
      <c r="I86" s="3"/>
    </row>
    <row r="87" spans="1:9">
      <c r="A87">
        <v>2023</v>
      </c>
      <c r="B87" s="9" t="s">
        <v>85</v>
      </c>
      <c r="C87" s="10">
        <v>1775199</v>
      </c>
      <c r="D87" s="10"/>
      <c r="E87">
        <v>2022</v>
      </c>
      <c r="F87" s="9" t="s">
        <v>85</v>
      </c>
      <c r="G87" s="10">
        <v>1699552</v>
      </c>
      <c r="H87" s="2"/>
      <c r="I87" s="3"/>
    </row>
    <row r="88" spans="1:9">
      <c r="A88">
        <v>2023</v>
      </c>
      <c r="B88" s="9" t="s">
        <v>86</v>
      </c>
      <c r="C88" s="10">
        <v>531904</v>
      </c>
      <c r="D88" s="10"/>
      <c r="E88">
        <v>2022</v>
      </c>
      <c r="F88" s="9" t="s">
        <v>86</v>
      </c>
      <c r="G88" s="10">
        <v>537593</v>
      </c>
      <c r="H88" s="2"/>
      <c r="I88" s="3"/>
    </row>
    <row r="89" spans="1:9">
      <c r="A89">
        <v>2023</v>
      </c>
      <c r="B89" s="9" t="s">
        <v>87</v>
      </c>
      <c r="C89" s="10">
        <v>2122759</v>
      </c>
      <c r="D89" s="10"/>
      <c r="E89">
        <v>2022</v>
      </c>
      <c r="F89" s="9" t="s">
        <v>87</v>
      </c>
      <c r="G89" s="10">
        <v>2064786</v>
      </c>
      <c r="H89" s="2"/>
      <c r="I89" s="3"/>
    </row>
    <row r="90" spans="1:9">
      <c r="A90">
        <v>2023</v>
      </c>
      <c r="B90" s="9" t="s">
        <v>88</v>
      </c>
      <c r="C90" s="10">
        <v>993820</v>
      </c>
      <c r="D90" s="10"/>
      <c r="E90">
        <v>2022</v>
      </c>
      <c r="F90" s="9" t="s">
        <v>88</v>
      </c>
      <c r="G90" s="10">
        <v>983420</v>
      </c>
      <c r="H90" s="2"/>
      <c r="I90" s="3"/>
    </row>
    <row r="91" spans="1:9">
      <c r="A91">
        <v>2023</v>
      </c>
      <c r="B91" s="9" t="s">
        <v>89</v>
      </c>
      <c r="C91" s="10">
        <v>118466</v>
      </c>
      <c r="D91" s="10"/>
      <c r="E91">
        <v>2022</v>
      </c>
      <c r="F91" s="9" t="s">
        <v>89</v>
      </c>
      <c r="G91" s="10">
        <v>117471</v>
      </c>
      <c r="H91" s="2"/>
      <c r="I91" s="3"/>
    </row>
    <row r="92" spans="1:9">
      <c r="A92">
        <v>2023</v>
      </c>
      <c r="B92" s="9" t="s">
        <v>90</v>
      </c>
      <c r="C92" s="10">
        <v>1138679</v>
      </c>
      <c r="D92" s="10"/>
      <c r="E92">
        <v>2022</v>
      </c>
      <c r="F92" s="9" t="s">
        <v>90</v>
      </c>
      <c r="G92" s="10">
        <v>1123150</v>
      </c>
      <c r="H92" s="2"/>
      <c r="I92" s="3"/>
    </row>
    <row r="93" spans="1:9">
      <c r="A93">
        <v>2023</v>
      </c>
      <c r="B93" s="9" t="s">
        <v>91</v>
      </c>
      <c r="C93" s="10">
        <v>619915</v>
      </c>
      <c r="D93" s="10"/>
      <c r="E93">
        <v>2022</v>
      </c>
      <c r="F93" s="9" t="s">
        <v>91</v>
      </c>
      <c r="G93" s="10">
        <v>638720</v>
      </c>
      <c r="H93" s="2"/>
      <c r="I93" s="3"/>
    </row>
    <row r="94" spans="1:9">
      <c r="A94">
        <v>2023</v>
      </c>
      <c r="B94" s="9" t="s">
        <v>92</v>
      </c>
      <c r="C94" s="10">
        <v>84673</v>
      </c>
      <c r="D94" s="10"/>
      <c r="E94">
        <v>2022</v>
      </c>
      <c r="F94" s="9" t="s">
        <v>92</v>
      </c>
      <c r="G94" s="10">
        <v>78861</v>
      </c>
      <c r="H94" s="2"/>
      <c r="I94" s="3"/>
    </row>
    <row r="95" spans="1:9">
      <c r="A95">
        <v>2023</v>
      </c>
      <c r="B95" s="9" t="s">
        <v>428</v>
      </c>
      <c r="C95" s="10">
        <v>2057825</v>
      </c>
      <c r="D95" s="10"/>
      <c r="E95">
        <v>2022</v>
      </c>
      <c r="F95" s="9" t="s">
        <v>428</v>
      </c>
      <c r="G95" s="10">
        <v>1928991</v>
      </c>
      <c r="H95" s="5"/>
      <c r="I95" s="4"/>
    </row>
    <row r="96" spans="1:9">
      <c r="A96">
        <v>2023</v>
      </c>
      <c r="B96" s="9" t="s">
        <v>429</v>
      </c>
      <c r="C96" s="10">
        <v>5398902</v>
      </c>
      <c r="D96" s="10"/>
      <c r="E96">
        <v>2022</v>
      </c>
      <c r="F96" s="9" t="s">
        <v>429</v>
      </c>
      <c r="G96" s="10">
        <v>5367770</v>
      </c>
      <c r="H96" s="5"/>
      <c r="I96" s="6"/>
    </row>
    <row r="97" spans="1:9">
      <c r="A97">
        <v>2023</v>
      </c>
      <c r="B97" s="9" t="s">
        <v>430</v>
      </c>
      <c r="C97" s="10">
        <v>1072127</v>
      </c>
      <c r="D97" s="10"/>
      <c r="E97">
        <v>2022</v>
      </c>
      <c r="F97" s="9" t="s">
        <v>430</v>
      </c>
      <c r="G97" s="10">
        <v>1067886</v>
      </c>
      <c r="H97" s="5"/>
      <c r="I97" s="6"/>
    </row>
    <row r="98" spans="1:9">
      <c r="A98">
        <v>2023</v>
      </c>
      <c r="B98" s="9" t="s">
        <v>431</v>
      </c>
      <c r="C98" s="10">
        <v>391362</v>
      </c>
      <c r="D98" s="10"/>
      <c r="E98">
        <v>2022</v>
      </c>
      <c r="F98" s="9" t="s">
        <v>431</v>
      </c>
      <c r="G98" s="10">
        <v>354547</v>
      </c>
      <c r="H98" s="5"/>
      <c r="I98" s="6"/>
    </row>
    <row r="99" spans="1:9">
      <c r="A99">
        <v>2023</v>
      </c>
      <c r="B99" s="9" t="s">
        <v>432</v>
      </c>
      <c r="C99" s="10">
        <v>1305467</v>
      </c>
      <c r="D99" s="10"/>
      <c r="E99">
        <v>2022</v>
      </c>
      <c r="F99" s="9" t="s">
        <v>432</v>
      </c>
      <c r="G99" s="10">
        <v>1209793</v>
      </c>
      <c r="H99" s="5"/>
      <c r="I99" s="6"/>
    </row>
    <row r="100" spans="1:9">
      <c r="A100">
        <v>2023</v>
      </c>
      <c r="B100" s="9" t="s">
        <v>433</v>
      </c>
      <c r="C100" s="10">
        <v>2037716</v>
      </c>
      <c r="D100" s="10"/>
      <c r="E100">
        <v>2022</v>
      </c>
      <c r="F100" s="9" t="s">
        <v>433</v>
      </c>
      <c r="G100" s="10">
        <v>1946978</v>
      </c>
      <c r="H100" s="5"/>
      <c r="I100" s="6"/>
    </row>
    <row r="101" spans="1:9">
      <c r="A101">
        <v>2023</v>
      </c>
      <c r="B101" s="9" t="s">
        <v>434</v>
      </c>
      <c r="C101" s="10">
        <v>58448</v>
      </c>
      <c r="D101" s="10"/>
      <c r="E101">
        <v>2022</v>
      </c>
      <c r="F101" s="9" t="s">
        <v>434</v>
      </c>
      <c r="G101" s="10">
        <v>51422</v>
      </c>
      <c r="H101" s="5"/>
      <c r="I101" s="6"/>
    </row>
    <row r="102" spans="1:9">
      <c r="A102">
        <v>2023</v>
      </c>
      <c r="B102" s="9" t="s">
        <v>435</v>
      </c>
      <c r="C102" s="10">
        <v>1754504</v>
      </c>
      <c r="D102" s="10"/>
      <c r="E102">
        <v>2022</v>
      </c>
      <c r="F102" s="9" t="s">
        <v>435</v>
      </c>
      <c r="G102" s="10">
        <v>1690620</v>
      </c>
      <c r="H102" s="5"/>
      <c r="I102" s="6"/>
    </row>
    <row r="103" spans="1:9">
      <c r="A103">
        <v>2023</v>
      </c>
      <c r="B103" s="9" t="s">
        <v>436</v>
      </c>
      <c r="C103" s="10">
        <v>63953</v>
      </c>
      <c r="D103" s="10"/>
      <c r="E103">
        <v>2022</v>
      </c>
      <c r="F103" s="9" t="s">
        <v>436</v>
      </c>
      <c r="G103" s="10">
        <v>59348</v>
      </c>
      <c r="H103" s="5"/>
      <c r="I103" s="6"/>
    </row>
    <row r="104" spans="1:9">
      <c r="A104">
        <v>2023</v>
      </c>
      <c r="B104" s="9" t="s">
        <v>437</v>
      </c>
      <c r="C104" s="10">
        <v>50127</v>
      </c>
      <c r="D104" s="10"/>
      <c r="E104">
        <v>2022</v>
      </c>
      <c r="F104" s="9" t="s">
        <v>437</v>
      </c>
      <c r="G104" s="10">
        <v>52507</v>
      </c>
      <c r="H104" s="5"/>
      <c r="I104" s="6"/>
    </row>
    <row r="105" spans="1:9">
      <c r="A105">
        <v>2023</v>
      </c>
      <c r="B105" s="9" t="s">
        <v>438</v>
      </c>
      <c r="C105" s="10">
        <v>1844870</v>
      </c>
      <c r="D105" s="10"/>
      <c r="E105">
        <v>2022</v>
      </c>
      <c r="F105" s="9" t="s">
        <v>438</v>
      </c>
      <c r="G105" s="10">
        <v>1729256</v>
      </c>
      <c r="H105" s="5"/>
      <c r="I105" s="6"/>
    </row>
    <row r="106" spans="1:9">
      <c r="A106">
        <v>2023</v>
      </c>
      <c r="B106" s="9" t="s">
        <v>439</v>
      </c>
      <c r="C106" s="10">
        <v>4721017</v>
      </c>
      <c r="D106" s="10"/>
      <c r="E106">
        <v>2022</v>
      </c>
      <c r="F106" s="9" t="s">
        <v>439</v>
      </c>
      <c r="G106" s="10">
        <v>4589266</v>
      </c>
      <c r="H106" s="5"/>
      <c r="I106" s="6"/>
    </row>
    <row r="107" spans="1:9">
      <c r="A107">
        <v>2023</v>
      </c>
      <c r="B107" s="9" t="s">
        <v>440</v>
      </c>
      <c r="C107" s="10">
        <v>2358704</v>
      </c>
      <c r="D107" s="10"/>
      <c r="E107">
        <v>2022</v>
      </c>
      <c r="F107" s="9" t="s">
        <v>440</v>
      </c>
      <c r="G107" s="10">
        <v>2400676</v>
      </c>
      <c r="H107" s="5"/>
      <c r="I107" s="6"/>
    </row>
    <row r="108" spans="1:9">
      <c r="A108">
        <v>2023</v>
      </c>
      <c r="B108" s="9" t="s">
        <v>441</v>
      </c>
      <c r="C108" s="10">
        <v>139503</v>
      </c>
      <c r="D108" s="10"/>
      <c r="E108">
        <v>2022</v>
      </c>
      <c r="F108" s="9" t="s">
        <v>441</v>
      </c>
      <c r="G108" s="10">
        <v>120627</v>
      </c>
      <c r="H108" s="5"/>
      <c r="I108" s="6"/>
    </row>
    <row r="109" spans="1:9">
      <c r="A109">
        <v>2023</v>
      </c>
      <c r="B109" s="9" t="s">
        <v>442</v>
      </c>
      <c r="C109" s="10">
        <v>2214410</v>
      </c>
      <c r="D109" s="10"/>
      <c r="E109">
        <v>2022</v>
      </c>
      <c r="F109" s="9" t="s">
        <v>442</v>
      </c>
      <c r="G109" s="10">
        <v>2228132</v>
      </c>
      <c r="H109" s="5"/>
      <c r="I109" s="6"/>
    </row>
    <row r="110" spans="1:9">
      <c r="A110">
        <v>2023</v>
      </c>
      <c r="B110" s="9" t="s">
        <v>443</v>
      </c>
      <c r="C110" s="10">
        <v>1050006</v>
      </c>
      <c r="D110" s="10"/>
      <c r="E110">
        <v>2022</v>
      </c>
      <c r="F110" s="9" t="s">
        <v>443</v>
      </c>
      <c r="G110" s="10">
        <v>1061164</v>
      </c>
      <c r="H110" s="5"/>
      <c r="I110" s="6"/>
    </row>
    <row r="111" spans="1:9">
      <c r="A111">
        <v>2023</v>
      </c>
      <c r="B111" s="9" t="s">
        <v>444</v>
      </c>
      <c r="C111" s="10">
        <v>3756213</v>
      </c>
      <c r="D111" s="10"/>
      <c r="E111">
        <v>2022</v>
      </c>
      <c r="F111" s="9" t="s">
        <v>444</v>
      </c>
      <c r="G111" s="10">
        <v>3573530</v>
      </c>
      <c r="H111" s="5"/>
      <c r="I111" s="6"/>
    </row>
    <row r="112" spans="1:9">
      <c r="A112">
        <v>2023</v>
      </c>
      <c r="B112" s="9" t="s">
        <v>445</v>
      </c>
      <c r="C112" s="10">
        <v>4911374</v>
      </c>
      <c r="D112" s="10"/>
      <c r="E112">
        <v>2022</v>
      </c>
      <c r="F112" s="9" t="s">
        <v>445</v>
      </c>
      <c r="G112" s="10">
        <v>4852905</v>
      </c>
      <c r="H112" s="5"/>
      <c r="I112" s="6"/>
    </row>
    <row r="113" spans="1:9">
      <c r="A113">
        <v>2023</v>
      </c>
      <c r="B113" s="9" t="s">
        <v>446</v>
      </c>
      <c r="C113" s="10">
        <v>319390</v>
      </c>
      <c r="D113" s="10"/>
      <c r="E113">
        <v>2022</v>
      </c>
      <c r="F113" s="9" t="s">
        <v>446</v>
      </c>
      <c r="G113" s="10">
        <v>293165</v>
      </c>
      <c r="H113" s="5"/>
      <c r="I113" s="6"/>
    </row>
    <row r="114" spans="1:9">
      <c r="A114">
        <v>2023</v>
      </c>
      <c r="B114" s="9" t="s">
        <v>447</v>
      </c>
      <c r="C114" s="10">
        <v>261690</v>
      </c>
      <c r="D114" s="10"/>
      <c r="E114">
        <v>2022</v>
      </c>
      <c r="F114" s="9" t="s">
        <v>447</v>
      </c>
      <c r="G114" s="10">
        <v>208043</v>
      </c>
      <c r="H114" s="5"/>
      <c r="I114" s="6"/>
    </row>
    <row r="115" spans="1:9">
      <c r="A115">
        <v>2023</v>
      </c>
      <c r="B115" s="9" t="s">
        <v>448</v>
      </c>
      <c r="C115" s="10">
        <v>3598051</v>
      </c>
      <c r="D115" s="10"/>
      <c r="E115">
        <v>2022</v>
      </c>
      <c r="F115" s="9" t="s">
        <v>448</v>
      </c>
      <c r="G115" s="10">
        <v>3524907</v>
      </c>
      <c r="H115" s="5"/>
      <c r="I115" s="6"/>
    </row>
    <row r="116" spans="1:9">
      <c r="A116">
        <v>2023</v>
      </c>
      <c r="B116" s="9" t="s">
        <v>449</v>
      </c>
      <c r="C116" s="10">
        <v>155472</v>
      </c>
      <c r="D116" s="10"/>
      <c r="E116">
        <v>2022</v>
      </c>
      <c r="F116" s="9" t="s">
        <v>449</v>
      </c>
      <c r="G116" s="10">
        <v>146017</v>
      </c>
      <c r="H116" s="5"/>
      <c r="I116" s="6"/>
    </row>
    <row r="117" spans="1:9">
      <c r="A117">
        <v>2023</v>
      </c>
      <c r="B117" s="9" t="s">
        <v>450</v>
      </c>
      <c r="C117" s="10">
        <v>263764</v>
      </c>
      <c r="D117" s="10"/>
      <c r="E117">
        <v>2022</v>
      </c>
      <c r="F117" s="9" t="s">
        <v>450</v>
      </c>
      <c r="G117" s="10">
        <v>245257</v>
      </c>
      <c r="H117" s="5"/>
      <c r="I117" s="6"/>
    </row>
    <row r="118" spans="1:9">
      <c r="A118">
        <v>2023</v>
      </c>
      <c r="B118" s="9" t="s">
        <v>451</v>
      </c>
      <c r="C118" s="10">
        <v>109128</v>
      </c>
      <c r="D118" s="10"/>
      <c r="E118">
        <v>2022</v>
      </c>
      <c r="F118" s="9" t="s">
        <v>451</v>
      </c>
      <c r="G118" s="10">
        <v>108426</v>
      </c>
      <c r="H118" s="5"/>
      <c r="I118" s="6"/>
    </row>
    <row r="119" spans="1:9">
      <c r="A119">
        <v>2023</v>
      </c>
      <c r="B119" s="9" t="s">
        <v>452</v>
      </c>
      <c r="C119" s="10">
        <v>30421</v>
      </c>
      <c r="D119" s="10"/>
      <c r="E119">
        <v>2022</v>
      </c>
      <c r="F119" s="9" t="s">
        <v>452</v>
      </c>
      <c r="G119" s="10">
        <v>39243</v>
      </c>
      <c r="H119" s="5"/>
      <c r="I119" s="6"/>
    </row>
    <row r="120" spans="1:9">
      <c r="A120">
        <v>2023</v>
      </c>
      <c r="B120" s="9" t="s">
        <v>453</v>
      </c>
      <c r="C120" s="10">
        <v>27012</v>
      </c>
      <c r="D120" s="10"/>
      <c r="E120">
        <v>2022</v>
      </c>
      <c r="F120" s="9" t="s">
        <v>453</v>
      </c>
      <c r="G120" s="10">
        <v>21923</v>
      </c>
      <c r="H120" s="5"/>
      <c r="I120" s="6"/>
    </row>
    <row r="121" spans="1:9">
      <c r="A121">
        <v>2023</v>
      </c>
      <c r="B121" s="9" t="s">
        <v>454</v>
      </c>
      <c r="C121" s="10">
        <v>15375</v>
      </c>
      <c r="D121" s="10"/>
      <c r="E121">
        <v>2022</v>
      </c>
      <c r="F121" s="9" t="s">
        <v>454</v>
      </c>
      <c r="G121" s="10">
        <v>22881</v>
      </c>
      <c r="H121" s="5"/>
      <c r="I121" s="6"/>
    </row>
    <row r="122" spans="1:9">
      <c r="A122">
        <v>2023</v>
      </c>
      <c r="B122" s="9" t="s">
        <v>456</v>
      </c>
      <c r="C122" s="10">
        <v>3929530</v>
      </c>
      <c r="D122" s="10"/>
      <c r="E122">
        <v>2022</v>
      </c>
      <c r="F122" s="9" t="s">
        <v>456</v>
      </c>
      <c r="G122" s="10">
        <v>3851895</v>
      </c>
      <c r="H122" s="5"/>
      <c r="I122" s="6"/>
    </row>
    <row r="123" spans="1:9">
      <c r="A123">
        <v>2023</v>
      </c>
      <c r="B123" s="9" t="s">
        <v>457</v>
      </c>
      <c r="C123" s="10">
        <v>196050</v>
      </c>
      <c r="D123" s="10"/>
      <c r="E123">
        <v>2022</v>
      </c>
      <c r="F123" s="9" t="s">
        <v>457</v>
      </c>
      <c r="G123" s="10">
        <v>185116</v>
      </c>
      <c r="H123" s="5"/>
      <c r="I123" s="6"/>
    </row>
    <row r="124" spans="1:9">
      <c r="A124">
        <v>2023</v>
      </c>
      <c r="B124" s="9" t="s">
        <v>458</v>
      </c>
      <c r="C124" s="10">
        <v>624995</v>
      </c>
      <c r="D124" s="10"/>
      <c r="E124">
        <v>2022</v>
      </c>
      <c r="F124" s="9" t="s">
        <v>458</v>
      </c>
      <c r="G124" s="10">
        <v>656115</v>
      </c>
      <c r="H124" s="5"/>
      <c r="I124" s="6"/>
    </row>
    <row r="125" spans="1:9">
      <c r="A125">
        <v>2023</v>
      </c>
      <c r="B125" s="9" t="s">
        <v>459</v>
      </c>
      <c r="C125" s="10">
        <v>565778</v>
      </c>
      <c r="D125" s="10"/>
      <c r="E125">
        <v>2022</v>
      </c>
      <c r="F125" s="9" t="s">
        <v>459</v>
      </c>
      <c r="G125" s="10">
        <v>594919</v>
      </c>
      <c r="H125" s="5"/>
      <c r="I125" s="6"/>
    </row>
    <row r="126" spans="1:9">
      <c r="A126">
        <v>2023</v>
      </c>
      <c r="B126" s="9" t="s">
        <v>460</v>
      </c>
      <c r="C126" s="10">
        <v>2019301</v>
      </c>
      <c r="D126" s="10"/>
      <c r="E126">
        <v>2022</v>
      </c>
      <c r="F126" s="9" t="s">
        <v>460</v>
      </c>
      <c r="G126" s="10">
        <v>1998611</v>
      </c>
      <c r="H126" s="5"/>
      <c r="I126" s="6"/>
    </row>
    <row r="127" spans="1:9">
      <c r="A127">
        <v>2023</v>
      </c>
      <c r="B127" s="9" t="s">
        <v>461</v>
      </c>
      <c r="C127" s="10">
        <v>23016</v>
      </c>
      <c r="D127" s="10"/>
      <c r="E127">
        <v>2022</v>
      </c>
      <c r="F127" s="9" t="s">
        <v>461</v>
      </c>
      <c r="G127" s="10">
        <v>20438</v>
      </c>
      <c r="H127" s="5"/>
      <c r="I127" s="6"/>
    </row>
    <row r="128" spans="1:9">
      <c r="A128">
        <v>2023</v>
      </c>
      <c r="B128" s="9" t="s">
        <v>462</v>
      </c>
      <c r="C128" s="10">
        <v>1488113</v>
      </c>
      <c r="D128" s="10"/>
      <c r="E128">
        <v>2022</v>
      </c>
      <c r="F128" s="9" t="s">
        <v>462</v>
      </c>
      <c r="G128" s="10">
        <v>1378351</v>
      </c>
      <c r="H128" s="5"/>
      <c r="I128" s="6"/>
    </row>
    <row r="129" spans="1:9">
      <c r="A129">
        <v>2023</v>
      </c>
      <c r="B129" s="9" t="s">
        <v>1420</v>
      </c>
      <c r="C129" s="10">
        <v>184203</v>
      </c>
      <c r="D129" s="10"/>
      <c r="E129">
        <v>2022</v>
      </c>
      <c r="F129" s="9" t="s">
        <v>1420</v>
      </c>
      <c r="G129" s="10">
        <v>177303</v>
      </c>
      <c r="H129" s="5"/>
      <c r="I129" s="6"/>
    </row>
    <row r="130" spans="1:9">
      <c r="A130">
        <v>2023</v>
      </c>
      <c r="B130" s="9" t="s">
        <v>464</v>
      </c>
      <c r="C130" s="10">
        <v>7246611</v>
      </c>
      <c r="D130" s="10"/>
      <c r="E130">
        <v>2022</v>
      </c>
      <c r="F130" s="9" t="s">
        <v>464</v>
      </c>
      <c r="G130" s="10">
        <v>7094111</v>
      </c>
      <c r="H130" s="5"/>
      <c r="I130" s="6"/>
    </row>
    <row r="131" spans="1:9">
      <c r="A131">
        <v>2023</v>
      </c>
      <c r="B131" s="9" t="s">
        <v>465</v>
      </c>
      <c r="C131" s="10">
        <v>23714</v>
      </c>
      <c r="D131" s="10"/>
      <c r="E131">
        <v>2022</v>
      </c>
      <c r="F131" s="9" t="s">
        <v>465</v>
      </c>
      <c r="G131" s="10">
        <v>21318</v>
      </c>
      <c r="H131" s="5"/>
      <c r="I131" s="6"/>
    </row>
    <row r="132" spans="1:9">
      <c r="A132">
        <v>2023</v>
      </c>
      <c r="B132" s="9" t="s">
        <v>466</v>
      </c>
      <c r="C132" s="10">
        <v>460007</v>
      </c>
      <c r="D132" s="10"/>
      <c r="E132">
        <v>2022</v>
      </c>
      <c r="F132" s="9" t="s">
        <v>466</v>
      </c>
      <c r="G132" s="10">
        <v>438848</v>
      </c>
      <c r="H132" s="5"/>
      <c r="I132" s="6"/>
    </row>
    <row r="133" spans="1:9">
      <c r="A133">
        <v>2023</v>
      </c>
      <c r="B133" s="9" t="s">
        <v>468</v>
      </c>
      <c r="C133" s="10">
        <v>277330</v>
      </c>
      <c r="D133" s="10"/>
      <c r="E133">
        <v>2022</v>
      </c>
      <c r="F133" s="9" t="s">
        <v>468</v>
      </c>
      <c r="G133" s="10">
        <v>273636</v>
      </c>
      <c r="H133" s="5"/>
      <c r="I133" s="6"/>
    </row>
    <row r="134" spans="1:9">
      <c r="A134">
        <v>2023</v>
      </c>
      <c r="B134" s="9" t="s">
        <v>469</v>
      </c>
      <c r="C134" s="10">
        <v>17889152</v>
      </c>
      <c r="D134" s="10"/>
      <c r="E134">
        <v>2022</v>
      </c>
      <c r="F134" s="9" t="s">
        <v>469</v>
      </c>
      <c r="G134" s="10">
        <v>16728247</v>
      </c>
      <c r="H134" s="5"/>
      <c r="I134" s="6"/>
    </row>
    <row r="135" spans="1:9">
      <c r="A135">
        <v>2023</v>
      </c>
      <c r="B135" s="9" t="s">
        <v>470</v>
      </c>
      <c r="C135" s="10">
        <v>281776</v>
      </c>
      <c r="D135" s="10"/>
      <c r="E135">
        <v>2022</v>
      </c>
      <c r="F135" s="9" t="s">
        <v>470</v>
      </c>
      <c r="G135" s="10">
        <v>287783</v>
      </c>
      <c r="H135" s="5"/>
      <c r="I135" s="6"/>
    </row>
    <row r="136" spans="1:9">
      <c r="A136">
        <v>2023</v>
      </c>
      <c r="B136" s="9" t="s">
        <v>471</v>
      </c>
      <c r="C136" s="10">
        <v>71856</v>
      </c>
      <c r="D136" s="10"/>
      <c r="E136">
        <v>2022</v>
      </c>
      <c r="F136" s="9" t="s">
        <v>471</v>
      </c>
      <c r="G136" s="10">
        <v>69700</v>
      </c>
      <c r="H136" s="5"/>
      <c r="I136" s="6"/>
    </row>
    <row r="137" spans="1:9">
      <c r="A137">
        <v>2023</v>
      </c>
      <c r="B137" s="9" t="s">
        <v>472</v>
      </c>
      <c r="C137" s="10">
        <v>1456872</v>
      </c>
      <c r="D137" s="10"/>
      <c r="E137">
        <v>2022</v>
      </c>
      <c r="F137" s="9" t="s">
        <v>472</v>
      </c>
      <c r="G137" s="10">
        <v>1490320</v>
      </c>
      <c r="H137" s="5"/>
      <c r="I137" s="6"/>
    </row>
    <row r="138" spans="1:9">
      <c r="A138">
        <v>2023</v>
      </c>
      <c r="B138" s="9" t="s">
        <v>473</v>
      </c>
      <c r="C138" s="10">
        <v>2108223</v>
      </c>
      <c r="D138" s="10"/>
      <c r="E138">
        <v>2022</v>
      </c>
      <c r="F138" s="9" t="s">
        <v>473</v>
      </c>
      <c r="G138" s="10">
        <v>2092031</v>
      </c>
      <c r="H138" s="5"/>
      <c r="I138" s="6"/>
    </row>
    <row r="139" spans="1:9">
      <c r="A139">
        <v>2023</v>
      </c>
      <c r="B139" s="9" t="s">
        <v>474</v>
      </c>
      <c r="C139" s="10">
        <v>126303</v>
      </c>
      <c r="D139" s="10"/>
      <c r="E139">
        <v>2022</v>
      </c>
      <c r="F139" s="9" t="s">
        <v>474</v>
      </c>
      <c r="G139" s="10">
        <v>116873</v>
      </c>
      <c r="H139" s="5"/>
      <c r="I139" s="6"/>
    </row>
    <row r="140" spans="1:9">
      <c r="A140">
        <v>2023</v>
      </c>
      <c r="B140" s="9" t="s">
        <v>476</v>
      </c>
      <c r="C140" s="10">
        <v>7909</v>
      </c>
      <c r="D140" s="10"/>
      <c r="E140">
        <v>2022</v>
      </c>
      <c r="F140" s="9" t="s">
        <v>476</v>
      </c>
      <c r="G140" s="10">
        <v>7521</v>
      </c>
      <c r="H140" s="5"/>
      <c r="I140" s="6"/>
    </row>
    <row r="141" spans="1:9">
      <c r="A141">
        <v>2023</v>
      </c>
      <c r="B141" s="9" t="s">
        <v>477</v>
      </c>
      <c r="C141" s="10">
        <v>6203956</v>
      </c>
      <c r="D141" s="10"/>
      <c r="E141">
        <v>2022</v>
      </c>
      <c r="F141" s="9" t="s">
        <v>477</v>
      </c>
      <c r="G141" s="10">
        <v>5927015</v>
      </c>
      <c r="H141" s="5"/>
      <c r="I141" s="6"/>
    </row>
    <row r="142" spans="1:9">
      <c r="A142">
        <v>2023</v>
      </c>
      <c r="B142" s="9" t="s">
        <v>478</v>
      </c>
      <c r="C142" s="10">
        <v>3710599</v>
      </c>
      <c r="D142" s="10"/>
      <c r="E142">
        <v>2022</v>
      </c>
      <c r="F142" s="9" t="s">
        <v>478</v>
      </c>
      <c r="G142" s="10">
        <v>3587829</v>
      </c>
      <c r="H142" s="5"/>
      <c r="I142" s="6"/>
    </row>
    <row r="143" spans="1:9">
      <c r="A143">
        <v>2023</v>
      </c>
      <c r="B143" s="9" t="s">
        <v>93</v>
      </c>
      <c r="C143" s="10">
        <v>164563</v>
      </c>
      <c r="D143" s="10"/>
      <c r="E143">
        <v>2022</v>
      </c>
      <c r="F143" s="9" t="s">
        <v>93</v>
      </c>
      <c r="G143" s="10">
        <v>151156</v>
      </c>
      <c r="H143" s="5"/>
      <c r="I143" s="4"/>
    </row>
    <row r="144" spans="1:9">
      <c r="A144">
        <v>2023</v>
      </c>
      <c r="B144" s="9" t="s">
        <v>94</v>
      </c>
      <c r="C144" s="10">
        <v>175467</v>
      </c>
      <c r="D144" s="10"/>
      <c r="E144">
        <v>2022</v>
      </c>
      <c r="F144" s="9" t="s">
        <v>94</v>
      </c>
      <c r="G144" s="10">
        <v>163168</v>
      </c>
      <c r="H144" s="5"/>
      <c r="I144" s="6"/>
    </row>
    <row r="145" spans="1:9">
      <c r="A145">
        <v>2023</v>
      </c>
      <c r="B145" s="9" t="s">
        <v>95</v>
      </c>
      <c r="C145" s="10">
        <v>125822</v>
      </c>
      <c r="D145" s="10"/>
      <c r="E145">
        <v>2022</v>
      </c>
      <c r="F145" s="9" t="s">
        <v>95</v>
      </c>
      <c r="G145" s="10">
        <v>118152</v>
      </c>
      <c r="H145" s="5"/>
      <c r="I145" s="6"/>
    </row>
    <row r="146" spans="1:9">
      <c r="A146">
        <v>2023</v>
      </c>
      <c r="B146" s="9" t="s">
        <v>96</v>
      </c>
      <c r="C146" s="10">
        <v>50540</v>
      </c>
      <c r="D146" s="10"/>
      <c r="E146">
        <v>2022</v>
      </c>
      <c r="F146" s="9" t="s">
        <v>96</v>
      </c>
      <c r="G146" s="10">
        <v>46234</v>
      </c>
      <c r="H146" s="5"/>
      <c r="I146" s="6"/>
    </row>
    <row r="147" spans="1:9">
      <c r="A147">
        <v>2023</v>
      </c>
      <c r="B147" s="9" t="s">
        <v>97</v>
      </c>
      <c r="C147" s="10">
        <v>3618962</v>
      </c>
      <c r="D147" s="10"/>
      <c r="E147">
        <v>2022</v>
      </c>
      <c r="F147" s="9" t="s">
        <v>97</v>
      </c>
      <c r="G147" s="10">
        <v>3530268</v>
      </c>
      <c r="H147" s="5"/>
      <c r="I147" s="6"/>
    </row>
    <row r="148" spans="1:9">
      <c r="A148">
        <v>2023</v>
      </c>
      <c r="B148" s="9" t="s">
        <v>98</v>
      </c>
      <c r="C148" s="10">
        <v>693590</v>
      </c>
      <c r="D148" s="10"/>
      <c r="E148">
        <v>2022</v>
      </c>
      <c r="F148" s="9" t="s">
        <v>98</v>
      </c>
      <c r="G148" s="10">
        <v>794615</v>
      </c>
      <c r="H148" s="5"/>
      <c r="I148" s="6"/>
    </row>
    <row r="149" spans="1:9">
      <c r="A149">
        <v>2023</v>
      </c>
      <c r="B149" s="9" t="s">
        <v>99</v>
      </c>
      <c r="C149" s="10">
        <v>2668832</v>
      </c>
      <c r="D149" s="10"/>
      <c r="E149">
        <v>2022</v>
      </c>
      <c r="F149" s="9" t="s">
        <v>99</v>
      </c>
      <c r="G149" s="10">
        <v>2664250</v>
      </c>
      <c r="H149" s="5"/>
      <c r="I149" s="6"/>
    </row>
    <row r="150" spans="1:9">
      <c r="A150">
        <v>2023</v>
      </c>
      <c r="B150" s="9" t="s">
        <v>100</v>
      </c>
      <c r="C150" s="10">
        <v>257195</v>
      </c>
      <c r="D150" s="10"/>
      <c r="E150">
        <v>2022</v>
      </c>
      <c r="F150" s="9" t="s">
        <v>100</v>
      </c>
      <c r="G150" s="10">
        <v>236579</v>
      </c>
      <c r="H150" s="5"/>
      <c r="I150" s="6"/>
    </row>
    <row r="151" spans="1:9">
      <c r="A151">
        <v>2023</v>
      </c>
      <c r="B151" s="9" t="s">
        <v>101</v>
      </c>
      <c r="C151" s="10">
        <v>360292</v>
      </c>
      <c r="D151" s="10"/>
      <c r="E151">
        <v>2022</v>
      </c>
      <c r="F151" s="9" t="s">
        <v>101</v>
      </c>
      <c r="G151" s="10">
        <v>334309</v>
      </c>
      <c r="H151" s="5"/>
      <c r="I151" s="6"/>
    </row>
    <row r="152" spans="1:9">
      <c r="A152">
        <v>2023</v>
      </c>
      <c r="B152" s="9" t="s">
        <v>102</v>
      </c>
      <c r="C152" s="10">
        <v>1365070</v>
      </c>
      <c r="D152" s="10"/>
      <c r="E152">
        <v>2022</v>
      </c>
      <c r="F152" s="9" t="s">
        <v>102</v>
      </c>
      <c r="G152" s="10">
        <v>1317641</v>
      </c>
      <c r="H152" s="5"/>
      <c r="I152" s="6"/>
    </row>
    <row r="153" spans="1:9">
      <c r="A153">
        <v>2023</v>
      </c>
      <c r="B153" s="9" t="s">
        <v>103</v>
      </c>
      <c r="C153" s="10">
        <v>8528</v>
      </c>
      <c r="D153" s="10"/>
      <c r="E153">
        <v>2022</v>
      </c>
      <c r="F153" s="9" t="s">
        <v>103</v>
      </c>
      <c r="G153" s="10">
        <v>2695</v>
      </c>
      <c r="H153" s="5"/>
      <c r="I153" s="6"/>
    </row>
    <row r="154" spans="1:9">
      <c r="A154">
        <v>2023</v>
      </c>
      <c r="B154" s="9" t="s">
        <v>104</v>
      </c>
      <c r="C154" s="10">
        <v>44376</v>
      </c>
      <c r="D154" s="10"/>
      <c r="E154">
        <v>2022</v>
      </c>
      <c r="F154" s="9" t="s">
        <v>104</v>
      </c>
      <c r="G154" s="10">
        <v>42935</v>
      </c>
      <c r="H154" s="5"/>
      <c r="I154" s="6"/>
    </row>
    <row r="155" spans="1:9">
      <c r="A155">
        <v>2023</v>
      </c>
      <c r="B155" s="9" t="s">
        <v>105</v>
      </c>
      <c r="C155" s="10">
        <v>210561</v>
      </c>
      <c r="D155" s="10"/>
      <c r="E155">
        <v>2022</v>
      </c>
      <c r="F155" s="9" t="s">
        <v>105</v>
      </c>
      <c r="G155" s="10">
        <v>203085</v>
      </c>
      <c r="H155" s="5"/>
      <c r="I155" s="6"/>
    </row>
    <row r="156" spans="1:9">
      <c r="A156">
        <v>2023</v>
      </c>
      <c r="B156" s="9" t="s">
        <v>106</v>
      </c>
      <c r="C156" s="10">
        <v>84834</v>
      </c>
      <c r="D156" s="10"/>
      <c r="E156">
        <v>2022</v>
      </c>
      <c r="F156" s="9" t="s">
        <v>106</v>
      </c>
      <c r="G156" s="10">
        <v>92163</v>
      </c>
      <c r="H156" s="5"/>
      <c r="I156" s="6"/>
    </row>
    <row r="157" spans="1:9">
      <c r="A157">
        <v>2023</v>
      </c>
      <c r="B157" s="9" t="s">
        <v>107</v>
      </c>
      <c r="C157" s="10">
        <v>765860</v>
      </c>
      <c r="D157" s="10"/>
      <c r="E157">
        <v>2022</v>
      </c>
      <c r="F157" s="9" t="s">
        <v>107</v>
      </c>
      <c r="G157" s="10">
        <v>703859</v>
      </c>
      <c r="H157" s="5"/>
      <c r="I157" s="6"/>
    </row>
    <row r="158" spans="1:9">
      <c r="A158">
        <v>2023</v>
      </c>
      <c r="B158" s="9" t="s">
        <v>108</v>
      </c>
      <c r="C158" s="10">
        <v>67842</v>
      </c>
      <c r="D158" s="10"/>
      <c r="E158">
        <v>2022</v>
      </c>
      <c r="F158" s="9" t="s">
        <v>108</v>
      </c>
      <c r="G158" s="10">
        <v>69511</v>
      </c>
      <c r="H158" s="5"/>
      <c r="I158" s="6"/>
    </row>
    <row r="159" spans="1:9">
      <c r="A159">
        <v>2023</v>
      </c>
      <c r="B159" s="9" t="s">
        <v>109</v>
      </c>
      <c r="C159" s="10">
        <v>26426</v>
      </c>
      <c r="D159" s="10"/>
      <c r="E159">
        <v>2022</v>
      </c>
      <c r="F159" s="9" t="s">
        <v>109</v>
      </c>
      <c r="G159" s="10">
        <v>24978</v>
      </c>
      <c r="H159" s="5"/>
      <c r="I159" s="6"/>
    </row>
    <row r="160" spans="1:9">
      <c r="A160">
        <v>2023</v>
      </c>
      <c r="B160" s="9" t="s">
        <v>110</v>
      </c>
      <c r="C160" s="10">
        <v>228836</v>
      </c>
      <c r="D160" s="10"/>
      <c r="E160">
        <v>2022</v>
      </c>
      <c r="F160" s="9" t="s">
        <v>110</v>
      </c>
      <c r="G160" s="10">
        <v>203430</v>
      </c>
      <c r="H160" s="5"/>
      <c r="I160" s="6"/>
    </row>
    <row r="161" spans="1:9">
      <c r="A161">
        <v>2023</v>
      </c>
      <c r="B161" s="9" t="s">
        <v>111</v>
      </c>
      <c r="C161" s="10">
        <v>2091173</v>
      </c>
      <c r="D161" s="10"/>
      <c r="E161">
        <v>2022</v>
      </c>
      <c r="F161" s="9" t="s">
        <v>111</v>
      </c>
      <c r="G161" s="10">
        <v>2098401</v>
      </c>
      <c r="H161" s="5"/>
      <c r="I161" s="6"/>
    </row>
    <row r="162" spans="1:9">
      <c r="A162">
        <v>2023</v>
      </c>
      <c r="B162" s="9" t="s">
        <v>112</v>
      </c>
      <c r="C162" s="10">
        <v>113899</v>
      </c>
      <c r="D162" s="10"/>
      <c r="E162">
        <v>2022</v>
      </c>
      <c r="F162" s="9" t="s">
        <v>112</v>
      </c>
      <c r="G162" s="10">
        <v>105833</v>
      </c>
      <c r="H162" s="5"/>
      <c r="I162" s="6"/>
    </row>
    <row r="163" spans="1:9">
      <c r="A163">
        <v>2023</v>
      </c>
      <c r="B163" s="9" t="s">
        <v>113</v>
      </c>
      <c r="C163" s="10">
        <v>28487</v>
      </c>
      <c r="D163" s="10"/>
      <c r="E163">
        <v>2022</v>
      </c>
      <c r="F163" s="9" t="s">
        <v>113</v>
      </c>
      <c r="G163" s="10">
        <v>18387</v>
      </c>
      <c r="H163" s="5"/>
      <c r="I163" s="6"/>
    </row>
    <row r="164" spans="1:9">
      <c r="A164">
        <v>2023</v>
      </c>
      <c r="B164" s="9" t="s">
        <v>114</v>
      </c>
      <c r="C164" s="10">
        <v>1969927</v>
      </c>
      <c r="D164" s="10"/>
      <c r="E164">
        <v>2022</v>
      </c>
      <c r="F164" s="9" t="s">
        <v>114</v>
      </c>
      <c r="G164" s="10">
        <v>1938353</v>
      </c>
      <c r="H164" s="5"/>
      <c r="I164" s="6"/>
    </row>
    <row r="165" spans="1:9">
      <c r="A165">
        <v>2023</v>
      </c>
      <c r="B165" s="9" t="s">
        <v>115</v>
      </c>
      <c r="C165" s="10">
        <v>1484670</v>
      </c>
      <c r="D165" s="10"/>
      <c r="E165">
        <v>2022</v>
      </c>
      <c r="F165" s="9" t="s">
        <v>115</v>
      </c>
      <c r="G165" s="10">
        <v>1431951</v>
      </c>
      <c r="H165" s="5"/>
      <c r="I165" s="6"/>
    </row>
    <row r="166" spans="1:9">
      <c r="A166">
        <v>2023</v>
      </c>
      <c r="B166" s="9" t="s">
        <v>116</v>
      </c>
      <c r="C166" s="10">
        <v>99016</v>
      </c>
      <c r="D166" s="10"/>
      <c r="E166">
        <v>2022</v>
      </c>
      <c r="F166" s="9" t="s">
        <v>116</v>
      </c>
      <c r="G166" s="10">
        <v>89851</v>
      </c>
      <c r="H166" s="5"/>
      <c r="I166" s="6"/>
    </row>
    <row r="167" spans="1:9">
      <c r="A167">
        <v>2023</v>
      </c>
      <c r="B167" s="9" t="s">
        <v>117</v>
      </c>
      <c r="C167" s="10">
        <v>1178</v>
      </c>
      <c r="D167" s="10"/>
      <c r="E167">
        <v>2022</v>
      </c>
      <c r="F167" s="9" t="s">
        <v>117</v>
      </c>
      <c r="G167" s="10">
        <v>11672</v>
      </c>
      <c r="H167" s="5"/>
      <c r="I167" s="6"/>
    </row>
    <row r="168" spans="1:9">
      <c r="A168">
        <v>2023</v>
      </c>
      <c r="B168" s="9" t="s">
        <v>118</v>
      </c>
      <c r="C168" s="10">
        <v>37580</v>
      </c>
      <c r="D168" s="10"/>
      <c r="E168">
        <v>2022</v>
      </c>
      <c r="F168" s="9" t="s">
        <v>118</v>
      </c>
      <c r="G168" s="10">
        <v>33235</v>
      </c>
      <c r="H168" s="5"/>
      <c r="I168" s="6"/>
    </row>
    <row r="169" spans="1:9">
      <c r="A169">
        <v>2023</v>
      </c>
      <c r="B169" s="9" t="s">
        <v>119</v>
      </c>
      <c r="E169">
        <v>2022</v>
      </c>
      <c r="F169" s="9" t="s">
        <v>119</v>
      </c>
      <c r="H169" s="5"/>
      <c r="I169" s="4"/>
    </row>
    <row r="170" spans="1:9">
      <c r="A170">
        <v>2023</v>
      </c>
      <c r="B170" s="9" t="s">
        <v>121</v>
      </c>
      <c r="C170" s="10">
        <v>167275</v>
      </c>
      <c r="D170" s="10"/>
      <c r="E170">
        <v>2022</v>
      </c>
      <c r="F170" s="9" t="s">
        <v>121</v>
      </c>
      <c r="G170" s="10">
        <v>154335</v>
      </c>
      <c r="H170" s="5"/>
      <c r="I170" s="6"/>
    </row>
    <row r="171" spans="1:9">
      <c r="A171">
        <v>2023</v>
      </c>
      <c r="B171" s="9" t="s">
        <v>122</v>
      </c>
      <c r="C171" s="10">
        <v>51856</v>
      </c>
      <c r="D171" s="10"/>
      <c r="E171">
        <v>2022</v>
      </c>
      <c r="F171" s="9" t="s">
        <v>122</v>
      </c>
      <c r="G171" s="10">
        <v>42677</v>
      </c>
      <c r="H171" s="5"/>
      <c r="I171" s="6"/>
    </row>
    <row r="172" spans="1:9">
      <c r="A172">
        <v>2023</v>
      </c>
      <c r="B172" s="9" t="s">
        <v>123</v>
      </c>
      <c r="C172" s="10">
        <v>105127</v>
      </c>
      <c r="D172" s="10"/>
      <c r="E172">
        <v>2022</v>
      </c>
      <c r="F172" s="9" t="s">
        <v>123</v>
      </c>
      <c r="G172" s="10">
        <v>114542</v>
      </c>
      <c r="H172" s="5"/>
      <c r="I172" s="6"/>
    </row>
    <row r="173" spans="1:9">
      <c r="A173">
        <v>2023</v>
      </c>
      <c r="B173" s="9" t="s">
        <v>124</v>
      </c>
      <c r="C173" s="10">
        <v>816310</v>
      </c>
      <c r="D173" s="10"/>
      <c r="E173">
        <v>2022</v>
      </c>
      <c r="F173" s="9" t="s">
        <v>124</v>
      </c>
      <c r="G173" s="10">
        <v>793314</v>
      </c>
      <c r="H173" s="5"/>
      <c r="I173" s="6"/>
    </row>
    <row r="174" spans="1:9">
      <c r="A174">
        <v>2023</v>
      </c>
      <c r="B174" s="9" t="s">
        <v>125</v>
      </c>
      <c r="C174" s="10">
        <v>566617</v>
      </c>
      <c r="D174" s="10"/>
      <c r="E174">
        <v>2022</v>
      </c>
      <c r="F174" s="9" t="s">
        <v>125</v>
      </c>
      <c r="G174" s="10">
        <v>543988</v>
      </c>
      <c r="H174" s="5"/>
      <c r="I174" s="6"/>
    </row>
    <row r="175" spans="1:9">
      <c r="A175">
        <v>2023</v>
      </c>
      <c r="B175" s="9" t="s">
        <v>126</v>
      </c>
      <c r="C175" s="10">
        <v>604191</v>
      </c>
      <c r="D175" s="10"/>
      <c r="E175">
        <v>2022</v>
      </c>
      <c r="F175" s="9" t="s">
        <v>126</v>
      </c>
      <c r="G175" s="10">
        <v>521325</v>
      </c>
      <c r="H175" s="5"/>
      <c r="I175" s="6"/>
    </row>
    <row r="176" spans="1:9">
      <c r="A176">
        <v>2023</v>
      </c>
      <c r="B176" s="9" t="s">
        <v>127</v>
      </c>
      <c r="C176" s="10">
        <v>742774</v>
      </c>
      <c r="D176" s="10"/>
      <c r="E176">
        <v>2022</v>
      </c>
      <c r="F176" s="9" t="s">
        <v>127</v>
      </c>
      <c r="G176" s="10">
        <v>667830</v>
      </c>
      <c r="H176" s="5"/>
      <c r="I176" s="6"/>
    </row>
    <row r="177" spans="1:11">
      <c r="A177">
        <v>2023</v>
      </c>
      <c r="B177" s="9" t="s">
        <v>128</v>
      </c>
      <c r="C177" s="10">
        <v>4212316</v>
      </c>
      <c r="D177" s="10"/>
      <c r="E177">
        <v>2022</v>
      </c>
      <c r="F177" s="9" t="s">
        <v>128</v>
      </c>
      <c r="G177" s="10">
        <v>4007724</v>
      </c>
      <c r="H177" s="5"/>
      <c r="I177" s="6"/>
    </row>
    <row r="178" spans="1:11">
      <c r="A178">
        <v>2023</v>
      </c>
      <c r="B178" s="9" t="s">
        <v>129</v>
      </c>
      <c r="C178" s="10">
        <v>613465</v>
      </c>
      <c r="D178" s="10"/>
      <c r="E178">
        <v>2022</v>
      </c>
      <c r="F178" s="9" t="s">
        <v>129</v>
      </c>
      <c r="G178" s="10">
        <v>533656</v>
      </c>
      <c r="H178" s="5"/>
      <c r="I178" s="6"/>
    </row>
    <row r="179" spans="1:11">
      <c r="A179">
        <v>2023</v>
      </c>
      <c r="B179" s="9" t="s">
        <v>130</v>
      </c>
      <c r="C179" s="10">
        <v>2550707</v>
      </c>
      <c r="D179" s="10"/>
      <c r="E179">
        <v>2022</v>
      </c>
      <c r="F179" s="9" t="s">
        <v>130</v>
      </c>
      <c r="G179" s="10">
        <v>2469082</v>
      </c>
      <c r="H179" s="5"/>
      <c r="I179" s="6"/>
    </row>
    <row r="180" spans="1:11">
      <c r="A180">
        <v>2023</v>
      </c>
      <c r="B180" s="9" t="s">
        <v>131</v>
      </c>
      <c r="C180" s="10">
        <v>2317885</v>
      </c>
      <c r="D180" s="10"/>
      <c r="E180">
        <v>2022</v>
      </c>
      <c r="F180" s="9" t="s">
        <v>131</v>
      </c>
      <c r="G180" s="10">
        <v>2260426</v>
      </c>
      <c r="H180" s="5"/>
      <c r="I180" s="6"/>
    </row>
    <row r="181" spans="1:11">
      <c r="A181">
        <v>2023</v>
      </c>
      <c r="B181" s="9" t="s">
        <v>132</v>
      </c>
      <c r="C181" s="10">
        <v>1171361</v>
      </c>
      <c r="D181" s="10"/>
      <c r="E181">
        <v>2022</v>
      </c>
      <c r="F181" s="9" t="s">
        <v>132</v>
      </c>
      <c r="G181" s="10">
        <v>1169099</v>
      </c>
      <c r="H181" s="5"/>
      <c r="I181" s="6"/>
    </row>
    <row r="182" spans="1:11">
      <c r="A182">
        <v>2023</v>
      </c>
      <c r="B182" s="9" t="s">
        <v>133</v>
      </c>
      <c r="C182" s="10">
        <v>102286</v>
      </c>
      <c r="D182" s="10"/>
      <c r="E182">
        <v>2022</v>
      </c>
      <c r="F182" s="9" t="s">
        <v>133</v>
      </c>
      <c r="G182" s="10">
        <v>93992</v>
      </c>
      <c r="H182" s="5"/>
      <c r="I182" s="6"/>
    </row>
    <row r="183" spans="1:11">
      <c r="A183">
        <v>2023</v>
      </c>
      <c r="B183" s="9" t="s">
        <v>134</v>
      </c>
      <c r="C183" s="10">
        <v>223199</v>
      </c>
      <c r="D183" s="10"/>
      <c r="E183">
        <v>2022</v>
      </c>
      <c r="F183" s="9" t="s">
        <v>134</v>
      </c>
      <c r="G183" s="10">
        <v>217037</v>
      </c>
      <c r="H183" s="5"/>
      <c r="I183" s="6"/>
    </row>
    <row r="184" spans="1:11">
      <c r="A184">
        <v>2023</v>
      </c>
      <c r="B184" s="9" t="s">
        <v>135</v>
      </c>
      <c r="C184" s="10">
        <v>924121</v>
      </c>
      <c r="D184" s="10"/>
      <c r="E184">
        <v>2022</v>
      </c>
      <c r="F184" s="9" t="s">
        <v>135</v>
      </c>
      <c r="G184" s="10">
        <v>903370</v>
      </c>
      <c r="H184" s="5"/>
      <c r="I184" s="6"/>
    </row>
    <row r="185" spans="1:11">
      <c r="A185">
        <v>2023</v>
      </c>
      <c r="B185" s="9" t="s">
        <v>136</v>
      </c>
      <c r="C185" s="10">
        <v>441693</v>
      </c>
      <c r="D185" s="10"/>
      <c r="E185">
        <v>2022</v>
      </c>
      <c r="F185" s="9" t="s">
        <v>136</v>
      </c>
      <c r="G185" s="10">
        <v>419441</v>
      </c>
      <c r="H185" s="5"/>
      <c r="I185" s="6"/>
    </row>
    <row r="186" spans="1:11">
      <c r="A186">
        <v>2023</v>
      </c>
      <c r="B186" s="9" t="s">
        <v>137</v>
      </c>
      <c r="C186" s="10">
        <v>25928</v>
      </c>
      <c r="D186" s="10"/>
      <c r="E186">
        <v>2022</v>
      </c>
      <c r="F186" s="9" t="s">
        <v>137</v>
      </c>
      <c r="G186" s="10">
        <v>23889</v>
      </c>
      <c r="H186" s="5"/>
      <c r="I186" s="6"/>
    </row>
    <row r="187" spans="1:11">
      <c r="A187">
        <v>2023</v>
      </c>
      <c r="B187" s="9" t="s">
        <v>138</v>
      </c>
      <c r="C187" s="10">
        <v>867879</v>
      </c>
      <c r="D187" s="10"/>
      <c r="E187">
        <v>2022</v>
      </c>
      <c r="F187" s="9" t="s">
        <v>138</v>
      </c>
      <c r="G187" s="10">
        <v>775551</v>
      </c>
      <c r="H187" s="5"/>
      <c r="I187" s="6"/>
    </row>
    <row r="188" spans="1:11">
      <c r="A188">
        <v>2023</v>
      </c>
      <c r="B188" s="9" t="s">
        <v>139</v>
      </c>
      <c r="C188" s="10">
        <v>95950</v>
      </c>
      <c r="D188" s="10"/>
      <c r="E188">
        <v>2022</v>
      </c>
      <c r="F188" s="9" t="s">
        <v>139</v>
      </c>
      <c r="G188" s="10">
        <v>78565</v>
      </c>
      <c r="H188" s="5"/>
      <c r="I188" s="6"/>
    </row>
    <row r="189" spans="1:11">
      <c r="A189">
        <v>2023</v>
      </c>
      <c r="B189" s="9" t="s">
        <v>140</v>
      </c>
      <c r="C189" s="10">
        <v>317255</v>
      </c>
      <c r="D189" s="10"/>
      <c r="E189">
        <v>2022</v>
      </c>
      <c r="F189" s="9" t="s">
        <v>140</v>
      </c>
      <c r="G189" s="10">
        <v>270981</v>
      </c>
      <c r="H189" s="5"/>
      <c r="I189" s="6"/>
    </row>
    <row r="190" spans="1:11">
      <c r="A190">
        <v>2023</v>
      </c>
      <c r="B190" s="9" t="s">
        <v>141</v>
      </c>
      <c r="C190" s="10">
        <v>5757207</v>
      </c>
      <c r="D190" s="10"/>
      <c r="E190">
        <v>2022</v>
      </c>
      <c r="F190" s="9" t="s">
        <v>141</v>
      </c>
      <c r="G190" s="10">
        <v>5409872</v>
      </c>
      <c r="H190" s="5"/>
      <c r="I190" s="6"/>
    </row>
    <row r="191" spans="1:11">
      <c r="A191">
        <v>2023</v>
      </c>
      <c r="B191" s="9" t="s">
        <v>142</v>
      </c>
      <c r="C191" s="10">
        <v>495328</v>
      </c>
      <c r="D191" s="10"/>
      <c r="E191">
        <v>2022</v>
      </c>
      <c r="F191" s="9" t="s">
        <v>142</v>
      </c>
      <c r="G191" s="10">
        <v>482319</v>
      </c>
      <c r="H191" s="7"/>
      <c r="I191" s="2"/>
      <c r="J191" s="7"/>
      <c r="K191" s="1"/>
    </row>
    <row r="192" spans="1:11">
      <c r="A192">
        <v>2023</v>
      </c>
      <c r="B192" s="9" t="s">
        <v>143</v>
      </c>
      <c r="C192" s="10">
        <v>1029445</v>
      </c>
      <c r="D192" s="10"/>
      <c r="E192">
        <v>2022</v>
      </c>
      <c r="F192" s="9" t="s">
        <v>143</v>
      </c>
      <c r="G192" s="10">
        <v>895982</v>
      </c>
      <c r="H192" s="7"/>
      <c r="I192" s="2"/>
      <c r="J192" s="7"/>
      <c r="K192" s="3"/>
    </row>
    <row r="193" spans="1:11">
      <c r="A193">
        <v>2023</v>
      </c>
      <c r="B193" s="9" t="s">
        <v>144</v>
      </c>
      <c r="C193" s="10">
        <v>1990988</v>
      </c>
      <c r="D193" s="10"/>
      <c r="E193">
        <v>2022</v>
      </c>
      <c r="F193" s="9" t="s">
        <v>144</v>
      </c>
      <c r="G193" s="10">
        <v>1826720</v>
      </c>
      <c r="H193" s="7"/>
      <c r="I193" s="2"/>
      <c r="J193" s="7"/>
      <c r="K193" s="3"/>
    </row>
    <row r="194" spans="1:11">
      <c r="A194">
        <v>2023</v>
      </c>
      <c r="B194" s="9" t="s">
        <v>145</v>
      </c>
      <c r="C194" s="10">
        <v>221432</v>
      </c>
      <c r="D194" s="10"/>
      <c r="E194">
        <v>2022</v>
      </c>
      <c r="F194" s="9" t="s">
        <v>145</v>
      </c>
      <c r="G194" s="10">
        <v>251391</v>
      </c>
      <c r="H194" s="7"/>
      <c r="I194" s="2"/>
      <c r="J194" s="7"/>
      <c r="K194" s="3"/>
    </row>
    <row r="195" spans="1:11">
      <c r="A195">
        <v>2023</v>
      </c>
      <c r="B195" s="9" t="s">
        <v>146</v>
      </c>
      <c r="C195" s="10">
        <v>5979168</v>
      </c>
      <c r="D195" s="10"/>
      <c r="E195">
        <v>2022</v>
      </c>
      <c r="F195" s="9" t="s">
        <v>146</v>
      </c>
      <c r="G195" s="10">
        <v>5992274</v>
      </c>
      <c r="H195" s="7"/>
      <c r="I195" s="2"/>
      <c r="J195" s="7"/>
      <c r="K195" s="3"/>
    </row>
    <row r="196" spans="1:11">
      <c r="A196">
        <v>2023</v>
      </c>
      <c r="B196" s="9" t="s">
        <v>147</v>
      </c>
      <c r="C196" s="10">
        <v>4518741</v>
      </c>
      <c r="D196" s="10"/>
      <c r="E196">
        <v>2022</v>
      </c>
      <c r="F196" s="9" t="s">
        <v>147</v>
      </c>
      <c r="G196" s="10">
        <v>4189154</v>
      </c>
      <c r="H196" s="7"/>
      <c r="I196" s="2"/>
      <c r="J196" s="7"/>
      <c r="K196" s="3"/>
    </row>
    <row r="197" spans="1:11">
      <c r="A197">
        <v>2023</v>
      </c>
      <c r="B197" s="9" t="s">
        <v>148</v>
      </c>
      <c r="C197" s="10">
        <v>60994</v>
      </c>
      <c r="D197" s="10"/>
      <c r="E197">
        <v>2022</v>
      </c>
      <c r="F197" s="9" t="s">
        <v>148</v>
      </c>
      <c r="G197" s="10">
        <v>56343</v>
      </c>
      <c r="H197" s="7"/>
      <c r="I197" s="2"/>
      <c r="J197" s="7"/>
      <c r="K197" s="3"/>
    </row>
    <row r="198" spans="1:11">
      <c r="A198">
        <v>2023</v>
      </c>
      <c r="B198" s="9" t="s">
        <v>149</v>
      </c>
      <c r="C198" s="10">
        <v>256049</v>
      </c>
      <c r="D198" s="10"/>
      <c r="E198">
        <v>2022</v>
      </c>
      <c r="F198" s="9" t="s">
        <v>149</v>
      </c>
      <c r="G198" s="10">
        <v>266501</v>
      </c>
      <c r="H198" s="7"/>
      <c r="I198" s="2"/>
      <c r="J198" s="7"/>
      <c r="K198" s="3"/>
    </row>
    <row r="199" spans="1:11">
      <c r="A199">
        <v>2023</v>
      </c>
      <c r="B199" s="9" t="s">
        <v>150</v>
      </c>
      <c r="C199" s="10">
        <v>243811</v>
      </c>
      <c r="D199" s="10"/>
      <c r="E199">
        <v>2022</v>
      </c>
      <c r="F199" s="9" t="s">
        <v>150</v>
      </c>
      <c r="G199" s="10">
        <v>225240</v>
      </c>
      <c r="H199" s="7"/>
      <c r="I199" s="2"/>
      <c r="J199" s="7"/>
      <c r="K199" s="3"/>
    </row>
    <row r="200" spans="1:11">
      <c r="A200">
        <v>2023</v>
      </c>
      <c r="B200" s="9" t="s">
        <v>151</v>
      </c>
      <c r="C200" s="10">
        <v>992977</v>
      </c>
      <c r="D200" s="10"/>
      <c r="E200">
        <v>2022</v>
      </c>
      <c r="F200" s="9" t="s">
        <v>151</v>
      </c>
      <c r="G200" s="10">
        <v>869623</v>
      </c>
      <c r="H200" s="7"/>
      <c r="I200" s="2"/>
      <c r="J200" s="7"/>
      <c r="K200" s="3"/>
    </row>
    <row r="201" spans="1:11">
      <c r="A201">
        <v>2023</v>
      </c>
      <c r="B201" s="9" t="s">
        <v>152</v>
      </c>
      <c r="C201" s="10">
        <v>40950</v>
      </c>
      <c r="D201" s="10"/>
      <c r="E201">
        <v>2022</v>
      </c>
      <c r="F201" s="9" t="s">
        <v>152</v>
      </c>
      <c r="G201" s="10">
        <v>34985</v>
      </c>
      <c r="H201" s="7"/>
      <c r="I201" s="2"/>
      <c r="J201" s="7"/>
      <c r="K201" s="3"/>
    </row>
    <row r="202" spans="1:11">
      <c r="A202">
        <v>2023</v>
      </c>
      <c r="B202" s="9" t="s">
        <v>153</v>
      </c>
      <c r="C202" s="10">
        <v>52901</v>
      </c>
      <c r="D202" s="10"/>
      <c r="E202">
        <v>2022</v>
      </c>
      <c r="F202" s="9" t="s">
        <v>153</v>
      </c>
      <c r="G202" s="10">
        <v>49173</v>
      </c>
      <c r="H202" s="7"/>
      <c r="I202" s="2"/>
      <c r="J202" s="7"/>
      <c r="K202" s="3"/>
    </row>
    <row r="203" spans="1:11">
      <c r="A203">
        <v>2023</v>
      </c>
      <c r="B203" s="9" t="s">
        <v>154</v>
      </c>
      <c r="C203" s="10">
        <v>6323986</v>
      </c>
      <c r="D203" s="10"/>
      <c r="E203">
        <v>2022</v>
      </c>
      <c r="F203" s="9" t="s">
        <v>154</v>
      </c>
      <c r="G203" s="10">
        <v>6139638</v>
      </c>
      <c r="H203" s="7"/>
      <c r="I203" s="2"/>
      <c r="J203" s="7"/>
      <c r="K203" s="3"/>
    </row>
    <row r="204" spans="1:11">
      <c r="A204">
        <v>2023</v>
      </c>
      <c r="B204" s="9" t="s">
        <v>155</v>
      </c>
      <c r="C204" s="10">
        <v>2948045</v>
      </c>
      <c r="D204" s="10"/>
      <c r="E204">
        <v>2022</v>
      </c>
      <c r="F204" s="9" t="s">
        <v>155</v>
      </c>
      <c r="G204" s="10">
        <v>2784889</v>
      </c>
      <c r="H204" s="7"/>
      <c r="I204" s="2"/>
      <c r="J204" s="7"/>
      <c r="K204" s="3"/>
    </row>
    <row r="205" spans="1:11">
      <c r="A205">
        <v>2023</v>
      </c>
      <c r="B205" s="9" t="s">
        <v>156</v>
      </c>
      <c r="C205" s="10">
        <v>12428</v>
      </c>
      <c r="D205" s="10"/>
      <c r="E205">
        <v>2022</v>
      </c>
      <c r="F205" s="9" t="s">
        <v>156</v>
      </c>
      <c r="G205" s="10">
        <v>10894</v>
      </c>
      <c r="H205" s="7"/>
      <c r="I205" s="2"/>
      <c r="J205" s="7"/>
      <c r="K205" s="3"/>
    </row>
    <row r="206" spans="1:11">
      <c r="A206">
        <v>2023</v>
      </c>
      <c r="B206" s="9" t="s">
        <v>157</v>
      </c>
      <c r="C206" s="10">
        <v>14275</v>
      </c>
      <c r="D206" s="10"/>
      <c r="E206">
        <v>2022</v>
      </c>
      <c r="F206" s="9" t="s">
        <v>157</v>
      </c>
      <c r="G206" s="10">
        <v>14095</v>
      </c>
      <c r="H206" s="7"/>
      <c r="I206" s="2"/>
      <c r="J206" s="7"/>
      <c r="K206" s="3"/>
    </row>
    <row r="207" spans="1:11">
      <c r="A207">
        <v>2023</v>
      </c>
      <c r="B207" s="9" t="s">
        <v>158</v>
      </c>
      <c r="C207" s="10">
        <v>106375</v>
      </c>
      <c r="D207" s="10"/>
      <c r="E207">
        <v>2022</v>
      </c>
      <c r="F207" s="9" t="s">
        <v>158</v>
      </c>
      <c r="G207" s="10">
        <v>97109</v>
      </c>
      <c r="H207" s="7"/>
      <c r="I207" s="2"/>
      <c r="J207" s="7"/>
      <c r="K207" s="3"/>
    </row>
    <row r="208" spans="1:11">
      <c r="A208">
        <v>2023</v>
      </c>
      <c r="B208" s="9" t="s">
        <v>159</v>
      </c>
      <c r="C208" s="10">
        <v>1880661</v>
      </c>
      <c r="D208" s="10"/>
      <c r="E208">
        <v>2022</v>
      </c>
      <c r="F208" s="9" t="s">
        <v>159</v>
      </c>
      <c r="G208" s="10">
        <v>1848060</v>
      </c>
      <c r="H208" s="7"/>
      <c r="I208" s="2"/>
      <c r="J208" s="7"/>
      <c r="K208" s="3"/>
    </row>
    <row r="209" spans="1:11">
      <c r="A209">
        <v>2023</v>
      </c>
      <c r="B209" s="9" t="s">
        <v>160</v>
      </c>
      <c r="C209" s="10">
        <v>130963</v>
      </c>
      <c r="D209" s="10"/>
      <c r="E209">
        <v>2022</v>
      </c>
      <c r="F209" s="9" t="s">
        <v>160</v>
      </c>
      <c r="G209" s="10">
        <v>134483</v>
      </c>
      <c r="H209" s="7"/>
      <c r="I209" s="2"/>
      <c r="J209" s="7"/>
      <c r="K209" s="3"/>
    </row>
    <row r="210" spans="1:11">
      <c r="A210">
        <v>2023</v>
      </c>
      <c r="B210" s="9" t="s">
        <v>161</v>
      </c>
      <c r="C210" s="10">
        <v>107548</v>
      </c>
      <c r="D210" s="10"/>
      <c r="E210">
        <v>2022</v>
      </c>
      <c r="F210" s="9" t="s">
        <v>161</v>
      </c>
      <c r="G210" s="10">
        <v>101630</v>
      </c>
      <c r="H210" s="7"/>
      <c r="I210" s="2"/>
      <c r="J210" s="7"/>
      <c r="K210" s="3"/>
    </row>
    <row r="211" spans="1:11">
      <c r="A211">
        <v>2023</v>
      </c>
      <c r="B211" s="9" t="s">
        <v>162</v>
      </c>
      <c r="C211" s="10">
        <v>145624</v>
      </c>
      <c r="D211" s="10"/>
      <c r="E211">
        <v>2022</v>
      </c>
      <c r="F211" s="9" t="s">
        <v>162</v>
      </c>
      <c r="G211" s="10">
        <v>146281</v>
      </c>
      <c r="H211" s="7"/>
      <c r="I211" s="2"/>
      <c r="J211" s="7"/>
      <c r="K211" s="3"/>
    </row>
    <row r="212" spans="1:11">
      <c r="A212">
        <v>2023</v>
      </c>
      <c r="B212" s="9" t="s">
        <v>163</v>
      </c>
      <c r="C212" s="10">
        <v>75500</v>
      </c>
      <c r="D212" s="10"/>
      <c r="E212">
        <v>2022</v>
      </c>
      <c r="F212" s="9" t="s">
        <v>163</v>
      </c>
      <c r="G212" s="10">
        <v>65786</v>
      </c>
      <c r="H212" s="7"/>
      <c r="I212" s="2"/>
      <c r="J212" s="7"/>
      <c r="K212" s="3"/>
    </row>
    <row r="213" spans="1:11">
      <c r="A213">
        <v>2023</v>
      </c>
      <c r="B213" s="9" t="s">
        <v>164</v>
      </c>
      <c r="C213" s="10">
        <v>101457</v>
      </c>
      <c r="D213" s="10"/>
      <c r="E213">
        <v>2022</v>
      </c>
      <c r="F213" s="9" t="s">
        <v>164</v>
      </c>
      <c r="G213" s="10">
        <v>99566</v>
      </c>
      <c r="H213" s="7"/>
      <c r="I213" s="2"/>
      <c r="J213" s="7"/>
      <c r="K213" s="3"/>
    </row>
    <row r="214" spans="1:11">
      <c r="A214">
        <v>2023</v>
      </c>
      <c r="B214" s="9" t="s">
        <v>165</v>
      </c>
      <c r="C214" s="10">
        <v>264237</v>
      </c>
      <c r="D214" s="10"/>
      <c r="E214">
        <v>2022</v>
      </c>
      <c r="F214" s="9" t="s">
        <v>165</v>
      </c>
      <c r="G214" s="10">
        <v>271947</v>
      </c>
      <c r="H214" s="7"/>
      <c r="I214" s="2"/>
      <c r="J214" s="7"/>
      <c r="K214" s="3"/>
    </row>
    <row r="215" spans="1:11">
      <c r="A215">
        <v>2023</v>
      </c>
      <c r="B215" s="9" t="s">
        <v>166</v>
      </c>
      <c r="C215" s="10">
        <v>210068</v>
      </c>
      <c r="D215" s="10"/>
      <c r="E215">
        <v>2022</v>
      </c>
      <c r="F215" s="9" t="s">
        <v>166</v>
      </c>
      <c r="G215" s="10">
        <v>193881</v>
      </c>
      <c r="H215" s="7"/>
      <c r="I215" s="2"/>
      <c r="J215" s="7"/>
      <c r="K215" s="3"/>
    </row>
    <row r="216" spans="1:11">
      <c r="A216">
        <v>2023</v>
      </c>
      <c r="B216" s="9" t="s">
        <v>167</v>
      </c>
      <c r="C216" s="10">
        <v>81939</v>
      </c>
      <c r="D216" s="10"/>
      <c r="E216">
        <v>2022</v>
      </c>
      <c r="F216" s="9" t="s">
        <v>167</v>
      </c>
      <c r="G216" s="10">
        <v>71446</v>
      </c>
      <c r="H216" s="7"/>
      <c r="I216" s="2"/>
      <c r="J216" s="7"/>
      <c r="K216" s="3"/>
    </row>
    <row r="217" spans="1:11">
      <c r="A217">
        <v>2023</v>
      </c>
      <c r="B217" s="9" t="s">
        <v>168</v>
      </c>
      <c r="C217" s="10">
        <v>188384</v>
      </c>
      <c r="D217" s="10"/>
      <c r="E217">
        <v>2022</v>
      </c>
      <c r="F217" s="9" t="s">
        <v>168</v>
      </c>
      <c r="G217" s="10">
        <v>187724</v>
      </c>
      <c r="H217" s="7"/>
      <c r="I217" s="2"/>
      <c r="J217" s="7"/>
      <c r="K217" s="3"/>
    </row>
    <row r="218" spans="1:11">
      <c r="A218">
        <v>2023</v>
      </c>
      <c r="B218" s="9" t="s">
        <v>169</v>
      </c>
      <c r="C218" s="10">
        <v>260846</v>
      </c>
      <c r="D218" s="10"/>
      <c r="E218">
        <v>2022</v>
      </c>
      <c r="F218" s="9" t="s">
        <v>169</v>
      </c>
      <c r="G218" s="10">
        <v>245387</v>
      </c>
      <c r="H218" s="7"/>
      <c r="I218" s="2"/>
      <c r="J218" s="7"/>
      <c r="K218" s="3"/>
    </row>
    <row r="219" spans="1:11">
      <c r="A219">
        <v>2023</v>
      </c>
      <c r="B219" s="9" t="s">
        <v>170</v>
      </c>
      <c r="C219" s="10">
        <v>241620</v>
      </c>
      <c r="D219" s="10"/>
      <c r="E219">
        <v>2022</v>
      </c>
      <c r="F219" s="9" t="s">
        <v>170</v>
      </c>
      <c r="G219" s="10">
        <v>179050</v>
      </c>
      <c r="H219" s="7"/>
      <c r="I219" s="2"/>
      <c r="J219" s="7"/>
      <c r="K219" s="3"/>
    </row>
    <row r="220" spans="1:11">
      <c r="A220">
        <v>2023</v>
      </c>
      <c r="B220" s="9" t="s">
        <v>171</v>
      </c>
      <c r="C220" s="10">
        <v>313308</v>
      </c>
      <c r="D220" s="10"/>
      <c r="E220">
        <v>2022</v>
      </c>
      <c r="F220" s="9" t="s">
        <v>171</v>
      </c>
      <c r="G220" s="10">
        <v>311898</v>
      </c>
      <c r="H220" s="7"/>
      <c r="I220" s="2"/>
      <c r="J220" s="7"/>
      <c r="K220" s="3"/>
    </row>
    <row r="221" spans="1:11">
      <c r="A221">
        <v>2023</v>
      </c>
      <c r="B221" s="9" t="s">
        <v>172</v>
      </c>
      <c r="C221" s="10">
        <v>100520</v>
      </c>
      <c r="D221" s="10"/>
      <c r="E221">
        <v>2022</v>
      </c>
      <c r="F221" s="9" t="s">
        <v>172</v>
      </c>
      <c r="G221" s="10">
        <v>102086</v>
      </c>
      <c r="H221" s="7"/>
      <c r="I221" s="2"/>
      <c r="J221" s="7"/>
      <c r="K221" s="3"/>
    </row>
    <row r="222" spans="1:11">
      <c r="A222">
        <v>2023</v>
      </c>
      <c r="B222" s="9" t="s">
        <v>173</v>
      </c>
      <c r="C222" s="10">
        <v>105944</v>
      </c>
      <c r="D222" s="10"/>
      <c r="E222">
        <v>2022</v>
      </c>
      <c r="F222" s="9" t="s">
        <v>173</v>
      </c>
      <c r="G222" s="10">
        <v>125979</v>
      </c>
      <c r="H222" s="7"/>
      <c r="I222" s="2"/>
      <c r="J222" s="7"/>
      <c r="K222" s="3"/>
    </row>
    <row r="223" spans="1:11">
      <c r="A223">
        <v>2023</v>
      </c>
      <c r="B223" s="9" t="s">
        <v>174</v>
      </c>
      <c r="C223" s="10">
        <v>231116</v>
      </c>
      <c r="D223" s="10"/>
      <c r="E223">
        <v>2022</v>
      </c>
      <c r="F223" s="9" t="s">
        <v>174</v>
      </c>
      <c r="G223" s="10">
        <v>219836</v>
      </c>
      <c r="H223" s="7"/>
      <c r="I223" s="2"/>
      <c r="J223" s="7"/>
      <c r="K223" s="3"/>
    </row>
    <row r="224" spans="1:11">
      <c r="A224">
        <v>2023</v>
      </c>
      <c r="B224" s="9" t="s">
        <v>175</v>
      </c>
      <c r="C224" s="10">
        <v>184976</v>
      </c>
      <c r="D224" s="10"/>
      <c r="E224">
        <v>2022</v>
      </c>
      <c r="F224" s="9" t="s">
        <v>175</v>
      </c>
      <c r="G224" s="10">
        <v>192346</v>
      </c>
      <c r="H224" s="7"/>
      <c r="I224" s="2"/>
      <c r="J224" s="7"/>
      <c r="K224" s="3"/>
    </row>
    <row r="225" spans="1:11">
      <c r="A225">
        <v>2023</v>
      </c>
      <c r="B225" s="9" t="s">
        <v>176</v>
      </c>
      <c r="C225" s="10">
        <v>16483447</v>
      </c>
      <c r="D225" s="10"/>
      <c r="E225">
        <v>2022</v>
      </c>
      <c r="F225" s="9" t="s">
        <v>176</v>
      </c>
      <c r="G225" s="10">
        <v>15628166</v>
      </c>
      <c r="H225" s="7"/>
      <c r="I225" s="2"/>
      <c r="J225" s="7"/>
      <c r="K225" s="3"/>
    </row>
    <row r="226" spans="1:11">
      <c r="A226">
        <v>2023</v>
      </c>
      <c r="B226" s="9" t="s">
        <v>177</v>
      </c>
      <c r="E226">
        <v>2022</v>
      </c>
      <c r="F226" s="9" t="s">
        <v>177</v>
      </c>
      <c r="G226" s="10">
        <v>165750</v>
      </c>
      <c r="H226" s="7"/>
      <c r="I226" s="2"/>
      <c r="J226" s="7"/>
      <c r="K226" s="3"/>
    </row>
    <row r="227" spans="1:11">
      <c r="A227">
        <v>2023</v>
      </c>
      <c r="B227" s="9" t="s">
        <v>178</v>
      </c>
      <c r="C227" s="10">
        <v>116077</v>
      </c>
      <c r="D227" s="10"/>
      <c r="E227">
        <v>2022</v>
      </c>
      <c r="F227" s="9" t="s">
        <v>178</v>
      </c>
      <c r="G227" s="10">
        <v>96852</v>
      </c>
      <c r="H227" s="7"/>
      <c r="I227" s="2"/>
      <c r="J227" s="7"/>
      <c r="K227" s="3"/>
    </row>
    <row r="228" spans="1:11">
      <c r="A228">
        <v>2023</v>
      </c>
      <c r="B228" s="9" t="s">
        <v>179</v>
      </c>
      <c r="C228" s="10">
        <v>194675</v>
      </c>
      <c r="D228" s="10"/>
      <c r="E228">
        <v>2022</v>
      </c>
      <c r="F228" s="9" t="s">
        <v>179</v>
      </c>
      <c r="G228" s="10">
        <v>191232</v>
      </c>
      <c r="H228" s="7"/>
      <c r="I228" s="2"/>
      <c r="J228" s="7"/>
      <c r="K228" s="3"/>
    </row>
    <row r="229" spans="1:11">
      <c r="A229">
        <v>2023</v>
      </c>
      <c r="B229" s="9" t="s">
        <v>180</v>
      </c>
      <c r="C229" s="10">
        <v>151034</v>
      </c>
      <c r="D229" s="10"/>
      <c r="E229">
        <v>2022</v>
      </c>
      <c r="F229" s="9" t="s">
        <v>180</v>
      </c>
      <c r="G229" s="10">
        <v>148332</v>
      </c>
      <c r="H229" s="7"/>
      <c r="I229" s="2"/>
      <c r="J229" s="7"/>
      <c r="K229" s="3"/>
    </row>
    <row r="230" spans="1:11">
      <c r="A230">
        <v>2023</v>
      </c>
      <c r="B230" s="9" t="s">
        <v>181</v>
      </c>
      <c r="C230" s="10">
        <v>503517</v>
      </c>
      <c r="D230" s="10"/>
      <c r="E230">
        <v>2022</v>
      </c>
      <c r="F230" s="9" t="s">
        <v>181</v>
      </c>
      <c r="G230" s="10">
        <v>481560</v>
      </c>
      <c r="H230" s="7"/>
      <c r="I230" s="2"/>
      <c r="J230" s="7"/>
      <c r="K230" s="3"/>
    </row>
    <row r="231" spans="1:11">
      <c r="A231">
        <v>2023</v>
      </c>
      <c r="B231" s="9" t="s">
        <v>182</v>
      </c>
      <c r="C231" s="10">
        <v>57409</v>
      </c>
      <c r="D231" s="10"/>
      <c r="E231">
        <v>2022</v>
      </c>
      <c r="F231" s="9" t="s">
        <v>182</v>
      </c>
      <c r="G231" s="10">
        <v>54765</v>
      </c>
      <c r="H231" s="8"/>
      <c r="I231" s="2"/>
      <c r="J231" s="8"/>
      <c r="K231" s="3"/>
    </row>
    <row r="232" spans="1:11">
      <c r="A232">
        <v>2023</v>
      </c>
      <c r="B232" s="9" t="s">
        <v>183</v>
      </c>
      <c r="C232" s="10">
        <v>102495</v>
      </c>
      <c r="D232" s="10"/>
      <c r="E232">
        <v>2022</v>
      </c>
      <c r="F232" s="9" t="s">
        <v>183</v>
      </c>
      <c r="G232" s="10">
        <v>110611</v>
      </c>
      <c r="H232" s="7"/>
      <c r="I232" s="2"/>
      <c r="J232" s="7"/>
      <c r="K232" s="1"/>
    </row>
    <row r="233" spans="1:11">
      <c r="A233">
        <v>2023</v>
      </c>
      <c r="B233" s="9" t="s">
        <v>184</v>
      </c>
      <c r="C233" s="10">
        <v>172512</v>
      </c>
      <c r="D233" s="10"/>
      <c r="E233">
        <v>2022</v>
      </c>
      <c r="F233" s="9" t="s">
        <v>184</v>
      </c>
      <c r="G233" s="10">
        <v>166160</v>
      </c>
      <c r="H233" s="7"/>
      <c r="I233" s="2"/>
      <c r="J233" s="7"/>
      <c r="K233" s="3"/>
    </row>
    <row r="234" spans="1:11">
      <c r="A234">
        <v>2023</v>
      </c>
      <c r="B234" s="9" t="s">
        <v>185</v>
      </c>
      <c r="C234" s="10">
        <v>1523576</v>
      </c>
      <c r="D234" s="10"/>
      <c r="E234">
        <v>2022</v>
      </c>
      <c r="F234" s="9" t="s">
        <v>185</v>
      </c>
      <c r="G234" s="10">
        <v>1474447</v>
      </c>
      <c r="H234" s="7"/>
      <c r="I234" s="2"/>
      <c r="J234" s="7"/>
      <c r="K234" s="3"/>
    </row>
    <row r="235" spans="1:11">
      <c r="A235">
        <v>2023</v>
      </c>
      <c r="B235" s="9" t="s">
        <v>186</v>
      </c>
      <c r="C235" s="10">
        <v>209811</v>
      </c>
      <c r="D235" s="10"/>
      <c r="E235">
        <v>2022</v>
      </c>
      <c r="F235" s="9" t="s">
        <v>186</v>
      </c>
      <c r="G235" s="10">
        <v>203135</v>
      </c>
      <c r="H235" s="7"/>
      <c r="I235" s="2"/>
      <c r="J235" s="7"/>
      <c r="K235" s="3"/>
    </row>
    <row r="236" spans="1:11">
      <c r="A236">
        <v>2023</v>
      </c>
      <c r="B236" s="9" t="s">
        <v>187</v>
      </c>
      <c r="C236" s="10">
        <v>2039494</v>
      </c>
      <c r="D236" s="10"/>
      <c r="E236">
        <v>2022</v>
      </c>
      <c r="F236" s="9" t="s">
        <v>187</v>
      </c>
      <c r="G236" s="10">
        <v>2032711</v>
      </c>
      <c r="H236" s="7"/>
      <c r="I236" s="2"/>
      <c r="J236" s="7"/>
      <c r="K236" s="3"/>
    </row>
    <row r="237" spans="1:11">
      <c r="A237">
        <v>2023</v>
      </c>
      <c r="B237" s="9" t="s">
        <v>188</v>
      </c>
      <c r="C237" s="10">
        <v>85061</v>
      </c>
      <c r="D237" s="10"/>
      <c r="E237">
        <v>2022</v>
      </c>
      <c r="F237" s="9" t="s">
        <v>188</v>
      </c>
      <c r="G237" s="10">
        <v>85961</v>
      </c>
      <c r="H237" s="7"/>
      <c r="I237" s="2"/>
      <c r="J237" s="7"/>
      <c r="K237" s="3"/>
    </row>
    <row r="238" spans="1:11">
      <c r="A238">
        <v>2023</v>
      </c>
      <c r="B238" s="9" t="s">
        <v>189</v>
      </c>
      <c r="C238" s="10">
        <v>2302287</v>
      </c>
      <c r="D238" s="10"/>
      <c r="E238">
        <v>2022</v>
      </c>
      <c r="F238" s="9" t="s">
        <v>189</v>
      </c>
      <c r="G238" s="10">
        <v>2250627</v>
      </c>
      <c r="H238" s="7"/>
      <c r="I238" s="2"/>
      <c r="J238" s="7"/>
      <c r="K238" s="3"/>
    </row>
    <row r="239" spans="1:11">
      <c r="A239">
        <v>2023</v>
      </c>
      <c r="B239" s="9" t="s">
        <v>190</v>
      </c>
      <c r="C239" s="10">
        <v>1662500</v>
      </c>
      <c r="D239" s="10"/>
      <c r="E239">
        <v>2022</v>
      </c>
      <c r="F239" s="9" t="s">
        <v>190</v>
      </c>
      <c r="G239" s="10">
        <v>1659506</v>
      </c>
      <c r="H239" s="7"/>
      <c r="I239" s="2"/>
      <c r="J239" s="7"/>
      <c r="K239" s="3"/>
    </row>
    <row r="240" spans="1:11">
      <c r="A240">
        <v>2023</v>
      </c>
      <c r="B240" s="9" t="s">
        <v>191</v>
      </c>
      <c r="C240" s="10">
        <v>201266</v>
      </c>
      <c r="D240" s="10"/>
      <c r="E240">
        <v>2022</v>
      </c>
      <c r="F240" s="9" t="s">
        <v>191</v>
      </c>
      <c r="G240" s="10">
        <v>188945</v>
      </c>
      <c r="H240" s="7"/>
      <c r="I240" s="2"/>
      <c r="J240" s="7"/>
      <c r="K240" s="3"/>
    </row>
    <row r="241" spans="1:11">
      <c r="A241">
        <v>2023</v>
      </c>
      <c r="B241" s="9" t="s">
        <v>192</v>
      </c>
      <c r="C241" s="10">
        <v>95405</v>
      </c>
      <c r="D241" s="10"/>
      <c r="E241">
        <v>2022</v>
      </c>
      <c r="F241" s="9" t="s">
        <v>192</v>
      </c>
      <c r="G241" s="10">
        <v>86356</v>
      </c>
      <c r="H241" s="7"/>
      <c r="I241" s="2"/>
      <c r="J241" s="7"/>
      <c r="K241" s="3"/>
    </row>
    <row r="242" spans="1:11">
      <c r="A242">
        <v>2023</v>
      </c>
      <c r="B242" s="9" t="s">
        <v>193</v>
      </c>
      <c r="C242" s="10">
        <v>36598</v>
      </c>
      <c r="D242" s="10"/>
      <c r="E242">
        <v>2022</v>
      </c>
      <c r="F242" s="9" t="s">
        <v>193</v>
      </c>
      <c r="G242" s="10">
        <v>30058</v>
      </c>
      <c r="H242" s="7"/>
      <c r="I242" s="2"/>
      <c r="J242" s="7"/>
      <c r="K242" s="3"/>
    </row>
    <row r="243" spans="1:11">
      <c r="A243">
        <v>2023</v>
      </c>
      <c r="B243" s="9" t="s">
        <v>194</v>
      </c>
      <c r="C243" s="10">
        <v>113520692</v>
      </c>
      <c r="D243" s="10"/>
      <c r="E243">
        <v>2022</v>
      </c>
      <c r="F243" s="9" t="s">
        <v>194</v>
      </c>
      <c r="G243" s="10">
        <v>107566038</v>
      </c>
      <c r="H243" s="7"/>
      <c r="I243" s="2"/>
      <c r="J243" s="7"/>
      <c r="K243" s="3"/>
    </row>
    <row r="244" spans="1:11">
      <c r="A244">
        <v>2023</v>
      </c>
      <c r="B244" s="9" t="s">
        <v>195</v>
      </c>
      <c r="C244" s="10">
        <v>107587</v>
      </c>
      <c r="D244" s="10"/>
      <c r="E244">
        <v>2022</v>
      </c>
      <c r="F244" s="9" t="s">
        <v>195</v>
      </c>
      <c r="G244" s="10">
        <v>104941</v>
      </c>
      <c r="H244" s="7"/>
      <c r="I244" s="2"/>
      <c r="J244" s="7"/>
      <c r="K244" s="3"/>
    </row>
    <row r="245" spans="1:11">
      <c r="A245">
        <v>2023</v>
      </c>
      <c r="B245" s="9" t="s">
        <v>196</v>
      </c>
      <c r="C245" s="10">
        <v>88049</v>
      </c>
      <c r="D245" s="10"/>
      <c r="E245">
        <v>2022</v>
      </c>
      <c r="F245" s="9" t="s">
        <v>196</v>
      </c>
      <c r="G245" s="10">
        <v>87249</v>
      </c>
      <c r="H245" s="7"/>
      <c r="I245" s="2"/>
      <c r="J245" s="7"/>
      <c r="K245" s="3"/>
    </row>
    <row r="246" spans="1:11">
      <c r="A246">
        <v>2023</v>
      </c>
      <c r="B246" s="9" t="s">
        <v>197</v>
      </c>
      <c r="C246" s="10">
        <v>5483303</v>
      </c>
      <c r="D246" s="10"/>
      <c r="E246">
        <v>2022</v>
      </c>
      <c r="F246" s="9" t="s">
        <v>197</v>
      </c>
      <c r="G246" s="10">
        <v>5099296</v>
      </c>
      <c r="H246" s="7"/>
      <c r="I246" s="2"/>
      <c r="J246" s="7"/>
      <c r="K246" s="3"/>
    </row>
    <row r="247" spans="1:11">
      <c r="A247">
        <v>2023</v>
      </c>
      <c r="B247" s="9" t="s">
        <v>198</v>
      </c>
      <c r="C247" s="10">
        <v>517244</v>
      </c>
      <c r="D247" s="10"/>
      <c r="E247">
        <v>2022</v>
      </c>
      <c r="F247" s="9" t="s">
        <v>198</v>
      </c>
      <c r="G247" s="10">
        <v>574585</v>
      </c>
      <c r="H247" s="7"/>
      <c r="I247" s="2"/>
      <c r="J247" s="7"/>
      <c r="K247" s="3"/>
    </row>
    <row r="248" spans="1:11">
      <c r="A248">
        <v>2023</v>
      </c>
      <c r="B248" s="9" t="s">
        <v>199</v>
      </c>
      <c r="C248" s="10">
        <v>123973</v>
      </c>
      <c r="D248" s="10"/>
      <c r="E248">
        <v>2022</v>
      </c>
      <c r="F248" s="9" t="s">
        <v>199</v>
      </c>
      <c r="G248" s="10">
        <v>104352</v>
      </c>
      <c r="H248" s="7"/>
      <c r="I248" s="2"/>
      <c r="J248" s="7"/>
      <c r="K248" s="3"/>
    </row>
    <row r="249" spans="1:11">
      <c r="A249">
        <v>2023</v>
      </c>
      <c r="B249" s="9" t="s">
        <v>200</v>
      </c>
      <c r="C249" s="10">
        <v>1180894</v>
      </c>
      <c r="D249" s="10"/>
      <c r="E249">
        <v>2022</v>
      </c>
      <c r="F249" s="9" t="s">
        <v>200</v>
      </c>
      <c r="G249" s="10">
        <v>1089149</v>
      </c>
      <c r="H249" s="7"/>
      <c r="I249" s="2"/>
      <c r="J249" s="7"/>
      <c r="K249" s="3"/>
    </row>
    <row r="250" spans="1:11">
      <c r="A250">
        <v>2023</v>
      </c>
      <c r="B250" s="9" t="s">
        <v>201</v>
      </c>
      <c r="C250" s="10">
        <v>1738808</v>
      </c>
      <c r="D250" s="10"/>
      <c r="E250">
        <v>2022</v>
      </c>
      <c r="F250" s="9" t="s">
        <v>201</v>
      </c>
      <c r="G250" s="10">
        <v>1646247</v>
      </c>
      <c r="H250" s="7"/>
      <c r="I250" s="2"/>
      <c r="J250" s="7"/>
      <c r="K250" s="3"/>
    </row>
    <row r="251" spans="1:11">
      <c r="A251">
        <v>2023</v>
      </c>
      <c r="B251" s="9" t="s">
        <v>202</v>
      </c>
      <c r="C251" s="10">
        <v>1079399</v>
      </c>
      <c r="D251" s="10"/>
      <c r="E251">
        <v>2022</v>
      </c>
      <c r="F251" s="9" t="s">
        <v>202</v>
      </c>
      <c r="G251" s="10">
        <v>1074126</v>
      </c>
      <c r="H251" s="7"/>
      <c r="I251" s="2"/>
      <c r="J251" s="7"/>
      <c r="K251" s="3"/>
    </row>
    <row r="252" spans="1:11">
      <c r="A252">
        <v>2023</v>
      </c>
      <c r="B252" s="9" t="s">
        <v>203</v>
      </c>
      <c r="C252" s="10">
        <v>146005</v>
      </c>
      <c r="D252" s="10"/>
      <c r="E252">
        <v>2022</v>
      </c>
      <c r="F252" s="9" t="s">
        <v>203</v>
      </c>
      <c r="G252" s="10">
        <v>144459</v>
      </c>
      <c r="H252" s="7"/>
      <c r="I252" s="2"/>
      <c r="J252" s="7"/>
      <c r="K252" s="3"/>
    </row>
    <row r="253" spans="1:11">
      <c r="A253">
        <v>2023</v>
      </c>
      <c r="B253" s="9" t="s">
        <v>204</v>
      </c>
      <c r="C253" s="10">
        <v>469647</v>
      </c>
      <c r="D253" s="10"/>
      <c r="E253">
        <v>2022</v>
      </c>
      <c r="F253" s="9" t="s">
        <v>204</v>
      </c>
      <c r="G253" s="10">
        <v>441689</v>
      </c>
      <c r="H253" s="7"/>
      <c r="I253" s="2"/>
      <c r="J253" s="7"/>
      <c r="K253" s="3"/>
    </row>
    <row r="254" spans="1:11">
      <c r="A254">
        <v>2023</v>
      </c>
      <c r="B254" s="9" t="s">
        <v>205</v>
      </c>
      <c r="C254" s="10">
        <v>5142</v>
      </c>
      <c r="D254" s="10"/>
      <c r="E254">
        <v>2022</v>
      </c>
      <c r="F254" s="9" t="s">
        <v>205</v>
      </c>
      <c r="G254" s="10">
        <v>3367</v>
      </c>
      <c r="H254" s="7"/>
      <c r="I254" s="2"/>
      <c r="J254" s="7"/>
      <c r="K254" s="3"/>
    </row>
    <row r="255" spans="1:11">
      <c r="A255">
        <v>2023</v>
      </c>
      <c r="B255" s="9" t="s">
        <v>206</v>
      </c>
      <c r="C255" s="10">
        <v>420271</v>
      </c>
      <c r="D255" s="10"/>
      <c r="E255">
        <v>2022</v>
      </c>
      <c r="F255" s="9" t="s">
        <v>206</v>
      </c>
      <c r="G255" s="10">
        <v>409578</v>
      </c>
      <c r="H255" s="7"/>
      <c r="I255" s="2"/>
      <c r="J255" s="7"/>
      <c r="K255" s="3"/>
    </row>
    <row r="256" spans="1:11">
      <c r="A256">
        <v>2023</v>
      </c>
      <c r="B256" s="9" t="s">
        <v>207</v>
      </c>
      <c r="C256" s="10">
        <v>449622</v>
      </c>
      <c r="D256" s="10"/>
      <c r="E256">
        <v>2022</v>
      </c>
      <c r="F256" s="9" t="s">
        <v>207</v>
      </c>
      <c r="G256" s="10">
        <v>412049</v>
      </c>
      <c r="H256" s="7"/>
      <c r="I256" s="2"/>
      <c r="J256" s="7"/>
      <c r="K256" s="3"/>
    </row>
    <row r="257" spans="1:11">
      <c r="A257">
        <v>2023</v>
      </c>
      <c r="B257" s="9" t="s">
        <v>208</v>
      </c>
      <c r="C257" s="10">
        <v>6297668</v>
      </c>
      <c r="D257" s="10"/>
      <c r="E257">
        <v>2022</v>
      </c>
      <c r="F257" s="9" t="s">
        <v>208</v>
      </c>
      <c r="G257" s="10">
        <v>6163133</v>
      </c>
      <c r="H257" s="7"/>
      <c r="I257" s="2"/>
      <c r="J257" s="7"/>
      <c r="K257" s="3"/>
    </row>
    <row r="258" spans="1:11">
      <c r="A258">
        <v>2023</v>
      </c>
      <c r="B258" s="9" t="s">
        <v>209</v>
      </c>
      <c r="C258" s="10">
        <v>76469</v>
      </c>
      <c r="D258" s="10"/>
      <c r="E258">
        <v>2022</v>
      </c>
      <c r="F258" s="9" t="s">
        <v>209</v>
      </c>
      <c r="G258" s="10">
        <v>69372</v>
      </c>
      <c r="H258" s="7"/>
      <c r="I258" s="2"/>
      <c r="J258" s="7"/>
      <c r="K258" s="3"/>
    </row>
    <row r="259" spans="1:11">
      <c r="A259">
        <v>2023</v>
      </c>
      <c r="B259" s="9" t="s">
        <v>210</v>
      </c>
      <c r="C259" s="10">
        <v>368105</v>
      </c>
      <c r="D259" s="10"/>
      <c r="E259">
        <v>2022</v>
      </c>
      <c r="F259" s="9" t="s">
        <v>210</v>
      </c>
      <c r="G259" s="10">
        <v>407228</v>
      </c>
      <c r="H259" s="7"/>
      <c r="I259" s="2"/>
      <c r="J259" s="7"/>
      <c r="K259" s="3"/>
    </row>
    <row r="260" spans="1:11">
      <c r="A260">
        <v>2023</v>
      </c>
      <c r="B260" s="9" t="s">
        <v>211</v>
      </c>
      <c r="C260" s="10">
        <v>40339</v>
      </c>
      <c r="D260" s="10"/>
      <c r="E260">
        <v>2022</v>
      </c>
      <c r="F260" s="9" t="s">
        <v>211</v>
      </c>
      <c r="G260" s="10">
        <v>35421</v>
      </c>
      <c r="H260" s="7"/>
      <c r="I260" s="2"/>
      <c r="J260" s="7"/>
      <c r="K260" s="3"/>
    </row>
    <row r="261" spans="1:11">
      <c r="A261">
        <v>2023</v>
      </c>
      <c r="B261" s="9" t="s">
        <v>212</v>
      </c>
      <c r="C261" s="10">
        <v>735933</v>
      </c>
      <c r="D261" s="10"/>
      <c r="E261">
        <v>2022</v>
      </c>
      <c r="F261" s="9" t="s">
        <v>212</v>
      </c>
      <c r="G261" s="10">
        <v>696985</v>
      </c>
      <c r="H261" s="7"/>
      <c r="I261" s="2"/>
      <c r="J261" s="7"/>
      <c r="K261" s="3"/>
    </row>
    <row r="262" spans="1:11">
      <c r="A262">
        <v>2023</v>
      </c>
      <c r="B262" s="9" t="s">
        <v>213</v>
      </c>
      <c r="C262" s="10">
        <v>552180</v>
      </c>
      <c r="D262" s="10"/>
      <c r="E262">
        <v>2022</v>
      </c>
      <c r="F262" s="9" t="s">
        <v>213</v>
      </c>
      <c r="G262" s="10">
        <v>554196</v>
      </c>
      <c r="H262" s="7"/>
      <c r="I262" s="2"/>
      <c r="J262" s="7"/>
      <c r="K262" s="3"/>
    </row>
    <row r="263" spans="1:11">
      <c r="A263">
        <v>2023</v>
      </c>
      <c r="B263" s="9" t="s">
        <v>214</v>
      </c>
      <c r="C263" s="10">
        <v>42525</v>
      </c>
      <c r="D263" s="10"/>
      <c r="E263">
        <v>2022</v>
      </c>
      <c r="F263" s="9" t="s">
        <v>214</v>
      </c>
      <c r="G263" s="10">
        <v>39664</v>
      </c>
      <c r="H263" s="7"/>
      <c r="I263" s="2"/>
      <c r="J263" s="7"/>
      <c r="K263" s="3"/>
    </row>
    <row r="264" spans="1:11">
      <c r="A264">
        <v>2023</v>
      </c>
      <c r="B264" s="9" t="s">
        <v>215</v>
      </c>
      <c r="C264" s="10">
        <v>221714</v>
      </c>
      <c r="D264" s="10"/>
      <c r="E264">
        <v>2022</v>
      </c>
      <c r="F264" s="9" t="s">
        <v>215</v>
      </c>
      <c r="G264" s="10">
        <v>215187</v>
      </c>
      <c r="H264" s="7"/>
      <c r="I264" s="2"/>
      <c r="J264" s="7"/>
      <c r="K264" s="3"/>
    </row>
    <row r="265" spans="1:11">
      <c r="A265">
        <v>2023</v>
      </c>
      <c r="B265" s="9" t="s">
        <v>216</v>
      </c>
      <c r="C265" s="10">
        <v>235396</v>
      </c>
      <c r="D265" s="10"/>
      <c r="E265">
        <v>2022</v>
      </c>
      <c r="F265" s="9" t="s">
        <v>216</v>
      </c>
      <c r="G265" s="10">
        <v>220584</v>
      </c>
      <c r="H265" s="7"/>
      <c r="I265" s="2"/>
      <c r="J265" s="7"/>
      <c r="K265" s="3"/>
    </row>
    <row r="266" spans="1:11">
      <c r="A266">
        <v>2023</v>
      </c>
      <c r="B266" s="9" t="s">
        <v>217</v>
      </c>
      <c r="C266" s="10">
        <v>386493</v>
      </c>
      <c r="D266" s="10"/>
      <c r="E266">
        <v>2022</v>
      </c>
      <c r="F266" s="9" t="s">
        <v>217</v>
      </c>
      <c r="G266" s="10">
        <v>347040</v>
      </c>
      <c r="H266" s="7"/>
      <c r="I266" s="2"/>
      <c r="J266" s="7"/>
      <c r="K266" s="3"/>
    </row>
    <row r="267" spans="1:11">
      <c r="A267">
        <v>2023</v>
      </c>
      <c r="B267" s="9" t="s">
        <v>218</v>
      </c>
      <c r="C267" s="10">
        <v>348396</v>
      </c>
      <c r="D267" s="10"/>
      <c r="E267">
        <v>2022</v>
      </c>
      <c r="F267" s="9" t="s">
        <v>218</v>
      </c>
      <c r="G267" s="10">
        <v>327083</v>
      </c>
      <c r="H267" s="7"/>
      <c r="I267" s="2"/>
      <c r="J267" s="7"/>
      <c r="K267" s="3"/>
    </row>
    <row r="268" spans="1:11">
      <c r="A268">
        <v>2023</v>
      </c>
      <c r="B268" s="9" t="s">
        <v>219</v>
      </c>
      <c r="C268" s="10">
        <v>332796</v>
      </c>
      <c r="D268" s="10"/>
      <c r="E268">
        <v>2022</v>
      </c>
      <c r="F268" s="9" t="s">
        <v>219</v>
      </c>
      <c r="G268" s="10">
        <v>300116</v>
      </c>
      <c r="H268" s="7"/>
      <c r="I268" s="2"/>
      <c r="J268" s="7"/>
      <c r="K268" s="3"/>
    </row>
    <row r="269" spans="1:11">
      <c r="A269">
        <v>2023</v>
      </c>
      <c r="B269" s="9" t="s">
        <v>220</v>
      </c>
      <c r="C269" s="10">
        <v>550869</v>
      </c>
      <c r="D269" s="10"/>
      <c r="E269">
        <v>2022</v>
      </c>
      <c r="F269" s="9" t="s">
        <v>220</v>
      </c>
      <c r="G269" s="10">
        <v>483213</v>
      </c>
      <c r="H269" s="7"/>
      <c r="I269" s="2"/>
      <c r="J269" s="7"/>
      <c r="K269" s="3"/>
    </row>
    <row r="270" spans="1:11">
      <c r="A270">
        <v>2023</v>
      </c>
      <c r="B270" s="9" t="s">
        <v>221</v>
      </c>
      <c r="C270" s="10">
        <v>93176</v>
      </c>
      <c r="D270" s="10"/>
      <c r="E270">
        <v>2022</v>
      </c>
      <c r="F270" s="9" t="s">
        <v>221</v>
      </c>
      <c r="G270" s="10">
        <v>83695</v>
      </c>
      <c r="H270" s="7"/>
      <c r="I270" s="2"/>
      <c r="J270" s="7"/>
      <c r="K270" s="3"/>
    </row>
    <row r="271" spans="1:11">
      <c r="A271">
        <v>2023</v>
      </c>
      <c r="B271" s="9" t="s">
        <v>222</v>
      </c>
      <c r="C271" s="10">
        <v>2585761</v>
      </c>
      <c r="D271" s="10"/>
      <c r="E271">
        <v>2022</v>
      </c>
      <c r="F271" s="9" t="s">
        <v>222</v>
      </c>
      <c r="G271" s="10">
        <v>2556572</v>
      </c>
      <c r="H271" s="7"/>
      <c r="I271" s="2"/>
      <c r="J271" s="7"/>
      <c r="K271" s="3"/>
    </row>
    <row r="272" spans="1:11">
      <c r="A272">
        <v>2023</v>
      </c>
      <c r="B272" s="9" t="s">
        <v>223</v>
      </c>
      <c r="C272" s="10">
        <v>812564</v>
      </c>
      <c r="D272" s="10"/>
      <c r="E272">
        <v>2022</v>
      </c>
      <c r="F272" s="9" t="s">
        <v>223</v>
      </c>
      <c r="G272" s="10">
        <v>729273</v>
      </c>
      <c r="H272" s="7"/>
      <c r="I272" s="2"/>
      <c r="J272" s="7"/>
      <c r="K272" s="3"/>
    </row>
    <row r="273" spans="1:11">
      <c r="A273">
        <v>2023</v>
      </c>
      <c r="B273" s="9" t="s">
        <v>224</v>
      </c>
      <c r="C273" s="10">
        <v>90566</v>
      </c>
      <c r="D273" s="10"/>
      <c r="E273">
        <v>2022</v>
      </c>
      <c r="F273" s="9" t="s">
        <v>224</v>
      </c>
      <c r="G273" s="10">
        <v>72237</v>
      </c>
      <c r="H273" s="7"/>
      <c r="I273" s="2"/>
      <c r="J273" s="7"/>
      <c r="K273" s="3"/>
    </row>
    <row r="274" spans="1:11">
      <c r="A274">
        <v>2023</v>
      </c>
      <c r="B274" s="9" t="s">
        <v>225</v>
      </c>
      <c r="C274" s="10">
        <v>208368</v>
      </c>
      <c r="D274" s="10"/>
      <c r="E274">
        <v>2022</v>
      </c>
      <c r="F274" s="9" t="s">
        <v>225</v>
      </c>
      <c r="G274" s="10">
        <v>181521</v>
      </c>
      <c r="H274" s="7"/>
      <c r="I274" s="2"/>
      <c r="J274" s="7"/>
      <c r="K274" s="3"/>
    </row>
    <row r="275" spans="1:11">
      <c r="A275">
        <v>2023</v>
      </c>
      <c r="B275" s="9" t="s">
        <v>226</v>
      </c>
      <c r="C275" s="10">
        <v>284261</v>
      </c>
      <c r="D275" s="10"/>
      <c r="E275">
        <v>2022</v>
      </c>
      <c r="F275" s="9" t="s">
        <v>226</v>
      </c>
      <c r="G275" s="10">
        <v>252611</v>
      </c>
      <c r="H275" s="7"/>
      <c r="I275" s="2"/>
      <c r="J275" s="7"/>
      <c r="K275" s="3"/>
    </row>
    <row r="276" spans="1:11">
      <c r="A276">
        <v>2023</v>
      </c>
      <c r="B276" s="9" t="s">
        <v>227</v>
      </c>
      <c r="C276" s="10">
        <v>759648</v>
      </c>
      <c r="D276" s="10"/>
      <c r="E276">
        <v>2022</v>
      </c>
      <c r="F276" s="9" t="s">
        <v>227</v>
      </c>
      <c r="G276" s="10">
        <v>733460</v>
      </c>
      <c r="H276" s="7"/>
      <c r="I276" s="2"/>
      <c r="J276" s="7"/>
      <c r="K276" s="3"/>
    </row>
    <row r="277" spans="1:11">
      <c r="A277">
        <v>2023</v>
      </c>
      <c r="B277" s="9" t="s">
        <v>228</v>
      </c>
      <c r="C277" s="10">
        <v>90960</v>
      </c>
      <c r="D277" s="10"/>
      <c r="E277">
        <v>2022</v>
      </c>
      <c r="F277" s="9" t="s">
        <v>228</v>
      </c>
      <c r="G277" s="10">
        <v>83445</v>
      </c>
      <c r="H277" s="7"/>
      <c r="I277" s="2"/>
      <c r="J277" s="7"/>
      <c r="K277" s="3"/>
    </row>
    <row r="278" spans="1:11">
      <c r="A278">
        <v>2023</v>
      </c>
      <c r="B278" s="9" t="s">
        <v>229</v>
      </c>
      <c r="C278" s="10">
        <v>349313</v>
      </c>
      <c r="D278" s="10"/>
      <c r="E278">
        <v>2022</v>
      </c>
      <c r="F278" s="9" t="s">
        <v>229</v>
      </c>
      <c r="G278" s="10">
        <v>226995</v>
      </c>
      <c r="H278" s="8"/>
      <c r="I278" s="2"/>
      <c r="J278" s="8"/>
      <c r="K278" s="3"/>
    </row>
    <row r="279" spans="1:11">
      <c r="A279">
        <v>2023</v>
      </c>
      <c r="B279" s="9" t="s">
        <v>230</v>
      </c>
      <c r="C279" s="10">
        <v>587005</v>
      </c>
      <c r="D279" s="10"/>
      <c r="E279">
        <v>2022</v>
      </c>
      <c r="F279" s="9" t="s">
        <v>230</v>
      </c>
      <c r="G279" s="10">
        <v>539050</v>
      </c>
      <c r="H279" s="7"/>
      <c r="I279" s="12"/>
      <c r="J279" s="7"/>
      <c r="K279" s="11"/>
    </row>
    <row r="280" spans="1:11">
      <c r="A280">
        <v>2023</v>
      </c>
      <c r="B280" s="9" t="s">
        <v>231</v>
      </c>
      <c r="C280" s="10">
        <v>368522</v>
      </c>
      <c r="D280" s="10"/>
      <c r="E280">
        <v>2022</v>
      </c>
      <c r="F280" s="9" t="s">
        <v>231</v>
      </c>
      <c r="G280" s="10">
        <v>347069</v>
      </c>
      <c r="H280" s="8"/>
      <c r="I280" s="12"/>
      <c r="J280" s="8"/>
      <c r="K280" s="13"/>
    </row>
    <row r="281" spans="1:11">
      <c r="A281">
        <v>2023</v>
      </c>
      <c r="B281" s="9" t="s">
        <v>232</v>
      </c>
      <c r="C281" s="10">
        <v>361295</v>
      </c>
      <c r="D281" s="10"/>
      <c r="E281">
        <v>2022</v>
      </c>
      <c r="F281" s="9" t="s">
        <v>232</v>
      </c>
      <c r="G281" s="10">
        <v>315428</v>
      </c>
      <c r="H281" s="8"/>
      <c r="I281" s="12"/>
      <c r="J281" s="8"/>
      <c r="K281" s="13"/>
    </row>
    <row r="282" spans="1:11">
      <c r="A282">
        <v>2023</v>
      </c>
      <c r="B282" s="9" t="s">
        <v>233</v>
      </c>
      <c r="C282" s="10">
        <v>291072</v>
      </c>
      <c r="D282" s="10"/>
      <c r="E282">
        <v>2022</v>
      </c>
      <c r="F282" s="9" t="s">
        <v>233</v>
      </c>
      <c r="G282" s="10">
        <v>235302</v>
      </c>
      <c r="H282" s="8"/>
      <c r="I282" s="12"/>
      <c r="J282" s="8"/>
      <c r="K282" s="13"/>
    </row>
    <row r="283" spans="1:11">
      <c r="A283">
        <v>2023</v>
      </c>
      <c r="B283" s="9" t="s">
        <v>234</v>
      </c>
      <c r="C283" s="10">
        <v>134385</v>
      </c>
      <c r="D283" s="10"/>
      <c r="E283">
        <v>2022</v>
      </c>
      <c r="F283" s="9" t="s">
        <v>234</v>
      </c>
      <c r="G283" s="10">
        <v>147281</v>
      </c>
      <c r="H283" s="8"/>
      <c r="I283" s="12"/>
      <c r="J283" s="8"/>
      <c r="K283" s="13"/>
    </row>
    <row r="284" spans="1:11">
      <c r="A284">
        <v>2023</v>
      </c>
      <c r="B284" s="9" t="s">
        <v>235</v>
      </c>
      <c r="C284" s="10">
        <v>100068</v>
      </c>
      <c r="D284" s="10"/>
      <c r="E284">
        <v>2022</v>
      </c>
      <c r="F284" s="9" t="s">
        <v>235</v>
      </c>
      <c r="G284" s="10">
        <v>85464</v>
      </c>
      <c r="H284" s="8"/>
      <c r="I284" s="12"/>
      <c r="J284" s="8"/>
      <c r="K284" s="13"/>
    </row>
    <row r="285" spans="1:11">
      <c r="A285">
        <v>2023</v>
      </c>
      <c r="B285" s="9" t="s">
        <v>236</v>
      </c>
      <c r="C285" s="10">
        <v>151717</v>
      </c>
      <c r="D285" s="10"/>
      <c r="E285">
        <v>2022</v>
      </c>
      <c r="F285" s="9" t="s">
        <v>236</v>
      </c>
      <c r="G285" s="10">
        <v>141040</v>
      </c>
      <c r="H285" s="8"/>
      <c r="I285" s="12"/>
      <c r="J285" s="8"/>
      <c r="K285" s="13"/>
    </row>
    <row r="286" spans="1:11">
      <c r="A286">
        <v>2023</v>
      </c>
      <c r="B286" s="9" t="s">
        <v>237</v>
      </c>
      <c r="C286" s="10">
        <v>127833</v>
      </c>
      <c r="D286" s="10"/>
      <c r="E286">
        <v>2022</v>
      </c>
      <c r="F286" s="9" t="s">
        <v>237</v>
      </c>
      <c r="G286" s="10">
        <v>121102</v>
      </c>
      <c r="H286" s="8"/>
      <c r="I286" s="12"/>
      <c r="J286" s="8"/>
      <c r="K286" s="13"/>
    </row>
    <row r="287" spans="1:11">
      <c r="A287">
        <v>2023</v>
      </c>
      <c r="B287" s="9" t="s">
        <v>238</v>
      </c>
      <c r="C287" s="10">
        <v>272309</v>
      </c>
      <c r="D287" s="10"/>
      <c r="E287">
        <v>2022</v>
      </c>
      <c r="F287" s="9" t="s">
        <v>238</v>
      </c>
      <c r="G287" s="10">
        <v>267307</v>
      </c>
      <c r="H287" s="8"/>
      <c r="I287" s="12"/>
      <c r="J287" s="8"/>
      <c r="K287" s="13"/>
    </row>
    <row r="288" spans="1:11">
      <c r="A288">
        <v>2023</v>
      </c>
      <c r="B288" s="9" t="s">
        <v>239</v>
      </c>
      <c r="C288" s="10">
        <v>378220</v>
      </c>
      <c r="D288" s="10"/>
      <c r="E288">
        <v>2022</v>
      </c>
      <c r="F288" s="9" t="s">
        <v>239</v>
      </c>
      <c r="G288" s="10">
        <v>373428</v>
      </c>
      <c r="H288" s="8"/>
      <c r="I288" s="12"/>
      <c r="J288" s="8"/>
      <c r="K288" s="13"/>
    </row>
    <row r="289" spans="1:11">
      <c r="A289">
        <v>2023</v>
      </c>
      <c r="B289" s="9" t="s">
        <v>240</v>
      </c>
      <c r="C289" s="10">
        <v>201790</v>
      </c>
      <c r="D289" s="10"/>
      <c r="E289">
        <v>2022</v>
      </c>
      <c r="F289" s="9" t="s">
        <v>240</v>
      </c>
      <c r="G289" s="10">
        <v>215275</v>
      </c>
      <c r="H289" s="8"/>
      <c r="I289" s="12"/>
      <c r="J289" s="8"/>
      <c r="K289" s="13"/>
    </row>
    <row r="290" spans="1:11">
      <c r="A290">
        <v>2023</v>
      </c>
      <c r="B290" s="9" t="s">
        <v>241</v>
      </c>
      <c r="C290" s="10">
        <v>141621</v>
      </c>
      <c r="D290" s="10"/>
      <c r="E290">
        <v>2022</v>
      </c>
      <c r="F290" s="9" t="s">
        <v>241</v>
      </c>
      <c r="G290" s="10">
        <v>118903</v>
      </c>
      <c r="H290" s="8"/>
      <c r="I290" s="12"/>
      <c r="J290" s="8"/>
      <c r="K290" s="13"/>
    </row>
    <row r="291" spans="1:11">
      <c r="A291">
        <v>2023</v>
      </c>
      <c r="B291" s="9" t="s">
        <v>242</v>
      </c>
      <c r="C291" s="10">
        <v>6227</v>
      </c>
      <c r="D291" s="10"/>
      <c r="E291">
        <v>2022</v>
      </c>
      <c r="F291" s="9" t="s">
        <v>242</v>
      </c>
      <c r="G291" s="10">
        <v>5979</v>
      </c>
      <c r="H291" s="8"/>
      <c r="I291" s="12"/>
      <c r="J291" s="8"/>
      <c r="K291" s="13"/>
    </row>
    <row r="292" spans="1:11">
      <c r="A292">
        <v>2023</v>
      </c>
      <c r="B292" s="9" t="s">
        <v>243</v>
      </c>
      <c r="C292" s="10">
        <v>216792</v>
      </c>
      <c r="D292" s="10"/>
      <c r="E292">
        <v>2022</v>
      </c>
      <c r="F292" s="9" t="s">
        <v>243</v>
      </c>
      <c r="G292" s="10">
        <v>200959</v>
      </c>
      <c r="H292" s="8"/>
      <c r="I292" s="12"/>
      <c r="J292" s="8"/>
      <c r="K292" s="13"/>
    </row>
    <row r="293" spans="1:11">
      <c r="A293">
        <v>2023</v>
      </c>
      <c r="B293" s="9" t="s">
        <v>244</v>
      </c>
      <c r="C293" s="10">
        <v>1063113</v>
      </c>
      <c r="D293" s="10"/>
      <c r="E293">
        <v>2022</v>
      </c>
      <c r="F293" s="9" t="s">
        <v>244</v>
      </c>
      <c r="G293" s="10">
        <v>1027474</v>
      </c>
      <c r="H293" s="8"/>
      <c r="I293" s="12"/>
      <c r="J293" s="8"/>
      <c r="K293" s="13"/>
    </row>
    <row r="294" spans="1:11">
      <c r="A294">
        <v>2023</v>
      </c>
      <c r="B294" s="9" t="s">
        <v>245</v>
      </c>
      <c r="C294" s="10">
        <v>49592</v>
      </c>
      <c r="D294" s="10"/>
      <c r="E294">
        <v>2022</v>
      </c>
      <c r="F294" s="9" t="s">
        <v>245</v>
      </c>
      <c r="G294" s="10">
        <v>33187</v>
      </c>
      <c r="H294" s="8"/>
      <c r="I294" s="12"/>
      <c r="J294" s="8"/>
      <c r="K294" s="13"/>
    </row>
    <row r="295" spans="1:11">
      <c r="A295">
        <v>2023</v>
      </c>
      <c r="B295" s="9" t="s">
        <v>246</v>
      </c>
      <c r="C295" s="10">
        <v>6971</v>
      </c>
      <c r="D295" s="10"/>
      <c r="E295">
        <v>2022</v>
      </c>
      <c r="F295" s="9" t="s">
        <v>246</v>
      </c>
      <c r="G295" s="10">
        <v>6931</v>
      </c>
      <c r="H295" s="8"/>
      <c r="I295" s="12"/>
      <c r="J295" s="8"/>
      <c r="K295" s="13"/>
    </row>
    <row r="296" spans="1:11">
      <c r="A296">
        <v>2023</v>
      </c>
      <c r="B296" s="9" t="s">
        <v>247</v>
      </c>
      <c r="C296" s="10">
        <v>125338</v>
      </c>
      <c r="D296" s="10"/>
      <c r="E296">
        <v>2022</v>
      </c>
      <c r="F296" s="9" t="s">
        <v>247</v>
      </c>
      <c r="G296" s="10">
        <v>129956</v>
      </c>
      <c r="H296" s="8"/>
      <c r="I296" s="12"/>
      <c r="J296" s="8"/>
      <c r="K296" s="13"/>
    </row>
    <row r="297" spans="1:11">
      <c r="A297">
        <v>2023</v>
      </c>
      <c r="B297" s="9" t="s">
        <v>248</v>
      </c>
      <c r="C297" s="10">
        <v>254160</v>
      </c>
      <c r="D297" s="10"/>
      <c r="E297">
        <v>2022</v>
      </c>
      <c r="F297" s="9" t="s">
        <v>248</v>
      </c>
      <c r="G297" s="10">
        <v>255428</v>
      </c>
      <c r="H297" s="8"/>
      <c r="I297" s="12"/>
      <c r="J297" s="8"/>
      <c r="K297" s="13"/>
    </row>
    <row r="298" spans="1:11">
      <c r="A298">
        <v>2023</v>
      </c>
      <c r="B298" s="9" t="s">
        <v>249</v>
      </c>
      <c r="C298" s="10">
        <v>13857</v>
      </c>
      <c r="D298" s="10"/>
      <c r="E298">
        <v>2022</v>
      </c>
      <c r="F298" s="9" t="s">
        <v>249</v>
      </c>
      <c r="G298" s="10">
        <v>38793</v>
      </c>
      <c r="H298" s="8"/>
      <c r="I298" s="12"/>
      <c r="J298" s="8"/>
      <c r="K298" s="13"/>
    </row>
    <row r="299" spans="1:11">
      <c r="A299">
        <v>2023</v>
      </c>
      <c r="B299" s="9" t="s">
        <v>250</v>
      </c>
      <c r="C299" s="10">
        <v>4724562</v>
      </c>
      <c r="D299" s="10"/>
      <c r="E299">
        <v>2022</v>
      </c>
      <c r="F299" s="9" t="s">
        <v>250</v>
      </c>
      <c r="G299" s="10">
        <v>4748621</v>
      </c>
      <c r="H299" s="8"/>
      <c r="I299" s="12"/>
      <c r="J299" s="8"/>
      <c r="K299" s="13"/>
    </row>
    <row r="300" spans="1:11">
      <c r="A300">
        <v>2023</v>
      </c>
      <c r="B300" s="9" t="s">
        <v>251</v>
      </c>
      <c r="C300" s="10">
        <v>13703</v>
      </c>
      <c r="D300" s="10"/>
      <c r="E300">
        <v>2022</v>
      </c>
      <c r="F300" s="9" t="s">
        <v>251</v>
      </c>
      <c r="G300" s="10">
        <v>12646</v>
      </c>
      <c r="H300" s="8"/>
      <c r="I300" s="12"/>
      <c r="J300" s="8"/>
      <c r="K300" s="13"/>
    </row>
    <row r="301" spans="1:11">
      <c r="A301">
        <v>2023</v>
      </c>
      <c r="B301" s="9" t="s">
        <v>252</v>
      </c>
      <c r="C301" s="10">
        <v>122771</v>
      </c>
      <c r="D301" s="10"/>
      <c r="E301">
        <v>2022</v>
      </c>
      <c r="F301" s="9" t="s">
        <v>252</v>
      </c>
      <c r="G301" s="10">
        <v>111256</v>
      </c>
      <c r="H301" s="8"/>
      <c r="I301" s="12"/>
      <c r="J301" s="8"/>
      <c r="K301" s="13"/>
    </row>
    <row r="302" spans="1:11">
      <c r="A302">
        <v>2023</v>
      </c>
      <c r="B302" s="9" t="s">
        <v>253</v>
      </c>
      <c r="C302" s="10">
        <v>127775</v>
      </c>
      <c r="D302" s="10"/>
      <c r="E302">
        <v>2022</v>
      </c>
      <c r="F302" s="9" t="s">
        <v>253</v>
      </c>
      <c r="G302" s="10">
        <v>148143</v>
      </c>
      <c r="H302" s="8"/>
      <c r="I302" s="12"/>
      <c r="J302" s="8"/>
      <c r="K302" s="13"/>
    </row>
    <row r="303" spans="1:11">
      <c r="A303">
        <v>2023</v>
      </c>
      <c r="B303" s="9" t="s">
        <v>254</v>
      </c>
      <c r="C303" s="10">
        <v>1758933</v>
      </c>
      <c r="D303" s="10"/>
      <c r="E303">
        <v>2022</v>
      </c>
      <c r="F303" s="9" t="s">
        <v>254</v>
      </c>
      <c r="G303" s="10">
        <v>1652240</v>
      </c>
      <c r="H303" s="8"/>
      <c r="I303" s="12"/>
      <c r="J303" s="8"/>
      <c r="K303" s="13"/>
    </row>
    <row r="304" spans="1:11">
      <c r="A304">
        <v>2023</v>
      </c>
      <c r="B304" s="9" t="s">
        <v>255</v>
      </c>
      <c r="C304" s="10">
        <v>166997</v>
      </c>
      <c r="D304" s="10"/>
      <c r="E304">
        <v>2022</v>
      </c>
      <c r="F304" s="9" t="s">
        <v>255</v>
      </c>
      <c r="G304" s="10">
        <v>147985</v>
      </c>
      <c r="H304" s="8"/>
      <c r="I304" s="12"/>
      <c r="J304" s="8"/>
      <c r="K304" s="13"/>
    </row>
    <row r="305" spans="1:11">
      <c r="A305">
        <v>2023</v>
      </c>
      <c r="B305" s="9" t="s">
        <v>256</v>
      </c>
      <c r="C305" s="10">
        <v>45446</v>
      </c>
      <c r="D305" s="10"/>
      <c r="E305">
        <v>2022</v>
      </c>
      <c r="F305" s="9" t="s">
        <v>256</v>
      </c>
      <c r="G305" s="10">
        <v>38550</v>
      </c>
      <c r="H305" s="8"/>
      <c r="I305" s="12"/>
      <c r="J305" s="8"/>
      <c r="K305" s="13"/>
    </row>
    <row r="306" spans="1:11">
      <c r="A306">
        <v>2023</v>
      </c>
      <c r="B306" s="9" t="s">
        <v>257</v>
      </c>
      <c r="C306" s="10">
        <v>355332</v>
      </c>
      <c r="D306" s="10"/>
      <c r="E306">
        <v>2022</v>
      </c>
      <c r="F306" s="9" t="s">
        <v>257</v>
      </c>
      <c r="G306" s="10">
        <v>323166</v>
      </c>
      <c r="H306" s="8"/>
      <c r="I306" s="12"/>
      <c r="J306" s="8"/>
      <c r="K306" s="13"/>
    </row>
    <row r="307" spans="1:11">
      <c r="A307">
        <v>2023</v>
      </c>
      <c r="B307" s="9" t="s">
        <v>258</v>
      </c>
      <c r="C307" s="10">
        <v>797765</v>
      </c>
      <c r="D307" s="10"/>
      <c r="E307">
        <v>2022</v>
      </c>
      <c r="F307" s="9" t="s">
        <v>258</v>
      </c>
      <c r="G307" s="10">
        <v>735374</v>
      </c>
      <c r="H307" s="8"/>
      <c r="I307" s="12"/>
      <c r="J307" s="8"/>
      <c r="K307" s="13"/>
    </row>
    <row r="308" spans="1:11">
      <c r="A308">
        <v>2023</v>
      </c>
      <c r="B308" s="9" t="s">
        <v>259</v>
      </c>
      <c r="C308" s="10">
        <v>278456</v>
      </c>
      <c r="D308" s="10"/>
      <c r="E308">
        <v>2022</v>
      </c>
      <c r="F308" s="9" t="s">
        <v>259</v>
      </c>
      <c r="G308" s="10">
        <v>264043</v>
      </c>
      <c r="H308" s="8"/>
      <c r="I308" s="12"/>
      <c r="J308" s="8"/>
      <c r="K308" s="13"/>
    </row>
    <row r="309" spans="1:11">
      <c r="A309">
        <v>2023</v>
      </c>
      <c r="B309" s="9" t="s">
        <v>260</v>
      </c>
      <c r="C309" s="10">
        <v>2097179</v>
      </c>
      <c r="D309" s="10"/>
      <c r="E309">
        <v>2022</v>
      </c>
      <c r="F309" s="9" t="s">
        <v>260</v>
      </c>
      <c r="G309" s="10">
        <v>1970081</v>
      </c>
      <c r="H309" s="8"/>
      <c r="I309" s="12"/>
      <c r="J309" s="8"/>
      <c r="K309" s="13"/>
    </row>
    <row r="310" spans="1:11">
      <c r="A310">
        <v>2023</v>
      </c>
      <c r="B310" s="9" t="s">
        <v>261</v>
      </c>
      <c r="C310" s="10">
        <v>347941</v>
      </c>
      <c r="D310" s="10"/>
      <c r="E310">
        <v>2022</v>
      </c>
      <c r="F310" s="9" t="s">
        <v>261</v>
      </c>
      <c r="G310" s="10">
        <v>267330</v>
      </c>
      <c r="H310" s="8"/>
      <c r="I310" s="12"/>
      <c r="J310" s="8"/>
      <c r="K310" s="13"/>
    </row>
    <row r="311" spans="1:11">
      <c r="A311">
        <v>2023</v>
      </c>
      <c r="B311" s="9" t="s">
        <v>262</v>
      </c>
      <c r="C311" s="10">
        <v>131037</v>
      </c>
      <c r="D311" s="10"/>
      <c r="E311">
        <v>2022</v>
      </c>
      <c r="F311" s="9" t="s">
        <v>262</v>
      </c>
      <c r="G311" s="10">
        <v>126107</v>
      </c>
      <c r="H311" s="8"/>
      <c r="I311" s="12"/>
      <c r="J311" s="8"/>
      <c r="K311" s="13"/>
    </row>
    <row r="312" spans="1:11">
      <c r="A312">
        <v>2023</v>
      </c>
      <c r="B312" s="9" t="s">
        <v>263</v>
      </c>
      <c r="C312" s="10">
        <v>49983</v>
      </c>
      <c r="D312" s="10"/>
      <c r="E312">
        <v>2022</v>
      </c>
      <c r="F312" s="9" t="s">
        <v>263</v>
      </c>
      <c r="G312" s="10">
        <v>42649</v>
      </c>
      <c r="H312" s="8"/>
      <c r="I312" s="12"/>
      <c r="J312" s="8"/>
      <c r="K312" s="13"/>
    </row>
    <row r="313" spans="1:11">
      <c r="A313">
        <v>2023</v>
      </c>
      <c r="B313" s="9" t="s">
        <v>264</v>
      </c>
      <c r="C313" s="10">
        <v>84000</v>
      </c>
      <c r="D313" s="10"/>
      <c r="E313">
        <v>2022</v>
      </c>
      <c r="F313" s="9" t="s">
        <v>264</v>
      </c>
      <c r="G313" s="10">
        <v>79534</v>
      </c>
      <c r="H313" s="8"/>
      <c r="I313" s="12"/>
      <c r="J313" s="8"/>
      <c r="K313" s="13"/>
    </row>
    <row r="314" spans="1:11">
      <c r="A314">
        <v>2023</v>
      </c>
      <c r="B314" s="9" t="s">
        <v>265</v>
      </c>
      <c r="C314" s="10">
        <v>62744</v>
      </c>
      <c r="D314" s="10"/>
      <c r="E314">
        <v>2022</v>
      </c>
      <c r="F314" s="9" t="s">
        <v>265</v>
      </c>
      <c r="G314" s="10">
        <v>47336</v>
      </c>
      <c r="H314" s="8"/>
      <c r="I314" s="12"/>
      <c r="J314" s="8"/>
      <c r="K314" s="13"/>
    </row>
    <row r="315" spans="1:11">
      <c r="A315">
        <v>2023</v>
      </c>
      <c r="B315" s="9" t="s">
        <v>266</v>
      </c>
      <c r="C315" s="10">
        <v>133562</v>
      </c>
      <c r="D315" s="10"/>
      <c r="E315">
        <v>2022</v>
      </c>
      <c r="F315" s="9" t="s">
        <v>266</v>
      </c>
      <c r="G315" s="10">
        <v>128946</v>
      </c>
      <c r="H315" s="8"/>
      <c r="I315" s="12"/>
      <c r="J315" s="8"/>
      <c r="K315" s="13"/>
    </row>
    <row r="316" spans="1:11">
      <c r="A316">
        <v>2023</v>
      </c>
      <c r="B316" s="9" t="s">
        <v>267</v>
      </c>
      <c r="C316" s="10">
        <v>1290100</v>
      </c>
      <c r="D316" s="10"/>
      <c r="E316">
        <v>2022</v>
      </c>
      <c r="F316" s="9" t="s">
        <v>267</v>
      </c>
      <c r="G316" s="10">
        <v>1160686</v>
      </c>
      <c r="H316" s="8"/>
      <c r="I316" s="12"/>
      <c r="J316" s="8"/>
      <c r="K316" s="13"/>
    </row>
    <row r="317" spans="1:11">
      <c r="A317">
        <v>2023</v>
      </c>
      <c r="B317" s="9" t="s">
        <v>268</v>
      </c>
      <c r="C317" s="10">
        <v>334539</v>
      </c>
      <c r="D317" s="10"/>
      <c r="E317">
        <v>2022</v>
      </c>
      <c r="F317" s="9" t="s">
        <v>268</v>
      </c>
      <c r="G317" s="10">
        <v>288428</v>
      </c>
      <c r="H317" s="8"/>
      <c r="I317" s="12"/>
      <c r="J317" s="8"/>
      <c r="K317" s="13"/>
    </row>
    <row r="318" spans="1:11">
      <c r="A318">
        <v>2023</v>
      </c>
      <c r="B318" s="9" t="s">
        <v>269</v>
      </c>
      <c r="C318" s="10">
        <v>2103033</v>
      </c>
      <c r="D318" s="10"/>
      <c r="E318">
        <v>2022</v>
      </c>
      <c r="F318" s="9" t="s">
        <v>269</v>
      </c>
      <c r="G318" s="10">
        <v>1968694</v>
      </c>
      <c r="H318" s="8"/>
      <c r="I318" s="12"/>
      <c r="J318" s="8"/>
      <c r="K318" s="13"/>
    </row>
    <row r="319" spans="1:11">
      <c r="A319">
        <v>2023</v>
      </c>
      <c r="B319" s="9" t="s">
        <v>270</v>
      </c>
      <c r="C319" s="10">
        <v>422708</v>
      </c>
      <c r="D319" s="10"/>
      <c r="E319">
        <v>2022</v>
      </c>
      <c r="F319" s="9" t="s">
        <v>270</v>
      </c>
      <c r="G319" s="10">
        <v>379350</v>
      </c>
      <c r="H319" s="8"/>
      <c r="I319" s="12"/>
      <c r="J319" s="8"/>
      <c r="K319" s="13"/>
    </row>
    <row r="320" spans="1:11">
      <c r="A320">
        <v>2023</v>
      </c>
      <c r="B320" s="9" t="s">
        <v>271</v>
      </c>
      <c r="C320" s="10">
        <v>22257</v>
      </c>
      <c r="D320" s="10"/>
      <c r="E320">
        <v>2022</v>
      </c>
      <c r="F320" s="9" t="s">
        <v>271</v>
      </c>
      <c r="G320" s="10">
        <v>23302</v>
      </c>
      <c r="H320" s="8"/>
      <c r="I320" s="12"/>
      <c r="J320" s="8"/>
      <c r="K320" s="13"/>
    </row>
    <row r="321" spans="1:11">
      <c r="A321">
        <v>2023</v>
      </c>
      <c r="B321" s="9" t="s">
        <v>272</v>
      </c>
      <c r="C321" s="10">
        <v>45938</v>
      </c>
      <c r="D321" s="10"/>
      <c r="E321">
        <v>2022</v>
      </c>
      <c r="F321" s="9" t="s">
        <v>272</v>
      </c>
      <c r="G321" s="10">
        <v>57926</v>
      </c>
      <c r="H321" s="8"/>
      <c r="I321" s="12"/>
      <c r="J321" s="8"/>
      <c r="K321" s="13"/>
    </row>
    <row r="322" spans="1:11">
      <c r="A322">
        <v>2023</v>
      </c>
      <c r="B322" s="9" t="s">
        <v>273</v>
      </c>
      <c r="C322" s="10">
        <v>229635</v>
      </c>
      <c r="D322" s="10"/>
      <c r="E322">
        <v>2022</v>
      </c>
      <c r="F322" s="9" t="s">
        <v>273</v>
      </c>
      <c r="G322" s="10">
        <v>211223</v>
      </c>
      <c r="H322" s="8"/>
      <c r="I322" s="12"/>
      <c r="J322" s="8"/>
      <c r="K322" s="13"/>
    </row>
    <row r="323" spans="1:11">
      <c r="A323">
        <v>2023</v>
      </c>
      <c r="B323" s="9" t="s">
        <v>274</v>
      </c>
      <c r="C323" s="10">
        <v>129090</v>
      </c>
      <c r="D323" s="10"/>
      <c r="E323">
        <v>2022</v>
      </c>
      <c r="F323" s="9" t="s">
        <v>274</v>
      </c>
      <c r="G323" s="10">
        <v>116487</v>
      </c>
      <c r="H323" s="8"/>
      <c r="I323" s="12"/>
      <c r="J323" s="8"/>
      <c r="K323" s="13"/>
    </row>
    <row r="324" spans="1:11">
      <c r="A324">
        <v>2023</v>
      </c>
      <c r="B324" s="9" t="s">
        <v>275</v>
      </c>
      <c r="C324" s="10">
        <v>392317</v>
      </c>
      <c r="D324" s="10"/>
      <c r="E324">
        <v>2022</v>
      </c>
      <c r="F324" s="9" t="s">
        <v>275</v>
      </c>
      <c r="G324" s="10">
        <v>355493</v>
      </c>
      <c r="H324" s="8"/>
      <c r="I324" s="12"/>
      <c r="J324" s="8"/>
      <c r="K324" s="13"/>
    </row>
    <row r="325" spans="1:11">
      <c r="A325">
        <v>2023</v>
      </c>
      <c r="B325" s="9" t="s">
        <v>276</v>
      </c>
      <c r="C325" s="10">
        <v>148035</v>
      </c>
      <c r="D325" s="10"/>
      <c r="E325">
        <v>2022</v>
      </c>
      <c r="F325" s="9" t="s">
        <v>276</v>
      </c>
      <c r="G325" s="10">
        <v>155305</v>
      </c>
      <c r="H325" s="8"/>
      <c r="I325" s="12"/>
      <c r="J325" s="8"/>
      <c r="K325" s="13"/>
    </row>
    <row r="326" spans="1:11">
      <c r="A326">
        <v>2023</v>
      </c>
      <c r="B326" s="9" t="s">
        <v>277</v>
      </c>
      <c r="C326" s="10">
        <v>12738</v>
      </c>
      <c r="D326" s="10"/>
      <c r="E326">
        <v>2022</v>
      </c>
      <c r="F326" s="9" t="s">
        <v>277</v>
      </c>
      <c r="G326" s="10">
        <v>13566</v>
      </c>
      <c r="H326" s="8"/>
      <c r="I326" s="12"/>
      <c r="J326" s="8"/>
      <c r="K326" s="13"/>
    </row>
    <row r="327" spans="1:11">
      <c r="A327">
        <v>2023</v>
      </c>
      <c r="B327" s="9" t="s">
        <v>278</v>
      </c>
      <c r="C327" s="10">
        <v>580595</v>
      </c>
      <c r="D327" s="10"/>
      <c r="E327">
        <v>2022</v>
      </c>
      <c r="F327" s="9" t="s">
        <v>278</v>
      </c>
      <c r="G327" s="10">
        <v>519174</v>
      </c>
      <c r="H327" s="8"/>
      <c r="I327" s="12"/>
      <c r="J327" s="8"/>
      <c r="K327" s="13"/>
    </row>
    <row r="328" spans="1:11">
      <c r="A328">
        <v>2023</v>
      </c>
      <c r="B328" s="9" t="s">
        <v>279</v>
      </c>
      <c r="C328" s="10">
        <v>3027173</v>
      </c>
      <c r="D328" s="10"/>
      <c r="E328">
        <v>2022</v>
      </c>
      <c r="F328" s="9" t="s">
        <v>279</v>
      </c>
      <c r="G328" s="10">
        <v>2876440</v>
      </c>
      <c r="H328" s="14"/>
      <c r="I328" s="12"/>
      <c r="J328" s="14"/>
      <c r="K328" s="13"/>
    </row>
    <row r="329" spans="1:11">
      <c r="A329">
        <v>2023</v>
      </c>
      <c r="B329" s="9" t="s">
        <v>280</v>
      </c>
      <c r="C329" s="10">
        <v>174657</v>
      </c>
      <c r="D329" s="10"/>
      <c r="E329">
        <v>2022</v>
      </c>
      <c r="F329" s="9" t="s">
        <v>280</v>
      </c>
      <c r="G329" s="10">
        <v>207673</v>
      </c>
      <c r="H329" s="12"/>
      <c r="I329" s="11"/>
    </row>
    <row r="330" spans="1:11">
      <c r="A330">
        <v>2023</v>
      </c>
      <c r="B330" s="9" t="s">
        <v>281</v>
      </c>
      <c r="C330" s="10">
        <v>71159</v>
      </c>
      <c r="D330" s="10"/>
      <c r="E330">
        <v>2022</v>
      </c>
      <c r="F330" s="9" t="s">
        <v>281</v>
      </c>
      <c r="G330" s="10">
        <v>41462</v>
      </c>
      <c r="H330" s="12"/>
      <c r="I330" s="13"/>
    </row>
    <row r="331" spans="1:11">
      <c r="A331">
        <v>2023</v>
      </c>
      <c r="B331" s="9" t="s">
        <v>282</v>
      </c>
      <c r="C331" s="10">
        <v>2030363</v>
      </c>
      <c r="D331" s="10"/>
      <c r="E331">
        <v>2022</v>
      </c>
      <c r="F331" s="9" t="s">
        <v>282</v>
      </c>
      <c r="G331" s="10">
        <v>2009127</v>
      </c>
      <c r="H331" s="12"/>
      <c r="I331" s="13"/>
    </row>
    <row r="332" spans="1:11">
      <c r="A332">
        <v>2023</v>
      </c>
      <c r="B332" s="9" t="s">
        <v>283</v>
      </c>
      <c r="C332" s="10">
        <v>11163</v>
      </c>
      <c r="D332" s="10"/>
      <c r="E332">
        <v>2022</v>
      </c>
      <c r="F332" s="9" t="s">
        <v>283</v>
      </c>
      <c r="G332" s="10">
        <v>18361</v>
      </c>
      <c r="H332" s="12"/>
      <c r="I332" s="13"/>
    </row>
    <row r="333" spans="1:11">
      <c r="A333">
        <v>2023</v>
      </c>
      <c r="B333" s="9" t="s">
        <v>284</v>
      </c>
      <c r="C333" s="10">
        <v>231820</v>
      </c>
      <c r="D333" s="10"/>
      <c r="E333">
        <v>2022</v>
      </c>
      <c r="F333" s="9" t="s">
        <v>284</v>
      </c>
      <c r="G333" s="10">
        <v>201724</v>
      </c>
      <c r="H333" s="12"/>
      <c r="I333" s="13"/>
    </row>
    <row r="334" spans="1:11">
      <c r="A334">
        <v>2023</v>
      </c>
      <c r="B334" s="9" t="s">
        <v>285</v>
      </c>
      <c r="C334" s="10">
        <v>36386</v>
      </c>
      <c r="D334" s="10"/>
      <c r="E334">
        <v>2022</v>
      </c>
      <c r="F334" s="9" t="s">
        <v>285</v>
      </c>
      <c r="G334" s="10">
        <v>30407</v>
      </c>
      <c r="H334" s="12"/>
      <c r="I334" s="13"/>
    </row>
    <row r="335" spans="1:11">
      <c r="A335">
        <v>2023</v>
      </c>
      <c r="B335" s="9" t="s">
        <v>286</v>
      </c>
      <c r="C335" s="10">
        <v>379719</v>
      </c>
      <c r="D335" s="10"/>
      <c r="E335">
        <v>2022</v>
      </c>
      <c r="F335" s="9" t="s">
        <v>286</v>
      </c>
      <c r="G335" s="10">
        <v>393931</v>
      </c>
      <c r="H335" s="12"/>
      <c r="I335" s="13"/>
    </row>
    <row r="336" spans="1:11">
      <c r="A336">
        <v>2023</v>
      </c>
      <c r="B336" s="9" t="s">
        <v>287</v>
      </c>
      <c r="C336" s="10">
        <v>394445</v>
      </c>
      <c r="D336" s="10"/>
      <c r="E336">
        <v>2022</v>
      </c>
      <c r="F336" s="9" t="s">
        <v>287</v>
      </c>
      <c r="G336" s="10">
        <v>391097</v>
      </c>
      <c r="H336" s="12"/>
      <c r="I336" s="13"/>
    </row>
    <row r="337" spans="1:9">
      <c r="A337">
        <v>2023</v>
      </c>
      <c r="B337" s="9" t="s">
        <v>288</v>
      </c>
      <c r="C337" s="10">
        <v>260714</v>
      </c>
      <c r="D337" s="10"/>
      <c r="E337">
        <v>2022</v>
      </c>
      <c r="F337" s="9" t="s">
        <v>288</v>
      </c>
      <c r="G337" s="10">
        <v>254528</v>
      </c>
      <c r="H337" s="12"/>
      <c r="I337" s="13"/>
    </row>
    <row r="338" spans="1:9">
      <c r="A338">
        <v>2023</v>
      </c>
      <c r="B338" s="9" t="s">
        <v>289</v>
      </c>
      <c r="C338" s="10">
        <v>221867</v>
      </c>
      <c r="D338" s="10"/>
      <c r="E338">
        <v>2022</v>
      </c>
      <c r="F338" s="9" t="s">
        <v>289</v>
      </c>
      <c r="G338" s="10">
        <v>188603</v>
      </c>
      <c r="H338" s="12"/>
      <c r="I338" s="13"/>
    </row>
    <row r="339" spans="1:9">
      <c r="A339">
        <v>2023</v>
      </c>
      <c r="B339" s="9" t="s">
        <v>290</v>
      </c>
      <c r="C339" s="10">
        <v>931073</v>
      </c>
      <c r="D339" s="10"/>
      <c r="E339">
        <v>2022</v>
      </c>
      <c r="F339" s="9" t="s">
        <v>290</v>
      </c>
      <c r="G339" s="10">
        <v>889237</v>
      </c>
      <c r="H339" s="12"/>
      <c r="I339" s="13"/>
    </row>
    <row r="340" spans="1:9">
      <c r="A340">
        <v>2023</v>
      </c>
      <c r="B340" s="9" t="s">
        <v>291</v>
      </c>
      <c r="C340" s="10">
        <v>1914871</v>
      </c>
      <c r="D340" s="10"/>
      <c r="E340">
        <v>2022</v>
      </c>
      <c r="F340" s="9" t="s">
        <v>291</v>
      </c>
      <c r="G340" s="10">
        <v>1902272</v>
      </c>
      <c r="H340" s="12"/>
      <c r="I340" s="13"/>
    </row>
    <row r="341" spans="1:9">
      <c r="A341">
        <v>2023</v>
      </c>
      <c r="B341" s="9" t="s">
        <v>292</v>
      </c>
      <c r="C341" s="10">
        <v>562022</v>
      </c>
      <c r="D341" s="10"/>
      <c r="E341">
        <v>2022</v>
      </c>
      <c r="F341" s="9" t="s">
        <v>292</v>
      </c>
      <c r="G341" s="10">
        <v>530496</v>
      </c>
      <c r="H341" s="12"/>
      <c r="I341" s="13"/>
    </row>
    <row r="342" spans="1:9">
      <c r="A342">
        <v>2023</v>
      </c>
      <c r="B342" s="9" t="s">
        <v>293</v>
      </c>
      <c r="C342" s="10">
        <v>3548892</v>
      </c>
      <c r="D342" s="10"/>
      <c r="E342">
        <v>2022</v>
      </c>
      <c r="F342" s="9" t="s">
        <v>293</v>
      </c>
      <c r="G342" s="10">
        <v>3504014</v>
      </c>
      <c r="H342" s="12"/>
      <c r="I342" s="13"/>
    </row>
    <row r="343" spans="1:9">
      <c r="A343">
        <v>2023</v>
      </c>
      <c r="B343" s="9" t="s">
        <v>294</v>
      </c>
      <c r="C343" s="10">
        <v>124497</v>
      </c>
      <c r="D343" s="10"/>
      <c r="E343">
        <v>2022</v>
      </c>
      <c r="F343" s="9" t="s">
        <v>294</v>
      </c>
      <c r="G343" s="10">
        <v>107910</v>
      </c>
      <c r="H343" s="12"/>
      <c r="I343" s="13"/>
    </row>
    <row r="344" spans="1:9">
      <c r="A344">
        <v>2023</v>
      </c>
      <c r="B344" s="9" t="s">
        <v>295</v>
      </c>
      <c r="C344" s="10">
        <v>547239</v>
      </c>
      <c r="D344" s="10"/>
      <c r="E344">
        <v>2022</v>
      </c>
      <c r="F344" s="9" t="s">
        <v>295</v>
      </c>
      <c r="G344" s="10">
        <v>560453</v>
      </c>
      <c r="H344" s="12"/>
      <c r="I344" s="13"/>
    </row>
    <row r="345" spans="1:9">
      <c r="A345">
        <v>2023</v>
      </c>
      <c r="B345" s="9" t="s">
        <v>296</v>
      </c>
      <c r="C345" s="10">
        <v>15940</v>
      </c>
      <c r="D345" s="10"/>
      <c r="E345">
        <v>2022</v>
      </c>
      <c r="F345" s="9" t="s">
        <v>296</v>
      </c>
      <c r="G345" s="10">
        <v>13426</v>
      </c>
      <c r="H345" s="12"/>
      <c r="I345" s="13"/>
    </row>
    <row r="346" spans="1:9">
      <c r="A346">
        <v>2023</v>
      </c>
      <c r="B346" s="9" t="s">
        <v>297</v>
      </c>
      <c r="C346" s="10">
        <v>167983</v>
      </c>
      <c r="D346" s="10"/>
      <c r="E346">
        <v>2022</v>
      </c>
      <c r="F346" s="9" t="s">
        <v>297</v>
      </c>
      <c r="G346" s="10">
        <v>141805</v>
      </c>
      <c r="H346" s="12"/>
      <c r="I346" s="13"/>
    </row>
    <row r="347" spans="1:9">
      <c r="A347">
        <v>2023</v>
      </c>
      <c r="B347" s="9" t="s">
        <v>298</v>
      </c>
      <c r="C347" s="10">
        <v>513631</v>
      </c>
      <c r="D347" s="10"/>
      <c r="E347">
        <v>2022</v>
      </c>
      <c r="F347" s="9" t="s">
        <v>298</v>
      </c>
      <c r="G347" s="10">
        <v>371882</v>
      </c>
      <c r="H347" s="12"/>
      <c r="I347" s="13"/>
    </row>
    <row r="348" spans="1:9">
      <c r="A348">
        <v>2023</v>
      </c>
      <c r="B348" s="9" t="s">
        <v>299</v>
      </c>
      <c r="C348" s="10">
        <v>388207</v>
      </c>
      <c r="D348" s="10"/>
      <c r="E348">
        <v>2022</v>
      </c>
      <c r="F348" s="9" t="s">
        <v>299</v>
      </c>
      <c r="G348" s="10">
        <v>346125</v>
      </c>
      <c r="H348" s="12"/>
      <c r="I348" s="13"/>
    </row>
    <row r="349" spans="1:9">
      <c r="A349">
        <v>2023</v>
      </c>
      <c r="B349" s="9" t="s">
        <v>300</v>
      </c>
      <c r="C349" s="10">
        <v>377545</v>
      </c>
      <c r="D349" s="10"/>
      <c r="E349">
        <v>2022</v>
      </c>
      <c r="F349" s="9" t="s">
        <v>300</v>
      </c>
      <c r="G349" s="10">
        <v>380862</v>
      </c>
      <c r="H349" s="12"/>
      <c r="I349" s="13"/>
    </row>
    <row r="350" spans="1:9">
      <c r="A350">
        <v>2023</v>
      </c>
      <c r="B350" s="9" t="s">
        <v>301</v>
      </c>
      <c r="C350" s="10">
        <v>34403</v>
      </c>
      <c r="D350" s="10"/>
      <c r="E350">
        <v>2022</v>
      </c>
      <c r="F350" s="9" t="s">
        <v>301</v>
      </c>
      <c r="G350" s="10">
        <v>32215</v>
      </c>
      <c r="H350" s="12"/>
      <c r="I350" s="13"/>
    </row>
    <row r="351" spans="1:9">
      <c r="A351">
        <v>2023</v>
      </c>
      <c r="B351" s="9" t="s">
        <v>302</v>
      </c>
      <c r="C351" s="10">
        <v>439789</v>
      </c>
      <c r="D351" s="10"/>
      <c r="E351">
        <v>2022</v>
      </c>
      <c r="F351" s="9" t="s">
        <v>302</v>
      </c>
      <c r="G351" s="10">
        <v>418885</v>
      </c>
      <c r="H351" s="12"/>
      <c r="I351" s="13"/>
    </row>
    <row r="352" spans="1:9">
      <c r="A352">
        <v>2023</v>
      </c>
      <c r="B352" s="9" t="s">
        <v>303</v>
      </c>
      <c r="C352" s="10">
        <v>78221</v>
      </c>
      <c r="D352" s="10"/>
      <c r="E352">
        <v>2022</v>
      </c>
      <c r="F352" s="9" t="s">
        <v>303</v>
      </c>
      <c r="G352" s="10">
        <v>72664</v>
      </c>
      <c r="H352" s="12"/>
      <c r="I352" s="13"/>
    </row>
    <row r="353" spans="1:9">
      <c r="A353">
        <v>2023</v>
      </c>
      <c r="B353" s="9" t="s">
        <v>304</v>
      </c>
      <c r="C353" s="10">
        <v>483489</v>
      </c>
      <c r="D353" s="10"/>
      <c r="E353">
        <v>2022</v>
      </c>
      <c r="F353" s="9" t="s">
        <v>304</v>
      </c>
      <c r="G353" s="10">
        <v>504328</v>
      </c>
      <c r="H353" s="12"/>
      <c r="I353" s="13"/>
    </row>
    <row r="354" spans="1:9">
      <c r="A354">
        <v>2023</v>
      </c>
      <c r="B354" s="9" t="s">
        <v>305</v>
      </c>
      <c r="C354" s="10">
        <v>857380</v>
      </c>
      <c r="D354" s="10"/>
      <c r="E354">
        <v>2022</v>
      </c>
      <c r="F354" s="9" t="s">
        <v>305</v>
      </c>
      <c r="G354" s="10">
        <v>786840</v>
      </c>
      <c r="H354" s="12"/>
      <c r="I354" s="13"/>
    </row>
    <row r="355" spans="1:9">
      <c r="A355">
        <v>2023</v>
      </c>
      <c r="B355" s="9" t="s">
        <v>306</v>
      </c>
      <c r="C355" s="10">
        <v>3951423</v>
      </c>
      <c r="D355" s="10"/>
      <c r="E355">
        <v>2022</v>
      </c>
      <c r="F355" s="9" t="s">
        <v>306</v>
      </c>
      <c r="G355" s="10">
        <v>3829977</v>
      </c>
      <c r="H355" s="12"/>
      <c r="I355" s="13"/>
    </row>
    <row r="356" spans="1:9">
      <c r="A356">
        <v>2023</v>
      </c>
      <c r="B356" s="9" t="s">
        <v>307</v>
      </c>
      <c r="C356" s="10">
        <v>332337</v>
      </c>
      <c r="D356" s="10"/>
      <c r="E356">
        <v>2022</v>
      </c>
      <c r="F356" s="9" t="s">
        <v>307</v>
      </c>
      <c r="G356" s="10">
        <v>346963</v>
      </c>
      <c r="H356" s="12"/>
      <c r="I356" s="13"/>
    </row>
    <row r="357" spans="1:9">
      <c r="A357">
        <v>2023</v>
      </c>
      <c r="B357" s="9" t="s">
        <v>308</v>
      </c>
      <c r="C357" s="10">
        <v>129634</v>
      </c>
      <c r="D357" s="10"/>
      <c r="E357">
        <v>2022</v>
      </c>
      <c r="F357" s="9" t="s">
        <v>308</v>
      </c>
      <c r="G357" s="10">
        <v>120248</v>
      </c>
      <c r="H357" s="12"/>
      <c r="I357" s="13"/>
    </row>
    <row r="358" spans="1:9">
      <c r="A358">
        <v>2023</v>
      </c>
      <c r="B358" s="9" t="s">
        <v>309</v>
      </c>
      <c r="C358" s="10">
        <v>27027</v>
      </c>
      <c r="D358" s="10"/>
      <c r="E358">
        <v>2022</v>
      </c>
      <c r="F358" s="9" t="s">
        <v>309</v>
      </c>
      <c r="G358" s="10">
        <v>13322</v>
      </c>
      <c r="H358" s="12"/>
      <c r="I358" s="13"/>
    </row>
    <row r="359" spans="1:9">
      <c r="A359">
        <v>2023</v>
      </c>
      <c r="B359" s="9" t="s">
        <v>310</v>
      </c>
      <c r="C359" s="10">
        <v>170600</v>
      </c>
      <c r="D359" s="10"/>
      <c r="E359">
        <v>2022</v>
      </c>
      <c r="F359" s="9" t="s">
        <v>310</v>
      </c>
      <c r="G359" s="10">
        <v>178883</v>
      </c>
      <c r="H359" s="12"/>
      <c r="I359" s="13"/>
    </row>
    <row r="360" spans="1:9">
      <c r="A360">
        <v>2023</v>
      </c>
      <c r="B360" s="9" t="s">
        <v>311</v>
      </c>
      <c r="C360" s="10">
        <v>102633</v>
      </c>
      <c r="D360" s="10"/>
      <c r="E360">
        <v>2022</v>
      </c>
      <c r="F360" s="9" t="s">
        <v>311</v>
      </c>
      <c r="G360" s="10">
        <v>103750</v>
      </c>
      <c r="H360" s="12"/>
      <c r="I360" s="13"/>
    </row>
    <row r="361" spans="1:9">
      <c r="A361">
        <v>2023</v>
      </c>
      <c r="B361" s="9" t="s">
        <v>312</v>
      </c>
      <c r="C361" s="10">
        <v>24158</v>
      </c>
      <c r="D361" s="10"/>
      <c r="E361">
        <v>2022</v>
      </c>
      <c r="F361" s="9" t="s">
        <v>312</v>
      </c>
      <c r="G361" s="10">
        <v>22227</v>
      </c>
      <c r="H361" s="12"/>
      <c r="I361" s="13"/>
    </row>
    <row r="362" spans="1:9">
      <c r="A362">
        <v>2023</v>
      </c>
      <c r="B362" s="9" t="s">
        <v>313</v>
      </c>
      <c r="C362" s="10">
        <v>59517</v>
      </c>
      <c r="D362" s="10"/>
      <c r="E362">
        <v>2022</v>
      </c>
      <c r="F362" s="9" t="s">
        <v>313</v>
      </c>
      <c r="G362" s="10">
        <v>45621</v>
      </c>
      <c r="H362" s="12"/>
      <c r="I362" s="13"/>
    </row>
    <row r="363" spans="1:9">
      <c r="A363">
        <v>2023</v>
      </c>
      <c r="B363" s="9" t="s">
        <v>314</v>
      </c>
      <c r="C363" s="10">
        <v>874350</v>
      </c>
      <c r="D363" s="10"/>
      <c r="E363">
        <v>2022</v>
      </c>
      <c r="F363" s="9" t="s">
        <v>314</v>
      </c>
      <c r="G363" s="10">
        <v>839184</v>
      </c>
      <c r="H363" s="12"/>
      <c r="I363" s="13"/>
    </row>
    <row r="364" spans="1:9">
      <c r="A364">
        <v>2023</v>
      </c>
      <c r="B364" s="9" t="s">
        <v>315</v>
      </c>
      <c r="C364" s="10">
        <v>3353471</v>
      </c>
      <c r="D364" s="10"/>
      <c r="E364">
        <v>2022</v>
      </c>
      <c r="F364" s="9" t="s">
        <v>315</v>
      </c>
      <c r="G364" s="10">
        <v>3267411</v>
      </c>
      <c r="H364" s="12"/>
      <c r="I364" s="13"/>
    </row>
    <row r="365" spans="1:9">
      <c r="A365">
        <v>2023</v>
      </c>
      <c r="B365" s="9" t="s">
        <v>316</v>
      </c>
      <c r="C365" s="10">
        <v>34177</v>
      </c>
      <c r="D365" s="10"/>
      <c r="E365">
        <v>2022</v>
      </c>
      <c r="F365" s="9" t="s">
        <v>316</v>
      </c>
      <c r="G365" s="10">
        <v>90749</v>
      </c>
      <c r="H365" s="12"/>
      <c r="I365" s="13"/>
    </row>
    <row r="366" spans="1:9">
      <c r="A366">
        <v>2023</v>
      </c>
      <c r="B366" s="9" t="s">
        <v>317</v>
      </c>
      <c r="C366" s="10">
        <v>1463328</v>
      </c>
      <c r="D366" s="10"/>
      <c r="E366">
        <v>2022</v>
      </c>
      <c r="F366" s="9" t="s">
        <v>317</v>
      </c>
      <c r="G366" s="10">
        <v>1385487</v>
      </c>
      <c r="H366" s="12"/>
      <c r="I366" s="13"/>
    </row>
    <row r="367" spans="1:9">
      <c r="A367">
        <v>2023</v>
      </c>
      <c r="B367" s="9" t="s">
        <v>318</v>
      </c>
      <c r="C367" s="10">
        <v>295836</v>
      </c>
      <c r="D367" s="10"/>
      <c r="E367">
        <v>2022</v>
      </c>
      <c r="F367" s="9" t="s">
        <v>318</v>
      </c>
      <c r="G367" s="10">
        <v>321741</v>
      </c>
      <c r="H367" s="12"/>
      <c r="I367" s="13"/>
    </row>
    <row r="368" spans="1:9">
      <c r="A368">
        <v>2023</v>
      </c>
      <c r="B368" s="9" t="s">
        <v>319</v>
      </c>
      <c r="C368" s="10">
        <v>25567</v>
      </c>
      <c r="D368" s="10"/>
      <c r="E368">
        <v>2022</v>
      </c>
      <c r="F368" s="9" t="s">
        <v>319</v>
      </c>
      <c r="G368" s="10">
        <v>26986</v>
      </c>
      <c r="H368" s="12"/>
      <c r="I368" s="13"/>
    </row>
    <row r="369" spans="1:11">
      <c r="A369">
        <v>2023</v>
      </c>
      <c r="B369" s="9" t="s">
        <v>320</v>
      </c>
      <c r="C369" s="10">
        <v>139780</v>
      </c>
      <c r="D369" s="10"/>
      <c r="E369">
        <v>2022</v>
      </c>
      <c r="F369" s="9" t="s">
        <v>320</v>
      </c>
      <c r="G369" s="10">
        <v>131519</v>
      </c>
      <c r="H369" s="12"/>
      <c r="I369" s="13"/>
    </row>
    <row r="370" spans="1:11">
      <c r="A370">
        <v>2023</v>
      </c>
      <c r="B370" s="9" t="s">
        <v>321</v>
      </c>
      <c r="C370" s="10">
        <v>553706</v>
      </c>
      <c r="D370" s="10"/>
      <c r="E370">
        <v>2022</v>
      </c>
      <c r="F370" s="9" t="s">
        <v>321</v>
      </c>
      <c r="G370" s="10">
        <v>599389</v>
      </c>
      <c r="H370" s="12"/>
      <c r="I370" s="13"/>
    </row>
    <row r="371" spans="1:11">
      <c r="A371">
        <v>2023</v>
      </c>
      <c r="B371" s="9" t="s">
        <v>322</v>
      </c>
      <c r="C371" s="10">
        <v>26054</v>
      </c>
      <c r="D371" s="10"/>
      <c r="E371">
        <v>2022</v>
      </c>
      <c r="F371" s="9" t="s">
        <v>322</v>
      </c>
      <c r="G371" s="10">
        <v>24747</v>
      </c>
      <c r="H371" s="12"/>
      <c r="I371" s="13"/>
    </row>
    <row r="372" spans="1:11">
      <c r="A372">
        <v>2023</v>
      </c>
      <c r="B372" s="9" t="s">
        <v>323</v>
      </c>
      <c r="C372" s="10">
        <v>227634</v>
      </c>
      <c r="D372" s="10"/>
      <c r="E372">
        <v>2022</v>
      </c>
      <c r="F372" s="9" t="s">
        <v>323</v>
      </c>
      <c r="G372" s="10">
        <v>183687</v>
      </c>
      <c r="H372" s="12"/>
      <c r="I372" s="13"/>
    </row>
    <row r="373" spans="1:11">
      <c r="A373">
        <v>2023</v>
      </c>
      <c r="B373" s="9" t="s">
        <v>324</v>
      </c>
      <c r="C373" s="10">
        <v>186147</v>
      </c>
      <c r="D373" s="10"/>
      <c r="E373">
        <v>2022</v>
      </c>
      <c r="F373" s="9" t="s">
        <v>324</v>
      </c>
      <c r="G373" s="10">
        <v>169818</v>
      </c>
      <c r="H373" s="12"/>
      <c r="I373" s="13"/>
    </row>
    <row r="374" spans="1:11">
      <c r="A374">
        <v>2023</v>
      </c>
      <c r="B374" s="9" t="s">
        <v>325</v>
      </c>
      <c r="C374" s="10">
        <v>199308</v>
      </c>
      <c r="D374" s="10"/>
      <c r="E374">
        <v>2022</v>
      </c>
      <c r="F374" s="9" t="s">
        <v>325</v>
      </c>
      <c r="G374" s="10">
        <v>194194</v>
      </c>
      <c r="H374" s="12"/>
      <c r="I374" s="13"/>
    </row>
    <row r="375" spans="1:11">
      <c r="A375">
        <v>2023</v>
      </c>
      <c r="B375" s="9" t="s">
        <v>326</v>
      </c>
      <c r="C375" s="10">
        <v>196053</v>
      </c>
      <c r="D375" s="10"/>
      <c r="E375">
        <v>2022</v>
      </c>
      <c r="F375" s="9" t="s">
        <v>326</v>
      </c>
      <c r="G375" s="10">
        <v>164120</v>
      </c>
      <c r="H375" s="12"/>
      <c r="I375" s="13"/>
    </row>
    <row r="376" spans="1:11">
      <c r="A376">
        <v>2023</v>
      </c>
      <c r="B376" s="9" t="s">
        <v>327</v>
      </c>
      <c r="C376" s="10">
        <v>186811</v>
      </c>
      <c r="D376" s="10"/>
      <c r="E376">
        <v>2022</v>
      </c>
      <c r="F376" s="9" t="s">
        <v>327</v>
      </c>
      <c r="G376" s="10">
        <v>146058</v>
      </c>
      <c r="H376" s="12"/>
      <c r="I376" s="13"/>
    </row>
    <row r="377" spans="1:11">
      <c r="A377">
        <v>2023</v>
      </c>
      <c r="B377" s="9" t="s">
        <v>328</v>
      </c>
      <c r="C377" s="10">
        <v>540152</v>
      </c>
      <c r="D377" s="10"/>
      <c r="E377">
        <v>2022</v>
      </c>
      <c r="F377" s="9" t="s">
        <v>328</v>
      </c>
      <c r="G377" s="10">
        <v>492389</v>
      </c>
      <c r="H377" s="12"/>
      <c r="I377" s="13"/>
    </row>
    <row r="378" spans="1:11">
      <c r="A378">
        <v>2023</v>
      </c>
      <c r="B378" s="9" t="s">
        <v>329</v>
      </c>
      <c r="C378" s="10">
        <v>117281</v>
      </c>
      <c r="D378" s="10"/>
      <c r="E378">
        <v>2022</v>
      </c>
      <c r="F378" s="9" t="s">
        <v>329</v>
      </c>
      <c r="G378" s="10">
        <v>110349</v>
      </c>
      <c r="H378" s="12"/>
      <c r="I378" s="13"/>
    </row>
    <row r="379" spans="1:11">
      <c r="A379">
        <v>2023</v>
      </c>
      <c r="B379" s="9" t="s">
        <v>330</v>
      </c>
      <c r="C379" s="10">
        <v>123375</v>
      </c>
      <c r="D379" s="10"/>
      <c r="E379">
        <v>2022</v>
      </c>
      <c r="F379" s="9" t="s">
        <v>330</v>
      </c>
      <c r="G379" s="10">
        <v>80695</v>
      </c>
      <c r="H379" s="16"/>
      <c r="I379" s="5"/>
      <c r="J379" s="16"/>
      <c r="K379" s="4"/>
    </row>
    <row r="380" spans="1:11">
      <c r="A380">
        <v>2023</v>
      </c>
      <c r="B380" s="9" t="s">
        <v>331</v>
      </c>
      <c r="C380" s="10">
        <v>578498</v>
      </c>
      <c r="D380" s="10"/>
      <c r="E380">
        <v>2022</v>
      </c>
      <c r="F380" s="9" t="s">
        <v>331</v>
      </c>
      <c r="G380" s="10">
        <v>553838</v>
      </c>
      <c r="H380" s="16"/>
      <c r="I380" s="5"/>
      <c r="J380" s="16"/>
      <c r="K380" s="6"/>
    </row>
    <row r="381" spans="1:11">
      <c r="A381">
        <v>2023</v>
      </c>
      <c r="B381" s="9" t="s">
        <v>332</v>
      </c>
      <c r="C381" s="10">
        <v>726944</v>
      </c>
      <c r="D381" s="10"/>
      <c r="E381">
        <v>2022</v>
      </c>
      <c r="F381" s="9" t="s">
        <v>332</v>
      </c>
      <c r="G381" s="10">
        <v>695457</v>
      </c>
      <c r="H381" s="16"/>
      <c r="I381" s="5"/>
      <c r="J381" s="16"/>
      <c r="K381" s="6"/>
    </row>
    <row r="382" spans="1:11">
      <c r="A382">
        <v>2023</v>
      </c>
      <c r="B382" s="9" t="s">
        <v>333</v>
      </c>
      <c r="C382" s="10">
        <v>611147</v>
      </c>
      <c r="D382" s="10"/>
      <c r="E382">
        <v>2022</v>
      </c>
      <c r="F382" s="9" t="s">
        <v>333</v>
      </c>
      <c r="G382" s="10">
        <v>631607</v>
      </c>
      <c r="H382" s="16"/>
      <c r="I382" s="5"/>
      <c r="J382" s="16"/>
      <c r="K382" s="6"/>
    </row>
    <row r="383" spans="1:11">
      <c r="A383">
        <v>2023</v>
      </c>
      <c r="B383" s="9" t="s">
        <v>334</v>
      </c>
      <c r="C383" s="10">
        <v>224821</v>
      </c>
      <c r="D383" s="10"/>
      <c r="E383">
        <v>2022</v>
      </c>
      <c r="F383" s="9" t="s">
        <v>334</v>
      </c>
      <c r="G383" s="10">
        <v>211453</v>
      </c>
      <c r="H383" s="16"/>
      <c r="I383" s="5"/>
      <c r="J383" s="16"/>
      <c r="K383" s="6"/>
    </row>
    <row r="384" spans="1:11">
      <c r="A384">
        <v>2023</v>
      </c>
      <c r="B384" s="9" t="s">
        <v>335</v>
      </c>
      <c r="C384" s="10">
        <v>758463</v>
      </c>
      <c r="D384" s="10"/>
      <c r="E384">
        <v>2022</v>
      </c>
      <c r="F384" s="9" t="s">
        <v>335</v>
      </c>
      <c r="G384" s="10">
        <v>774503</v>
      </c>
      <c r="H384" s="16"/>
      <c r="I384" s="5"/>
      <c r="J384" s="16"/>
      <c r="K384" s="6"/>
    </row>
    <row r="385" spans="1:11">
      <c r="A385">
        <v>2023</v>
      </c>
      <c r="B385" s="9" t="s">
        <v>336</v>
      </c>
      <c r="C385" s="10">
        <v>226918</v>
      </c>
      <c r="D385" s="10"/>
      <c r="E385">
        <v>2022</v>
      </c>
      <c r="F385" s="9" t="s">
        <v>336</v>
      </c>
      <c r="G385" s="10">
        <v>211718</v>
      </c>
      <c r="H385" s="16"/>
      <c r="I385" s="5"/>
      <c r="J385" s="16"/>
      <c r="K385" s="6"/>
    </row>
    <row r="386" spans="1:11">
      <c r="A386">
        <v>2023</v>
      </c>
      <c r="B386" s="9" t="s">
        <v>337</v>
      </c>
      <c r="C386" s="10">
        <v>173189</v>
      </c>
      <c r="D386" s="10"/>
      <c r="E386">
        <v>2022</v>
      </c>
      <c r="F386" s="9" t="s">
        <v>337</v>
      </c>
      <c r="G386" s="10">
        <v>139900</v>
      </c>
      <c r="H386" s="16"/>
      <c r="I386" s="5"/>
      <c r="J386" s="16"/>
      <c r="K386" s="6"/>
    </row>
    <row r="387" spans="1:11">
      <c r="A387">
        <v>2023</v>
      </c>
      <c r="B387" s="9" t="s">
        <v>338</v>
      </c>
      <c r="C387" s="10">
        <v>259330</v>
      </c>
      <c r="D387" s="10"/>
      <c r="E387">
        <v>2022</v>
      </c>
      <c r="F387" s="9" t="s">
        <v>338</v>
      </c>
      <c r="G387" s="10">
        <v>277358</v>
      </c>
      <c r="H387" s="16"/>
      <c r="I387" s="5"/>
      <c r="J387" s="16"/>
      <c r="K387" s="6"/>
    </row>
    <row r="388" spans="1:11">
      <c r="A388">
        <v>2023</v>
      </c>
      <c r="B388" s="9" t="s">
        <v>339</v>
      </c>
      <c r="C388" s="10">
        <v>233983</v>
      </c>
      <c r="D388" s="10"/>
      <c r="E388">
        <v>2022</v>
      </c>
      <c r="F388" s="9" t="s">
        <v>339</v>
      </c>
      <c r="G388" s="10">
        <v>178034</v>
      </c>
      <c r="H388" s="16"/>
      <c r="I388" s="5"/>
      <c r="J388" s="16"/>
      <c r="K388" s="6"/>
    </row>
    <row r="389" spans="1:11">
      <c r="A389">
        <v>2023</v>
      </c>
      <c r="B389" s="9" t="s">
        <v>340</v>
      </c>
      <c r="C389" s="10">
        <v>54018</v>
      </c>
      <c r="D389" s="10"/>
      <c r="E389">
        <v>2022</v>
      </c>
      <c r="F389" s="9" t="s">
        <v>340</v>
      </c>
      <c r="G389" s="10">
        <v>54221</v>
      </c>
      <c r="H389" s="16"/>
      <c r="I389" s="5"/>
      <c r="J389" s="16"/>
      <c r="K389" s="6"/>
    </row>
    <row r="390" spans="1:11">
      <c r="A390">
        <v>2023</v>
      </c>
      <c r="B390" s="9" t="s">
        <v>341</v>
      </c>
      <c r="C390" s="10">
        <v>402410</v>
      </c>
      <c r="D390" s="10"/>
      <c r="E390">
        <v>2022</v>
      </c>
      <c r="F390" s="9" t="s">
        <v>341</v>
      </c>
      <c r="G390" s="10">
        <v>406985</v>
      </c>
      <c r="H390" s="16"/>
      <c r="I390" s="5"/>
      <c r="J390" s="16"/>
      <c r="K390" s="6"/>
    </row>
    <row r="391" spans="1:11">
      <c r="A391">
        <v>2023</v>
      </c>
      <c r="B391" s="9" t="s">
        <v>342</v>
      </c>
      <c r="C391" s="10">
        <v>1808523</v>
      </c>
      <c r="D391" s="10"/>
      <c r="E391">
        <v>2022</v>
      </c>
      <c r="F391" s="9" t="s">
        <v>342</v>
      </c>
      <c r="G391" s="10">
        <v>1717187</v>
      </c>
      <c r="H391" s="16"/>
      <c r="I391" s="5"/>
      <c r="J391" s="16"/>
      <c r="K391" s="6"/>
    </row>
    <row r="392" spans="1:11">
      <c r="A392">
        <v>2023</v>
      </c>
      <c r="B392" s="9" t="s">
        <v>343</v>
      </c>
      <c r="C392" s="10">
        <v>457206</v>
      </c>
      <c r="D392" s="10"/>
      <c r="E392">
        <v>2022</v>
      </c>
      <c r="F392" s="9" t="s">
        <v>343</v>
      </c>
      <c r="G392" s="10">
        <v>449933</v>
      </c>
      <c r="H392" s="16"/>
      <c r="I392" s="5"/>
      <c r="J392" s="16"/>
      <c r="K392" s="6"/>
    </row>
    <row r="393" spans="1:11">
      <c r="A393">
        <v>2023</v>
      </c>
      <c r="B393" s="9" t="s">
        <v>344</v>
      </c>
      <c r="C393" s="10">
        <v>863923</v>
      </c>
      <c r="D393" s="10"/>
      <c r="E393">
        <v>2022</v>
      </c>
      <c r="F393" s="9" t="s">
        <v>344</v>
      </c>
      <c r="G393" s="10">
        <v>804856</v>
      </c>
      <c r="H393" s="16"/>
      <c r="I393" s="5"/>
      <c r="J393" s="16"/>
      <c r="K393" s="6"/>
    </row>
    <row r="394" spans="1:11">
      <c r="A394">
        <v>2023</v>
      </c>
      <c r="B394" s="9" t="s">
        <v>345</v>
      </c>
      <c r="C394" s="10">
        <v>38333</v>
      </c>
      <c r="D394" s="10"/>
      <c r="E394">
        <v>2022</v>
      </c>
      <c r="F394" s="9" t="s">
        <v>345</v>
      </c>
      <c r="G394" s="10">
        <v>23126</v>
      </c>
      <c r="H394" s="16"/>
      <c r="I394" s="5"/>
      <c r="J394" s="16"/>
      <c r="K394" s="6"/>
    </row>
    <row r="395" spans="1:11">
      <c r="A395">
        <v>2023</v>
      </c>
      <c r="B395" s="9" t="s">
        <v>346</v>
      </c>
      <c r="C395" s="10">
        <v>28418</v>
      </c>
      <c r="D395" s="10"/>
      <c r="E395">
        <v>2022</v>
      </c>
      <c r="F395" s="9" t="s">
        <v>346</v>
      </c>
      <c r="G395" s="10">
        <v>42107</v>
      </c>
      <c r="H395" s="16"/>
      <c r="I395" s="5"/>
      <c r="J395" s="16"/>
      <c r="K395" s="6"/>
    </row>
    <row r="396" spans="1:11">
      <c r="A396">
        <v>2023</v>
      </c>
      <c r="B396" s="9" t="s">
        <v>347</v>
      </c>
      <c r="C396" s="10">
        <v>292595</v>
      </c>
      <c r="D396" s="10"/>
      <c r="E396">
        <v>2022</v>
      </c>
      <c r="F396" s="9" t="s">
        <v>347</v>
      </c>
      <c r="G396" s="10">
        <v>287113</v>
      </c>
      <c r="H396" s="16"/>
      <c r="I396" s="5"/>
      <c r="J396" s="16"/>
      <c r="K396" s="6"/>
    </row>
    <row r="397" spans="1:11">
      <c r="A397">
        <v>2023</v>
      </c>
      <c r="B397" s="9" t="s">
        <v>348</v>
      </c>
      <c r="C397" s="10">
        <v>149926</v>
      </c>
      <c r="D397" s="10"/>
      <c r="E397">
        <v>2022</v>
      </c>
      <c r="F397" s="9" t="s">
        <v>348</v>
      </c>
      <c r="G397" s="10">
        <v>151272</v>
      </c>
      <c r="H397" s="16"/>
      <c r="I397" s="5"/>
      <c r="J397" s="16"/>
      <c r="K397" s="6"/>
    </row>
    <row r="398" spans="1:11">
      <c r="A398">
        <v>2023</v>
      </c>
      <c r="B398" s="9" t="s">
        <v>349</v>
      </c>
      <c r="C398" s="10">
        <v>713855</v>
      </c>
      <c r="D398" s="10"/>
      <c r="E398">
        <v>2022</v>
      </c>
      <c r="F398" s="9" t="s">
        <v>349</v>
      </c>
      <c r="G398" s="10">
        <v>694251</v>
      </c>
      <c r="H398" s="16"/>
      <c r="I398" s="5"/>
      <c r="J398" s="16"/>
      <c r="K398" s="6"/>
    </row>
    <row r="399" spans="1:11">
      <c r="A399">
        <v>2023</v>
      </c>
      <c r="B399" s="9" t="s">
        <v>350</v>
      </c>
      <c r="C399" s="10">
        <v>857648</v>
      </c>
      <c r="D399" s="10"/>
      <c r="E399">
        <v>2022</v>
      </c>
      <c r="F399" s="9" t="s">
        <v>350</v>
      </c>
      <c r="G399" s="10">
        <v>789802</v>
      </c>
      <c r="H399" s="16"/>
      <c r="I399" s="5"/>
      <c r="J399" s="16"/>
      <c r="K399" s="6"/>
    </row>
    <row r="400" spans="1:11">
      <c r="A400">
        <v>2023</v>
      </c>
      <c r="B400" s="9" t="s">
        <v>351</v>
      </c>
      <c r="C400" s="10">
        <v>711541</v>
      </c>
      <c r="D400" s="10"/>
      <c r="E400">
        <v>2022</v>
      </c>
      <c r="F400" s="9" t="s">
        <v>351</v>
      </c>
      <c r="G400" s="10">
        <v>701980</v>
      </c>
      <c r="H400" s="16"/>
      <c r="I400" s="5"/>
      <c r="J400" s="16"/>
      <c r="K400" s="6"/>
    </row>
    <row r="401" spans="1:11">
      <c r="A401">
        <v>2023</v>
      </c>
      <c r="B401" s="9" t="s">
        <v>352</v>
      </c>
      <c r="C401" s="10">
        <v>317568</v>
      </c>
      <c r="D401" s="10"/>
      <c r="E401">
        <v>2022</v>
      </c>
      <c r="F401" s="9" t="s">
        <v>352</v>
      </c>
      <c r="G401" s="10">
        <v>298244</v>
      </c>
      <c r="H401" s="16"/>
      <c r="I401" s="5"/>
      <c r="J401" s="16"/>
      <c r="K401" s="6"/>
    </row>
    <row r="402" spans="1:11">
      <c r="A402">
        <v>2023</v>
      </c>
      <c r="B402" s="9" t="s">
        <v>353</v>
      </c>
      <c r="C402" s="10">
        <v>113088</v>
      </c>
      <c r="D402" s="10"/>
      <c r="E402">
        <v>2022</v>
      </c>
      <c r="F402" s="9" t="s">
        <v>353</v>
      </c>
      <c r="G402" s="10">
        <v>110556</v>
      </c>
      <c r="H402" s="16"/>
      <c r="I402" s="5"/>
      <c r="J402" s="16"/>
      <c r="K402" s="6"/>
    </row>
    <row r="403" spans="1:11">
      <c r="A403">
        <v>2023</v>
      </c>
      <c r="B403" s="9" t="s">
        <v>354</v>
      </c>
      <c r="C403" s="10">
        <v>58692</v>
      </c>
      <c r="D403" s="10"/>
      <c r="E403">
        <v>2022</v>
      </c>
      <c r="F403" s="9" t="s">
        <v>354</v>
      </c>
      <c r="G403" s="10">
        <v>58256</v>
      </c>
      <c r="H403" s="16"/>
      <c r="I403" s="5"/>
      <c r="J403" s="16"/>
      <c r="K403" s="6"/>
    </row>
    <row r="404" spans="1:11">
      <c r="A404">
        <v>2023</v>
      </c>
      <c r="B404" s="9" t="s">
        <v>355</v>
      </c>
      <c r="C404" s="10">
        <v>867585</v>
      </c>
      <c r="D404" s="10"/>
      <c r="E404">
        <v>2022</v>
      </c>
      <c r="F404" s="9" t="s">
        <v>355</v>
      </c>
      <c r="G404" s="10">
        <v>836783</v>
      </c>
      <c r="H404" s="16"/>
      <c r="I404" s="5"/>
      <c r="J404" s="16"/>
      <c r="K404" s="6"/>
    </row>
    <row r="405" spans="1:11">
      <c r="A405">
        <v>2023</v>
      </c>
      <c r="B405" s="9" t="s">
        <v>356</v>
      </c>
      <c r="C405" s="10">
        <v>5411718</v>
      </c>
      <c r="D405" s="10"/>
      <c r="E405">
        <v>2022</v>
      </c>
      <c r="F405" s="9" t="s">
        <v>356</v>
      </c>
      <c r="G405" s="10">
        <v>5273113</v>
      </c>
      <c r="H405" s="16"/>
      <c r="I405" s="5"/>
      <c r="J405" s="16"/>
      <c r="K405" s="6"/>
    </row>
    <row r="406" spans="1:11">
      <c r="A406">
        <v>2023</v>
      </c>
      <c r="B406" s="9" t="s">
        <v>357</v>
      </c>
      <c r="C406" s="10">
        <v>9801</v>
      </c>
      <c r="D406" s="10"/>
      <c r="E406">
        <v>2022</v>
      </c>
      <c r="F406" s="9" t="s">
        <v>357</v>
      </c>
      <c r="G406" s="10">
        <v>10142</v>
      </c>
      <c r="H406" s="16"/>
      <c r="I406" s="5"/>
      <c r="J406" s="16"/>
      <c r="K406" s="6"/>
    </row>
    <row r="407" spans="1:11">
      <c r="A407">
        <v>2023</v>
      </c>
      <c r="B407" s="9" t="s">
        <v>358</v>
      </c>
      <c r="C407" s="10">
        <v>261963</v>
      </c>
      <c r="D407" s="10"/>
      <c r="E407">
        <v>2022</v>
      </c>
      <c r="F407" s="9" t="s">
        <v>358</v>
      </c>
      <c r="G407" s="10">
        <v>245869</v>
      </c>
      <c r="H407" s="16"/>
      <c r="I407" s="5"/>
      <c r="J407" s="16"/>
      <c r="K407" s="6"/>
    </row>
    <row r="408" spans="1:11">
      <c r="A408">
        <v>2023</v>
      </c>
      <c r="B408" s="9" t="s">
        <v>359</v>
      </c>
      <c r="C408" s="10">
        <v>301549</v>
      </c>
      <c r="D408" s="10"/>
      <c r="E408">
        <v>2022</v>
      </c>
      <c r="F408" s="9" t="s">
        <v>359</v>
      </c>
      <c r="G408" s="10">
        <v>280240</v>
      </c>
      <c r="H408" s="16"/>
      <c r="I408" s="5"/>
      <c r="J408" s="16"/>
      <c r="K408" s="6"/>
    </row>
    <row r="409" spans="1:11">
      <c r="A409">
        <v>2023</v>
      </c>
      <c r="B409" s="9" t="s">
        <v>360</v>
      </c>
      <c r="C409" s="10">
        <v>70967</v>
      </c>
      <c r="D409" s="10"/>
      <c r="E409">
        <v>2022</v>
      </c>
      <c r="F409" s="9" t="s">
        <v>360</v>
      </c>
      <c r="G409" s="10">
        <v>67209</v>
      </c>
      <c r="H409" s="16"/>
      <c r="I409" s="5"/>
      <c r="J409" s="16"/>
      <c r="K409" s="6"/>
    </row>
    <row r="410" spans="1:11">
      <c r="A410">
        <v>2023</v>
      </c>
      <c r="B410" s="9" t="s">
        <v>361</v>
      </c>
      <c r="C410" s="10">
        <v>2191928</v>
      </c>
      <c r="D410" s="10"/>
      <c r="E410">
        <v>2022</v>
      </c>
      <c r="F410" s="9" t="s">
        <v>361</v>
      </c>
      <c r="G410" s="10">
        <v>2108443</v>
      </c>
      <c r="H410" s="16"/>
      <c r="I410" s="5"/>
      <c r="J410" s="16"/>
      <c r="K410" s="6"/>
    </row>
    <row r="411" spans="1:11">
      <c r="A411">
        <v>2023</v>
      </c>
      <c r="B411" s="9" t="s">
        <v>362</v>
      </c>
      <c r="C411" s="10">
        <v>14581</v>
      </c>
      <c r="D411" s="10"/>
      <c r="E411">
        <v>2022</v>
      </c>
      <c r="F411" s="9" t="s">
        <v>362</v>
      </c>
      <c r="G411" s="10">
        <v>13598</v>
      </c>
      <c r="H411" s="16"/>
      <c r="I411" s="5"/>
      <c r="J411" s="16"/>
      <c r="K411" s="6"/>
    </row>
    <row r="412" spans="1:11">
      <c r="A412">
        <v>2023</v>
      </c>
      <c r="B412" s="9" t="s">
        <v>363</v>
      </c>
      <c r="C412" s="10">
        <v>21108</v>
      </c>
      <c r="D412" s="10"/>
      <c r="E412">
        <v>2022</v>
      </c>
      <c r="F412" s="9" t="s">
        <v>363</v>
      </c>
      <c r="G412" s="10">
        <v>39793</v>
      </c>
      <c r="H412" s="16"/>
      <c r="I412" s="5"/>
      <c r="J412" s="16"/>
      <c r="K412" s="6"/>
    </row>
    <row r="413" spans="1:11">
      <c r="A413">
        <v>2023</v>
      </c>
      <c r="B413" s="9" t="s">
        <v>364</v>
      </c>
      <c r="C413" s="10">
        <v>77345</v>
      </c>
      <c r="D413" s="10"/>
      <c r="E413">
        <v>2022</v>
      </c>
      <c r="F413" s="9" t="s">
        <v>364</v>
      </c>
      <c r="G413" s="10">
        <v>65833</v>
      </c>
      <c r="H413" s="16"/>
      <c r="I413" s="5"/>
      <c r="J413" s="16"/>
      <c r="K413" s="6"/>
    </row>
    <row r="414" spans="1:11">
      <c r="A414">
        <v>2023</v>
      </c>
      <c r="B414" s="9" t="s">
        <v>365</v>
      </c>
      <c r="E414">
        <v>2022</v>
      </c>
      <c r="F414" s="9" t="s">
        <v>365</v>
      </c>
      <c r="G414" s="10">
        <v>2499</v>
      </c>
      <c r="H414" s="16"/>
      <c r="I414" s="5"/>
      <c r="J414" s="16"/>
      <c r="K414" s="6"/>
    </row>
    <row r="415" spans="1:11">
      <c r="A415">
        <v>2023</v>
      </c>
      <c r="B415" s="9" t="s">
        <v>366</v>
      </c>
      <c r="C415" s="10">
        <v>5796</v>
      </c>
      <c r="D415" s="10"/>
      <c r="E415">
        <v>2022</v>
      </c>
      <c r="F415" s="9" t="s">
        <v>366</v>
      </c>
      <c r="G415" s="10">
        <v>5541</v>
      </c>
      <c r="H415" s="16"/>
      <c r="I415" s="5"/>
      <c r="J415" s="16"/>
      <c r="K415" s="6"/>
    </row>
    <row r="416" spans="1:11">
      <c r="A416">
        <v>2023</v>
      </c>
      <c r="B416" s="9" t="s">
        <v>367</v>
      </c>
      <c r="C416" s="10">
        <v>172582</v>
      </c>
      <c r="D416" s="10"/>
      <c r="E416">
        <v>2022</v>
      </c>
      <c r="F416" s="9" t="s">
        <v>367</v>
      </c>
      <c r="G416" s="10">
        <v>171773</v>
      </c>
      <c r="H416" s="16"/>
      <c r="I416" s="5"/>
      <c r="J416" s="16"/>
      <c r="K416" s="6"/>
    </row>
    <row r="417" spans="1:11">
      <c r="A417">
        <v>2023</v>
      </c>
      <c r="B417" s="9" t="s">
        <v>368</v>
      </c>
      <c r="C417" s="10">
        <v>12516</v>
      </c>
      <c r="D417" s="10"/>
      <c r="E417">
        <v>2022</v>
      </c>
      <c r="F417" s="9" t="s">
        <v>368</v>
      </c>
      <c r="G417" s="10">
        <v>10712</v>
      </c>
      <c r="H417" s="16"/>
      <c r="I417" s="5"/>
      <c r="J417" s="16"/>
      <c r="K417" s="6"/>
    </row>
    <row r="418" spans="1:11">
      <c r="A418">
        <v>2023</v>
      </c>
      <c r="B418" s="9" t="s">
        <v>369</v>
      </c>
      <c r="C418" s="10">
        <v>547773</v>
      </c>
      <c r="D418" s="10"/>
      <c r="E418">
        <v>2022</v>
      </c>
      <c r="F418" s="9" t="s">
        <v>369</v>
      </c>
      <c r="G418" s="10">
        <v>534845</v>
      </c>
      <c r="H418" s="16"/>
      <c r="I418" s="5"/>
      <c r="J418" s="16"/>
      <c r="K418" s="6"/>
    </row>
    <row r="419" spans="1:11">
      <c r="A419">
        <v>2023</v>
      </c>
      <c r="B419" s="9" t="s">
        <v>370</v>
      </c>
      <c r="C419" s="10">
        <v>83919</v>
      </c>
      <c r="D419" s="10"/>
      <c r="E419">
        <v>2022</v>
      </c>
      <c r="F419" s="9" t="s">
        <v>370</v>
      </c>
      <c r="G419" s="10">
        <v>79500</v>
      </c>
      <c r="H419" s="16"/>
      <c r="I419" s="5"/>
      <c r="J419" s="16"/>
      <c r="K419" s="6"/>
    </row>
    <row r="420" spans="1:11">
      <c r="A420">
        <v>2023</v>
      </c>
      <c r="B420" s="9" t="s">
        <v>371</v>
      </c>
      <c r="C420" s="10">
        <v>382695</v>
      </c>
      <c r="D420" s="10"/>
      <c r="E420">
        <v>2022</v>
      </c>
      <c r="F420" s="9" t="s">
        <v>371</v>
      </c>
      <c r="G420" s="10">
        <v>375548</v>
      </c>
      <c r="H420" s="16"/>
      <c r="I420" s="5"/>
      <c r="J420" s="16"/>
      <c r="K420" s="6"/>
    </row>
    <row r="421" spans="1:11">
      <c r="A421">
        <v>2023</v>
      </c>
      <c r="B421" s="9" t="s">
        <v>372</v>
      </c>
      <c r="C421" s="10">
        <v>94985</v>
      </c>
      <c r="D421" s="10"/>
      <c r="E421">
        <v>2022</v>
      </c>
      <c r="F421" s="9" t="s">
        <v>372</v>
      </c>
      <c r="G421" s="10">
        <v>64588</v>
      </c>
      <c r="H421" s="16"/>
      <c r="I421" s="5"/>
      <c r="J421" s="16"/>
      <c r="K421" s="6"/>
    </row>
    <row r="422" spans="1:11">
      <c r="A422">
        <v>2023</v>
      </c>
      <c r="B422" s="9" t="s">
        <v>373</v>
      </c>
      <c r="C422" s="10">
        <v>281854</v>
      </c>
      <c r="D422" s="10"/>
      <c r="E422">
        <v>2022</v>
      </c>
      <c r="F422" s="9" t="s">
        <v>373</v>
      </c>
      <c r="G422" s="10">
        <v>258123</v>
      </c>
      <c r="H422" s="16"/>
      <c r="I422" s="5"/>
      <c r="J422" s="16"/>
      <c r="K422" s="6"/>
    </row>
    <row r="423" spans="1:11">
      <c r="A423">
        <v>2023</v>
      </c>
      <c r="B423" s="9" t="s">
        <v>374</v>
      </c>
      <c r="C423" s="10">
        <v>129657</v>
      </c>
      <c r="D423" s="10"/>
      <c r="E423">
        <v>2022</v>
      </c>
      <c r="F423" s="9" t="s">
        <v>374</v>
      </c>
      <c r="G423" s="10">
        <v>111363</v>
      </c>
      <c r="H423" s="16"/>
      <c r="I423" s="5"/>
      <c r="J423" s="16"/>
      <c r="K423" s="6"/>
    </row>
    <row r="424" spans="1:11">
      <c r="A424">
        <v>2023</v>
      </c>
      <c r="B424" s="9" t="s">
        <v>375</v>
      </c>
      <c r="C424" s="10">
        <v>189670</v>
      </c>
      <c r="D424" s="10"/>
      <c r="E424">
        <v>2022</v>
      </c>
      <c r="F424" s="9" t="s">
        <v>375</v>
      </c>
      <c r="G424" s="10">
        <v>169782</v>
      </c>
      <c r="H424" s="16"/>
      <c r="I424" s="5"/>
      <c r="J424" s="16"/>
      <c r="K424" s="6"/>
    </row>
    <row r="425" spans="1:11">
      <c r="A425">
        <v>2023</v>
      </c>
      <c r="B425" s="9" t="s">
        <v>376</v>
      </c>
      <c r="C425" s="10">
        <v>400322</v>
      </c>
      <c r="D425" s="10"/>
      <c r="E425">
        <v>2022</v>
      </c>
      <c r="F425" s="9" t="s">
        <v>376</v>
      </c>
      <c r="G425" s="10">
        <v>403868</v>
      </c>
      <c r="H425" s="16"/>
      <c r="I425" s="5"/>
      <c r="J425" s="16"/>
      <c r="K425" s="6"/>
    </row>
    <row r="426" spans="1:11">
      <c r="A426">
        <v>2023</v>
      </c>
      <c r="B426" s="9" t="s">
        <v>377</v>
      </c>
      <c r="C426" s="10">
        <v>95023</v>
      </c>
      <c r="D426" s="10"/>
      <c r="E426">
        <v>2022</v>
      </c>
      <c r="F426" s="9" t="s">
        <v>377</v>
      </c>
      <c r="G426" s="10">
        <v>87154</v>
      </c>
      <c r="H426" s="16"/>
      <c r="I426" s="5"/>
      <c r="J426" s="16"/>
      <c r="K426" s="6"/>
    </row>
    <row r="427" spans="1:11">
      <c r="A427">
        <v>2023</v>
      </c>
      <c r="B427" s="9" t="s">
        <v>378</v>
      </c>
      <c r="C427" s="10">
        <v>20337</v>
      </c>
      <c r="D427" s="10"/>
      <c r="E427">
        <v>2022</v>
      </c>
      <c r="F427" s="9" t="s">
        <v>378</v>
      </c>
      <c r="G427" s="10">
        <v>20005</v>
      </c>
      <c r="H427" s="16"/>
      <c r="I427" s="5"/>
      <c r="J427" s="16"/>
      <c r="K427" s="6"/>
    </row>
    <row r="428" spans="1:11">
      <c r="A428">
        <v>2023</v>
      </c>
      <c r="B428" s="9" t="s">
        <v>379</v>
      </c>
      <c r="C428" s="10">
        <v>218020</v>
      </c>
      <c r="D428" s="10"/>
      <c r="E428">
        <v>2022</v>
      </c>
      <c r="F428" s="9" t="s">
        <v>379</v>
      </c>
      <c r="G428" s="10">
        <v>203996</v>
      </c>
      <c r="H428" s="15"/>
      <c r="I428" s="5"/>
      <c r="J428" s="15"/>
      <c r="K428" s="6"/>
    </row>
    <row r="429" spans="1:11">
      <c r="A429">
        <v>2023</v>
      </c>
      <c r="B429" s="9" t="s">
        <v>380</v>
      </c>
      <c r="C429" s="10">
        <v>18080</v>
      </c>
      <c r="D429" s="10"/>
      <c r="E429">
        <v>2022</v>
      </c>
      <c r="F429" s="9" t="s">
        <v>380</v>
      </c>
      <c r="G429" s="10">
        <v>18467</v>
      </c>
      <c r="H429" s="7"/>
      <c r="I429" s="2"/>
      <c r="J429" s="7"/>
      <c r="K429" s="1"/>
    </row>
    <row r="430" spans="1:11">
      <c r="A430">
        <v>2023</v>
      </c>
      <c r="B430" s="9" t="s">
        <v>381</v>
      </c>
      <c r="C430" s="10">
        <v>572200</v>
      </c>
      <c r="D430" s="10"/>
      <c r="E430">
        <v>2022</v>
      </c>
      <c r="F430" s="9" t="s">
        <v>381</v>
      </c>
      <c r="G430" s="10">
        <v>538724</v>
      </c>
      <c r="H430" s="7"/>
      <c r="I430" s="2"/>
      <c r="J430" s="7"/>
      <c r="K430" s="3"/>
    </row>
    <row r="431" spans="1:11">
      <c r="A431">
        <v>2023</v>
      </c>
      <c r="B431" s="9" t="s">
        <v>382</v>
      </c>
      <c r="C431" s="10">
        <v>262575</v>
      </c>
      <c r="D431" s="10"/>
      <c r="E431">
        <v>2022</v>
      </c>
      <c r="F431" s="9" t="s">
        <v>382</v>
      </c>
      <c r="G431" s="10">
        <v>233712</v>
      </c>
      <c r="H431" s="7"/>
      <c r="I431" s="2"/>
      <c r="J431" s="7"/>
      <c r="K431" s="3"/>
    </row>
    <row r="432" spans="1:11">
      <c r="A432">
        <v>2023</v>
      </c>
      <c r="B432" s="9" t="s">
        <v>383</v>
      </c>
      <c r="C432" s="10">
        <v>166556</v>
      </c>
      <c r="D432" s="10"/>
      <c r="E432">
        <v>2022</v>
      </c>
      <c r="F432" s="9" t="s">
        <v>383</v>
      </c>
      <c r="G432" s="10">
        <v>160826</v>
      </c>
      <c r="H432" s="7"/>
      <c r="I432" s="2"/>
      <c r="J432" s="7"/>
      <c r="K432" s="3"/>
    </row>
    <row r="433" spans="1:11">
      <c r="A433">
        <v>2023</v>
      </c>
      <c r="B433" s="9" t="s">
        <v>384</v>
      </c>
      <c r="C433" s="10">
        <v>15962</v>
      </c>
      <c r="D433" s="10"/>
      <c r="E433">
        <v>2022</v>
      </c>
      <c r="F433" s="9" t="s">
        <v>384</v>
      </c>
      <c r="G433" s="10">
        <v>15151</v>
      </c>
      <c r="H433" s="7"/>
      <c r="I433" s="2"/>
      <c r="J433" s="7"/>
      <c r="K433" s="3"/>
    </row>
    <row r="434" spans="1:11">
      <c r="A434">
        <v>2023</v>
      </c>
      <c r="B434" s="9" t="s">
        <v>385</v>
      </c>
      <c r="C434" s="10">
        <v>63149</v>
      </c>
      <c r="D434" s="10"/>
      <c r="E434">
        <v>2022</v>
      </c>
      <c r="F434" s="9" t="s">
        <v>385</v>
      </c>
      <c r="G434" s="10">
        <v>58042</v>
      </c>
      <c r="H434" s="7"/>
      <c r="I434" s="2"/>
      <c r="J434" s="7"/>
      <c r="K434" s="3"/>
    </row>
    <row r="435" spans="1:11">
      <c r="A435">
        <v>2023</v>
      </c>
      <c r="B435" s="9" t="s">
        <v>386</v>
      </c>
      <c r="C435" s="10">
        <v>323762</v>
      </c>
      <c r="D435" s="10"/>
      <c r="E435">
        <v>2022</v>
      </c>
      <c r="F435" s="9" t="s">
        <v>386</v>
      </c>
      <c r="G435" s="10">
        <v>285191</v>
      </c>
      <c r="H435" s="7"/>
      <c r="I435" s="2"/>
      <c r="J435" s="7"/>
      <c r="K435" s="3"/>
    </row>
    <row r="436" spans="1:11">
      <c r="A436">
        <v>2023</v>
      </c>
      <c r="B436" s="9" t="s">
        <v>387</v>
      </c>
      <c r="C436" s="10">
        <v>566710</v>
      </c>
      <c r="D436" s="10"/>
      <c r="E436">
        <v>2022</v>
      </c>
      <c r="F436" s="9" t="s">
        <v>387</v>
      </c>
      <c r="G436" s="10">
        <v>533805</v>
      </c>
      <c r="H436" s="7"/>
      <c r="I436" s="2"/>
      <c r="J436" s="7"/>
      <c r="K436" s="3"/>
    </row>
    <row r="437" spans="1:11">
      <c r="A437">
        <v>2023</v>
      </c>
      <c r="B437" s="9" t="s">
        <v>388</v>
      </c>
      <c r="C437" s="10">
        <v>59011</v>
      </c>
      <c r="D437" s="10"/>
      <c r="E437">
        <v>2022</v>
      </c>
      <c r="F437" s="9" t="s">
        <v>388</v>
      </c>
      <c r="G437" s="10">
        <v>54723</v>
      </c>
      <c r="H437" s="7"/>
      <c r="I437" s="2"/>
      <c r="J437" s="7"/>
      <c r="K437" s="3"/>
    </row>
    <row r="438" spans="1:11">
      <c r="A438">
        <v>2023</v>
      </c>
      <c r="B438" s="9" t="s">
        <v>389</v>
      </c>
      <c r="C438" s="10">
        <v>23586</v>
      </c>
      <c r="D438" s="10"/>
      <c r="E438">
        <v>2022</v>
      </c>
      <c r="F438" s="9" t="s">
        <v>389</v>
      </c>
      <c r="G438" s="10">
        <v>24605</v>
      </c>
      <c r="H438" s="7"/>
      <c r="I438" s="2"/>
      <c r="J438" s="7"/>
      <c r="K438" s="3"/>
    </row>
    <row r="439" spans="1:11">
      <c r="A439">
        <v>2023</v>
      </c>
      <c r="B439" s="9" t="s">
        <v>390</v>
      </c>
      <c r="C439" s="10">
        <v>207511</v>
      </c>
      <c r="D439" s="10"/>
      <c r="E439">
        <v>2022</v>
      </c>
      <c r="F439" s="9" t="s">
        <v>390</v>
      </c>
      <c r="G439" s="10">
        <v>201115</v>
      </c>
      <c r="H439" s="7"/>
      <c r="I439" s="2"/>
      <c r="J439" s="7"/>
      <c r="K439" s="3"/>
    </row>
    <row r="440" spans="1:11">
      <c r="A440">
        <v>2023</v>
      </c>
      <c r="B440" s="9" t="s">
        <v>391</v>
      </c>
      <c r="C440" s="10">
        <v>70939</v>
      </c>
      <c r="D440" s="10"/>
      <c r="E440">
        <v>2022</v>
      </c>
      <c r="F440" s="9" t="s">
        <v>391</v>
      </c>
      <c r="G440" s="10">
        <v>68373</v>
      </c>
      <c r="H440" s="7"/>
      <c r="I440" s="2"/>
      <c r="J440" s="7"/>
      <c r="K440" s="3"/>
    </row>
    <row r="441" spans="1:11">
      <c r="A441">
        <v>2023</v>
      </c>
      <c r="B441" s="9" t="s">
        <v>392</v>
      </c>
      <c r="C441" s="10">
        <v>194008</v>
      </c>
      <c r="D441" s="10"/>
      <c r="E441">
        <v>2022</v>
      </c>
      <c r="F441" s="9" t="s">
        <v>392</v>
      </c>
      <c r="G441" s="10">
        <v>214135</v>
      </c>
      <c r="H441" s="7"/>
      <c r="I441" s="2"/>
      <c r="J441" s="7"/>
      <c r="K441" s="3"/>
    </row>
    <row r="442" spans="1:11">
      <c r="A442">
        <v>2023</v>
      </c>
      <c r="B442" s="9" t="s">
        <v>393</v>
      </c>
      <c r="C442" s="10">
        <v>160310</v>
      </c>
      <c r="D442" s="10"/>
      <c r="E442">
        <v>2022</v>
      </c>
      <c r="F442" s="9" t="s">
        <v>393</v>
      </c>
      <c r="G442" s="10">
        <v>197197</v>
      </c>
      <c r="H442" s="7"/>
      <c r="I442" s="2"/>
      <c r="J442" s="7"/>
      <c r="K442" s="3"/>
    </row>
    <row r="443" spans="1:11">
      <c r="A443">
        <v>2023</v>
      </c>
      <c r="B443" s="9" t="s">
        <v>394</v>
      </c>
      <c r="C443" s="10">
        <v>1702822</v>
      </c>
      <c r="D443" s="10"/>
      <c r="E443">
        <v>2022</v>
      </c>
      <c r="F443" s="9" t="s">
        <v>394</v>
      </c>
      <c r="G443" s="10">
        <v>1726150</v>
      </c>
      <c r="H443" s="7"/>
      <c r="I443" s="2"/>
      <c r="J443" s="7"/>
      <c r="K443" s="3"/>
    </row>
    <row r="444" spans="1:11">
      <c r="A444">
        <v>2023</v>
      </c>
      <c r="B444" s="9" t="s">
        <v>395</v>
      </c>
      <c r="C444" s="10">
        <v>1268392</v>
      </c>
      <c r="D444" s="10"/>
      <c r="E444">
        <v>2022</v>
      </c>
      <c r="F444" s="9" t="s">
        <v>395</v>
      </c>
      <c r="G444" s="10">
        <v>1143745</v>
      </c>
      <c r="H444" s="7"/>
      <c r="I444" s="2"/>
      <c r="J444" s="7"/>
      <c r="K444" s="3"/>
    </row>
    <row r="445" spans="1:11">
      <c r="A445">
        <v>2023</v>
      </c>
      <c r="B445" s="9" t="s">
        <v>396</v>
      </c>
      <c r="C445" s="10">
        <v>196461</v>
      </c>
      <c r="D445" s="10"/>
      <c r="E445">
        <v>2022</v>
      </c>
      <c r="F445" s="9" t="s">
        <v>396</v>
      </c>
      <c r="G445" s="10">
        <v>172779</v>
      </c>
      <c r="H445" s="7"/>
      <c r="I445" s="2"/>
      <c r="J445" s="7"/>
      <c r="K445" s="3"/>
    </row>
    <row r="446" spans="1:11">
      <c r="A446">
        <v>2023</v>
      </c>
      <c r="B446" s="9" t="s">
        <v>397</v>
      </c>
      <c r="C446" s="10">
        <v>168569</v>
      </c>
      <c r="D446" s="10"/>
      <c r="E446">
        <v>2022</v>
      </c>
      <c r="F446" s="9" t="s">
        <v>397</v>
      </c>
      <c r="G446" s="10">
        <v>149721</v>
      </c>
      <c r="H446" s="7"/>
      <c r="I446" s="2"/>
      <c r="J446" s="7"/>
      <c r="K446" s="3"/>
    </row>
    <row r="447" spans="1:11">
      <c r="A447">
        <v>2023</v>
      </c>
      <c r="B447" s="9" t="s">
        <v>398</v>
      </c>
      <c r="C447" s="10">
        <v>45031</v>
      </c>
      <c r="D447" s="10"/>
      <c r="E447">
        <v>2022</v>
      </c>
      <c r="F447" s="9" t="s">
        <v>398</v>
      </c>
      <c r="G447" s="10">
        <v>39865</v>
      </c>
      <c r="H447" s="7"/>
      <c r="I447" s="2"/>
      <c r="J447" s="7"/>
      <c r="K447" s="3"/>
    </row>
    <row r="448" spans="1:11">
      <c r="A448">
        <v>2023</v>
      </c>
      <c r="B448" s="9" t="s">
        <v>399</v>
      </c>
      <c r="C448" s="10">
        <v>26637</v>
      </c>
      <c r="D448" s="10"/>
      <c r="E448">
        <v>2022</v>
      </c>
      <c r="F448" s="9" t="s">
        <v>399</v>
      </c>
      <c r="G448" s="10">
        <v>19632</v>
      </c>
      <c r="H448" s="7"/>
      <c r="I448" s="2"/>
      <c r="J448" s="7"/>
      <c r="K448" s="3"/>
    </row>
    <row r="449" spans="1:11">
      <c r="A449">
        <v>2023</v>
      </c>
      <c r="B449" s="9" t="s">
        <v>400</v>
      </c>
      <c r="C449" s="10">
        <v>799710</v>
      </c>
      <c r="D449" s="10"/>
      <c r="E449">
        <v>2022</v>
      </c>
      <c r="F449" s="9" t="s">
        <v>400</v>
      </c>
      <c r="G449" s="10">
        <v>769750</v>
      </c>
      <c r="H449" s="7"/>
      <c r="I449" s="2"/>
      <c r="J449" s="7"/>
      <c r="K449" s="3"/>
    </row>
    <row r="450" spans="1:11">
      <c r="A450">
        <v>2023</v>
      </c>
      <c r="B450" s="9" t="s">
        <v>401</v>
      </c>
      <c r="C450" s="10">
        <v>652236</v>
      </c>
      <c r="D450" s="10"/>
      <c r="E450">
        <v>2022</v>
      </c>
      <c r="F450" s="9" t="s">
        <v>401</v>
      </c>
      <c r="G450" s="10">
        <v>672627</v>
      </c>
      <c r="H450" s="7"/>
      <c r="I450" s="2"/>
      <c r="J450" s="7"/>
      <c r="K450" s="3"/>
    </row>
    <row r="451" spans="1:11">
      <c r="A451">
        <v>2023</v>
      </c>
      <c r="B451" s="9" t="s">
        <v>402</v>
      </c>
      <c r="C451" s="10">
        <v>13294</v>
      </c>
      <c r="D451" s="10"/>
      <c r="E451">
        <v>2022</v>
      </c>
      <c r="F451" s="9" t="s">
        <v>402</v>
      </c>
      <c r="G451" s="10">
        <v>14842</v>
      </c>
      <c r="H451" s="7"/>
      <c r="I451" s="2"/>
      <c r="J451" s="7"/>
      <c r="K451" s="3"/>
    </row>
    <row r="452" spans="1:11">
      <c r="A452">
        <v>2023</v>
      </c>
      <c r="B452" s="9" t="s">
        <v>403</v>
      </c>
      <c r="C452" s="10">
        <v>133207</v>
      </c>
      <c r="D452" s="10"/>
      <c r="E452">
        <v>2022</v>
      </c>
      <c r="F452" s="9" t="s">
        <v>403</v>
      </c>
      <c r="G452" s="10">
        <v>139897</v>
      </c>
      <c r="H452" s="7"/>
      <c r="I452" s="2"/>
      <c r="J452" s="7"/>
      <c r="K452" s="3"/>
    </row>
    <row r="453" spans="1:11">
      <c r="A453">
        <v>2023</v>
      </c>
      <c r="B453" s="9" t="s">
        <v>404</v>
      </c>
      <c r="C453" s="10">
        <v>71461</v>
      </c>
      <c r="D453" s="10"/>
      <c r="E453">
        <v>2022</v>
      </c>
      <c r="F453" s="9" t="s">
        <v>404</v>
      </c>
      <c r="G453" s="10">
        <v>70775</v>
      </c>
      <c r="H453" s="7"/>
      <c r="I453" s="2"/>
      <c r="J453" s="7"/>
      <c r="K453" s="3"/>
    </row>
    <row r="454" spans="1:11">
      <c r="A454">
        <v>2023</v>
      </c>
      <c r="B454" s="9" t="s">
        <v>405</v>
      </c>
      <c r="C454" s="10">
        <v>107578</v>
      </c>
      <c r="D454" s="10"/>
      <c r="E454">
        <v>2022</v>
      </c>
      <c r="F454" s="9" t="s">
        <v>405</v>
      </c>
      <c r="G454" s="10">
        <v>77823</v>
      </c>
      <c r="H454" s="7"/>
      <c r="I454" s="2"/>
      <c r="J454" s="7"/>
      <c r="K454" s="3"/>
    </row>
    <row r="455" spans="1:11">
      <c r="A455">
        <v>2023</v>
      </c>
      <c r="B455" s="9" t="s">
        <v>406</v>
      </c>
      <c r="C455" s="10">
        <v>115478</v>
      </c>
      <c r="D455" s="10"/>
      <c r="E455">
        <v>2022</v>
      </c>
      <c r="F455" s="9" t="s">
        <v>406</v>
      </c>
      <c r="G455" s="10">
        <v>111865</v>
      </c>
      <c r="H455" s="7"/>
      <c r="I455" s="2"/>
      <c r="J455" s="7"/>
      <c r="K455" s="3"/>
    </row>
    <row r="456" spans="1:11">
      <c r="A456">
        <v>2023</v>
      </c>
      <c r="B456" s="9" t="s">
        <v>407</v>
      </c>
      <c r="C456" s="10">
        <v>1121302</v>
      </c>
      <c r="D456" s="10"/>
      <c r="E456">
        <v>2022</v>
      </c>
      <c r="F456" s="9" t="s">
        <v>407</v>
      </c>
      <c r="G456" s="10">
        <v>1072011</v>
      </c>
      <c r="H456" s="7"/>
      <c r="I456" s="2"/>
      <c r="J456" s="7"/>
      <c r="K456" s="3"/>
    </row>
    <row r="457" spans="1:11">
      <c r="A457">
        <v>2023</v>
      </c>
      <c r="B457" s="9" t="s">
        <v>408</v>
      </c>
      <c r="C457" s="10">
        <v>13047</v>
      </c>
      <c r="D457" s="10"/>
      <c r="E457">
        <v>2022</v>
      </c>
      <c r="F457" s="9" t="s">
        <v>408</v>
      </c>
      <c r="G457" s="10">
        <v>12627</v>
      </c>
      <c r="H457" s="7"/>
      <c r="I457" s="2"/>
      <c r="J457" s="7"/>
      <c r="K457" s="3"/>
    </row>
    <row r="458" spans="1:11">
      <c r="A458">
        <v>2023</v>
      </c>
      <c r="B458" s="9" t="s">
        <v>409</v>
      </c>
      <c r="C458" s="10">
        <v>127195</v>
      </c>
      <c r="D458" s="10"/>
      <c r="E458">
        <v>2022</v>
      </c>
      <c r="F458" s="9" t="s">
        <v>409</v>
      </c>
      <c r="G458" s="10">
        <v>125451</v>
      </c>
      <c r="H458" s="7"/>
      <c r="I458" s="2"/>
      <c r="J458" s="7"/>
      <c r="K458" s="3"/>
    </row>
    <row r="459" spans="1:11">
      <c r="A459">
        <v>2023</v>
      </c>
      <c r="B459" s="9" t="s">
        <v>410</v>
      </c>
      <c r="C459" s="10">
        <v>207083</v>
      </c>
      <c r="D459" s="10"/>
      <c r="E459">
        <v>2022</v>
      </c>
      <c r="F459" s="9" t="s">
        <v>410</v>
      </c>
      <c r="G459" s="10">
        <v>203642</v>
      </c>
      <c r="H459" s="7"/>
      <c r="I459" s="2"/>
      <c r="J459" s="7"/>
      <c r="K459" s="3"/>
    </row>
    <row r="460" spans="1:11">
      <c r="A460">
        <v>2023</v>
      </c>
      <c r="B460" s="9" t="s">
        <v>411</v>
      </c>
      <c r="C460" s="10">
        <v>1956439</v>
      </c>
      <c r="D460" s="10"/>
      <c r="E460">
        <v>2022</v>
      </c>
      <c r="F460" s="9" t="s">
        <v>411</v>
      </c>
      <c r="G460" s="10">
        <v>1855040</v>
      </c>
      <c r="H460" s="7"/>
      <c r="I460" s="2"/>
      <c r="J460" s="7"/>
      <c r="K460" s="3"/>
    </row>
    <row r="461" spans="1:11">
      <c r="A461">
        <v>2023</v>
      </c>
      <c r="B461" s="9" t="s">
        <v>412</v>
      </c>
      <c r="C461" s="10">
        <v>965306</v>
      </c>
      <c r="D461" s="10"/>
      <c r="E461">
        <v>2022</v>
      </c>
      <c r="F461" s="9" t="s">
        <v>412</v>
      </c>
      <c r="G461" s="10">
        <v>983951</v>
      </c>
      <c r="H461" s="7"/>
      <c r="I461" s="2"/>
      <c r="J461" s="7"/>
      <c r="K461" s="3"/>
    </row>
    <row r="462" spans="1:11">
      <c r="A462">
        <v>2023</v>
      </c>
      <c r="B462" s="9" t="s">
        <v>413</v>
      </c>
      <c r="C462" s="10">
        <v>541662</v>
      </c>
      <c r="D462" s="10"/>
      <c r="E462">
        <v>2022</v>
      </c>
      <c r="F462" s="9" t="s">
        <v>413</v>
      </c>
      <c r="G462" s="10">
        <v>563043</v>
      </c>
      <c r="H462" s="7"/>
      <c r="I462" s="2"/>
      <c r="J462" s="7"/>
      <c r="K462" s="3"/>
    </row>
    <row r="463" spans="1:11">
      <c r="A463">
        <v>2023</v>
      </c>
      <c r="B463" s="9" t="s">
        <v>414</v>
      </c>
      <c r="C463" s="10">
        <v>4551432</v>
      </c>
      <c r="D463" s="10"/>
      <c r="E463">
        <v>2022</v>
      </c>
      <c r="F463" s="9" t="s">
        <v>414</v>
      </c>
      <c r="G463" s="10">
        <v>4379230</v>
      </c>
      <c r="H463" s="7"/>
      <c r="I463" s="2"/>
      <c r="J463" s="7"/>
      <c r="K463" s="3"/>
    </row>
    <row r="464" spans="1:11">
      <c r="A464">
        <v>2023</v>
      </c>
      <c r="B464" s="9" t="s">
        <v>415</v>
      </c>
      <c r="C464" s="10">
        <v>2093840</v>
      </c>
      <c r="D464" s="10"/>
      <c r="E464">
        <v>2022</v>
      </c>
      <c r="F464" s="9" t="s">
        <v>415</v>
      </c>
      <c r="G464" s="10">
        <v>2415191</v>
      </c>
      <c r="H464" s="7"/>
      <c r="I464" s="2"/>
      <c r="J464" s="7"/>
      <c r="K464" s="3"/>
    </row>
    <row r="465" spans="1:11">
      <c r="A465">
        <v>2023</v>
      </c>
      <c r="B465" s="9" t="s">
        <v>416</v>
      </c>
      <c r="C465" s="10">
        <v>1978945</v>
      </c>
      <c r="D465" s="10"/>
      <c r="E465">
        <v>2022</v>
      </c>
      <c r="F465" s="9" t="s">
        <v>416</v>
      </c>
      <c r="G465" s="10">
        <v>2119378</v>
      </c>
      <c r="H465" s="7"/>
      <c r="I465" s="2"/>
      <c r="J465" s="7"/>
      <c r="K465" s="3"/>
    </row>
    <row r="466" spans="1:11">
      <c r="A466">
        <v>2023</v>
      </c>
      <c r="B466" s="9" t="s">
        <v>417</v>
      </c>
      <c r="C466" s="10">
        <v>98720</v>
      </c>
      <c r="D466" s="10"/>
      <c r="E466">
        <v>2022</v>
      </c>
      <c r="F466" s="9" t="s">
        <v>417</v>
      </c>
      <c r="G466" s="10">
        <v>69074</v>
      </c>
      <c r="H466" s="7"/>
      <c r="I466" s="2"/>
      <c r="J466" s="7"/>
      <c r="K466" s="3"/>
    </row>
    <row r="467" spans="1:11">
      <c r="A467">
        <v>2023</v>
      </c>
      <c r="B467" s="9" t="s">
        <v>418</v>
      </c>
      <c r="C467" s="10">
        <v>31079</v>
      </c>
      <c r="D467" s="10"/>
      <c r="E467">
        <v>2022</v>
      </c>
      <c r="F467" s="9" t="s">
        <v>418</v>
      </c>
      <c r="G467" s="10">
        <v>54331</v>
      </c>
      <c r="H467" s="8"/>
      <c r="I467" s="2"/>
      <c r="J467" s="8"/>
      <c r="K467" s="3"/>
    </row>
    <row r="469" spans="1:11">
      <c r="B469" s="9" t="s">
        <v>932</v>
      </c>
      <c r="C469" s="10">
        <f>SUM(C2:C467)</f>
        <v>601349408</v>
      </c>
      <c r="D469" s="10"/>
      <c r="E469" s="10"/>
      <c r="F469" s="10"/>
      <c r="G469" s="10">
        <f>SUM(G2:G467)</f>
        <v>579015078</v>
      </c>
    </row>
    <row r="471" spans="1:11">
      <c r="B471" s="9" t="s">
        <v>931</v>
      </c>
      <c r="C471" s="18">
        <v>601349408</v>
      </c>
      <c r="D471" s="18"/>
      <c r="E471" s="18"/>
      <c r="F471" s="18"/>
      <c r="G471" s="18">
        <v>579015078</v>
      </c>
    </row>
    <row r="473" spans="1:11">
      <c r="B473" s="19" t="s">
        <v>930</v>
      </c>
      <c r="C473" s="20">
        <f>C469-C471</f>
        <v>0</v>
      </c>
      <c r="D473" s="20"/>
      <c r="E473" s="20"/>
      <c r="F473" s="20"/>
      <c r="G473" s="20">
        <f>G469-G471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B15E7-A32E-2745-8A39-B2464527ED9C}">
  <sheetPr>
    <tabColor rgb="FFFFFF00"/>
  </sheetPr>
  <dimension ref="A1:L493"/>
  <sheetViews>
    <sheetView workbookViewId="0">
      <selection activeCell="E2" sqref="E2:G487"/>
    </sheetView>
  </sheetViews>
  <sheetFormatPr baseColWidth="10" defaultRowHeight="16"/>
  <cols>
    <col min="2" max="2" width="29.1640625" style="9" bestFit="1" customWidth="1"/>
    <col min="3" max="3" width="18.83203125" style="9" bestFit="1" customWidth="1"/>
    <col min="4" max="4" width="3" style="9" customWidth="1"/>
    <col min="5" max="5" width="15" style="9" customWidth="1"/>
    <col min="6" max="6" width="29.1640625" style="9" bestFit="1" customWidth="1"/>
    <col min="7" max="7" width="18.83203125" style="9" bestFit="1" customWidth="1"/>
  </cols>
  <sheetData>
    <row r="1" spans="1:9">
      <c r="A1" t="s">
        <v>1421</v>
      </c>
      <c r="B1" s="9" t="s">
        <v>419</v>
      </c>
      <c r="C1" s="9" t="s">
        <v>1422</v>
      </c>
      <c r="E1" t="s">
        <v>1421</v>
      </c>
      <c r="F1" s="9" t="s">
        <v>419</v>
      </c>
      <c r="G1" s="9" t="s">
        <v>1422</v>
      </c>
    </row>
    <row r="2" spans="1:9">
      <c r="A2">
        <v>2021</v>
      </c>
      <c r="B2" s="9" t="s">
        <v>0</v>
      </c>
      <c r="C2" s="10">
        <v>403813</v>
      </c>
      <c r="D2" s="10"/>
      <c r="E2" s="27">
        <v>2020</v>
      </c>
      <c r="F2" s="9" t="s">
        <v>0</v>
      </c>
      <c r="G2" s="10">
        <v>398686</v>
      </c>
      <c r="H2" s="12"/>
      <c r="I2" s="11"/>
    </row>
    <row r="3" spans="1:9">
      <c r="A3">
        <v>2021</v>
      </c>
      <c r="B3" s="9" t="s">
        <v>420</v>
      </c>
      <c r="E3" s="27">
        <v>2020</v>
      </c>
      <c r="F3" s="9" t="s">
        <v>420</v>
      </c>
      <c r="H3" s="12"/>
      <c r="I3" s="11"/>
    </row>
    <row r="4" spans="1:9">
      <c r="A4">
        <v>2021</v>
      </c>
      <c r="B4" s="9" t="s">
        <v>1</v>
      </c>
      <c r="C4" s="10">
        <v>686106</v>
      </c>
      <c r="D4" s="10"/>
      <c r="E4" s="27">
        <v>2020</v>
      </c>
      <c r="F4" s="9" t="s">
        <v>1</v>
      </c>
      <c r="G4" s="10">
        <v>633688</v>
      </c>
      <c r="H4" s="12"/>
      <c r="I4" s="13"/>
    </row>
    <row r="5" spans="1:9">
      <c r="A5">
        <v>2021</v>
      </c>
      <c r="B5" s="9" t="s">
        <v>2</v>
      </c>
      <c r="C5" s="10">
        <v>2105222</v>
      </c>
      <c r="D5" s="10"/>
      <c r="E5" s="27">
        <v>2020</v>
      </c>
      <c r="F5" s="9" t="s">
        <v>2</v>
      </c>
      <c r="G5" s="10">
        <v>1985874</v>
      </c>
      <c r="H5" s="12"/>
      <c r="I5" s="13"/>
    </row>
    <row r="6" spans="1:9">
      <c r="A6">
        <v>2021</v>
      </c>
      <c r="B6" s="9" t="s">
        <v>3</v>
      </c>
      <c r="C6" s="10">
        <v>281559</v>
      </c>
      <c r="D6" s="10"/>
      <c r="E6" s="27">
        <v>2020</v>
      </c>
      <c r="F6" s="9" t="s">
        <v>3</v>
      </c>
      <c r="G6" s="10">
        <v>280520</v>
      </c>
      <c r="H6" s="12"/>
      <c r="I6" s="13"/>
    </row>
    <row r="7" spans="1:9">
      <c r="A7">
        <v>2021</v>
      </c>
      <c r="B7" s="9" t="s">
        <v>4</v>
      </c>
      <c r="C7" s="10">
        <v>77920</v>
      </c>
      <c r="D7" s="10"/>
      <c r="E7" s="27">
        <v>2020</v>
      </c>
      <c r="F7" s="9" t="s">
        <v>4</v>
      </c>
      <c r="G7" s="10">
        <v>70000</v>
      </c>
      <c r="H7" s="12"/>
      <c r="I7" s="13"/>
    </row>
    <row r="8" spans="1:9">
      <c r="A8">
        <v>2021</v>
      </c>
      <c r="B8" s="9" t="s">
        <v>421</v>
      </c>
      <c r="E8" s="27">
        <v>2020</v>
      </c>
      <c r="F8" s="9" t="s">
        <v>421</v>
      </c>
      <c r="G8" s="10">
        <v>12012</v>
      </c>
      <c r="H8" s="12"/>
      <c r="I8" s="13"/>
    </row>
    <row r="9" spans="1:9">
      <c r="A9">
        <v>2021</v>
      </c>
      <c r="B9" s="9" t="s">
        <v>5</v>
      </c>
      <c r="C9" s="10">
        <v>250299</v>
      </c>
      <c r="D9" s="10"/>
      <c r="E9" s="27">
        <v>2020</v>
      </c>
      <c r="F9" s="9" t="s">
        <v>5</v>
      </c>
      <c r="G9" s="10">
        <v>246870</v>
      </c>
      <c r="H9" s="12"/>
      <c r="I9" s="13"/>
    </row>
    <row r="10" spans="1:9">
      <c r="A10">
        <v>2021</v>
      </c>
      <c r="B10" s="9" t="s">
        <v>6</v>
      </c>
      <c r="C10" s="10">
        <v>609948</v>
      </c>
      <c r="D10" s="10"/>
      <c r="E10" s="27">
        <v>2020</v>
      </c>
      <c r="F10" s="9" t="s">
        <v>6</v>
      </c>
      <c r="G10" s="10">
        <v>562917</v>
      </c>
      <c r="H10" s="12"/>
      <c r="I10" s="13"/>
    </row>
    <row r="11" spans="1:9">
      <c r="A11">
        <v>2021</v>
      </c>
      <c r="B11" s="9" t="s">
        <v>422</v>
      </c>
      <c r="E11" s="27">
        <v>2020</v>
      </c>
      <c r="F11" s="9" t="s">
        <v>422</v>
      </c>
      <c r="H11" s="12"/>
      <c r="I11" s="11"/>
    </row>
    <row r="12" spans="1:9">
      <c r="A12">
        <v>2021</v>
      </c>
      <c r="B12" s="9" t="s">
        <v>7</v>
      </c>
      <c r="C12" s="10">
        <v>643935</v>
      </c>
      <c r="D12" s="10"/>
      <c r="E12" s="27">
        <v>2020</v>
      </c>
      <c r="F12" s="9" t="s">
        <v>7</v>
      </c>
      <c r="G12" s="10">
        <v>628826</v>
      </c>
      <c r="H12" s="12"/>
      <c r="I12" s="13"/>
    </row>
    <row r="13" spans="1:9">
      <c r="A13">
        <v>2021</v>
      </c>
      <c r="B13" s="9" t="s">
        <v>8</v>
      </c>
      <c r="C13" s="10">
        <v>1209681</v>
      </c>
      <c r="D13" s="10"/>
      <c r="E13" s="27">
        <v>2020</v>
      </c>
      <c r="F13" s="9" t="s">
        <v>8</v>
      </c>
      <c r="G13" s="10">
        <v>1170380</v>
      </c>
      <c r="H13" s="12"/>
      <c r="I13" s="13"/>
    </row>
    <row r="14" spans="1:9">
      <c r="A14">
        <v>2021</v>
      </c>
      <c r="B14" s="9" t="s">
        <v>9</v>
      </c>
      <c r="C14" s="10">
        <v>391006</v>
      </c>
      <c r="D14" s="10"/>
      <c r="E14" s="27">
        <v>2020</v>
      </c>
      <c r="F14" s="9" t="s">
        <v>9</v>
      </c>
      <c r="G14" s="10">
        <v>382434</v>
      </c>
      <c r="H14" s="12"/>
      <c r="I14" s="13"/>
    </row>
    <row r="15" spans="1:9">
      <c r="A15">
        <v>2021</v>
      </c>
      <c r="B15" s="9" t="s">
        <v>10</v>
      </c>
      <c r="C15" s="10">
        <v>95874</v>
      </c>
      <c r="D15" s="10"/>
      <c r="E15" s="27">
        <v>2020</v>
      </c>
      <c r="F15" s="9" t="s">
        <v>10</v>
      </c>
      <c r="G15" s="10">
        <v>88973</v>
      </c>
      <c r="H15" s="12"/>
      <c r="I15" s="13"/>
    </row>
    <row r="16" spans="1:9">
      <c r="A16">
        <v>2021</v>
      </c>
      <c r="B16" s="9" t="s">
        <v>11</v>
      </c>
      <c r="C16" s="10">
        <v>22333</v>
      </c>
      <c r="D16" s="10"/>
      <c r="E16" s="27">
        <v>2020</v>
      </c>
      <c r="F16" s="9" t="s">
        <v>11</v>
      </c>
      <c r="G16" s="10">
        <v>29679</v>
      </c>
      <c r="H16" s="12"/>
      <c r="I16" s="13"/>
    </row>
    <row r="17" spans="1:9">
      <c r="A17">
        <v>2021</v>
      </c>
      <c r="B17" s="9" t="s">
        <v>12</v>
      </c>
      <c r="C17" s="10">
        <v>5108512</v>
      </c>
      <c r="D17" s="10"/>
      <c r="E17" s="27">
        <v>2020</v>
      </c>
      <c r="F17" s="9" t="s">
        <v>12</v>
      </c>
      <c r="G17" s="10">
        <v>4872213</v>
      </c>
      <c r="H17" s="12"/>
      <c r="I17" s="13"/>
    </row>
    <row r="18" spans="1:9">
      <c r="A18">
        <v>2021</v>
      </c>
      <c r="B18" s="9" t="s">
        <v>13</v>
      </c>
      <c r="C18" s="10">
        <v>1205240</v>
      </c>
      <c r="D18" s="10"/>
      <c r="E18" s="27">
        <v>2020</v>
      </c>
      <c r="F18" s="9" t="s">
        <v>13</v>
      </c>
      <c r="G18" s="10">
        <v>1186092</v>
      </c>
      <c r="H18" s="12"/>
      <c r="I18" s="13"/>
    </row>
    <row r="19" spans="1:9">
      <c r="A19">
        <v>2021</v>
      </c>
      <c r="B19" s="9" t="s">
        <v>14</v>
      </c>
      <c r="C19" s="10">
        <v>5962</v>
      </c>
      <c r="D19" s="10"/>
      <c r="E19" s="27">
        <v>2020</v>
      </c>
      <c r="F19" s="9" t="s">
        <v>14</v>
      </c>
      <c r="G19" s="10">
        <v>5962</v>
      </c>
      <c r="H19" s="12"/>
      <c r="I19" s="13"/>
    </row>
    <row r="20" spans="1:9">
      <c r="A20">
        <v>2021</v>
      </c>
      <c r="B20" s="9" t="s">
        <v>423</v>
      </c>
      <c r="C20" s="10">
        <v>1074225</v>
      </c>
      <c r="D20" s="10"/>
      <c r="E20" s="27">
        <v>2020</v>
      </c>
      <c r="F20" s="9" t="s">
        <v>423</v>
      </c>
      <c r="G20" s="10">
        <v>1048292</v>
      </c>
      <c r="H20" s="12"/>
      <c r="I20" s="13"/>
    </row>
    <row r="21" spans="1:9">
      <c r="A21">
        <v>2021</v>
      </c>
      <c r="B21" s="9" t="s">
        <v>15</v>
      </c>
      <c r="C21" s="10">
        <v>30437</v>
      </c>
      <c r="D21" s="10"/>
      <c r="E21" s="27">
        <v>2020</v>
      </c>
      <c r="F21" s="9" t="s">
        <v>15</v>
      </c>
      <c r="G21" s="10">
        <v>29135</v>
      </c>
      <c r="H21" s="12"/>
      <c r="I21" s="13"/>
    </row>
    <row r="22" spans="1:9">
      <c r="A22">
        <v>2021</v>
      </c>
      <c r="B22" s="9" t="s">
        <v>16</v>
      </c>
      <c r="C22" s="10">
        <v>73553</v>
      </c>
      <c r="D22" s="10"/>
      <c r="E22" s="27">
        <v>2020</v>
      </c>
      <c r="F22" s="9" t="s">
        <v>16</v>
      </c>
      <c r="G22" s="10">
        <v>71172</v>
      </c>
      <c r="H22" s="12"/>
      <c r="I22" s="13"/>
    </row>
    <row r="23" spans="1:9">
      <c r="A23">
        <v>2021</v>
      </c>
      <c r="B23" s="9" t="s">
        <v>17</v>
      </c>
      <c r="C23" s="10">
        <v>256747</v>
      </c>
      <c r="D23" s="10"/>
      <c r="E23" s="27">
        <v>2020</v>
      </c>
      <c r="F23" s="9" t="s">
        <v>17</v>
      </c>
      <c r="G23" s="10">
        <v>227935</v>
      </c>
      <c r="H23" s="12"/>
      <c r="I23" s="13"/>
    </row>
    <row r="24" spans="1:9">
      <c r="A24">
        <v>2021</v>
      </c>
      <c r="B24" s="9" t="s">
        <v>18</v>
      </c>
      <c r="C24" s="10">
        <v>2239284</v>
      </c>
      <c r="D24" s="10"/>
      <c r="E24" s="27">
        <v>2020</v>
      </c>
      <c r="F24" s="9" t="s">
        <v>18</v>
      </c>
      <c r="G24" s="10">
        <v>2174309</v>
      </c>
      <c r="H24" s="12"/>
      <c r="I24" s="13"/>
    </row>
    <row r="25" spans="1:9">
      <c r="A25">
        <v>2021</v>
      </c>
      <c r="B25" s="9" t="s">
        <v>19</v>
      </c>
      <c r="C25" s="10">
        <v>388045</v>
      </c>
      <c r="D25" s="10"/>
      <c r="E25" s="27">
        <v>2020</v>
      </c>
      <c r="F25" s="9" t="s">
        <v>19</v>
      </c>
      <c r="G25" s="10">
        <v>367973</v>
      </c>
      <c r="H25" s="12"/>
      <c r="I25" s="13"/>
    </row>
    <row r="26" spans="1:9">
      <c r="A26">
        <v>2021</v>
      </c>
      <c r="B26" s="9" t="s">
        <v>20</v>
      </c>
      <c r="C26" s="10">
        <v>7308</v>
      </c>
      <c r="D26" s="10"/>
      <c r="E26" s="27">
        <v>2020</v>
      </c>
      <c r="F26" s="9" t="s">
        <v>20</v>
      </c>
      <c r="G26" s="10">
        <v>9017</v>
      </c>
      <c r="H26" s="12"/>
      <c r="I26" s="13"/>
    </row>
    <row r="27" spans="1:9">
      <c r="A27">
        <v>2021</v>
      </c>
      <c r="B27" s="9" t="s">
        <v>21</v>
      </c>
      <c r="C27" s="10">
        <v>658806</v>
      </c>
      <c r="D27" s="10"/>
      <c r="E27" s="27">
        <v>2020</v>
      </c>
      <c r="F27" s="9" t="s">
        <v>21</v>
      </c>
      <c r="G27" s="10">
        <v>639490</v>
      </c>
      <c r="H27" s="12"/>
      <c r="I27" s="13"/>
    </row>
    <row r="28" spans="1:9">
      <c r="A28">
        <v>2021</v>
      </c>
      <c r="B28" s="9" t="s">
        <v>22</v>
      </c>
      <c r="C28" s="10">
        <v>434085</v>
      </c>
      <c r="D28" s="10"/>
      <c r="E28" s="27">
        <v>2020</v>
      </c>
      <c r="F28" s="9" t="s">
        <v>22</v>
      </c>
      <c r="G28" s="10">
        <v>443423</v>
      </c>
      <c r="H28" s="12"/>
      <c r="I28" s="13"/>
    </row>
    <row r="29" spans="1:9">
      <c r="A29">
        <v>2021</v>
      </c>
      <c r="B29" s="9" t="s">
        <v>424</v>
      </c>
      <c r="E29" s="27">
        <v>2020</v>
      </c>
      <c r="F29" s="9" t="s">
        <v>424</v>
      </c>
      <c r="H29" s="12"/>
      <c r="I29" s="11"/>
    </row>
    <row r="30" spans="1:9">
      <c r="A30">
        <v>2021</v>
      </c>
      <c r="B30" s="9" t="s">
        <v>23</v>
      </c>
      <c r="C30" s="10">
        <v>354192</v>
      </c>
      <c r="D30" s="10"/>
      <c r="E30" s="27">
        <v>2020</v>
      </c>
      <c r="F30" s="9" t="s">
        <v>23</v>
      </c>
      <c r="G30" s="10">
        <v>347852</v>
      </c>
      <c r="H30" s="12"/>
      <c r="I30" s="13"/>
    </row>
    <row r="31" spans="1:9">
      <c r="A31">
        <v>2021</v>
      </c>
      <c r="B31" s="9" t="s">
        <v>24</v>
      </c>
      <c r="C31" s="10">
        <v>1452826</v>
      </c>
      <c r="D31" s="10"/>
      <c r="E31" s="27">
        <v>2020</v>
      </c>
      <c r="F31" s="9" t="s">
        <v>24</v>
      </c>
      <c r="G31" s="10">
        <v>1390041</v>
      </c>
      <c r="H31" s="12"/>
      <c r="I31" s="13"/>
    </row>
    <row r="32" spans="1:9">
      <c r="A32">
        <v>2021</v>
      </c>
      <c r="B32" s="9" t="s">
        <v>25</v>
      </c>
      <c r="C32" s="10">
        <v>14841</v>
      </c>
      <c r="D32" s="10"/>
      <c r="E32" s="27">
        <v>2020</v>
      </c>
      <c r="F32" s="9" t="s">
        <v>25</v>
      </c>
      <c r="G32" s="10">
        <v>14216</v>
      </c>
      <c r="H32" s="12"/>
      <c r="I32" s="13"/>
    </row>
    <row r="33" spans="1:9">
      <c r="A33">
        <v>2021</v>
      </c>
      <c r="B33" s="9" t="s">
        <v>26</v>
      </c>
      <c r="C33" s="10">
        <v>19134</v>
      </c>
      <c r="D33" s="10"/>
      <c r="E33" s="27">
        <v>2020</v>
      </c>
      <c r="F33" s="9" t="s">
        <v>26</v>
      </c>
      <c r="G33" s="10">
        <v>22915</v>
      </c>
      <c r="H33" s="12"/>
      <c r="I33" s="13"/>
    </row>
    <row r="34" spans="1:9">
      <c r="A34">
        <v>2021</v>
      </c>
      <c r="B34" s="9" t="s">
        <v>27</v>
      </c>
      <c r="C34" s="10">
        <v>1935855</v>
      </c>
      <c r="D34" s="10"/>
      <c r="E34" s="27">
        <v>2020</v>
      </c>
      <c r="F34" s="9" t="s">
        <v>27</v>
      </c>
      <c r="G34" s="10">
        <v>1887585</v>
      </c>
      <c r="H34" s="12"/>
      <c r="I34" s="13"/>
    </row>
    <row r="35" spans="1:9">
      <c r="A35">
        <v>2021</v>
      </c>
      <c r="B35" s="9" t="s">
        <v>28</v>
      </c>
      <c r="C35" s="10">
        <v>572543</v>
      </c>
      <c r="D35" s="10"/>
      <c r="E35" s="27">
        <v>2020</v>
      </c>
      <c r="F35" s="9" t="s">
        <v>28</v>
      </c>
      <c r="G35" s="10">
        <v>539186</v>
      </c>
      <c r="H35" s="12"/>
      <c r="I35" s="13"/>
    </row>
    <row r="36" spans="1:9">
      <c r="A36">
        <v>2021</v>
      </c>
      <c r="B36" s="9" t="s">
        <v>29</v>
      </c>
      <c r="C36" s="10">
        <v>344744</v>
      </c>
      <c r="D36" s="10"/>
      <c r="E36" s="27">
        <v>2020</v>
      </c>
      <c r="F36" s="9" t="s">
        <v>29</v>
      </c>
      <c r="G36" s="10">
        <v>342536</v>
      </c>
      <c r="H36" s="12"/>
      <c r="I36" s="13"/>
    </row>
    <row r="37" spans="1:9">
      <c r="A37">
        <v>2021</v>
      </c>
      <c r="B37" s="9" t="s">
        <v>30</v>
      </c>
      <c r="C37" s="10">
        <v>301915</v>
      </c>
      <c r="D37" s="10"/>
      <c r="E37" s="27">
        <v>2020</v>
      </c>
      <c r="F37" s="9" t="s">
        <v>30</v>
      </c>
      <c r="G37" s="10">
        <v>303555</v>
      </c>
      <c r="H37" s="12"/>
      <c r="I37" s="13"/>
    </row>
    <row r="38" spans="1:9">
      <c r="A38">
        <v>2021</v>
      </c>
      <c r="B38" s="9" t="s">
        <v>32</v>
      </c>
      <c r="C38" s="10">
        <v>1048187</v>
      </c>
      <c r="D38" s="10"/>
      <c r="E38" s="27">
        <v>2020</v>
      </c>
      <c r="F38" s="9" t="s">
        <v>32</v>
      </c>
      <c r="G38" s="10">
        <v>1017901</v>
      </c>
      <c r="H38" s="12"/>
      <c r="I38" s="13"/>
    </row>
    <row r="39" spans="1:9">
      <c r="A39">
        <v>2021</v>
      </c>
      <c r="B39" s="9" t="s">
        <v>33</v>
      </c>
      <c r="C39" s="10">
        <v>6100373</v>
      </c>
      <c r="D39" s="10"/>
      <c r="E39" s="27">
        <v>2020</v>
      </c>
      <c r="F39" s="9" t="s">
        <v>33</v>
      </c>
      <c r="G39" s="10">
        <v>5616819</v>
      </c>
      <c r="H39" s="12"/>
      <c r="I39" s="13"/>
    </row>
    <row r="40" spans="1:9">
      <c r="A40">
        <v>2021</v>
      </c>
      <c r="B40" s="9" t="s">
        <v>34</v>
      </c>
      <c r="C40" s="10">
        <v>7520055</v>
      </c>
      <c r="D40" s="10"/>
      <c r="E40" s="27">
        <v>2020</v>
      </c>
      <c r="F40" s="9" t="s">
        <v>34</v>
      </c>
      <c r="G40" s="10">
        <v>7208430</v>
      </c>
      <c r="H40" s="12"/>
      <c r="I40" s="13"/>
    </row>
    <row r="41" spans="1:9">
      <c r="A41">
        <v>2021</v>
      </c>
      <c r="B41" s="9" t="s">
        <v>35</v>
      </c>
      <c r="C41" s="10">
        <v>936214</v>
      </c>
      <c r="D41" s="10"/>
      <c r="E41" s="27">
        <v>2020</v>
      </c>
      <c r="F41" s="9" t="s">
        <v>35</v>
      </c>
      <c r="G41" s="10">
        <v>877083</v>
      </c>
      <c r="H41" s="12"/>
      <c r="I41" s="13"/>
    </row>
    <row r="42" spans="1:9">
      <c r="A42">
        <v>2021</v>
      </c>
      <c r="B42" s="9" t="s">
        <v>36</v>
      </c>
      <c r="C42" s="10">
        <v>3143136</v>
      </c>
      <c r="D42" s="10"/>
      <c r="E42" s="27">
        <v>2020</v>
      </c>
      <c r="F42" s="9" t="s">
        <v>36</v>
      </c>
      <c r="G42" s="10">
        <v>3049124</v>
      </c>
      <c r="H42" s="12"/>
      <c r="I42" s="13"/>
    </row>
    <row r="43" spans="1:9">
      <c r="A43">
        <v>2021</v>
      </c>
      <c r="B43" s="9" t="s">
        <v>37</v>
      </c>
      <c r="C43" s="10">
        <v>2219525</v>
      </c>
      <c r="D43" s="10"/>
      <c r="E43" s="27">
        <v>2020</v>
      </c>
      <c r="F43" s="9" t="s">
        <v>37</v>
      </c>
      <c r="G43" s="10">
        <v>2020953</v>
      </c>
      <c r="H43" s="12"/>
      <c r="I43" s="13"/>
    </row>
    <row r="44" spans="1:9">
      <c r="A44">
        <v>2021</v>
      </c>
      <c r="B44" s="9" t="s">
        <v>38</v>
      </c>
      <c r="C44" s="10">
        <v>2341483</v>
      </c>
      <c r="D44" s="10"/>
      <c r="E44" s="27">
        <v>2020</v>
      </c>
      <c r="F44" s="9" t="s">
        <v>38</v>
      </c>
      <c r="G44" s="10">
        <v>2185777</v>
      </c>
      <c r="H44" s="12"/>
      <c r="I44" s="13"/>
    </row>
    <row r="45" spans="1:9">
      <c r="A45">
        <v>2021</v>
      </c>
      <c r="B45" s="9" t="s">
        <v>39</v>
      </c>
      <c r="C45" s="10">
        <v>11141213</v>
      </c>
      <c r="D45" s="10"/>
      <c r="E45" s="27">
        <v>2020</v>
      </c>
      <c r="F45" s="9" t="s">
        <v>39</v>
      </c>
      <c r="G45" s="10">
        <v>10793286</v>
      </c>
      <c r="H45" s="12"/>
      <c r="I45" s="13"/>
    </row>
    <row r="46" spans="1:9">
      <c r="A46">
        <v>2021</v>
      </c>
      <c r="B46" s="9" t="s">
        <v>40</v>
      </c>
      <c r="C46" s="10">
        <v>11159733</v>
      </c>
      <c r="D46" s="10"/>
      <c r="E46" s="27">
        <v>2020</v>
      </c>
      <c r="F46" s="9" t="s">
        <v>40</v>
      </c>
      <c r="G46" s="10">
        <v>10238782</v>
      </c>
      <c r="H46" s="12"/>
      <c r="I46" s="13"/>
    </row>
    <row r="47" spans="1:9">
      <c r="A47">
        <v>2021</v>
      </c>
      <c r="B47" s="9" t="s">
        <v>41</v>
      </c>
      <c r="C47" s="10">
        <v>4719503</v>
      </c>
      <c r="D47" s="10"/>
      <c r="E47" s="27">
        <v>2020</v>
      </c>
      <c r="F47" s="9" t="s">
        <v>41</v>
      </c>
      <c r="G47" s="10">
        <v>4465960</v>
      </c>
      <c r="H47" s="12"/>
      <c r="I47" s="13"/>
    </row>
    <row r="48" spans="1:9">
      <c r="A48">
        <v>2021</v>
      </c>
      <c r="B48" s="9" t="s">
        <v>42</v>
      </c>
      <c r="C48" s="10">
        <v>2728477</v>
      </c>
      <c r="D48" s="10"/>
      <c r="E48" s="27">
        <v>2020</v>
      </c>
      <c r="F48" s="9" t="s">
        <v>42</v>
      </c>
      <c r="G48" s="10">
        <v>2610341</v>
      </c>
      <c r="H48" s="12"/>
      <c r="I48" s="13"/>
    </row>
    <row r="49" spans="1:9">
      <c r="A49">
        <v>2021</v>
      </c>
      <c r="B49" s="9" t="s">
        <v>43</v>
      </c>
      <c r="C49" s="10">
        <v>1166277</v>
      </c>
      <c r="D49" s="10"/>
      <c r="E49" s="27">
        <v>2020</v>
      </c>
      <c r="F49" s="9" t="s">
        <v>43</v>
      </c>
      <c r="G49" s="10">
        <v>1079847</v>
      </c>
      <c r="H49" s="12"/>
      <c r="I49" s="13"/>
    </row>
    <row r="50" spans="1:9">
      <c r="A50">
        <v>2021</v>
      </c>
      <c r="B50" s="9" t="s">
        <v>44</v>
      </c>
      <c r="C50" s="10">
        <v>2190506</v>
      </c>
      <c r="D50" s="10"/>
      <c r="E50" s="27">
        <v>2020</v>
      </c>
      <c r="F50" s="9" t="s">
        <v>44</v>
      </c>
      <c r="G50" s="10">
        <v>1997908</v>
      </c>
      <c r="H50" s="12"/>
      <c r="I50" s="13"/>
    </row>
    <row r="51" spans="1:9">
      <c r="A51">
        <v>2021</v>
      </c>
      <c r="B51" s="9" t="s">
        <v>45</v>
      </c>
      <c r="C51" s="10">
        <v>16666</v>
      </c>
      <c r="D51" s="10"/>
      <c r="E51" s="27">
        <v>2020</v>
      </c>
      <c r="F51" s="9" t="s">
        <v>45</v>
      </c>
      <c r="G51" s="10">
        <v>24400</v>
      </c>
      <c r="H51" s="12"/>
      <c r="I51" s="13"/>
    </row>
    <row r="52" spans="1:9">
      <c r="A52">
        <v>2021</v>
      </c>
      <c r="B52" s="9" t="s">
        <v>46</v>
      </c>
      <c r="C52" s="10">
        <v>246507</v>
      </c>
      <c r="D52" s="10"/>
      <c r="E52" s="27">
        <v>2020</v>
      </c>
      <c r="F52" s="9" t="s">
        <v>46</v>
      </c>
      <c r="G52" s="10">
        <v>323652</v>
      </c>
      <c r="H52" s="2"/>
      <c r="I52" s="1"/>
    </row>
    <row r="53" spans="1:9">
      <c r="A53">
        <v>2021</v>
      </c>
      <c r="B53" s="9" t="s">
        <v>47</v>
      </c>
      <c r="C53" s="10">
        <v>4833157</v>
      </c>
      <c r="D53" s="10"/>
      <c r="E53" s="27">
        <v>2020</v>
      </c>
      <c r="F53" s="9" t="s">
        <v>47</v>
      </c>
      <c r="G53" s="10">
        <v>4749061</v>
      </c>
      <c r="H53" s="2"/>
      <c r="I53" s="3"/>
    </row>
    <row r="54" spans="1:9">
      <c r="A54">
        <v>2021</v>
      </c>
      <c r="B54" s="9" t="s">
        <v>425</v>
      </c>
      <c r="E54" s="27">
        <v>2020</v>
      </c>
      <c r="F54" s="9" t="s">
        <v>425</v>
      </c>
      <c r="H54" s="2"/>
      <c r="I54" s="1"/>
    </row>
    <row r="55" spans="1:9">
      <c r="A55">
        <v>2021</v>
      </c>
      <c r="B55" s="9" t="s">
        <v>48</v>
      </c>
      <c r="C55" s="10">
        <v>6298991</v>
      </c>
      <c r="D55" s="10"/>
      <c r="E55" s="27">
        <v>2020</v>
      </c>
      <c r="F55" s="9" t="s">
        <v>48</v>
      </c>
      <c r="G55" s="10">
        <v>5988664</v>
      </c>
      <c r="H55" s="2"/>
      <c r="I55" s="3"/>
    </row>
    <row r="56" spans="1:9">
      <c r="A56">
        <v>2021</v>
      </c>
      <c r="B56" s="9" t="s">
        <v>49</v>
      </c>
      <c r="C56" s="10">
        <v>3523970</v>
      </c>
      <c r="D56" s="10"/>
      <c r="E56" s="27">
        <v>2020</v>
      </c>
      <c r="F56" s="9" t="s">
        <v>49</v>
      </c>
      <c r="G56" s="10">
        <v>3274588</v>
      </c>
      <c r="H56" s="2"/>
      <c r="I56" s="3"/>
    </row>
    <row r="57" spans="1:9">
      <c r="A57">
        <v>2021</v>
      </c>
      <c r="B57" s="9" t="s">
        <v>50</v>
      </c>
      <c r="C57" s="10">
        <v>2111056</v>
      </c>
      <c r="D57" s="10"/>
      <c r="E57" s="27">
        <v>2020</v>
      </c>
      <c r="F57" s="9" t="s">
        <v>50</v>
      </c>
      <c r="G57" s="10">
        <v>1989361</v>
      </c>
      <c r="H57" s="2"/>
      <c r="I57" s="3"/>
    </row>
    <row r="58" spans="1:9">
      <c r="A58">
        <v>2021</v>
      </c>
      <c r="B58" s="9" t="s">
        <v>51</v>
      </c>
      <c r="C58" s="10">
        <v>133203</v>
      </c>
      <c r="D58" s="10"/>
      <c r="E58" s="27">
        <v>2020</v>
      </c>
      <c r="F58" s="9" t="s">
        <v>51</v>
      </c>
      <c r="G58" s="10">
        <v>129520</v>
      </c>
      <c r="H58" s="2"/>
      <c r="I58" s="3"/>
    </row>
    <row r="59" spans="1:9">
      <c r="A59">
        <v>2021</v>
      </c>
      <c r="B59" s="9" t="s">
        <v>52</v>
      </c>
      <c r="C59" s="10">
        <v>4341</v>
      </c>
      <c r="D59" s="10"/>
      <c r="E59" s="27">
        <v>2020</v>
      </c>
      <c r="F59" s="9" t="s">
        <v>52</v>
      </c>
      <c r="G59" s="10">
        <v>4248</v>
      </c>
      <c r="H59" s="2"/>
      <c r="I59" s="3"/>
    </row>
    <row r="60" spans="1:9">
      <c r="A60">
        <v>2021</v>
      </c>
      <c r="B60" s="9" t="s">
        <v>53</v>
      </c>
      <c r="C60" s="10">
        <v>829953</v>
      </c>
      <c r="D60" s="10"/>
      <c r="E60" s="27">
        <v>2020</v>
      </c>
      <c r="F60" s="9" t="s">
        <v>53</v>
      </c>
      <c r="G60" s="10">
        <v>838455</v>
      </c>
      <c r="H60" s="2"/>
      <c r="I60" s="3"/>
    </row>
    <row r="61" spans="1:9">
      <c r="A61">
        <v>2021</v>
      </c>
      <c r="B61" s="9" t="s">
        <v>54</v>
      </c>
      <c r="C61" s="10">
        <v>380591</v>
      </c>
      <c r="D61" s="10"/>
      <c r="E61" s="27">
        <v>2020</v>
      </c>
      <c r="F61" s="9" t="s">
        <v>54</v>
      </c>
      <c r="G61" s="10">
        <v>340048</v>
      </c>
      <c r="H61" s="2"/>
      <c r="I61" s="3"/>
    </row>
    <row r="62" spans="1:9">
      <c r="A62">
        <v>2021</v>
      </c>
      <c r="B62" s="9" t="s">
        <v>55</v>
      </c>
      <c r="C62" s="10">
        <v>175426</v>
      </c>
      <c r="D62" s="10"/>
      <c r="E62" s="27">
        <v>2020</v>
      </c>
      <c r="F62" s="9" t="s">
        <v>55</v>
      </c>
      <c r="G62" s="10">
        <v>143590</v>
      </c>
      <c r="H62" s="2"/>
      <c r="I62" s="3"/>
    </row>
    <row r="63" spans="1:9">
      <c r="A63">
        <v>2021</v>
      </c>
      <c r="B63" s="9" t="s">
        <v>56</v>
      </c>
      <c r="C63" s="10">
        <v>4199670</v>
      </c>
      <c r="D63" s="10"/>
      <c r="E63" s="27">
        <v>2020</v>
      </c>
      <c r="F63" s="9" t="s">
        <v>56</v>
      </c>
      <c r="G63" s="10">
        <v>4186114</v>
      </c>
      <c r="H63" s="2"/>
      <c r="I63" s="3"/>
    </row>
    <row r="64" spans="1:9">
      <c r="A64">
        <v>2021</v>
      </c>
      <c r="B64" s="9" t="s">
        <v>57</v>
      </c>
      <c r="C64" s="10">
        <v>24406</v>
      </c>
      <c r="D64" s="10"/>
      <c r="E64" s="27">
        <v>2020</v>
      </c>
      <c r="F64" s="9" t="s">
        <v>57</v>
      </c>
      <c r="G64" s="10">
        <v>21554</v>
      </c>
      <c r="H64" s="2"/>
      <c r="I64" s="3"/>
    </row>
    <row r="65" spans="1:9">
      <c r="A65">
        <v>2021</v>
      </c>
      <c r="B65" s="9" t="s">
        <v>58</v>
      </c>
      <c r="C65" s="10">
        <v>599853</v>
      </c>
      <c r="D65" s="10"/>
      <c r="E65" s="27">
        <v>2020</v>
      </c>
      <c r="F65" s="9" t="s">
        <v>58</v>
      </c>
      <c r="G65" s="10">
        <v>579544</v>
      </c>
      <c r="H65" s="2"/>
      <c r="I65" s="3"/>
    </row>
    <row r="66" spans="1:9">
      <c r="A66">
        <v>2021</v>
      </c>
      <c r="B66" s="9" t="s">
        <v>59</v>
      </c>
      <c r="C66" s="10">
        <v>4142794</v>
      </c>
      <c r="D66" s="10"/>
      <c r="E66" s="27">
        <v>2020</v>
      </c>
      <c r="F66" s="9" t="s">
        <v>59</v>
      </c>
      <c r="G66" s="10">
        <v>4030800</v>
      </c>
      <c r="H66" s="2"/>
      <c r="I66" s="3"/>
    </row>
    <row r="67" spans="1:9">
      <c r="A67">
        <v>2021</v>
      </c>
      <c r="B67" s="9" t="s">
        <v>60</v>
      </c>
      <c r="C67" s="10">
        <v>4700</v>
      </c>
      <c r="D67" s="10"/>
      <c r="E67" s="27">
        <v>2020</v>
      </c>
      <c r="F67" s="9" t="s">
        <v>60</v>
      </c>
      <c r="G67" s="10">
        <v>4790</v>
      </c>
      <c r="H67" s="2"/>
      <c r="I67" s="3"/>
    </row>
    <row r="68" spans="1:9">
      <c r="A68">
        <v>2021</v>
      </c>
      <c r="B68" s="9" t="s">
        <v>61</v>
      </c>
      <c r="C68" s="10">
        <v>145734</v>
      </c>
      <c r="D68" s="10"/>
      <c r="E68" s="27">
        <v>2020</v>
      </c>
      <c r="F68" s="9" t="s">
        <v>61</v>
      </c>
      <c r="G68" s="10">
        <v>144271</v>
      </c>
      <c r="H68" s="2"/>
      <c r="I68" s="3"/>
    </row>
    <row r="69" spans="1:9">
      <c r="A69">
        <v>2021</v>
      </c>
      <c r="B69" s="9" t="s">
        <v>62</v>
      </c>
      <c r="C69" s="10">
        <v>1011150</v>
      </c>
      <c r="D69" s="10"/>
      <c r="E69" s="27">
        <v>2020</v>
      </c>
      <c r="F69" s="9" t="s">
        <v>62</v>
      </c>
      <c r="G69" s="10">
        <v>1000365</v>
      </c>
      <c r="H69" s="2"/>
      <c r="I69" s="3"/>
    </row>
    <row r="70" spans="1:9">
      <c r="A70">
        <v>2021</v>
      </c>
      <c r="B70" s="9" t="s">
        <v>63</v>
      </c>
      <c r="C70" s="10">
        <v>244852</v>
      </c>
      <c r="D70" s="10"/>
      <c r="E70" s="27">
        <v>2020</v>
      </c>
      <c r="F70" s="9" t="s">
        <v>63</v>
      </c>
      <c r="G70" s="10">
        <v>223001</v>
      </c>
      <c r="H70" s="2"/>
      <c r="I70" s="3"/>
    </row>
    <row r="71" spans="1:9">
      <c r="A71">
        <v>2021</v>
      </c>
      <c r="B71" s="9" t="s">
        <v>64</v>
      </c>
      <c r="C71" s="10">
        <v>172923</v>
      </c>
      <c r="D71" s="10"/>
      <c r="E71" s="27">
        <v>2020</v>
      </c>
      <c r="F71" s="9" t="s">
        <v>64</v>
      </c>
      <c r="G71" s="10">
        <v>202169</v>
      </c>
      <c r="H71" s="2"/>
      <c r="I71" s="3"/>
    </row>
    <row r="72" spans="1:9">
      <c r="A72">
        <v>2021</v>
      </c>
      <c r="B72" s="9" t="s">
        <v>65</v>
      </c>
      <c r="C72" s="10">
        <v>1298737</v>
      </c>
      <c r="D72" s="10"/>
      <c r="E72" s="27">
        <v>2020</v>
      </c>
      <c r="F72" s="9" t="s">
        <v>65</v>
      </c>
      <c r="G72" s="10">
        <v>1234565</v>
      </c>
      <c r="H72" s="2"/>
      <c r="I72" s="3"/>
    </row>
    <row r="73" spans="1:9">
      <c r="A73">
        <v>2021</v>
      </c>
      <c r="B73" s="9" t="s">
        <v>66</v>
      </c>
      <c r="C73" s="10">
        <v>449357</v>
      </c>
      <c r="D73" s="10"/>
      <c r="E73" s="27">
        <v>2020</v>
      </c>
      <c r="F73" s="9" t="s">
        <v>66</v>
      </c>
      <c r="G73" s="10">
        <v>441934</v>
      </c>
      <c r="H73" s="2"/>
      <c r="I73" s="3"/>
    </row>
    <row r="74" spans="1:9">
      <c r="A74">
        <v>2021</v>
      </c>
      <c r="B74" s="9" t="s">
        <v>67</v>
      </c>
      <c r="C74" s="10">
        <v>22750</v>
      </c>
      <c r="D74" s="10"/>
      <c r="E74" s="27">
        <v>2020</v>
      </c>
      <c r="F74" s="9" t="s">
        <v>67</v>
      </c>
      <c r="G74" s="10">
        <v>24628</v>
      </c>
      <c r="H74" s="2"/>
      <c r="I74" s="3"/>
    </row>
    <row r="75" spans="1:9">
      <c r="A75">
        <v>2021</v>
      </c>
      <c r="B75" s="9" t="s">
        <v>68</v>
      </c>
      <c r="C75" s="10">
        <v>4262776</v>
      </c>
      <c r="D75" s="10"/>
      <c r="E75" s="27">
        <v>2020</v>
      </c>
      <c r="F75" s="9" t="s">
        <v>68</v>
      </c>
      <c r="G75" s="10">
        <v>4130891</v>
      </c>
      <c r="H75" s="2"/>
      <c r="I75" s="3"/>
    </row>
    <row r="76" spans="1:9">
      <c r="A76">
        <v>2021</v>
      </c>
      <c r="B76" s="9" t="s">
        <v>69</v>
      </c>
      <c r="C76" s="10">
        <v>1625766</v>
      </c>
      <c r="D76" s="10"/>
      <c r="E76" s="27">
        <v>2020</v>
      </c>
      <c r="F76" s="9" t="s">
        <v>69</v>
      </c>
      <c r="G76" s="10">
        <v>1520748</v>
      </c>
      <c r="H76" s="2"/>
      <c r="I76" s="3"/>
    </row>
    <row r="77" spans="1:9">
      <c r="A77">
        <v>2021</v>
      </c>
      <c r="B77" s="9" t="s">
        <v>70</v>
      </c>
      <c r="C77" s="10">
        <v>2134961</v>
      </c>
      <c r="D77" s="10"/>
      <c r="E77" s="27">
        <v>2020</v>
      </c>
      <c r="F77" s="9" t="s">
        <v>70</v>
      </c>
      <c r="G77" s="10">
        <v>2112295</v>
      </c>
      <c r="H77" s="2"/>
      <c r="I77" s="3"/>
    </row>
    <row r="78" spans="1:9">
      <c r="A78">
        <v>2021</v>
      </c>
      <c r="B78" s="9" t="s">
        <v>71</v>
      </c>
      <c r="C78" s="10">
        <v>1228046</v>
      </c>
      <c r="D78" s="10"/>
      <c r="E78" s="27">
        <v>2020</v>
      </c>
      <c r="F78" s="9" t="s">
        <v>71</v>
      </c>
      <c r="G78" s="10">
        <v>1117790</v>
      </c>
      <c r="H78" s="2"/>
      <c r="I78" s="3"/>
    </row>
    <row r="79" spans="1:9">
      <c r="A79">
        <v>2021</v>
      </c>
      <c r="B79" s="9" t="s">
        <v>72</v>
      </c>
      <c r="C79" s="10">
        <v>1065264</v>
      </c>
      <c r="D79" s="10"/>
      <c r="E79" s="27">
        <v>2020</v>
      </c>
      <c r="F79" s="9" t="s">
        <v>72</v>
      </c>
      <c r="G79" s="10">
        <v>1023368</v>
      </c>
      <c r="H79" s="2"/>
      <c r="I79" s="3"/>
    </row>
    <row r="80" spans="1:9">
      <c r="A80">
        <v>2021</v>
      </c>
      <c r="B80" s="9" t="s">
        <v>73</v>
      </c>
      <c r="C80" s="10">
        <v>101997</v>
      </c>
      <c r="D80" s="10"/>
      <c r="E80" s="27">
        <v>2020</v>
      </c>
      <c r="F80" s="9" t="s">
        <v>73</v>
      </c>
      <c r="G80" s="10">
        <v>111074</v>
      </c>
      <c r="H80" s="2"/>
      <c r="I80" s="3"/>
    </row>
    <row r="81" spans="1:9">
      <c r="A81">
        <v>2021</v>
      </c>
      <c r="B81" s="9" t="s">
        <v>426</v>
      </c>
      <c r="C81" s="10">
        <v>88043</v>
      </c>
      <c r="D81" s="10"/>
      <c r="E81" s="27">
        <v>2020</v>
      </c>
      <c r="F81" s="9" t="s">
        <v>426</v>
      </c>
      <c r="G81" s="10">
        <v>84592</v>
      </c>
      <c r="H81" s="2"/>
      <c r="I81" s="3"/>
    </row>
    <row r="82" spans="1:9">
      <c r="A82">
        <v>2021</v>
      </c>
      <c r="B82" s="9" t="s">
        <v>74</v>
      </c>
      <c r="C82" s="10">
        <v>462944</v>
      </c>
      <c r="D82" s="10"/>
      <c r="E82" s="27">
        <v>2020</v>
      </c>
      <c r="F82" s="9" t="s">
        <v>74</v>
      </c>
      <c r="G82" s="10">
        <v>458708</v>
      </c>
      <c r="H82" s="2"/>
      <c r="I82" s="3"/>
    </row>
    <row r="83" spans="1:9">
      <c r="A83">
        <v>2021</v>
      </c>
      <c r="B83" s="9" t="s">
        <v>75</v>
      </c>
      <c r="C83" s="10">
        <v>1715209</v>
      </c>
      <c r="D83" s="10"/>
      <c r="E83" s="27">
        <v>2020</v>
      </c>
      <c r="F83" s="9" t="s">
        <v>75</v>
      </c>
      <c r="G83" s="10">
        <v>1708665</v>
      </c>
      <c r="H83" s="2"/>
      <c r="I83" s="3"/>
    </row>
    <row r="84" spans="1:9">
      <c r="A84">
        <v>2021</v>
      </c>
      <c r="B84" s="9" t="s">
        <v>76</v>
      </c>
      <c r="C84" s="10">
        <v>566787</v>
      </c>
      <c r="D84" s="10"/>
      <c r="E84" s="27">
        <v>2020</v>
      </c>
      <c r="F84" s="9" t="s">
        <v>76</v>
      </c>
      <c r="G84" s="10">
        <v>494528</v>
      </c>
      <c r="H84" s="2"/>
      <c r="I84" s="3"/>
    </row>
    <row r="85" spans="1:9">
      <c r="A85">
        <v>2021</v>
      </c>
      <c r="B85" s="9" t="s">
        <v>77</v>
      </c>
      <c r="C85" s="10">
        <v>3016978</v>
      </c>
      <c r="D85" s="10"/>
      <c r="E85" s="27">
        <v>2020</v>
      </c>
      <c r="F85" s="9" t="s">
        <v>77</v>
      </c>
      <c r="G85" s="10">
        <v>2934767</v>
      </c>
      <c r="H85" s="2"/>
      <c r="I85" s="3"/>
    </row>
    <row r="86" spans="1:9">
      <c r="A86">
        <v>2021</v>
      </c>
      <c r="B86" s="9" t="s">
        <v>78</v>
      </c>
      <c r="C86" s="10">
        <v>14186</v>
      </c>
      <c r="D86" s="10"/>
      <c r="E86" s="27">
        <v>2020</v>
      </c>
      <c r="F86" s="9" t="s">
        <v>78</v>
      </c>
      <c r="G86" s="10">
        <v>14476</v>
      </c>
      <c r="H86" s="2"/>
      <c r="I86" s="3"/>
    </row>
    <row r="87" spans="1:9">
      <c r="A87">
        <v>2021</v>
      </c>
      <c r="B87" s="9" t="s">
        <v>427</v>
      </c>
      <c r="E87" s="27">
        <v>2020</v>
      </c>
      <c r="F87" s="9" t="s">
        <v>427</v>
      </c>
      <c r="H87" s="2"/>
      <c r="I87" s="1"/>
    </row>
    <row r="88" spans="1:9">
      <c r="A88">
        <v>2021</v>
      </c>
      <c r="B88" s="9" t="s">
        <v>79</v>
      </c>
      <c r="C88" s="10">
        <v>3466513</v>
      </c>
      <c r="D88" s="10"/>
      <c r="E88" s="27">
        <v>2020</v>
      </c>
      <c r="F88" s="9" t="s">
        <v>79</v>
      </c>
      <c r="G88" s="10">
        <v>3314532</v>
      </c>
      <c r="H88" s="2"/>
      <c r="I88" s="3"/>
    </row>
    <row r="89" spans="1:9">
      <c r="A89">
        <v>2021</v>
      </c>
      <c r="B89" s="9" t="s">
        <v>80</v>
      </c>
      <c r="C89" s="10">
        <v>2184792</v>
      </c>
      <c r="D89" s="10"/>
      <c r="E89" s="27">
        <v>2020</v>
      </c>
      <c r="F89" s="9" t="s">
        <v>80</v>
      </c>
      <c r="G89" s="10">
        <v>2160142</v>
      </c>
      <c r="H89" s="2"/>
      <c r="I89" s="3"/>
    </row>
    <row r="90" spans="1:9">
      <c r="A90">
        <v>2021</v>
      </c>
      <c r="B90" s="9" t="s">
        <v>81</v>
      </c>
      <c r="C90" s="10">
        <v>339559</v>
      </c>
      <c r="D90" s="10"/>
      <c r="E90" s="27">
        <v>2020</v>
      </c>
      <c r="F90" s="9" t="s">
        <v>81</v>
      </c>
      <c r="G90" s="10">
        <v>354539</v>
      </c>
      <c r="H90" s="2"/>
      <c r="I90" s="3"/>
    </row>
    <row r="91" spans="1:9">
      <c r="A91">
        <v>2021</v>
      </c>
      <c r="B91" s="9" t="s">
        <v>82</v>
      </c>
      <c r="C91" s="10">
        <v>100273</v>
      </c>
      <c r="D91" s="10"/>
      <c r="E91" s="27">
        <v>2020</v>
      </c>
      <c r="F91" s="9" t="s">
        <v>82</v>
      </c>
      <c r="G91" s="10">
        <v>99079</v>
      </c>
      <c r="H91" s="2"/>
      <c r="I91" s="3"/>
    </row>
    <row r="92" spans="1:9">
      <c r="A92">
        <v>2021</v>
      </c>
      <c r="B92" s="9" t="s">
        <v>83</v>
      </c>
      <c r="C92" s="10">
        <v>535654</v>
      </c>
      <c r="D92" s="10"/>
      <c r="E92" s="27">
        <v>2020</v>
      </c>
      <c r="F92" s="9" t="s">
        <v>83</v>
      </c>
      <c r="G92" s="10">
        <v>480507</v>
      </c>
      <c r="H92" s="2"/>
      <c r="I92" s="3"/>
    </row>
    <row r="93" spans="1:9">
      <c r="A93">
        <v>2021</v>
      </c>
      <c r="B93" s="9" t="s">
        <v>84</v>
      </c>
      <c r="C93" s="10">
        <v>485090</v>
      </c>
      <c r="D93" s="10"/>
      <c r="E93" s="27">
        <v>2020</v>
      </c>
      <c r="F93" s="9" t="s">
        <v>84</v>
      </c>
      <c r="G93" s="10">
        <v>457202</v>
      </c>
      <c r="H93" s="2"/>
      <c r="I93" s="3"/>
    </row>
    <row r="94" spans="1:9">
      <c r="A94">
        <v>2021</v>
      </c>
      <c r="B94" s="9" t="s">
        <v>85</v>
      </c>
      <c r="C94" s="10">
        <v>1321128</v>
      </c>
      <c r="D94" s="10"/>
      <c r="E94" s="27">
        <v>2020</v>
      </c>
      <c r="F94" s="9" t="s">
        <v>85</v>
      </c>
      <c r="G94" s="10">
        <v>1233889</v>
      </c>
      <c r="H94" s="2"/>
      <c r="I94" s="3"/>
    </row>
    <row r="95" spans="1:9">
      <c r="A95">
        <v>2021</v>
      </c>
      <c r="B95" s="9" t="s">
        <v>86</v>
      </c>
      <c r="C95" s="10">
        <v>451526</v>
      </c>
      <c r="D95" s="10"/>
      <c r="E95" s="27">
        <v>2020</v>
      </c>
      <c r="F95" s="9" t="s">
        <v>86</v>
      </c>
      <c r="G95" s="10">
        <v>446272</v>
      </c>
      <c r="H95" s="2"/>
      <c r="I95" s="3"/>
    </row>
    <row r="96" spans="1:9">
      <c r="A96">
        <v>2021</v>
      </c>
      <c r="B96" s="9" t="s">
        <v>87</v>
      </c>
      <c r="C96" s="10">
        <v>1601759</v>
      </c>
      <c r="D96" s="10"/>
      <c r="E96" s="27">
        <v>2020</v>
      </c>
      <c r="F96" s="9" t="s">
        <v>87</v>
      </c>
      <c r="G96" s="10">
        <v>1634330</v>
      </c>
      <c r="H96" s="2"/>
      <c r="I96" s="3"/>
    </row>
    <row r="97" spans="1:9">
      <c r="A97">
        <v>2021</v>
      </c>
      <c r="B97" s="9" t="s">
        <v>88</v>
      </c>
      <c r="C97" s="10">
        <v>778805</v>
      </c>
      <c r="D97" s="10"/>
      <c r="E97" s="27">
        <v>2020</v>
      </c>
      <c r="F97" s="9" t="s">
        <v>88</v>
      </c>
      <c r="G97" s="10">
        <v>789328</v>
      </c>
      <c r="H97" s="2"/>
      <c r="I97" s="3"/>
    </row>
    <row r="98" spans="1:9">
      <c r="A98">
        <v>2021</v>
      </c>
      <c r="B98" s="9" t="s">
        <v>89</v>
      </c>
      <c r="C98" s="10">
        <v>76276</v>
      </c>
      <c r="D98" s="10"/>
      <c r="E98" s="27">
        <v>2020</v>
      </c>
      <c r="F98" s="9" t="s">
        <v>89</v>
      </c>
      <c r="G98" s="10">
        <v>75552</v>
      </c>
      <c r="H98" s="2"/>
      <c r="I98" s="3"/>
    </row>
    <row r="99" spans="1:9">
      <c r="A99">
        <v>2021</v>
      </c>
      <c r="B99" s="9" t="s">
        <v>90</v>
      </c>
      <c r="C99" s="10">
        <v>856700</v>
      </c>
      <c r="D99" s="10"/>
      <c r="E99" s="27">
        <v>2020</v>
      </c>
      <c r="F99" s="9" t="s">
        <v>90</v>
      </c>
      <c r="G99" s="10">
        <v>831716</v>
      </c>
      <c r="H99" s="2"/>
      <c r="I99" s="3"/>
    </row>
    <row r="100" spans="1:9">
      <c r="A100">
        <v>2021</v>
      </c>
      <c r="B100" s="9" t="s">
        <v>91</v>
      </c>
      <c r="C100" s="10">
        <v>506158</v>
      </c>
      <c r="D100" s="10"/>
      <c r="E100" s="27">
        <v>2020</v>
      </c>
      <c r="F100" s="9" t="s">
        <v>91</v>
      </c>
      <c r="G100" s="10">
        <v>493086</v>
      </c>
      <c r="H100" s="2"/>
      <c r="I100" s="3"/>
    </row>
    <row r="101" spans="1:9">
      <c r="A101">
        <v>2021</v>
      </c>
      <c r="B101" s="9" t="s">
        <v>92</v>
      </c>
      <c r="C101" s="10">
        <v>67935</v>
      </c>
      <c r="D101" s="10"/>
      <c r="E101" s="27">
        <v>2020</v>
      </c>
      <c r="F101" s="9" t="s">
        <v>92</v>
      </c>
      <c r="G101" s="10">
        <v>65602</v>
      </c>
      <c r="H101" s="2"/>
      <c r="I101" s="3"/>
    </row>
    <row r="102" spans="1:9">
      <c r="A102">
        <v>2021</v>
      </c>
      <c r="B102" s="9" t="s">
        <v>428</v>
      </c>
      <c r="C102" s="10">
        <v>1580689</v>
      </c>
      <c r="D102" s="10"/>
      <c r="E102" s="27">
        <v>2020</v>
      </c>
      <c r="F102" s="9" t="s">
        <v>428</v>
      </c>
      <c r="G102" s="10">
        <v>1554022</v>
      </c>
      <c r="H102" s="12"/>
      <c r="I102" s="11"/>
    </row>
    <row r="103" spans="1:9">
      <c r="A103">
        <v>2021</v>
      </c>
      <c r="B103" s="9" t="s">
        <v>429</v>
      </c>
      <c r="C103" s="10">
        <v>4079960</v>
      </c>
      <c r="D103" s="10"/>
      <c r="E103" s="27">
        <v>2020</v>
      </c>
      <c r="F103" s="9" t="s">
        <v>429</v>
      </c>
      <c r="G103" s="10">
        <v>3956572</v>
      </c>
      <c r="H103" s="12"/>
      <c r="I103" s="13"/>
    </row>
    <row r="104" spans="1:9">
      <c r="A104">
        <v>2021</v>
      </c>
      <c r="B104" s="9" t="s">
        <v>430</v>
      </c>
      <c r="C104" s="10">
        <v>862477</v>
      </c>
      <c r="D104" s="10"/>
      <c r="E104" s="27">
        <v>2020</v>
      </c>
      <c r="F104" s="9" t="s">
        <v>430</v>
      </c>
      <c r="G104" s="10">
        <v>808548</v>
      </c>
      <c r="H104" s="12"/>
      <c r="I104" s="13"/>
    </row>
    <row r="105" spans="1:9">
      <c r="A105">
        <v>2021</v>
      </c>
      <c r="B105" s="9" t="s">
        <v>431</v>
      </c>
      <c r="C105" s="10">
        <v>293497</v>
      </c>
      <c r="D105" s="10"/>
      <c r="E105" s="27">
        <v>2020</v>
      </c>
      <c r="F105" s="9" t="s">
        <v>431</v>
      </c>
      <c r="G105" s="10">
        <v>272500</v>
      </c>
      <c r="H105" s="12"/>
      <c r="I105" s="13"/>
    </row>
    <row r="106" spans="1:9">
      <c r="A106">
        <v>2021</v>
      </c>
      <c r="B106" s="9" t="s">
        <v>432</v>
      </c>
      <c r="C106" s="10">
        <v>934802</v>
      </c>
      <c r="D106" s="10"/>
      <c r="E106" s="27">
        <v>2020</v>
      </c>
      <c r="F106" s="9" t="s">
        <v>432</v>
      </c>
      <c r="G106" s="10">
        <v>923117</v>
      </c>
      <c r="H106" s="12"/>
      <c r="I106" s="13"/>
    </row>
    <row r="107" spans="1:9">
      <c r="A107">
        <v>2021</v>
      </c>
      <c r="B107" s="9" t="s">
        <v>433</v>
      </c>
      <c r="C107" s="10">
        <v>1569160</v>
      </c>
      <c r="D107" s="10"/>
      <c r="E107" s="27">
        <v>2020</v>
      </c>
      <c r="F107" s="9" t="s">
        <v>433</v>
      </c>
      <c r="G107" s="10">
        <v>1533521</v>
      </c>
      <c r="H107" s="12"/>
      <c r="I107" s="13"/>
    </row>
    <row r="108" spans="1:9">
      <c r="A108">
        <v>2021</v>
      </c>
      <c r="B108" s="9" t="s">
        <v>434</v>
      </c>
      <c r="C108" s="10">
        <v>39433</v>
      </c>
      <c r="D108" s="10"/>
      <c r="E108" s="27">
        <v>2020</v>
      </c>
      <c r="F108" s="9" t="s">
        <v>434</v>
      </c>
      <c r="G108" s="10">
        <v>38619</v>
      </c>
      <c r="H108" s="12"/>
      <c r="I108" s="13"/>
    </row>
    <row r="109" spans="1:9">
      <c r="A109">
        <v>2021</v>
      </c>
      <c r="B109" s="9" t="s">
        <v>435</v>
      </c>
      <c r="C109" s="10">
        <v>1362492</v>
      </c>
      <c r="D109" s="10"/>
      <c r="E109" s="27">
        <v>2020</v>
      </c>
      <c r="F109" s="9" t="s">
        <v>435</v>
      </c>
      <c r="G109" s="10">
        <v>1363517</v>
      </c>
      <c r="H109" s="12"/>
      <c r="I109" s="13"/>
    </row>
    <row r="110" spans="1:9">
      <c r="A110">
        <v>2021</v>
      </c>
      <c r="B110" s="9" t="s">
        <v>436</v>
      </c>
      <c r="C110" s="10">
        <v>44484</v>
      </c>
      <c r="D110" s="10"/>
      <c r="E110" s="27">
        <v>2020</v>
      </c>
      <c r="F110" s="9" t="s">
        <v>436</v>
      </c>
      <c r="G110" s="10">
        <v>44685</v>
      </c>
      <c r="H110" s="12"/>
      <c r="I110" s="13"/>
    </row>
    <row r="111" spans="1:9">
      <c r="A111">
        <v>2021</v>
      </c>
      <c r="B111" s="9" t="s">
        <v>437</v>
      </c>
      <c r="C111" s="10">
        <v>38556</v>
      </c>
      <c r="D111" s="10"/>
      <c r="E111" s="27">
        <v>2020</v>
      </c>
      <c r="F111" s="9" t="s">
        <v>437</v>
      </c>
      <c r="G111" s="10">
        <v>37020</v>
      </c>
      <c r="H111" s="12"/>
      <c r="I111" s="13"/>
    </row>
    <row r="112" spans="1:9">
      <c r="A112">
        <v>2021</v>
      </c>
      <c r="B112" s="9" t="s">
        <v>438</v>
      </c>
      <c r="C112" s="10">
        <v>1313896</v>
      </c>
      <c r="D112" s="10"/>
      <c r="E112" s="27">
        <v>2020</v>
      </c>
      <c r="F112" s="9" t="s">
        <v>438</v>
      </c>
      <c r="G112" s="10">
        <v>1345244</v>
      </c>
      <c r="H112" s="12"/>
      <c r="I112" s="13"/>
    </row>
    <row r="113" spans="1:9">
      <c r="A113">
        <v>2021</v>
      </c>
      <c r="B113" s="9" t="s">
        <v>439</v>
      </c>
      <c r="C113" s="10">
        <v>3581263</v>
      </c>
      <c r="D113" s="10"/>
      <c r="E113" s="27">
        <v>2020</v>
      </c>
      <c r="F113" s="9" t="s">
        <v>439</v>
      </c>
      <c r="G113" s="10">
        <v>3514331</v>
      </c>
      <c r="H113" s="12"/>
      <c r="I113" s="13"/>
    </row>
    <row r="114" spans="1:9">
      <c r="A114">
        <v>2021</v>
      </c>
      <c r="B114" s="9" t="s">
        <v>440</v>
      </c>
      <c r="C114" s="10">
        <v>1890836</v>
      </c>
      <c r="D114" s="10"/>
      <c r="E114" s="27">
        <v>2020</v>
      </c>
      <c r="F114" s="9" t="s">
        <v>440</v>
      </c>
      <c r="G114" s="10">
        <v>1829128</v>
      </c>
      <c r="H114" s="12"/>
      <c r="I114" s="13"/>
    </row>
    <row r="115" spans="1:9">
      <c r="A115">
        <v>2021</v>
      </c>
      <c r="B115" s="9" t="s">
        <v>441</v>
      </c>
      <c r="C115" s="10">
        <v>87197</v>
      </c>
      <c r="D115" s="10"/>
      <c r="E115" s="27">
        <v>2020</v>
      </c>
      <c r="F115" s="9" t="s">
        <v>441</v>
      </c>
      <c r="G115" s="10">
        <v>80479</v>
      </c>
      <c r="H115" s="12"/>
      <c r="I115" s="13"/>
    </row>
    <row r="116" spans="1:9">
      <c r="A116">
        <v>2021</v>
      </c>
      <c r="B116" s="9" t="s">
        <v>442</v>
      </c>
      <c r="C116" s="10">
        <v>1755904</v>
      </c>
      <c r="D116" s="10"/>
      <c r="E116" s="27">
        <v>2020</v>
      </c>
      <c r="F116" s="9" t="s">
        <v>442</v>
      </c>
      <c r="G116" s="10">
        <v>1763539</v>
      </c>
      <c r="H116" s="12"/>
      <c r="I116" s="13"/>
    </row>
    <row r="117" spans="1:9">
      <c r="A117">
        <v>2021</v>
      </c>
      <c r="B117" s="9" t="s">
        <v>443</v>
      </c>
      <c r="C117" s="10">
        <v>902610</v>
      </c>
      <c r="D117" s="10"/>
      <c r="E117" s="27">
        <v>2020</v>
      </c>
      <c r="F117" s="9" t="s">
        <v>443</v>
      </c>
      <c r="G117" s="10">
        <v>875339</v>
      </c>
      <c r="H117" s="12"/>
      <c r="I117" s="13"/>
    </row>
    <row r="118" spans="1:9">
      <c r="A118">
        <v>2021</v>
      </c>
      <c r="B118" s="9" t="s">
        <v>444</v>
      </c>
      <c r="C118" s="10">
        <v>2792833</v>
      </c>
      <c r="D118" s="10"/>
      <c r="E118" s="27">
        <v>2020</v>
      </c>
      <c r="F118" s="9" t="s">
        <v>444</v>
      </c>
      <c r="G118" s="10">
        <v>2656495</v>
      </c>
      <c r="H118" s="12"/>
      <c r="I118" s="13"/>
    </row>
    <row r="119" spans="1:9">
      <c r="A119">
        <v>2021</v>
      </c>
      <c r="B119" s="9" t="s">
        <v>445</v>
      </c>
      <c r="C119" s="10">
        <v>3900962</v>
      </c>
      <c r="D119" s="10"/>
      <c r="E119" s="27">
        <v>2020</v>
      </c>
      <c r="F119" s="9" t="s">
        <v>445</v>
      </c>
      <c r="G119" s="10">
        <v>3917205</v>
      </c>
      <c r="H119" s="12"/>
      <c r="I119" s="13"/>
    </row>
    <row r="120" spans="1:9">
      <c r="A120">
        <v>2021</v>
      </c>
      <c r="B120" s="9" t="s">
        <v>446</v>
      </c>
      <c r="C120" s="10">
        <v>225520</v>
      </c>
      <c r="D120" s="10"/>
      <c r="E120" s="27">
        <v>2020</v>
      </c>
      <c r="F120" s="9" t="s">
        <v>446</v>
      </c>
      <c r="G120" s="10">
        <v>192292</v>
      </c>
      <c r="H120" s="12"/>
      <c r="I120" s="13"/>
    </row>
    <row r="121" spans="1:9">
      <c r="A121">
        <v>2021</v>
      </c>
      <c r="B121" s="9" t="s">
        <v>447</v>
      </c>
      <c r="C121" s="10">
        <v>148602</v>
      </c>
      <c r="D121" s="10"/>
      <c r="E121" s="27">
        <v>2020</v>
      </c>
      <c r="F121" s="9" t="s">
        <v>447</v>
      </c>
      <c r="G121" s="10">
        <v>133565</v>
      </c>
      <c r="H121" s="12"/>
      <c r="I121" s="13"/>
    </row>
    <row r="122" spans="1:9">
      <c r="A122">
        <v>2021</v>
      </c>
      <c r="B122" s="9" t="s">
        <v>448</v>
      </c>
      <c r="C122" s="10">
        <v>2700248</v>
      </c>
      <c r="D122" s="10"/>
      <c r="E122" s="27">
        <v>2020</v>
      </c>
      <c r="F122" s="9" t="s">
        <v>448</v>
      </c>
      <c r="G122" s="10">
        <v>2574743</v>
      </c>
      <c r="H122" s="12"/>
      <c r="I122" s="13"/>
    </row>
    <row r="123" spans="1:9">
      <c r="A123">
        <v>2021</v>
      </c>
      <c r="B123" s="9" t="s">
        <v>449</v>
      </c>
      <c r="C123" s="10">
        <v>111276</v>
      </c>
      <c r="D123" s="10"/>
      <c r="E123" s="27">
        <v>2020</v>
      </c>
      <c r="F123" s="9" t="s">
        <v>449</v>
      </c>
      <c r="G123" s="10">
        <v>109957</v>
      </c>
      <c r="H123" s="12"/>
      <c r="I123" s="13"/>
    </row>
    <row r="124" spans="1:9">
      <c r="A124">
        <v>2021</v>
      </c>
      <c r="B124" s="9" t="s">
        <v>450</v>
      </c>
      <c r="C124" s="10">
        <v>196767</v>
      </c>
      <c r="D124" s="10"/>
      <c r="E124" s="27">
        <v>2020</v>
      </c>
      <c r="F124" s="9" t="s">
        <v>450</v>
      </c>
      <c r="G124" s="10">
        <v>188418</v>
      </c>
      <c r="H124" s="12"/>
      <c r="I124" s="13"/>
    </row>
    <row r="125" spans="1:9">
      <c r="A125">
        <v>2021</v>
      </c>
      <c r="B125" s="9" t="s">
        <v>451</v>
      </c>
      <c r="C125" s="10">
        <v>82473</v>
      </c>
      <c r="D125" s="10"/>
      <c r="E125" s="27">
        <v>2020</v>
      </c>
      <c r="F125" s="9" t="s">
        <v>451</v>
      </c>
      <c r="G125" s="10">
        <v>76832</v>
      </c>
      <c r="H125" s="12"/>
      <c r="I125" s="13"/>
    </row>
    <row r="126" spans="1:9">
      <c r="A126">
        <v>2021</v>
      </c>
      <c r="B126" s="9" t="s">
        <v>452</v>
      </c>
      <c r="C126" s="10">
        <v>23899</v>
      </c>
      <c r="D126" s="10"/>
      <c r="E126" s="27">
        <v>2020</v>
      </c>
      <c r="F126" s="9" t="s">
        <v>452</v>
      </c>
      <c r="G126" s="10">
        <v>23647</v>
      </c>
      <c r="H126" s="12"/>
      <c r="I126" s="13"/>
    </row>
    <row r="127" spans="1:9">
      <c r="A127">
        <v>2021</v>
      </c>
      <c r="B127" s="9" t="s">
        <v>453</v>
      </c>
      <c r="C127" s="10">
        <v>12873</v>
      </c>
      <c r="D127" s="10"/>
      <c r="E127" s="27">
        <v>2020</v>
      </c>
      <c r="F127" s="9" t="s">
        <v>453</v>
      </c>
      <c r="G127" s="10">
        <v>12512</v>
      </c>
      <c r="H127" s="12"/>
      <c r="I127" s="13"/>
    </row>
    <row r="128" spans="1:9">
      <c r="A128">
        <v>2021</v>
      </c>
      <c r="B128" s="9" t="s">
        <v>454</v>
      </c>
      <c r="C128" s="10">
        <v>12478</v>
      </c>
      <c r="D128" s="10"/>
      <c r="E128" s="27">
        <v>2020</v>
      </c>
      <c r="F128" s="9" t="s">
        <v>454</v>
      </c>
      <c r="G128" s="10">
        <v>11536</v>
      </c>
      <c r="H128" s="12"/>
      <c r="I128" s="13"/>
    </row>
    <row r="129" spans="1:9">
      <c r="A129">
        <v>2021</v>
      </c>
      <c r="B129" s="9" t="s">
        <v>455</v>
      </c>
      <c r="E129" s="27">
        <v>2020</v>
      </c>
      <c r="F129" s="9" t="s">
        <v>455</v>
      </c>
      <c r="H129" s="12"/>
      <c r="I129" s="11"/>
    </row>
    <row r="130" spans="1:9">
      <c r="A130">
        <v>2021</v>
      </c>
      <c r="B130" s="9" t="s">
        <v>456</v>
      </c>
      <c r="C130" s="10">
        <v>3056079</v>
      </c>
      <c r="D130" s="10"/>
      <c r="E130" s="27">
        <v>2020</v>
      </c>
      <c r="F130" s="9" t="s">
        <v>456</v>
      </c>
      <c r="G130" s="10">
        <v>2963457</v>
      </c>
      <c r="H130" s="12"/>
      <c r="I130" s="13"/>
    </row>
    <row r="131" spans="1:9">
      <c r="A131">
        <v>2021</v>
      </c>
      <c r="B131" s="9" t="s">
        <v>457</v>
      </c>
      <c r="C131" s="10">
        <v>151117</v>
      </c>
      <c r="D131" s="10"/>
      <c r="E131" s="27">
        <v>2020</v>
      </c>
      <c r="F131" s="9" t="s">
        <v>457</v>
      </c>
      <c r="G131" s="10">
        <v>141407</v>
      </c>
      <c r="H131" s="12"/>
      <c r="I131" s="13"/>
    </row>
    <row r="132" spans="1:9">
      <c r="A132">
        <v>2021</v>
      </c>
      <c r="B132" s="9" t="s">
        <v>458</v>
      </c>
      <c r="C132" s="10">
        <v>523697</v>
      </c>
      <c r="D132" s="10"/>
      <c r="E132" s="27">
        <v>2020</v>
      </c>
      <c r="F132" s="9" t="s">
        <v>458</v>
      </c>
      <c r="G132" s="10">
        <v>509527</v>
      </c>
      <c r="H132" s="12"/>
      <c r="I132" s="13"/>
    </row>
    <row r="133" spans="1:9">
      <c r="A133">
        <v>2021</v>
      </c>
      <c r="B133" s="9" t="s">
        <v>459</v>
      </c>
      <c r="C133" s="10">
        <v>466493</v>
      </c>
      <c r="D133" s="10"/>
      <c r="E133" s="27">
        <v>2020</v>
      </c>
      <c r="F133" s="9" t="s">
        <v>459</v>
      </c>
      <c r="G133" s="10">
        <v>454073</v>
      </c>
      <c r="H133" s="12"/>
      <c r="I133" s="13"/>
    </row>
    <row r="134" spans="1:9">
      <c r="A134">
        <v>2021</v>
      </c>
      <c r="B134" s="9" t="s">
        <v>460</v>
      </c>
      <c r="C134" s="10">
        <v>1560300</v>
      </c>
      <c r="D134" s="10"/>
      <c r="E134" s="27">
        <v>2020</v>
      </c>
      <c r="F134" s="9" t="s">
        <v>460</v>
      </c>
      <c r="G134" s="10">
        <v>1552862</v>
      </c>
      <c r="H134" s="12"/>
      <c r="I134" s="13"/>
    </row>
    <row r="135" spans="1:9">
      <c r="A135">
        <v>2021</v>
      </c>
      <c r="B135" s="9" t="s">
        <v>461</v>
      </c>
      <c r="C135" s="10">
        <v>15846</v>
      </c>
      <c r="D135" s="10"/>
      <c r="E135" s="27">
        <v>2020</v>
      </c>
      <c r="F135" s="9" t="s">
        <v>461</v>
      </c>
      <c r="G135" s="10">
        <v>15641</v>
      </c>
      <c r="H135" s="12"/>
      <c r="I135" s="13"/>
    </row>
    <row r="136" spans="1:9">
      <c r="A136">
        <v>2021</v>
      </c>
      <c r="B136" s="9" t="s">
        <v>462</v>
      </c>
      <c r="C136" s="10">
        <v>1101944</v>
      </c>
      <c r="D136" s="10"/>
      <c r="E136" s="27">
        <v>2020</v>
      </c>
      <c r="F136" s="9" t="s">
        <v>462</v>
      </c>
      <c r="G136" s="10">
        <v>1129408</v>
      </c>
      <c r="H136" s="12"/>
      <c r="I136" s="13"/>
    </row>
    <row r="137" spans="1:9">
      <c r="A137">
        <v>2021</v>
      </c>
      <c r="B137" s="9" t="s">
        <v>463</v>
      </c>
      <c r="C137" s="10">
        <v>143980</v>
      </c>
      <c r="D137" s="10"/>
      <c r="E137" s="27">
        <v>2020</v>
      </c>
      <c r="F137" s="9" t="s">
        <v>463</v>
      </c>
      <c r="G137" s="10">
        <v>130981</v>
      </c>
      <c r="H137" s="12"/>
      <c r="I137" s="13"/>
    </row>
    <row r="138" spans="1:9">
      <c r="A138">
        <v>2021</v>
      </c>
      <c r="B138" s="9" t="s">
        <v>464</v>
      </c>
      <c r="C138" s="10">
        <v>5765559</v>
      </c>
      <c r="D138" s="10"/>
      <c r="E138" s="27">
        <v>2020</v>
      </c>
      <c r="F138" s="9" t="s">
        <v>464</v>
      </c>
      <c r="G138" s="10">
        <v>5549768</v>
      </c>
      <c r="H138" s="12"/>
      <c r="I138" s="13"/>
    </row>
    <row r="139" spans="1:9">
      <c r="A139">
        <v>2021</v>
      </c>
      <c r="B139" s="9" t="s">
        <v>465</v>
      </c>
      <c r="C139" s="10">
        <v>2026</v>
      </c>
      <c r="D139" s="10"/>
      <c r="E139" s="27">
        <v>2020</v>
      </c>
      <c r="F139" s="9" t="s">
        <v>465</v>
      </c>
      <c r="H139" s="12"/>
      <c r="I139" s="11"/>
    </row>
    <row r="140" spans="1:9">
      <c r="A140">
        <v>2021</v>
      </c>
      <c r="B140" s="9" t="s">
        <v>466</v>
      </c>
      <c r="C140" s="10">
        <v>371185</v>
      </c>
      <c r="D140" s="10"/>
      <c r="E140" s="27">
        <v>2020</v>
      </c>
      <c r="F140" s="9" t="s">
        <v>466</v>
      </c>
      <c r="G140" s="10">
        <v>354811</v>
      </c>
      <c r="H140" s="12"/>
      <c r="I140" s="13"/>
    </row>
    <row r="141" spans="1:9">
      <c r="A141">
        <v>2021</v>
      </c>
      <c r="B141" s="9" t="s">
        <v>467</v>
      </c>
      <c r="E141" s="27">
        <v>2020</v>
      </c>
      <c r="F141" s="9" t="s">
        <v>467</v>
      </c>
      <c r="H141" s="12"/>
      <c r="I141" s="11"/>
    </row>
    <row r="142" spans="1:9">
      <c r="A142">
        <v>2021</v>
      </c>
      <c r="B142" s="9" t="s">
        <v>468</v>
      </c>
      <c r="C142" s="10">
        <v>200591</v>
      </c>
      <c r="D142" s="10"/>
      <c r="E142" s="27">
        <v>2020</v>
      </c>
      <c r="F142" s="9" t="s">
        <v>468</v>
      </c>
      <c r="G142" s="10">
        <v>198503</v>
      </c>
      <c r="H142" s="12"/>
      <c r="I142" s="13"/>
    </row>
    <row r="143" spans="1:9">
      <c r="A143">
        <v>2021</v>
      </c>
      <c r="B143" s="9" t="s">
        <v>469</v>
      </c>
      <c r="C143" s="10">
        <v>13291029</v>
      </c>
      <c r="D143" s="10"/>
      <c r="E143" s="27">
        <v>2020</v>
      </c>
      <c r="F143" s="9" t="s">
        <v>469</v>
      </c>
      <c r="G143" s="10">
        <v>13012152</v>
      </c>
      <c r="H143" s="12"/>
      <c r="I143" s="13"/>
    </row>
    <row r="144" spans="1:9">
      <c r="A144">
        <v>2021</v>
      </c>
      <c r="B144" s="9" t="s">
        <v>470</v>
      </c>
      <c r="C144" s="10">
        <v>239449</v>
      </c>
      <c r="D144" s="10"/>
      <c r="E144" s="27">
        <v>2020</v>
      </c>
      <c r="F144" s="9" t="s">
        <v>470</v>
      </c>
      <c r="G144" s="10">
        <v>212979</v>
      </c>
      <c r="H144" s="12"/>
      <c r="I144" s="13"/>
    </row>
    <row r="145" spans="1:9">
      <c r="A145">
        <v>2021</v>
      </c>
      <c r="B145" s="9" t="s">
        <v>471</v>
      </c>
      <c r="C145" s="10">
        <v>59416</v>
      </c>
      <c r="D145" s="10"/>
      <c r="E145" s="27">
        <v>2020</v>
      </c>
      <c r="F145" s="9" t="s">
        <v>471</v>
      </c>
      <c r="G145" s="10">
        <v>55987</v>
      </c>
      <c r="H145" s="12"/>
      <c r="I145" s="13"/>
    </row>
    <row r="146" spans="1:9">
      <c r="A146">
        <v>2021</v>
      </c>
      <c r="B146" s="9" t="s">
        <v>472</v>
      </c>
      <c r="C146" s="10">
        <v>1127138</v>
      </c>
      <c r="D146" s="10"/>
      <c r="E146" s="27">
        <v>2020</v>
      </c>
      <c r="F146" s="9" t="s">
        <v>472</v>
      </c>
      <c r="G146" s="10">
        <v>1059129</v>
      </c>
      <c r="H146" s="12"/>
      <c r="I146" s="13"/>
    </row>
    <row r="147" spans="1:9">
      <c r="A147">
        <v>2021</v>
      </c>
      <c r="B147" s="9" t="s">
        <v>473</v>
      </c>
      <c r="C147" s="10">
        <v>1621441</v>
      </c>
      <c r="D147" s="10"/>
      <c r="E147" s="27">
        <v>2020</v>
      </c>
      <c r="F147" s="9" t="s">
        <v>473</v>
      </c>
      <c r="G147" s="10">
        <v>1589741</v>
      </c>
      <c r="H147" s="12"/>
      <c r="I147" s="13"/>
    </row>
    <row r="148" spans="1:9">
      <c r="A148">
        <v>2021</v>
      </c>
      <c r="B148" s="9" t="s">
        <v>474</v>
      </c>
      <c r="C148" s="10">
        <v>97188</v>
      </c>
      <c r="D148" s="10"/>
      <c r="E148" s="27">
        <v>2020</v>
      </c>
      <c r="F148" s="9" t="s">
        <v>474</v>
      </c>
      <c r="G148" s="10">
        <v>91893</v>
      </c>
      <c r="H148" s="12"/>
      <c r="I148" s="13"/>
    </row>
    <row r="149" spans="1:9">
      <c r="A149">
        <v>2021</v>
      </c>
      <c r="B149" s="9" t="s">
        <v>475</v>
      </c>
      <c r="E149" s="27">
        <v>2020</v>
      </c>
      <c r="F149" s="9" t="s">
        <v>475</v>
      </c>
      <c r="H149" s="12"/>
      <c r="I149" s="11"/>
    </row>
    <row r="150" spans="1:9">
      <c r="A150">
        <v>2021</v>
      </c>
      <c r="B150" s="9" t="s">
        <v>476</v>
      </c>
      <c r="C150" s="10">
        <v>5787</v>
      </c>
      <c r="D150" s="10"/>
      <c r="E150" s="27">
        <v>2020</v>
      </c>
      <c r="F150" s="9" t="s">
        <v>476</v>
      </c>
      <c r="G150" s="10">
        <v>5716</v>
      </c>
      <c r="H150" s="12"/>
      <c r="I150" s="13"/>
    </row>
    <row r="151" spans="1:9">
      <c r="A151">
        <v>2021</v>
      </c>
      <c r="B151" s="9" t="s">
        <v>477</v>
      </c>
      <c r="C151" s="10">
        <v>4818034</v>
      </c>
      <c r="D151" s="10"/>
      <c r="E151" s="27">
        <v>2020</v>
      </c>
      <c r="F151" s="9" t="s">
        <v>477</v>
      </c>
      <c r="G151" s="10">
        <v>4633764</v>
      </c>
      <c r="H151" s="12"/>
      <c r="I151" s="13"/>
    </row>
    <row r="152" spans="1:9">
      <c r="A152">
        <v>2021</v>
      </c>
      <c r="B152" s="9" t="s">
        <v>478</v>
      </c>
      <c r="C152" s="10">
        <v>2874127</v>
      </c>
      <c r="D152" s="10"/>
      <c r="E152" s="27">
        <v>2020</v>
      </c>
      <c r="F152" s="9" t="s">
        <v>478</v>
      </c>
      <c r="G152" s="10">
        <v>2772712</v>
      </c>
      <c r="H152" s="12"/>
      <c r="I152" s="11"/>
    </row>
    <row r="153" spans="1:9">
      <c r="A153">
        <v>2021</v>
      </c>
      <c r="B153" s="9" t="s">
        <v>93</v>
      </c>
      <c r="C153" s="10">
        <v>125840</v>
      </c>
      <c r="D153" s="10"/>
      <c r="E153" s="27">
        <v>2020</v>
      </c>
      <c r="F153" s="9" t="s">
        <v>93</v>
      </c>
      <c r="G153" s="10">
        <v>109780</v>
      </c>
      <c r="H153" s="12"/>
      <c r="I153" s="13"/>
    </row>
    <row r="154" spans="1:9">
      <c r="A154">
        <v>2021</v>
      </c>
      <c r="B154" s="9" t="s">
        <v>94</v>
      </c>
      <c r="C154" s="10">
        <v>137475</v>
      </c>
      <c r="D154" s="10"/>
      <c r="E154" s="27">
        <v>2020</v>
      </c>
      <c r="F154" s="9" t="s">
        <v>94</v>
      </c>
      <c r="G154" s="10">
        <v>125397</v>
      </c>
      <c r="H154" s="12"/>
      <c r="I154" s="13"/>
    </row>
    <row r="155" spans="1:9">
      <c r="A155">
        <v>2021</v>
      </c>
      <c r="B155" s="9" t="s">
        <v>95</v>
      </c>
      <c r="C155" s="10">
        <v>100231</v>
      </c>
      <c r="D155" s="10"/>
      <c r="E155" s="27">
        <v>2020</v>
      </c>
      <c r="F155" s="9" t="s">
        <v>95</v>
      </c>
      <c r="G155" s="10">
        <v>95571</v>
      </c>
      <c r="H155" s="12"/>
      <c r="I155" s="13"/>
    </row>
    <row r="156" spans="1:9">
      <c r="A156">
        <v>2021</v>
      </c>
      <c r="B156" s="9" t="s">
        <v>96</v>
      </c>
      <c r="C156" s="10">
        <v>36718</v>
      </c>
      <c r="D156" s="10"/>
      <c r="E156" s="27">
        <v>2020</v>
      </c>
      <c r="F156" s="9" t="s">
        <v>96</v>
      </c>
      <c r="G156" s="10">
        <v>36647</v>
      </c>
      <c r="H156" s="12"/>
      <c r="I156" s="13"/>
    </row>
    <row r="157" spans="1:9">
      <c r="A157">
        <v>2021</v>
      </c>
      <c r="B157" s="9" t="s">
        <v>97</v>
      </c>
      <c r="C157" s="10">
        <v>2865422</v>
      </c>
      <c r="D157" s="10"/>
      <c r="E157" s="27">
        <v>2020</v>
      </c>
      <c r="F157" s="9" t="s">
        <v>97</v>
      </c>
      <c r="G157" s="10">
        <v>2908711</v>
      </c>
      <c r="H157" s="12"/>
      <c r="I157" s="13"/>
    </row>
    <row r="158" spans="1:9">
      <c r="A158">
        <v>2021</v>
      </c>
      <c r="B158" s="9" t="s">
        <v>98</v>
      </c>
      <c r="C158" s="10">
        <v>652280</v>
      </c>
      <c r="D158" s="10"/>
      <c r="E158" s="27">
        <v>2020</v>
      </c>
      <c r="F158" s="9" t="s">
        <v>98</v>
      </c>
      <c r="G158" s="10">
        <v>657201</v>
      </c>
      <c r="H158" s="12"/>
      <c r="I158" s="13"/>
    </row>
    <row r="159" spans="1:9">
      <c r="A159">
        <v>2021</v>
      </c>
      <c r="B159" s="9" t="s">
        <v>99</v>
      </c>
      <c r="C159" s="10">
        <v>2249275</v>
      </c>
      <c r="D159" s="10"/>
      <c r="E159" s="27">
        <v>2020</v>
      </c>
      <c r="F159" s="9" t="s">
        <v>99</v>
      </c>
      <c r="G159" s="10">
        <v>2158982</v>
      </c>
      <c r="H159" s="12"/>
      <c r="I159" s="13"/>
    </row>
    <row r="160" spans="1:9">
      <c r="A160">
        <v>2021</v>
      </c>
      <c r="B160" s="9" t="s">
        <v>100</v>
      </c>
      <c r="C160" s="10">
        <v>153027</v>
      </c>
      <c r="D160" s="10"/>
      <c r="E160" s="27">
        <v>2020</v>
      </c>
      <c r="F160" s="9" t="s">
        <v>100</v>
      </c>
      <c r="G160" s="10">
        <v>155988</v>
      </c>
      <c r="H160" s="12"/>
      <c r="I160" s="13"/>
    </row>
    <row r="161" spans="1:9">
      <c r="A161">
        <v>2021</v>
      </c>
      <c r="B161" s="9" t="s">
        <v>101</v>
      </c>
      <c r="C161" s="10">
        <v>274246</v>
      </c>
      <c r="D161" s="10"/>
      <c r="E161" s="27">
        <v>2020</v>
      </c>
      <c r="F161" s="9" t="s">
        <v>101</v>
      </c>
      <c r="G161" s="10">
        <v>255390</v>
      </c>
      <c r="H161" s="12"/>
      <c r="I161" s="13"/>
    </row>
    <row r="162" spans="1:9">
      <c r="A162">
        <v>2021</v>
      </c>
      <c r="B162" s="9" t="s">
        <v>102</v>
      </c>
      <c r="C162" s="10">
        <v>1022760</v>
      </c>
      <c r="D162" s="10"/>
      <c r="E162" s="27">
        <v>2020</v>
      </c>
      <c r="F162" s="9" t="s">
        <v>102</v>
      </c>
      <c r="G162" s="10">
        <v>1009637</v>
      </c>
      <c r="H162" s="12"/>
      <c r="I162" s="13"/>
    </row>
    <row r="163" spans="1:9">
      <c r="A163">
        <v>2021</v>
      </c>
      <c r="B163" s="9" t="s">
        <v>104</v>
      </c>
      <c r="C163" s="10">
        <v>30550</v>
      </c>
      <c r="D163" s="10"/>
      <c r="E163" s="27">
        <v>2020</v>
      </c>
      <c r="F163" s="9" t="s">
        <v>104</v>
      </c>
      <c r="G163" s="10">
        <v>28703</v>
      </c>
      <c r="H163" s="12"/>
      <c r="I163" s="13"/>
    </row>
    <row r="164" spans="1:9">
      <c r="A164">
        <v>2021</v>
      </c>
      <c r="B164" s="9" t="s">
        <v>105</v>
      </c>
      <c r="C164" s="10">
        <v>151397</v>
      </c>
      <c r="D164" s="10"/>
      <c r="E164" s="27">
        <v>2020</v>
      </c>
      <c r="F164" s="9" t="s">
        <v>105</v>
      </c>
      <c r="G164" s="10">
        <v>140917</v>
      </c>
      <c r="H164" s="12"/>
      <c r="I164" s="13"/>
    </row>
    <row r="165" spans="1:9">
      <c r="A165">
        <v>2021</v>
      </c>
      <c r="B165" s="9" t="s">
        <v>479</v>
      </c>
      <c r="E165" s="27">
        <v>2020</v>
      </c>
      <c r="F165" s="9" t="s">
        <v>479</v>
      </c>
      <c r="H165" s="12"/>
      <c r="I165" s="11"/>
    </row>
    <row r="166" spans="1:9">
      <c r="A166">
        <v>2021</v>
      </c>
      <c r="B166" s="9" t="s">
        <v>106</v>
      </c>
      <c r="C166" s="10">
        <v>71064</v>
      </c>
      <c r="D166" s="10"/>
      <c r="E166" s="27">
        <v>2020</v>
      </c>
      <c r="F166" s="9" t="s">
        <v>106</v>
      </c>
      <c r="G166" s="10">
        <v>64051</v>
      </c>
      <c r="H166" s="12"/>
      <c r="I166" s="13"/>
    </row>
    <row r="167" spans="1:9">
      <c r="A167">
        <v>2021</v>
      </c>
      <c r="B167" s="9" t="s">
        <v>107</v>
      </c>
      <c r="C167" s="10">
        <v>541409</v>
      </c>
      <c r="D167" s="10"/>
      <c r="E167" s="27">
        <v>2020</v>
      </c>
      <c r="F167" s="9" t="s">
        <v>107</v>
      </c>
      <c r="G167" s="10">
        <v>544252</v>
      </c>
      <c r="H167" s="12"/>
      <c r="I167" s="13"/>
    </row>
    <row r="168" spans="1:9">
      <c r="A168">
        <v>2021</v>
      </c>
      <c r="B168" s="9" t="s">
        <v>108</v>
      </c>
      <c r="C168" s="10">
        <v>86432</v>
      </c>
      <c r="D168" s="10"/>
      <c r="E168" s="27">
        <v>2020</v>
      </c>
      <c r="F168" s="9" t="s">
        <v>108</v>
      </c>
      <c r="G168" s="10">
        <v>82816</v>
      </c>
      <c r="H168" s="12"/>
      <c r="I168" s="13"/>
    </row>
    <row r="169" spans="1:9">
      <c r="A169">
        <v>2021</v>
      </c>
      <c r="B169" s="9" t="s">
        <v>109</v>
      </c>
      <c r="C169" s="10">
        <v>18971</v>
      </c>
      <c r="D169" s="10"/>
      <c r="E169" s="27">
        <v>2020</v>
      </c>
      <c r="F169" s="9" t="s">
        <v>109</v>
      </c>
      <c r="G169" s="10">
        <v>18744</v>
      </c>
      <c r="H169" s="12"/>
      <c r="I169" s="13"/>
    </row>
    <row r="170" spans="1:9">
      <c r="A170">
        <v>2021</v>
      </c>
      <c r="B170" s="9" t="s">
        <v>110</v>
      </c>
      <c r="C170" s="10">
        <v>153428</v>
      </c>
      <c r="D170" s="10"/>
      <c r="E170" s="27">
        <v>2020</v>
      </c>
      <c r="F170" s="9" t="s">
        <v>110</v>
      </c>
      <c r="G170" s="10">
        <v>159038</v>
      </c>
      <c r="H170" s="12"/>
      <c r="I170" s="13"/>
    </row>
    <row r="171" spans="1:9">
      <c r="A171">
        <v>2021</v>
      </c>
      <c r="B171" s="9" t="s">
        <v>111</v>
      </c>
      <c r="C171" s="10">
        <v>1622046</v>
      </c>
      <c r="D171" s="10"/>
      <c r="E171" s="27">
        <v>2020</v>
      </c>
      <c r="F171" s="9" t="s">
        <v>111</v>
      </c>
      <c r="G171" s="10">
        <v>1584482</v>
      </c>
      <c r="H171" s="12"/>
      <c r="I171" s="13"/>
    </row>
    <row r="172" spans="1:9">
      <c r="A172">
        <v>2021</v>
      </c>
      <c r="B172" s="9" t="s">
        <v>112</v>
      </c>
      <c r="C172" s="10">
        <v>84203</v>
      </c>
      <c r="D172" s="10"/>
      <c r="E172" s="27">
        <v>2020</v>
      </c>
      <c r="F172" s="9" t="s">
        <v>112</v>
      </c>
      <c r="G172" s="10">
        <v>85697</v>
      </c>
      <c r="H172" s="12"/>
      <c r="I172" s="13"/>
    </row>
    <row r="173" spans="1:9">
      <c r="A173">
        <v>2021</v>
      </c>
      <c r="B173" s="9" t="s">
        <v>113</v>
      </c>
      <c r="C173" s="10">
        <v>9237</v>
      </c>
      <c r="D173" s="10"/>
      <c r="E173" s="27">
        <v>2020</v>
      </c>
      <c r="F173" s="9" t="s">
        <v>113</v>
      </c>
      <c r="G173" s="10">
        <v>3743</v>
      </c>
      <c r="H173" s="12"/>
      <c r="I173" s="13"/>
    </row>
    <row r="174" spans="1:9">
      <c r="A174">
        <v>2021</v>
      </c>
      <c r="B174" s="9" t="s">
        <v>114</v>
      </c>
      <c r="C174" s="10">
        <v>1498631</v>
      </c>
      <c r="D174" s="10"/>
      <c r="E174" s="27">
        <v>2020</v>
      </c>
      <c r="F174" s="9" t="s">
        <v>114</v>
      </c>
      <c r="G174" s="10">
        <v>1374495</v>
      </c>
      <c r="H174" s="12"/>
      <c r="I174" s="13"/>
    </row>
    <row r="175" spans="1:9">
      <c r="A175">
        <v>2021</v>
      </c>
      <c r="B175" s="9" t="s">
        <v>115</v>
      </c>
      <c r="C175" s="10">
        <v>1156474</v>
      </c>
      <c r="D175" s="10"/>
      <c r="E175" s="27">
        <v>2020</v>
      </c>
      <c r="F175" s="9" t="s">
        <v>115</v>
      </c>
      <c r="G175" s="10">
        <v>1143015</v>
      </c>
      <c r="H175" s="12"/>
      <c r="I175" s="13"/>
    </row>
    <row r="176" spans="1:9">
      <c r="A176">
        <v>2021</v>
      </c>
      <c r="B176" s="9" t="s">
        <v>116</v>
      </c>
      <c r="C176" s="10">
        <v>70079</v>
      </c>
      <c r="D176" s="10"/>
      <c r="E176" s="27">
        <v>2020</v>
      </c>
      <c r="F176" s="9" t="s">
        <v>116</v>
      </c>
      <c r="G176" s="10">
        <v>68549</v>
      </c>
      <c r="H176" s="12"/>
      <c r="I176" s="13"/>
    </row>
    <row r="177" spans="1:9">
      <c r="A177">
        <v>2021</v>
      </c>
      <c r="B177" s="9" t="s">
        <v>117</v>
      </c>
      <c r="C177" s="10">
        <v>9011</v>
      </c>
      <c r="D177" s="10"/>
      <c r="E177" s="27">
        <v>2020</v>
      </c>
      <c r="F177" s="9" t="s">
        <v>117</v>
      </c>
      <c r="G177" s="10">
        <v>9351</v>
      </c>
      <c r="H177" s="12"/>
      <c r="I177" s="13"/>
    </row>
    <row r="178" spans="1:9">
      <c r="A178">
        <v>2021</v>
      </c>
      <c r="B178" s="9" t="s">
        <v>118</v>
      </c>
      <c r="C178" s="10">
        <v>23834</v>
      </c>
      <c r="D178" s="10"/>
      <c r="E178" s="27">
        <v>2020</v>
      </c>
      <c r="F178" s="9" t="s">
        <v>118</v>
      </c>
      <c r="G178" s="10">
        <v>23594</v>
      </c>
      <c r="H178" s="12"/>
      <c r="I178" s="13"/>
    </row>
    <row r="179" spans="1:9">
      <c r="A179">
        <v>2021</v>
      </c>
      <c r="B179" s="9" t="s">
        <v>119</v>
      </c>
      <c r="E179" s="27">
        <v>2020</v>
      </c>
      <c r="F179" s="9" t="s">
        <v>119</v>
      </c>
      <c r="H179" s="12"/>
      <c r="I179" s="11"/>
    </row>
    <row r="180" spans="1:9">
      <c r="A180">
        <v>2021</v>
      </c>
      <c r="B180" s="9" t="s">
        <v>121</v>
      </c>
      <c r="C180" s="10">
        <v>122593</v>
      </c>
      <c r="D180" s="10"/>
      <c r="E180" s="27">
        <v>2020</v>
      </c>
      <c r="F180" s="9" t="s">
        <v>121</v>
      </c>
      <c r="G180" s="10">
        <v>112716</v>
      </c>
      <c r="H180" s="12"/>
      <c r="I180" s="13"/>
    </row>
    <row r="181" spans="1:9">
      <c r="A181">
        <v>2021</v>
      </c>
      <c r="B181" s="9" t="s">
        <v>122</v>
      </c>
      <c r="C181" s="10">
        <v>30362</v>
      </c>
      <c r="D181" s="10"/>
      <c r="E181" s="27">
        <v>2020</v>
      </c>
      <c r="F181" s="9" t="s">
        <v>122</v>
      </c>
      <c r="G181" s="10">
        <v>38112</v>
      </c>
      <c r="H181" s="12"/>
      <c r="I181" s="13"/>
    </row>
    <row r="182" spans="1:9">
      <c r="A182">
        <v>2021</v>
      </c>
      <c r="B182" s="9" t="s">
        <v>123</v>
      </c>
      <c r="C182" s="10">
        <v>92088</v>
      </c>
      <c r="D182" s="10"/>
      <c r="E182" s="27">
        <v>2020</v>
      </c>
      <c r="F182" s="9" t="s">
        <v>123</v>
      </c>
      <c r="G182" s="10">
        <v>92319</v>
      </c>
      <c r="H182" s="12"/>
      <c r="I182" s="13"/>
    </row>
    <row r="183" spans="1:9">
      <c r="A183">
        <v>2021</v>
      </c>
      <c r="B183" s="9" t="s">
        <v>124</v>
      </c>
      <c r="C183" s="10">
        <v>609216</v>
      </c>
      <c r="D183" s="10"/>
      <c r="E183" s="27">
        <v>2020</v>
      </c>
      <c r="F183" s="9" t="s">
        <v>124</v>
      </c>
      <c r="G183" s="10">
        <v>625696</v>
      </c>
      <c r="H183" s="12"/>
      <c r="I183" s="13"/>
    </row>
    <row r="184" spans="1:9">
      <c r="A184">
        <v>2021</v>
      </c>
      <c r="B184" s="9" t="s">
        <v>125</v>
      </c>
      <c r="C184" s="10">
        <v>438662</v>
      </c>
      <c r="D184" s="10"/>
      <c r="E184" s="27">
        <v>2020</v>
      </c>
      <c r="F184" s="9" t="s">
        <v>125</v>
      </c>
      <c r="G184" s="10">
        <v>406253</v>
      </c>
      <c r="H184" s="12"/>
      <c r="I184" s="13"/>
    </row>
    <row r="185" spans="1:9">
      <c r="A185">
        <v>2021</v>
      </c>
      <c r="B185" s="9" t="s">
        <v>126</v>
      </c>
      <c r="C185" s="10">
        <v>412488</v>
      </c>
      <c r="D185" s="10"/>
      <c r="E185" s="27">
        <v>2020</v>
      </c>
      <c r="F185" s="9" t="s">
        <v>126</v>
      </c>
      <c r="G185" s="10">
        <v>380933</v>
      </c>
      <c r="H185" s="12"/>
      <c r="I185" s="13"/>
    </row>
    <row r="186" spans="1:9">
      <c r="A186">
        <v>2021</v>
      </c>
      <c r="B186" s="9" t="s">
        <v>127</v>
      </c>
      <c r="C186" s="10">
        <v>529024</v>
      </c>
      <c r="D186" s="10"/>
      <c r="E186" s="27">
        <v>2020</v>
      </c>
      <c r="F186" s="9" t="s">
        <v>127</v>
      </c>
      <c r="G186" s="10">
        <v>527158</v>
      </c>
      <c r="H186" s="12"/>
      <c r="I186" s="13"/>
    </row>
    <row r="187" spans="1:9">
      <c r="A187">
        <v>2021</v>
      </c>
      <c r="B187" s="9" t="s">
        <v>128</v>
      </c>
      <c r="C187" s="10">
        <v>3324150</v>
      </c>
      <c r="D187" s="10"/>
      <c r="E187" s="27">
        <v>2020</v>
      </c>
      <c r="F187" s="9" t="s">
        <v>128</v>
      </c>
      <c r="G187" s="10">
        <v>3156408</v>
      </c>
      <c r="H187" s="12"/>
      <c r="I187" s="13"/>
    </row>
    <row r="188" spans="1:9">
      <c r="A188">
        <v>2021</v>
      </c>
      <c r="B188" s="9" t="s">
        <v>129</v>
      </c>
      <c r="C188" s="10">
        <v>443641</v>
      </c>
      <c r="D188" s="10"/>
      <c r="E188" s="27">
        <v>2020</v>
      </c>
      <c r="F188" s="9" t="s">
        <v>129</v>
      </c>
      <c r="G188" s="10">
        <v>428565</v>
      </c>
      <c r="H188" s="12"/>
      <c r="I188" s="13"/>
    </row>
    <row r="189" spans="1:9">
      <c r="A189">
        <v>2021</v>
      </c>
      <c r="B189" s="9" t="s">
        <v>130</v>
      </c>
      <c r="C189" s="10">
        <v>1966622</v>
      </c>
      <c r="D189" s="10"/>
      <c r="E189" s="27">
        <v>2020</v>
      </c>
      <c r="F189" s="9" t="s">
        <v>130</v>
      </c>
      <c r="G189" s="10">
        <v>1884444</v>
      </c>
      <c r="H189" s="12"/>
      <c r="I189" s="13"/>
    </row>
    <row r="190" spans="1:9">
      <c r="A190">
        <v>2021</v>
      </c>
      <c r="B190" s="9" t="s">
        <v>131</v>
      </c>
      <c r="C190" s="10">
        <v>1806761</v>
      </c>
      <c r="D190" s="10"/>
      <c r="E190" s="27">
        <v>2020</v>
      </c>
      <c r="F190" s="9" t="s">
        <v>131</v>
      </c>
      <c r="G190" s="10">
        <v>1720647</v>
      </c>
      <c r="H190" s="12"/>
      <c r="I190" s="13"/>
    </row>
    <row r="191" spans="1:9">
      <c r="A191">
        <v>2021</v>
      </c>
      <c r="B191" s="9" t="s">
        <v>132</v>
      </c>
      <c r="C191" s="10">
        <v>946491</v>
      </c>
      <c r="D191" s="10"/>
      <c r="E191" s="27">
        <v>2020</v>
      </c>
      <c r="F191" s="9" t="s">
        <v>132</v>
      </c>
      <c r="G191" s="10">
        <v>951947</v>
      </c>
      <c r="H191" s="12"/>
      <c r="I191" s="13"/>
    </row>
    <row r="192" spans="1:9">
      <c r="A192">
        <v>2021</v>
      </c>
      <c r="B192" s="9" t="s">
        <v>480</v>
      </c>
      <c r="E192" s="27">
        <v>2020</v>
      </c>
      <c r="F192" s="9" t="s">
        <v>480</v>
      </c>
      <c r="H192" s="12"/>
      <c r="I192" s="11"/>
    </row>
    <row r="193" spans="1:12">
      <c r="A193">
        <v>2021</v>
      </c>
      <c r="B193" s="9" t="s">
        <v>133</v>
      </c>
      <c r="C193" s="10">
        <v>84575</v>
      </c>
      <c r="D193" s="10"/>
      <c r="E193" s="27">
        <v>2020</v>
      </c>
      <c r="F193" s="9" t="s">
        <v>133</v>
      </c>
      <c r="G193" s="10">
        <v>77962</v>
      </c>
      <c r="H193" s="12"/>
      <c r="I193" s="13"/>
    </row>
    <row r="194" spans="1:12">
      <c r="A194">
        <v>2021</v>
      </c>
      <c r="B194" s="9" t="s">
        <v>134</v>
      </c>
      <c r="C194" s="10">
        <v>171454</v>
      </c>
      <c r="D194" s="10"/>
      <c r="E194" s="27">
        <v>2020</v>
      </c>
      <c r="F194" s="9" t="s">
        <v>134</v>
      </c>
      <c r="G194" s="10">
        <v>164554</v>
      </c>
      <c r="H194" s="12"/>
      <c r="I194" s="13"/>
    </row>
    <row r="195" spans="1:12">
      <c r="A195">
        <v>2021</v>
      </c>
      <c r="B195" s="9" t="s">
        <v>135</v>
      </c>
      <c r="C195" s="10">
        <v>733117</v>
      </c>
      <c r="D195" s="10"/>
      <c r="E195" s="27">
        <v>2020</v>
      </c>
      <c r="F195" s="9" t="s">
        <v>135</v>
      </c>
      <c r="G195" s="10">
        <v>672368</v>
      </c>
      <c r="H195" s="12"/>
      <c r="I195" s="13"/>
    </row>
    <row r="196" spans="1:12">
      <c r="A196">
        <v>2021</v>
      </c>
      <c r="B196" s="9" t="s">
        <v>136</v>
      </c>
      <c r="C196" s="10">
        <v>358614</v>
      </c>
      <c r="D196" s="10"/>
      <c r="E196" s="27">
        <v>2020</v>
      </c>
      <c r="F196" s="9" t="s">
        <v>136</v>
      </c>
      <c r="G196" s="10">
        <v>326215</v>
      </c>
      <c r="H196" s="12"/>
      <c r="I196" s="13"/>
    </row>
    <row r="197" spans="1:12">
      <c r="A197">
        <v>2021</v>
      </c>
      <c r="B197" s="9" t="s">
        <v>137</v>
      </c>
      <c r="C197" s="10">
        <v>19831</v>
      </c>
      <c r="D197" s="10"/>
      <c r="E197" s="27">
        <v>2020</v>
      </c>
      <c r="F197" s="9" t="s">
        <v>137</v>
      </c>
      <c r="G197" s="10">
        <v>19471</v>
      </c>
      <c r="H197" s="12"/>
      <c r="I197" s="13"/>
    </row>
    <row r="198" spans="1:12">
      <c r="A198">
        <v>2021</v>
      </c>
      <c r="B198" s="9" t="s">
        <v>138</v>
      </c>
      <c r="C198" s="10">
        <v>636943</v>
      </c>
      <c r="D198" s="10"/>
      <c r="E198" s="27">
        <v>2020</v>
      </c>
      <c r="F198" s="9" t="s">
        <v>138</v>
      </c>
      <c r="G198" s="10">
        <v>598401</v>
      </c>
      <c r="H198" s="12"/>
      <c r="I198" s="13"/>
    </row>
    <row r="199" spans="1:12">
      <c r="A199">
        <v>2021</v>
      </c>
      <c r="B199" s="9" t="s">
        <v>139</v>
      </c>
      <c r="C199" s="10">
        <v>52461</v>
      </c>
      <c r="D199" s="10"/>
      <c r="E199" s="27">
        <v>2020</v>
      </c>
      <c r="F199" s="9" t="s">
        <v>139</v>
      </c>
      <c r="G199" s="10">
        <v>66898</v>
      </c>
      <c r="H199" s="12"/>
      <c r="I199" s="13"/>
    </row>
    <row r="200" spans="1:12">
      <c r="A200">
        <v>2021</v>
      </c>
      <c r="B200" s="9" t="s">
        <v>140</v>
      </c>
      <c r="C200" s="10">
        <v>170937</v>
      </c>
      <c r="D200" s="10"/>
      <c r="E200" s="27">
        <v>2020</v>
      </c>
      <c r="F200" s="9" t="s">
        <v>140</v>
      </c>
      <c r="G200" s="10">
        <v>168882</v>
      </c>
      <c r="H200" s="12"/>
      <c r="I200" s="13"/>
    </row>
    <row r="201" spans="1:12">
      <c r="A201">
        <v>2021</v>
      </c>
      <c r="B201" s="9" t="s">
        <v>141</v>
      </c>
      <c r="C201" s="10">
        <v>4358410</v>
      </c>
      <c r="D201" s="10"/>
      <c r="E201" s="27">
        <v>2020</v>
      </c>
      <c r="F201" s="9" t="s">
        <v>141</v>
      </c>
      <c r="G201" s="10">
        <v>4192556</v>
      </c>
      <c r="H201" s="12"/>
      <c r="I201" s="13"/>
    </row>
    <row r="202" spans="1:12">
      <c r="A202">
        <v>2021</v>
      </c>
      <c r="B202" s="9" t="s">
        <v>481</v>
      </c>
      <c r="E202" s="27">
        <v>2020</v>
      </c>
      <c r="F202" s="9" t="s">
        <v>481</v>
      </c>
      <c r="H202" s="8"/>
      <c r="I202" s="12"/>
      <c r="J202" s="8"/>
      <c r="K202" s="11"/>
      <c r="L202" s="11"/>
    </row>
    <row r="203" spans="1:12">
      <c r="A203">
        <v>2021</v>
      </c>
      <c r="B203" s="9" t="s">
        <v>142</v>
      </c>
      <c r="C203" s="10">
        <v>383134</v>
      </c>
      <c r="D203" s="10"/>
      <c r="E203" s="27">
        <v>2020</v>
      </c>
      <c r="F203" s="9" t="s">
        <v>142</v>
      </c>
      <c r="G203" s="10">
        <v>366313</v>
      </c>
      <c r="H203" s="8"/>
      <c r="I203" s="12"/>
      <c r="J203" s="8"/>
      <c r="K203" s="8"/>
      <c r="L203" s="13"/>
    </row>
    <row r="204" spans="1:12">
      <c r="A204">
        <v>2021</v>
      </c>
      <c r="B204" s="9" t="s">
        <v>143</v>
      </c>
      <c r="C204" s="10">
        <v>655648</v>
      </c>
      <c r="D204" s="10"/>
      <c r="E204" s="27">
        <v>2020</v>
      </c>
      <c r="F204" s="9" t="s">
        <v>143</v>
      </c>
      <c r="G204" s="10">
        <v>654442</v>
      </c>
      <c r="H204" s="8"/>
      <c r="I204" s="12"/>
      <c r="J204" s="8"/>
      <c r="K204" s="8"/>
      <c r="L204" s="13"/>
    </row>
    <row r="205" spans="1:12">
      <c r="A205">
        <v>2021</v>
      </c>
      <c r="B205" s="9" t="s">
        <v>144</v>
      </c>
      <c r="C205" s="10">
        <v>1523139</v>
      </c>
      <c r="D205" s="10"/>
      <c r="E205" s="27">
        <v>2020</v>
      </c>
      <c r="F205" s="9" t="s">
        <v>144</v>
      </c>
      <c r="G205" s="10">
        <v>1427927</v>
      </c>
      <c r="H205" s="8"/>
      <c r="I205" s="12"/>
      <c r="J205" s="8"/>
      <c r="K205" s="8"/>
      <c r="L205" s="13"/>
    </row>
    <row r="206" spans="1:12">
      <c r="A206">
        <v>2021</v>
      </c>
      <c r="B206" s="9" t="s">
        <v>482</v>
      </c>
      <c r="E206" s="27">
        <v>2020</v>
      </c>
      <c r="F206" s="9" t="s">
        <v>482</v>
      </c>
      <c r="H206" s="8"/>
      <c r="I206" s="12"/>
      <c r="J206" s="8"/>
      <c r="K206" s="8"/>
      <c r="L206" s="11"/>
    </row>
    <row r="207" spans="1:12">
      <c r="A207">
        <v>2021</v>
      </c>
      <c r="B207" s="9" t="s">
        <v>145</v>
      </c>
      <c r="C207" s="10">
        <v>170306</v>
      </c>
      <c r="D207" s="10"/>
      <c r="E207" s="27">
        <v>2020</v>
      </c>
      <c r="F207" s="9" t="s">
        <v>145</v>
      </c>
      <c r="G207" s="10">
        <v>181280</v>
      </c>
      <c r="H207" s="8"/>
      <c r="I207" s="12"/>
      <c r="J207" s="8"/>
      <c r="K207" s="8"/>
      <c r="L207" s="13"/>
    </row>
    <row r="208" spans="1:12">
      <c r="A208">
        <v>2021</v>
      </c>
      <c r="B208" s="9" t="s">
        <v>146</v>
      </c>
      <c r="C208" s="10">
        <v>4721353</v>
      </c>
      <c r="D208" s="10"/>
      <c r="E208" s="27">
        <v>2020</v>
      </c>
      <c r="F208" s="9" t="s">
        <v>146</v>
      </c>
      <c r="G208" s="10">
        <v>4768386</v>
      </c>
      <c r="H208" s="8"/>
      <c r="I208" s="12"/>
      <c r="J208" s="8"/>
      <c r="K208" s="8"/>
      <c r="L208" s="13"/>
    </row>
    <row r="209" spans="1:12">
      <c r="A209">
        <v>2021</v>
      </c>
      <c r="B209" s="9" t="s">
        <v>147</v>
      </c>
      <c r="C209" s="10">
        <v>3094715</v>
      </c>
      <c r="D209" s="10"/>
      <c r="E209" s="27">
        <v>2020</v>
      </c>
      <c r="F209" s="9" t="s">
        <v>147</v>
      </c>
      <c r="G209" s="10">
        <v>3140969</v>
      </c>
      <c r="H209" s="8"/>
      <c r="I209" s="12"/>
      <c r="J209" s="8"/>
      <c r="K209" s="8"/>
      <c r="L209" s="13"/>
    </row>
    <row r="210" spans="1:12">
      <c r="A210">
        <v>2021</v>
      </c>
      <c r="B210" s="9" t="s">
        <v>148</v>
      </c>
      <c r="C210" s="10">
        <v>42456</v>
      </c>
      <c r="D210" s="10"/>
      <c r="E210" s="27">
        <v>2020</v>
      </c>
      <c r="F210" s="9" t="s">
        <v>148</v>
      </c>
      <c r="G210" s="10">
        <v>38690</v>
      </c>
      <c r="H210" s="8"/>
      <c r="I210" s="12"/>
      <c r="J210" s="8"/>
      <c r="K210" s="8"/>
      <c r="L210" s="13"/>
    </row>
    <row r="211" spans="1:12">
      <c r="A211">
        <v>2021</v>
      </c>
      <c r="B211" s="9" t="s">
        <v>149</v>
      </c>
      <c r="C211" s="10">
        <v>222881</v>
      </c>
      <c r="D211" s="10"/>
      <c r="E211" s="27">
        <v>2020</v>
      </c>
      <c r="F211" s="9" t="s">
        <v>149</v>
      </c>
      <c r="G211" s="10">
        <v>218401</v>
      </c>
      <c r="H211" s="8"/>
      <c r="I211" s="12"/>
      <c r="J211" s="8"/>
      <c r="K211" s="8"/>
      <c r="L211" s="13"/>
    </row>
    <row r="212" spans="1:12">
      <c r="A212">
        <v>2021</v>
      </c>
      <c r="B212" s="9" t="s">
        <v>150</v>
      </c>
      <c r="C212" s="10">
        <v>190442</v>
      </c>
      <c r="D212" s="10"/>
      <c r="E212" s="27">
        <v>2020</v>
      </c>
      <c r="F212" s="9" t="s">
        <v>150</v>
      </c>
      <c r="G212" s="10">
        <v>195058</v>
      </c>
      <c r="H212" s="8"/>
      <c r="I212" s="12"/>
      <c r="J212" s="8"/>
      <c r="K212" s="8"/>
      <c r="L212" s="13"/>
    </row>
    <row r="213" spans="1:12">
      <c r="A213">
        <v>2021</v>
      </c>
      <c r="B213" s="9" t="s">
        <v>151</v>
      </c>
      <c r="C213" s="10">
        <v>817784</v>
      </c>
      <c r="D213" s="10"/>
      <c r="E213" s="27">
        <v>2020</v>
      </c>
      <c r="F213" s="9" t="s">
        <v>151</v>
      </c>
      <c r="G213" s="10">
        <v>758801</v>
      </c>
      <c r="H213" s="8"/>
      <c r="I213" s="12"/>
      <c r="J213" s="8"/>
      <c r="K213" s="8"/>
      <c r="L213" s="13"/>
    </row>
    <row r="214" spans="1:12">
      <c r="A214">
        <v>2021</v>
      </c>
      <c r="B214" s="9" t="s">
        <v>152</v>
      </c>
      <c r="C214" s="10">
        <v>28468</v>
      </c>
      <c r="D214" s="10"/>
      <c r="E214" s="27">
        <v>2020</v>
      </c>
      <c r="F214" s="9" t="s">
        <v>152</v>
      </c>
      <c r="G214" s="10">
        <v>26568</v>
      </c>
      <c r="H214" s="8"/>
      <c r="I214" s="12"/>
      <c r="J214" s="8"/>
      <c r="K214" s="8"/>
      <c r="L214" s="13"/>
    </row>
    <row r="215" spans="1:12">
      <c r="A215">
        <v>2021</v>
      </c>
      <c r="B215" s="9" t="s">
        <v>153</v>
      </c>
      <c r="C215" s="10">
        <v>37333</v>
      </c>
      <c r="D215" s="10"/>
      <c r="E215" s="27">
        <v>2020</v>
      </c>
      <c r="F215" s="9" t="s">
        <v>153</v>
      </c>
      <c r="G215" s="10">
        <v>36027</v>
      </c>
      <c r="H215" s="8"/>
      <c r="I215" s="12"/>
      <c r="J215" s="8"/>
      <c r="K215" s="8"/>
      <c r="L215" s="13"/>
    </row>
    <row r="216" spans="1:12">
      <c r="A216">
        <v>2021</v>
      </c>
      <c r="B216" s="9" t="s">
        <v>154</v>
      </c>
      <c r="C216" s="10">
        <v>4916748</v>
      </c>
      <c r="D216" s="10"/>
      <c r="E216" s="27">
        <v>2020</v>
      </c>
      <c r="F216" s="9" t="s">
        <v>154</v>
      </c>
      <c r="G216" s="10">
        <v>4739041</v>
      </c>
      <c r="H216" s="8"/>
      <c r="I216" s="12"/>
      <c r="J216" s="8"/>
      <c r="K216" s="8"/>
      <c r="L216" s="13"/>
    </row>
    <row r="217" spans="1:12">
      <c r="A217">
        <v>2021</v>
      </c>
      <c r="B217" s="9" t="s">
        <v>155</v>
      </c>
      <c r="C217" s="10">
        <v>2274252</v>
      </c>
      <c r="D217" s="10"/>
      <c r="E217" s="27">
        <v>2020</v>
      </c>
      <c r="F217" s="9" t="s">
        <v>155</v>
      </c>
      <c r="G217" s="10">
        <v>2336587</v>
      </c>
      <c r="H217" s="8"/>
      <c r="I217" s="12"/>
      <c r="J217" s="8"/>
      <c r="K217" s="8"/>
      <c r="L217" s="13"/>
    </row>
    <row r="218" spans="1:12">
      <c r="A218">
        <v>2021</v>
      </c>
      <c r="B218" s="9" t="s">
        <v>156</v>
      </c>
      <c r="C218" s="10">
        <v>9196</v>
      </c>
      <c r="D218" s="10"/>
      <c r="E218" s="27">
        <v>2020</v>
      </c>
      <c r="F218" s="9" t="s">
        <v>156</v>
      </c>
      <c r="G218" s="10">
        <v>8566</v>
      </c>
      <c r="H218" s="8"/>
      <c r="I218" s="12"/>
      <c r="J218" s="8"/>
      <c r="K218" s="8"/>
      <c r="L218" s="13"/>
    </row>
    <row r="219" spans="1:12">
      <c r="A219">
        <v>2021</v>
      </c>
      <c r="B219" s="9" t="s">
        <v>157</v>
      </c>
      <c r="C219" s="10">
        <v>10026</v>
      </c>
      <c r="D219" s="10"/>
      <c r="E219" s="27">
        <v>2020</v>
      </c>
      <c r="F219" s="9" t="s">
        <v>157</v>
      </c>
      <c r="G219" s="10">
        <v>11089</v>
      </c>
      <c r="H219" s="8"/>
      <c r="I219" s="12"/>
      <c r="J219" s="8"/>
      <c r="K219" s="8"/>
      <c r="L219" s="13"/>
    </row>
    <row r="220" spans="1:12">
      <c r="A220">
        <v>2021</v>
      </c>
      <c r="B220" s="9" t="s">
        <v>158</v>
      </c>
      <c r="C220" s="10">
        <v>75137</v>
      </c>
      <c r="D220" s="10"/>
      <c r="E220" s="27">
        <v>2020</v>
      </c>
      <c r="F220" s="9" t="s">
        <v>158</v>
      </c>
      <c r="G220" s="10">
        <v>72074</v>
      </c>
      <c r="H220" s="8"/>
      <c r="I220" s="12"/>
      <c r="J220" s="8"/>
      <c r="K220" s="8"/>
      <c r="L220" s="13"/>
    </row>
    <row r="221" spans="1:12">
      <c r="A221">
        <v>2021</v>
      </c>
      <c r="B221" s="9" t="s">
        <v>159</v>
      </c>
      <c r="C221" s="10">
        <v>1471823</v>
      </c>
      <c r="D221" s="10"/>
      <c r="E221" s="27">
        <v>2020</v>
      </c>
      <c r="F221" s="9" t="s">
        <v>159</v>
      </c>
      <c r="G221" s="10">
        <v>1322478</v>
      </c>
      <c r="H221" s="8"/>
      <c r="I221" s="12"/>
      <c r="J221" s="8"/>
      <c r="K221" s="8"/>
      <c r="L221" s="13"/>
    </row>
    <row r="222" spans="1:12">
      <c r="A222">
        <v>2021</v>
      </c>
      <c r="B222" s="9" t="s">
        <v>160</v>
      </c>
      <c r="C222" s="10">
        <v>106643</v>
      </c>
      <c r="D222" s="10"/>
      <c r="E222" s="27">
        <v>2020</v>
      </c>
      <c r="F222" s="9" t="s">
        <v>160</v>
      </c>
      <c r="G222" s="10">
        <v>96740</v>
      </c>
      <c r="H222" s="8"/>
      <c r="I222" s="12"/>
      <c r="J222" s="8"/>
      <c r="K222" s="8"/>
      <c r="L222" s="13"/>
    </row>
    <row r="223" spans="1:12">
      <c r="A223">
        <v>2021</v>
      </c>
      <c r="B223" s="9" t="s">
        <v>161</v>
      </c>
      <c r="C223" s="10">
        <v>72064</v>
      </c>
      <c r="D223" s="10"/>
      <c r="E223" s="27">
        <v>2020</v>
      </c>
      <c r="F223" s="9" t="s">
        <v>161</v>
      </c>
      <c r="G223" s="10">
        <v>58423</v>
      </c>
      <c r="H223" s="8"/>
      <c r="I223" s="12"/>
      <c r="J223" s="8"/>
      <c r="K223" s="8"/>
      <c r="L223" s="13"/>
    </row>
    <row r="224" spans="1:12">
      <c r="A224">
        <v>2021</v>
      </c>
      <c r="B224" s="9" t="s">
        <v>162</v>
      </c>
      <c r="C224" s="10">
        <v>108152</v>
      </c>
      <c r="D224" s="10"/>
      <c r="E224" s="27">
        <v>2020</v>
      </c>
      <c r="F224" s="9" t="s">
        <v>162</v>
      </c>
      <c r="G224" s="10">
        <v>100696</v>
      </c>
      <c r="H224" s="8"/>
      <c r="I224" s="12"/>
      <c r="J224" s="8"/>
      <c r="K224" s="8"/>
      <c r="L224" s="13"/>
    </row>
    <row r="225" spans="1:12">
      <c r="A225">
        <v>2021</v>
      </c>
      <c r="B225" s="9" t="s">
        <v>163</v>
      </c>
      <c r="C225" s="10">
        <v>44811</v>
      </c>
      <c r="D225" s="10"/>
      <c r="E225" s="27">
        <v>2020</v>
      </c>
      <c r="F225" s="9" t="s">
        <v>163</v>
      </c>
      <c r="G225" s="10">
        <v>57698</v>
      </c>
      <c r="H225" s="8"/>
      <c r="I225" s="12"/>
      <c r="J225" s="8"/>
      <c r="K225" s="8"/>
      <c r="L225" s="13"/>
    </row>
    <row r="226" spans="1:12">
      <c r="A226">
        <v>2021</v>
      </c>
      <c r="B226" s="9" t="s">
        <v>164</v>
      </c>
      <c r="C226" s="10">
        <v>81268</v>
      </c>
      <c r="D226" s="10"/>
      <c r="E226" s="27">
        <v>2020</v>
      </c>
      <c r="F226" s="9" t="s">
        <v>164</v>
      </c>
      <c r="G226" s="10">
        <v>76637</v>
      </c>
      <c r="H226" s="8"/>
      <c r="I226" s="12"/>
      <c r="J226" s="8"/>
      <c r="K226" s="8"/>
      <c r="L226" s="13"/>
    </row>
    <row r="227" spans="1:12">
      <c r="A227">
        <v>2021</v>
      </c>
      <c r="B227" s="9" t="s">
        <v>165</v>
      </c>
      <c r="C227" s="10">
        <v>205921</v>
      </c>
      <c r="D227" s="10"/>
      <c r="E227" s="27">
        <v>2020</v>
      </c>
      <c r="F227" s="9" t="s">
        <v>165</v>
      </c>
      <c r="G227" s="10">
        <v>215972</v>
      </c>
      <c r="H227" s="8"/>
      <c r="I227" s="12"/>
      <c r="J227" s="8"/>
      <c r="K227" s="8"/>
      <c r="L227" s="13"/>
    </row>
    <row r="228" spans="1:12">
      <c r="A228">
        <v>2021</v>
      </c>
      <c r="B228" s="9" t="s">
        <v>483</v>
      </c>
      <c r="E228" s="27">
        <v>2020</v>
      </c>
      <c r="F228" s="9" t="s">
        <v>483</v>
      </c>
      <c r="H228" s="8"/>
      <c r="I228" s="12"/>
      <c r="J228" s="8"/>
      <c r="K228" s="8"/>
      <c r="L228" s="11"/>
    </row>
    <row r="229" spans="1:12">
      <c r="A229">
        <v>2021</v>
      </c>
      <c r="B229" s="9" t="s">
        <v>166</v>
      </c>
      <c r="C229" s="10">
        <v>149698</v>
      </c>
      <c r="D229" s="10"/>
      <c r="E229" s="27">
        <v>2020</v>
      </c>
      <c r="F229" s="9" t="s">
        <v>166</v>
      </c>
      <c r="G229" s="10">
        <v>140354</v>
      </c>
      <c r="H229" s="8"/>
      <c r="I229" s="12"/>
      <c r="J229" s="8"/>
      <c r="K229" s="8"/>
      <c r="L229" s="13"/>
    </row>
    <row r="230" spans="1:12">
      <c r="A230">
        <v>2021</v>
      </c>
      <c r="B230" s="9" t="s">
        <v>167</v>
      </c>
      <c r="C230" s="10">
        <v>57998</v>
      </c>
      <c r="D230" s="10"/>
      <c r="E230" s="27">
        <v>2020</v>
      </c>
      <c r="F230" s="9" t="s">
        <v>167</v>
      </c>
      <c r="G230" s="10">
        <v>52772</v>
      </c>
      <c r="H230" s="8"/>
      <c r="I230" s="12"/>
      <c r="J230" s="8"/>
      <c r="K230" s="8"/>
      <c r="L230" s="13"/>
    </row>
    <row r="231" spans="1:12">
      <c r="A231">
        <v>2021</v>
      </c>
      <c r="B231" s="9" t="s">
        <v>168</v>
      </c>
      <c r="C231" s="10">
        <v>145660</v>
      </c>
      <c r="D231" s="10"/>
      <c r="E231" s="27">
        <v>2020</v>
      </c>
      <c r="F231" s="9" t="s">
        <v>168</v>
      </c>
      <c r="G231" s="10">
        <v>136688</v>
      </c>
      <c r="H231" s="8"/>
      <c r="I231" s="12"/>
      <c r="J231" s="8"/>
      <c r="K231" s="8"/>
      <c r="L231" s="13"/>
    </row>
    <row r="232" spans="1:12">
      <c r="A232">
        <v>2021</v>
      </c>
      <c r="B232" s="9" t="s">
        <v>169</v>
      </c>
      <c r="C232" s="10">
        <v>204409</v>
      </c>
      <c r="D232" s="10"/>
      <c r="E232" s="27">
        <v>2020</v>
      </c>
      <c r="F232" s="9" t="s">
        <v>169</v>
      </c>
      <c r="G232" s="10">
        <v>182602</v>
      </c>
      <c r="H232" s="8"/>
      <c r="I232" s="12"/>
      <c r="J232" s="8"/>
      <c r="K232" s="8"/>
      <c r="L232" s="13"/>
    </row>
    <row r="233" spans="1:12">
      <c r="A233">
        <v>2021</v>
      </c>
      <c r="B233" s="9" t="s">
        <v>170</v>
      </c>
      <c r="C233" s="10">
        <v>182308</v>
      </c>
      <c r="D233" s="10"/>
      <c r="E233" s="27">
        <v>2020</v>
      </c>
      <c r="F233" s="9" t="s">
        <v>170</v>
      </c>
      <c r="G233" s="10">
        <v>206129</v>
      </c>
      <c r="H233" s="8"/>
      <c r="I233" s="12"/>
      <c r="J233" s="8"/>
      <c r="K233" s="8"/>
      <c r="L233" s="13"/>
    </row>
    <row r="234" spans="1:12">
      <c r="A234">
        <v>2021</v>
      </c>
      <c r="B234" s="9" t="s">
        <v>171</v>
      </c>
      <c r="C234" s="10">
        <v>246829</v>
      </c>
      <c r="D234" s="10"/>
      <c r="E234" s="27">
        <v>2020</v>
      </c>
      <c r="F234" s="9" t="s">
        <v>171</v>
      </c>
      <c r="G234" s="10">
        <v>237972</v>
      </c>
      <c r="H234" s="8"/>
      <c r="I234" s="12"/>
      <c r="J234" s="8"/>
      <c r="K234" s="8"/>
      <c r="L234" s="13"/>
    </row>
    <row r="235" spans="1:12">
      <c r="A235">
        <v>2021</v>
      </c>
      <c r="B235" s="9" t="s">
        <v>172</v>
      </c>
      <c r="C235" s="10">
        <v>73814</v>
      </c>
      <c r="D235" s="10"/>
      <c r="E235" s="27">
        <v>2020</v>
      </c>
      <c r="F235" s="9" t="s">
        <v>172</v>
      </c>
      <c r="G235" s="10">
        <v>72339</v>
      </c>
      <c r="H235" s="8"/>
      <c r="I235" s="12"/>
      <c r="J235" s="8"/>
      <c r="K235" s="8"/>
      <c r="L235" s="13"/>
    </row>
    <row r="236" spans="1:12">
      <c r="A236">
        <v>2021</v>
      </c>
      <c r="B236" s="9" t="s">
        <v>173</v>
      </c>
      <c r="C236" s="10">
        <v>104447</v>
      </c>
      <c r="D236" s="10"/>
      <c r="E236" s="27">
        <v>2020</v>
      </c>
      <c r="F236" s="9" t="s">
        <v>173</v>
      </c>
      <c r="G236" s="10">
        <v>116424</v>
      </c>
      <c r="H236" s="8"/>
      <c r="I236" s="12"/>
      <c r="J236" s="8"/>
      <c r="K236" s="8"/>
      <c r="L236" s="13"/>
    </row>
    <row r="237" spans="1:12">
      <c r="A237">
        <v>2021</v>
      </c>
      <c r="B237" s="9" t="s">
        <v>174</v>
      </c>
      <c r="C237" s="10">
        <v>150896</v>
      </c>
      <c r="D237" s="10"/>
      <c r="E237" s="27">
        <v>2020</v>
      </c>
      <c r="F237" s="9" t="s">
        <v>174</v>
      </c>
      <c r="G237" s="10">
        <v>155424</v>
      </c>
      <c r="H237" s="8"/>
      <c r="I237" s="12"/>
      <c r="J237" s="8"/>
      <c r="K237" s="8"/>
      <c r="L237" s="13"/>
    </row>
    <row r="238" spans="1:12">
      <c r="A238">
        <v>2021</v>
      </c>
      <c r="B238" s="9" t="s">
        <v>175</v>
      </c>
      <c r="C238" s="10">
        <v>135066</v>
      </c>
      <c r="D238" s="10"/>
      <c r="E238" s="27">
        <v>2020</v>
      </c>
      <c r="F238" s="9" t="s">
        <v>175</v>
      </c>
      <c r="G238" s="10">
        <v>126309</v>
      </c>
      <c r="H238" s="8"/>
      <c r="I238" s="12"/>
      <c r="J238" s="8"/>
      <c r="K238" s="8"/>
      <c r="L238" s="13"/>
    </row>
    <row r="239" spans="1:12">
      <c r="A239">
        <v>2021</v>
      </c>
      <c r="B239" s="9" t="s">
        <v>176</v>
      </c>
      <c r="C239" s="10">
        <v>12235715</v>
      </c>
      <c r="D239" s="10"/>
      <c r="E239" s="27">
        <v>2020</v>
      </c>
      <c r="F239" s="9" t="s">
        <v>176</v>
      </c>
      <c r="G239" s="10">
        <v>11986856</v>
      </c>
      <c r="H239" s="8"/>
      <c r="I239" s="12"/>
      <c r="J239" s="8"/>
      <c r="K239" s="8"/>
      <c r="L239" s="13"/>
    </row>
    <row r="240" spans="1:12">
      <c r="A240">
        <v>2021</v>
      </c>
      <c r="B240" s="9" t="s">
        <v>484</v>
      </c>
      <c r="E240" s="27">
        <v>2020</v>
      </c>
      <c r="F240" s="9" t="s">
        <v>484</v>
      </c>
      <c r="H240" s="8"/>
      <c r="I240" s="12"/>
      <c r="J240" s="8"/>
      <c r="K240" s="8"/>
      <c r="L240" s="11"/>
    </row>
    <row r="241" spans="1:12">
      <c r="A241">
        <v>2021</v>
      </c>
      <c r="B241" s="9" t="s">
        <v>177</v>
      </c>
      <c r="C241" s="10">
        <v>167640</v>
      </c>
      <c r="D241" s="10"/>
      <c r="E241" s="27">
        <v>2020</v>
      </c>
      <c r="F241" s="9" t="s">
        <v>177</v>
      </c>
      <c r="G241" s="10">
        <v>166732</v>
      </c>
      <c r="H241" s="8"/>
      <c r="I241" s="12"/>
      <c r="J241" s="8"/>
      <c r="K241" s="8"/>
      <c r="L241" s="13"/>
    </row>
    <row r="242" spans="1:12">
      <c r="A242">
        <v>2021</v>
      </c>
      <c r="B242" s="9" t="s">
        <v>178</v>
      </c>
      <c r="C242" s="10">
        <v>74299</v>
      </c>
      <c r="D242" s="10"/>
      <c r="E242" s="27">
        <v>2020</v>
      </c>
      <c r="F242" s="9" t="s">
        <v>178</v>
      </c>
      <c r="G242" s="10">
        <v>85466</v>
      </c>
      <c r="H242" s="8"/>
      <c r="I242" s="12"/>
      <c r="J242" s="8"/>
      <c r="K242" s="8"/>
      <c r="L242" s="13"/>
    </row>
    <row r="243" spans="1:12">
      <c r="A243">
        <v>2021</v>
      </c>
      <c r="B243" s="9" t="s">
        <v>179</v>
      </c>
      <c r="C243" s="10">
        <v>147768</v>
      </c>
      <c r="D243" s="10"/>
      <c r="E243" s="27">
        <v>2020</v>
      </c>
      <c r="F243" s="9" t="s">
        <v>179</v>
      </c>
      <c r="G243" s="10">
        <v>147437</v>
      </c>
      <c r="H243" s="8"/>
      <c r="I243" s="12"/>
      <c r="J243" s="8"/>
      <c r="K243" s="8"/>
      <c r="L243" s="13"/>
    </row>
    <row r="244" spans="1:12">
      <c r="A244">
        <v>2021</v>
      </c>
      <c r="B244" s="9" t="s">
        <v>180</v>
      </c>
      <c r="C244" s="10">
        <v>110496</v>
      </c>
      <c r="D244" s="10"/>
      <c r="E244" s="27">
        <v>2020</v>
      </c>
      <c r="F244" s="9" t="s">
        <v>180</v>
      </c>
      <c r="G244" s="10">
        <v>104002</v>
      </c>
      <c r="H244" s="8"/>
      <c r="I244" s="12"/>
      <c r="J244" s="8"/>
      <c r="K244" s="8"/>
      <c r="L244" s="13"/>
    </row>
    <row r="245" spans="1:12">
      <c r="A245">
        <v>2021</v>
      </c>
      <c r="B245" s="9" t="s">
        <v>181</v>
      </c>
      <c r="C245" s="10">
        <v>369398</v>
      </c>
      <c r="D245" s="10"/>
      <c r="E245" s="27">
        <v>2020</v>
      </c>
      <c r="F245" s="9" t="s">
        <v>181</v>
      </c>
      <c r="G245" s="10">
        <v>422078</v>
      </c>
      <c r="H245" s="8"/>
      <c r="I245" s="12"/>
      <c r="J245" s="8"/>
      <c r="K245" s="8"/>
      <c r="L245" s="13"/>
    </row>
    <row r="246" spans="1:12">
      <c r="A246">
        <v>2021</v>
      </c>
      <c r="B246" s="9" t="s">
        <v>485</v>
      </c>
      <c r="C246" s="10">
        <v>104567</v>
      </c>
      <c r="D246" s="10"/>
      <c r="E246" s="27">
        <v>2020</v>
      </c>
      <c r="F246" s="9" t="s">
        <v>485</v>
      </c>
      <c r="G246" s="10">
        <v>112161</v>
      </c>
      <c r="H246" s="8"/>
      <c r="I246" s="12"/>
      <c r="J246" s="8"/>
      <c r="K246" s="8"/>
      <c r="L246" s="13"/>
    </row>
    <row r="247" spans="1:12">
      <c r="A247">
        <v>2021</v>
      </c>
      <c r="B247" s="9" t="s">
        <v>486</v>
      </c>
      <c r="C247" s="10">
        <v>102307</v>
      </c>
      <c r="D247" s="10"/>
      <c r="E247" s="27">
        <v>2020</v>
      </c>
      <c r="F247" s="9" t="s">
        <v>486</v>
      </c>
      <c r="G247" s="10">
        <v>94988</v>
      </c>
      <c r="H247" s="8"/>
      <c r="I247" s="12"/>
      <c r="J247" s="8"/>
      <c r="K247" s="8"/>
      <c r="L247" s="13"/>
    </row>
    <row r="248" spans="1:12">
      <c r="A248">
        <v>2021</v>
      </c>
      <c r="B248" s="9" t="s">
        <v>182</v>
      </c>
      <c r="C248" s="10">
        <v>40685</v>
      </c>
      <c r="D248" s="10"/>
      <c r="E248" s="27">
        <v>2020</v>
      </c>
      <c r="F248" s="9" t="s">
        <v>182</v>
      </c>
      <c r="G248" s="10">
        <v>38900</v>
      </c>
      <c r="H248" s="8"/>
      <c r="I248" s="12"/>
      <c r="J248" s="8"/>
      <c r="K248" s="8"/>
      <c r="L248" s="13"/>
    </row>
    <row r="249" spans="1:12">
      <c r="A249">
        <v>2021</v>
      </c>
      <c r="B249" s="9" t="s">
        <v>487</v>
      </c>
      <c r="E249" s="27">
        <v>2020</v>
      </c>
      <c r="F249" s="9" t="s">
        <v>487</v>
      </c>
      <c r="H249" s="8"/>
      <c r="I249" s="12"/>
      <c r="J249" s="8"/>
      <c r="K249" s="8"/>
      <c r="L249" s="11"/>
    </row>
    <row r="250" spans="1:12">
      <c r="A250">
        <v>2021</v>
      </c>
      <c r="B250" s="9" t="s">
        <v>488</v>
      </c>
      <c r="E250" s="27">
        <v>2020</v>
      </c>
      <c r="F250" s="9" t="s">
        <v>488</v>
      </c>
      <c r="H250" s="8"/>
      <c r="I250" s="12"/>
      <c r="J250" s="8"/>
      <c r="K250" s="8"/>
      <c r="L250" s="11"/>
    </row>
    <row r="251" spans="1:12">
      <c r="A251">
        <v>2021</v>
      </c>
      <c r="B251" s="9" t="s">
        <v>183</v>
      </c>
      <c r="C251" s="10">
        <v>83670</v>
      </c>
      <c r="D251" s="10"/>
      <c r="E251" s="27">
        <v>2020</v>
      </c>
      <c r="F251" s="9" t="s">
        <v>183</v>
      </c>
      <c r="G251" s="10">
        <v>63369</v>
      </c>
      <c r="H251" s="14"/>
      <c r="I251" s="12"/>
      <c r="J251" s="14"/>
      <c r="K251" s="14"/>
      <c r="L251" s="13"/>
    </row>
    <row r="252" spans="1:12">
      <c r="A252">
        <v>2021</v>
      </c>
      <c r="B252" s="9" t="s">
        <v>184</v>
      </c>
      <c r="C252" s="10">
        <v>121027</v>
      </c>
      <c r="D252" s="10"/>
      <c r="E252" s="27">
        <v>2020</v>
      </c>
      <c r="F252" s="9" t="s">
        <v>184</v>
      </c>
      <c r="G252" s="10">
        <v>103705</v>
      </c>
      <c r="H252" s="7"/>
      <c r="I252" s="2"/>
      <c r="J252" s="7"/>
      <c r="K252" s="1"/>
    </row>
    <row r="253" spans="1:12">
      <c r="A253">
        <v>2021</v>
      </c>
      <c r="B253" s="9" t="s">
        <v>489</v>
      </c>
      <c r="E253" s="27">
        <v>2020</v>
      </c>
      <c r="F253" s="9" t="s">
        <v>489</v>
      </c>
      <c r="H253" s="8"/>
      <c r="I253" s="2"/>
      <c r="J253" s="8"/>
      <c r="K253" s="1"/>
    </row>
    <row r="254" spans="1:12">
      <c r="A254">
        <v>2021</v>
      </c>
      <c r="B254" s="9" t="s">
        <v>185</v>
      </c>
      <c r="C254" s="10">
        <v>1099633</v>
      </c>
      <c r="D254" s="10"/>
      <c r="E254" s="27">
        <v>2020</v>
      </c>
      <c r="F254" s="9" t="s">
        <v>185</v>
      </c>
      <c r="G254" s="10">
        <v>1043859</v>
      </c>
      <c r="H254" s="8"/>
      <c r="I254" s="2"/>
      <c r="J254" s="8"/>
      <c r="K254" s="3"/>
    </row>
    <row r="255" spans="1:12">
      <c r="A255">
        <v>2021</v>
      </c>
      <c r="B255" s="9" t="s">
        <v>186</v>
      </c>
      <c r="C255" s="10">
        <v>124317</v>
      </c>
      <c r="D255" s="10"/>
      <c r="E255" s="27">
        <v>2020</v>
      </c>
      <c r="F255" s="9" t="s">
        <v>186</v>
      </c>
      <c r="G255" s="10">
        <v>125340</v>
      </c>
      <c r="H255" s="8"/>
      <c r="I255" s="2"/>
      <c r="J255" s="8"/>
      <c r="K255" s="3"/>
    </row>
    <row r="256" spans="1:12">
      <c r="A256">
        <v>2021</v>
      </c>
      <c r="B256" s="9" t="s">
        <v>187</v>
      </c>
      <c r="C256" s="10">
        <v>1640607</v>
      </c>
      <c r="D256" s="10"/>
      <c r="E256" s="27">
        <v>2020</v>
      </c>
      <c r="F256" s="9" t="s">
        <v>187</v>
      </c>
      <c r="G256" s="10">
        <v>1602937</v>
      </c>
      <c r="H256" s="8"/>
      <c r="I256" s="2"/>
      <c r="J256" s="8"/>
      <c r="K256" s="3"/>
    </row>
    <row r="257" spans="1:11">
      <c r="A257">
        <v>2021</v>
      </c>
      <c r="B257" s="9" t="s">
        <v>188</v>
      </c>
      <c r="C257" s="10">
        <v>63161</v>
      </c>
      <c r="D257" s="10"/>
      <c r="E257" s="27">
        <v>2020</v>
      </c>
      <c r="F257" s="9" t="s">
        <v>188</v>
      </c>
      <c r="G257" s="10">
        <v>56345</v>
      </c>
      <c r="H257" s="8"/>
      <c r="I257" s="2"/>
      <c r="J257" s="8"/>
      <c r="K257" s="3"/>
    </row>
    <row r="258" spans="1:11">
      <c r="A258">
        <v>2021</v>
      </c>
      <c r="B258" s="9" t="s">
        <v>189</v>
      </c>
      <c r="C258" s="10">
        <v>1697804</v>
      </c>
      <c r="D258" s="10"/>
      <c r="E258" s="27">
        <v>2020</v>
      </c>
      <c r="F258" s="9" t="s">
        <v>189</v>
      </c>
      <c r="G258" s="10">
        <v>1638671</v>
      </c>
      <c r="H258" s="8"/>
      <c r="I258" s="2"/>
      <c r="J258" s="8"/>
      <c r="K258" s="3"/>
    </row>
    <row r="259" spans="1:11">
      <c r="A259">
        <v>2021</v>
      </c>
      <c r="B259" s="9" t="s">
        <v>190</v>
      </c>
      <c r="C259" s="10">
        <v>1255068</v>
      </c>
      <c r="D259" s="10"/>
      <c r="E259" s="27">
        <v>2020</v>
      </c>
      <c r="F259" s="9" t="s">
        <v>190</v>
      </c>
      <c r="G259" s="10">
        <v>1273667</v>
      </c>
      <c r="H259" s="8"/>
      <c r="I259" s="2"/>
      <c r="J259" s="8"/>
      <c r="K259" s="3"/>
    </row>
    <row r="260" spans="1:11">
      <c r="A260">
        <v>2021</v>
      </c>
      <c r="B260" s="9" t="s">
        <v>191</v>
      </c>
      <c r="C260" s="10">
        <v>124293</v>
      </c>
      <c r="D260" s="10"/>
      <c r="E260" s="27">
        <v>2020</v>
      </c>
      <c r="F260" s="9" t="s">
        <v>191</v>
      </c>
      <c r="G260" s="10">
        <v>116043</v>
      </c>
      <c r="H260" s="8"/>
      <c r="I260" s="2"/>
      <c r="J260" s="8"/>
      <c r="K260" s="3"/>
    </row>
    <row r="261" spans="1:11">
      <c r="A261">
        <v>2021</v>
      </c>
      <c r="B261" s="9" t="s">
        <v>192</v>
      </c>
      <c r="C261" s="10">
        <v>65128</v>
      </c>
      <c r="D261" s="10"/>
      <c r="E261" s="27">
        <v>2020</v>
      </c>
      <c r="F261" s="9" t="s">
        <v>192</v>
      </c>
      <c r="G261" s="10">
        <v>68257</v>
      </c>
      <c r="H261" s="8"/>
      <c r="I261" s="2"/>
      <c r="J261" s="8"/>
      <c r="K261" s="3"/>
    </row>
    <row r="262" spans="1:11">
      <c r="A262">
        <v>2021</v>
      </c>
      <c r="B262" s="9" t="s">
        <v>193</v>
      </c>
      <c r="C262" s="10">
        <v>23443</v>
      </c>
      <c r="D262" s="10"/>
      <c r="E262" s="27">
        <v>2020</v>
      </c>
      <c r="F262" s="9" t="s">
        <v>193</v>
      </c>
      <c r="G262" s="10">
        <v>28526</v>
      </c>
      <c r="H262" s="8"/>
      <c r="I262" s="2"/>
      <c r="J262" s="8"/>
      <c r="K262" s="3"/>
    </row>
    <row r="263" spans="1:11">
      <c r="A263">
        <v>2021</v>
      </c>
      <c r="B263" s="9" t="s">
        <v>194</v>
      </c>
      <c r="C263" s="10">
        <v>84780215</v>
      </c>
      <c r="D263" s="10"/>
      <c r="E263" s="27">
        <v>2020</v>
      </c>
      <c r="F263" s="9" t="s">
        <v>194</v>
      </c>
      <c r="G263" s="10">
        <v>82823532</v>
      </c>
      <c r="H263" s="8"/>
      <c r="I263" s="2"/>
      <c r="J263" s="8"/>
      <c r="K263" s="3"/>
    </row>
    <row r="264" spans="1:11">
      <c r="A264">
        <v>2021</v>
      </c>
      <c r="B264" s="9" t="s">
        <v>195</v>
      </c>
      <c r="C264" s="10">
        <v>74543</v>
      </c>
      <c r="D264" s="10"/>
      <c r="E264" s="27">
        <v>2020</v>
      </c>
      <c r="F264" s="9" t="s">
        <v>195</v>
      </c>
      <c r="G264" s="10">
        <v>77684</v>
      </c>
      <c r="H264" s="8"/>
      <c r="I264" s="2"/>
      <c r="J264" s="8"/>
      <c r="K264" s="3"/>
    </row>
    <row r="265" spans="1:11">
      <c r="A265">
        <v>2021</v>
      </c>
      <c r="B265" s="9" t="s">
        <v>196</v>
      </c>
      <c r="C265" s="10">
        <v>60024</v>
      </c>
      <c r="D265" s="10"/>
      <c r="E265" s="27">
        <v>2020</v>
      </c>
      <c r="F265" s="9" t="s">
        <v>196</v>
      </c>
      <c r="G265" s="10">
        <v>59718</v>
      </c>
      <c r="H265" s="8"/>
      <c r="I265" s="2"/>
      <c r="J265" s="8"/>
      <c r="K265" s="3"/>
    </row>
    <row r="266" spans="1:11">
      <c r="A266">
        <v>2021</v>
      </c>
      <c r="B266" s="9" t="s">
        <v>197</v>
      </c>
      <c r="C266" s="10">
        <v>3578851</v>
      </c>
      <c r="D266" s="10"/>
      <c r="E266" s="27">
        <v>2020</v>
      </c>
      <c r="F266" s="9" t="s">
        <v>197</v>
      </c>
      <c r="G266" s="10">
        <v>3666010</v>
      </c>
      <c r="H266" s="8"/>
      <c r="I266" s="2"/>
      <c r="J266" s="8"/>
      <c r="K266" s="3"/>
    </row>
    <row r="267" spans="1:11">
      <c r="A267">
        <v>2021</v>
      </c>
      <c r="B267" s="9" t="s">
        <v>198</v>
      </c>
      <c r="C267" s="10">
        <v>432012</v>
      </c>
      <c r="D267" s="10"/>
      <c r="E267" s="27">
        <v>2020</v>
      </c>
      <c r="F267" s="9" t="s">
        <v>198</v>
      </c>
      <c r="G267" s="10">
        <v>450017</v>
      </c>
      <c r="H267" s="8"/>
      <c r="I267" s="2"/>
      <c r="J267" s="8"/>
      <c r="K267" s="3"/>
    </row>
    <row r="268" spans="1:11">
      <c r="A268">
        <v>2021</v>
      </c>
      <c r="B268" s="9" t="s">
        <v>199</v>
      </c>
      <c r="C268" s="10">
        <v>77156</v>
      </c>
      <c r="D268" s="10"/>
      <c r="E268" s="27">
        <v>2020</v>
      </c>
      <c r="F268" s="9" t="s">
        <v>199</v>
      </c>
      <c r="G268" s="10">
        <v>82743</v>
      </c>
      <c r="H268" s="8"/>
      <c r="I268" s="2"/>
      <c r="J268" s="8"/>
      <c r="K268" s="3"/>
    </row>
    <row r="269" spans="1:11">
      <c r="A269">
        <v>2021</v>
      </c>
      <c r="B269" s="9" t="s">
        <v>200</v>
      </c>
      <c r="C269" s="10">
        <v>830069</v>
      </c>
      <c r="D269" s="10"/>
      <c r="E269" s="27">
        <v>2020</v>
      </c>
      <c r="F269" s="9" t="s">
        <v>200</v>
      </c>
      <c r="G269" s="10">
        <v>772187</v>
      </c>
      <c r="H269" s="8"/>
      <c r="I269" s="2"/>
      <c r="J269" s="8"/>
      <c r="K269" s="3"/>
    </row>
    <row r="270" spans="1:11">
      <c r="A270">
        <v>2021</v>
      </c>
      <c r="B270" s="9" t="s">
        <v>201</v>
      </c>
      <c r="C270" s="10">
        <v>1396681</v>
      </c>
      <c r="D270" s="10"/>
      <c r="E270" s="27">
        <v>2020</v>
      </c>
      <c r="F270" s="9" t="s">
        <v>201</v>
      </c>
      <c r="G270" s="10">
        <v>1330667</v>
      </c>
      <c r="H270" s="8"/>
      <c r="I270" s="2"/>
      <c r="J270" s="8"/>
      <c r="K270" s="3"/>
    </row>
    <row r="271" spans="1:11">
      <c r="A271">
        <v>2021</v>
      </c>
      <c r="B271" s="9" t="s">
        <v>202</v>
      </c>
      <c r="C271" s="10">
        <v>904124</v>
      </c>
      <c r="D271" s="10"/>
      <c r="E271" s="27">
        <v>2020</v>
      </c>
      <c r="F271" s="9" t="s">
        <v>202</v>
      </c>
      <c r="G271" s="10">
        <v>854539</v>
      </c>
      <c r="H271" s="8"/>
      <c r="I271" s="2"/>
      <c r="J271" s="8"/>
      <c r="K271" s="3"/>
    </row>
    <row r="272" spans="1:11">
      <c r="A272">
        <v>2021</v>
      </c>
      <c r="B272" s="9" t="s">
        <v>490</v>
      </c>
      <c r="E272" s="27">
        <v>2020</v>
      </c>
      <c r="F272" s="9" t="s">
        <v>490</v>
      </c>
      <c r="H272" s="8"/>
      <c r="I272" s="2"/>
      <c r="J272" s="8"/>
      <c r="K272" s="1"/>
    </row>
    <row r="273" spans="1:11">
      <c r="A273">
        <v>2021</v>
      </c>
      <c r="B273" s="9" t="s">
        <v>203</v>
      </c>
      <c r="C273" s="10">
        <v>117013</v>
      </c>
      <c r="D273" s="10"/>
      <c r="E273" s="27">
        <v>2020</v>
      </c>
      <c r="F273" s="9" t="s">
        <v>203</v>
      </c>
      <c r="G273" s="10">
        <v>116547</v>
      </c>
      <c r="H273" s="8"/>
      <c r="I273" s="2"/>
      <c r="J273" s="8"/>
      <c r="K273" s="3"/>
    </row>
    <row r="274" spans="1:11">
      <c r="A274">
        <v>2021</v>
      </c>
      <c r="B274" s="9" t="s">
        <v>204</v>
      </c>
      <c r="C274" s="10">
        <v>342081</v>
      </c>
      <c r="D274" s="10"/>
      <c r="E274" s="27">
        <v>2020</v>
      </c>
      <c r="F274" s="9" t="s">
        <v>204</v>
      </c>
      <c r="G274" s="10">
        <v>344853</v>
      </c>
      <c r="H274" s="8"/>
      <c r="I274" s="2"/>
      <c r="J274" s="8"/>
      <c r="K274" s="3"/>
    </row>
    <row r="275" spans="1:11">
      <c r="A275">
        <v>2021</v>
      </c>
      <c r="B275" s="9" t="s">
        <v>205</v>
      </c>
      <c r="C275" s="10">
        <v>3146</v>
      </c>
      <c r="D275" s="10"/>
      <c r="E275" s="27">
        <v>2020</v>
      </c>
      <c r="F275" s="9" t="s">
        <v>205</v>
      </c>
      <c r="G275" s="10">
        <v>3137</v>
      </c>
      <c r="H275" s="8"/>
      <c r="I275" s="2"/>
      <c r="J275" s="8"/>
      <c r="K275" s="3"/>
    </row>
    <row r="276" spans="1:11">
      <c r="A276">
        <v>2021</v>
      </c>
      <c r="B276" s="9" t="s">
        <v>206</v>
      </c>
      <c r="C276" s="10">
        <v>336320</v>
      </c>
      <c r="D276" s="10"/>
      <c r="E276" s="27">
        <v>2020</v>
      </c>
      <c r="F276" s="9" t="s">
        <v>206</v>
      </c>
      <c r="G276" s="10">
        <v>320981</v>
      </c>
      <c r="H276" s="8"/>
      <c r="I276" s="2"/>
      <c r="J276" s="8"/>
      <c r="K276" s="3"/>
    </row>
    <row r="277" spans="1:11">
      <c r="A277">
        <v>2021</v>
      </c>
      <c r="B277" s="9" t="s">
        <v>207</v>
      </c>
      <c r="C277" s="10">
        <v>308271</v>
      </c>
      <c r="D277" s="10"/>
      <c r="E277" s="27">
        <v>2020</v>
      </c>
      <c r="F277" s="9" t="s">
        <v>207</v>
      </c>
      <c r="G277" s="10">
        <v>271808</v>
      </c>
      <c r="H277" s="8"/>
      <c r="I277" s="2"/>
      <c r="J277" s="8"/>
      <c r="K277" s="3"/>
    </row>
    <row r="278" spans="1:11">
      <c r="A278">
        <v>2021</v>
      </c>
      <c r="B278" s="9" t="s">
        <v>208</v>
      </c>
      <c r="C278" s="10">
        <v>5080448</v>
      </c>
      <c r="D278" s="10"/>
      <c r="E278" s="27">
        <v>2020</v>
      </c>
      <c r="F278" s="9" t="s">
        <v>208</v>
      </c>
      <c r="G278" s="10">
        <v>4986559</v>
      </c>
      <c r="H278" s="8"/>
      <c r="I278" s="2"/>
      <c r="J278" s="8"/>
      <c r="K278" s="3"/>
    </row>
    <row r="279" spans="1:11">
      <c r="A279">
        <v>2021</v>
      </c>
      <c r="B279" s="9" t="s">
        <v>491</v>
      </c>
      <c r="E279" s="27">
        <v>2020</v>
      </c>
      <c r="F279" s="9" t="s">
        <v>491</v>
      </c>
      <c r="G279" s="10">
        <v>2358</v>
      </c>
      <c r="H279" s="8"/>
      <c r="I279" s="2"/>
      <c r="J279" s="8"/>
      <c r="K279" s="3"/>
    </row>
    <row r="280" spans="1:11">
      <c r="A280">
        <v>2021</v>
      </c>
      <c r="B280" s="9" t="s">
        <v>209</v>
      </c>
      <c r="C280" s="10">
        <v>47937</v>
      </c>
      <c r="D280" s="10"/>
      <c r="E280" s="27">
        <v>2020</v>
      </c>
      <c r="F280" s="9" t="s">
        <v>209</v>
      </c>
      <c r="G280" s="10">
        <v>56179</v>
      </c>
      <c r="H280" s="8"/>
      <c r="I280" s="2"/>
      <c r="J280" s="8"/>
      <c r="K280" s="3"/>
    </row>
    <row r="281" spans="1:11">
      <c r="A281">
        <v>2021</v>
      </c>
      <c r="B281" s="9" t="s">
        <v>210</v>
      </c>
      <c r="C281" s="10">
        <v>294277</v>
      </c>
      <c r="D281" s="10"/>
      <c r="E281" s="27">
        <v>2020</v>
      </c>
      <c r="F281" s="9" t="s">
        <v>210</v>
      </c>
      <c r="G281" s="10">
        <v>279297</v>
      </c>
      <c r="H281" s="8"/>
      <c r="I281" s="2"/>
      <c r="J281" s="8"/>
      <c r="K281" s="3"/>
    </row>
    <row r="282" spans="1:11">
      <c r="A282">
        <v>2021</v>
      </c>
      <c r="B282" s="9" t="s">
        <v>211</v>
      </c>
      <c r="C282" s="10">
        <v>27607</v>
      </c>
      <c r="D282" s="10"/>
      <c r="E282" s="27">
        <v>2020</v>
      </c>
      <c r="F282" s="9" t="s">
        <v>211</v>
      </c>
      <c r="G282" s="10">
        <v>26202</v>
      </c>
      <c r="H282" s="8"/>
      <c r="I282" s="2"/>
      <c r="J282" s="8"/>
      <c r="K282" s="3"/>
    </row>
    <row r="283" spans="1:11">
      <c r="A283">
        <v>2021</v>
      </c>
      <c r="B283" s="9" t="s">
        <v>212</v>
      </c>
      <c r="C283" s="10">
        <v>504924</v>
      </c>
      <c r="D283" s="10"/>
      <c r="E283" s="27">
        <v>2020</v>
      </c>
      <c r="F283" s="9" t="s">
        <v>212</v>
      </c>
      <c r="G283" s="10">
        <v>471574</v>
      </c>
      <c r="H283" s="8"/>
      <c r="I283" s="2"/>
      <c r="J283" s="8"/>
      <c r="K283" s="3"/>
    </row>
    <row r="284" spans="1:11">
      <c r="A284">
        <v>2021</v>
      </c>
      <c r="B284" s="9" t="s">
        <v>213</v>
      </c>
      <c r="C284" s="10">
        <v>438628</v>
      </c>
      <c r="D284" s="10"/>
      <c r="E284" s="27">
        <v>2020</v>
      </c>
      <c r="F284" s="9" t="s">
        <v>213</v>
      </c>
      <c r="G284" s="10">
        <v>423226</v>
      </c>
      <c r="H284" s="8"/>
      <c r="I284" s="2"/>
      <c r="J284" s="8"/>
      <c r="K284" s="3"/>
    </row>
    <row r="285" spans="1:11">
      <c r="A285">
        <v>2021</v>
      </c>
      <c r="B285" s="9" t="s">
        <v>214</v>
      </c>
      <c r="C285" s="10">
        <v>29951</v>
      </c>
      <c r="D285" s="10"/>
      <c r="E285" s="27">
        <v>2020</v>
      </c>
      <c r="F285" s="9" t="s">
        <v>214</v>
      </c>
      <c r="G285" s="10">
        <v>27460</v>
      </c>
      <c r="H285" s="8"/>
      <c r="I285" s="2"/>
      <c r="J285" s="8"/>
      <c r="K285" s="3"/>
    </row>
    <row r="286" spans="1:11">
      <c r="A286">
        <v>2021</v>
      </c>
      <c r="B286" s="9" t="s">
        <v>215</v>
      </c>
      <c r="C286" s="10">
        <v>188916</v>
      </c>
      <c r="D286" s="10"/>
      <c r="E286" s="27">
        <v>2020</v>
      </c>
      <c r="F286" s="9" t="s">
        <v>215</v>
      </c>
      <c r="G286" s="10">
        <v>166501</v>
      </c>
      <c r="H286" s="8"/>
      <c r="I286" s="2"/>
      <c r="J286" s="8"/>
      <c r="K286" s="3"/>
    </row>
    <row r="287" spans="1:11">
      <c r="A287">
        <v>2021</v>
      </c>
      <c r="B287" s="9" t="s">
        <v>216</v>
      </c>
      <c r="C287" s="10">
        <v>179643</v>
      </c>
      <c r="D287" s="10"/>
      <c r="E287" s="27">
        <v>2020</v>
      </c>
      <c r="F287" s="9" t="s">
        <v>216</v>
      </c>
      <c r="G287" s="10">
        <v>155734</v>
      </c>
      <c r="H287" s="8"/>
      <c r="I287" s="2"/>
      <c r="J287" s="8"/>
      <c r="K287" s="3"/>
    </row>
    <row r="288" spans="1:11">
      <c r="A288">
        <v>2021</v>
      </c>
      <c r="B288" s="9" t="s">
        <v>217</v>
      </c>
      <c r="C288" s="10">
        <v>242486</v>
      </c>
      <c r="D288" s="10"/>
      <c r="E288" s="27">
        <v>2020</v>
      </c>
      <c r="F288" s="9" t="s">
        <v>217</v>
      </c>
      <c r="G288" s="10">
        <v>225684</v>
      </c>
      <c r="H288" s="8"/>
      <c r="I288" s="2"/>
      <c r="J288" s="8"/>
      <c r="K288" s="3"/>
    </row>
    <row r="289" spans="1:11">
      <c r="A289">
        <v>2021</v>
      </c>
      <c r="B289" s="9" t="s">
        <v>218</v>
      </c>
      <c r="C289" s="10">
        <v>270883</v>
      </c>
      <c r="D289" s="10"/>
      <c r="E289" s="27">
        <v>2020</v>
      </c>
      <c r="F289" s="9" t="s">
        <v>218</v>
      </c>
      <c r="G289" s="10">
        <v>251764</v>
      </c>
      <c r="H289" s="8"/>
      <c r="I289" s="2"/>
      <c r="J289" s="8"/>
      <c r="K289" s="3"/>
    </row>
    <row r="290" spans="1:11">
      <c r="A290">
        <v>2021</v>
      </c>
      <c r="B290" s="9" t="s">
        <v>219</v>
      </c>
      <c r="C290" s="10">
        <v>235912</v>
      </c>
      <c r="D290" s="10"/>
      <c r="E290" s="27">
        <v>2020</v>
      </c>
      <c r="F290" s="9" t="s">
        <v>219</v>
      </c>
      <c r="G290" s="10">
        <v>213460</v>
      </c>
      <c r="H290" s="8"/>
      <c r="I290" s="2"/>
      <c r="J290" s="8"/>
      <c r="K290" s="3"/>
    </row>
    <row r="291" spans="1:11">
      <c r="A291">
        <v>2021</v>
      </c>
      <c r="B291" s="9" t="s">
        <v>220</v>
      </c>
      <c r="C291" s="10">
        <v>375360</v>
      </c>
      <c r="D291" s="10"/>
      <c r="E291" s="27">
        <v>2020</v>
      </c>
      <c r="F291" s="9" t="s">
        <v>220</v>
      </c>
      <c r="G291" s="10">
        <v>352579</v>
      </c>
      <c r="H291" s="8"/>
      <c r="I291" s="2"/>
      <c r="J291" s="8"/>
      <c r="K291" s="3"/>
    </row>
    <row r="292" spans="1:11">
      <c r="A292">
        <v>2021</v>
      </c>
      <c r="B292" s="9" t="s">
        <v>221</v>
      </c>
      <c r="C292" s="10">
        <v>70214</v>
      </c>
      <c r="D292" s="10"/>
      <c r="E292" s="27">
        <v>2020</v>
      </c>
      <c r="F292" s="9" t="s">
        <v>221</v>
      </c>
      <c r="G292" s="10">
        <v>74069</v>
      </c>
      <c r="H292" s="8"/>
      <c r="I292" s="2"/>
      <c r="J292" s="8"/>
      <c r="K292" s="3"/>
    </row>
    <row r="293" spans="1:11">
      <c r="A293">
        <v>2021</v>
      </c>
      <c r="B293" s="9" t="s">
        <v>222</v>
      </c>
      <c r="C293" s="10">
        <v>1994209</v>
      </c>
      <c r="D293" s="10"/>
      <c r="E293" s="27">
        <v>2020</v>
      </c>
      <c r="F293" s="9" t="s">
        <v>222</v>
      </c>
      <c r="G293" s="10">
        <v>1876010</v>
      </c>
      <c r="H293" s="8"/>
      <c r="I293" s="2"/>
      <c r="J293" s="8"/>
      <c r="K293" s="3"/>
    </row>
    <row r="294" spans="1:11">
      <c r="A294">
        <v>2021</v>
      </c>
      <c r="B294" s="9" t="s">
        <v>223</v>
      </c>
      <c r="C294" s="10">
        <v>627047</v>
      </c>
      <c r="D294" s="10"/>
      <c r="E294" s="27">
        <v>2020</v>
      </c>
      <c r="F294" s="9" t="s">
        <v>223</v>
      </c>
      <c r="G294" s="10">
        <v>583579</v>
      </c>
      <c r="H294" s="8"/>
      <c r="I294" s="2"/>
      <c r="J294" s="8"/>
      <c r="K294" s="3"/>
    </row>
    <row r="295" spans="1:11">
      <c r="A295">
        <v>2021</v>
      </c>
      <c r="B295" s="9" t="s">
        <v>224</v>
      </c>
      <c r="C295" s="10">
        <v>62303</v>
      </c>
      <c r="D295" s="10"/>
      <c r="E295" s="27">
        <v>2020</v>
      </c>
      <c r="F295" s="9" t="s">
        <v>224</v>
      </c>
      <c r="G295" s="10">
        <v>63509</v>
      </c>
      <c r="H295" s="8"/>
      <c r="I295" s="2"/>
      <c r="J295" s="8"/>
      <c r="K295" s="3"/>
    </row>
    <row r="296" spans="1:11">
      <c r="A296">
        <v>2021</v>
      </c>
      <c r="B296" s="9" t="s">
        <v>225</v>
      </c>
      <c r="C296" s="10">
        <v>141314</v>
      </c>
      <c r="D296" s="10"/>
      <c r="E296" s="27">
        <v>2020</v>
      </c>
      <c r="F296" s="9" t="s">
        <v>225</v>
      </c>
      <c r="G296" s="10">
        <v>138412</v>
      </c>
      <c r="H296" s="8"/>
      <c r="I296" s="2"/>
      <c r="J296" s="8"/>
      <c r="K296" s="3"/>
    </row>
    <row r="297" spans="1:11">
      <c r="A297">
        <v>2021</v>
      </c>
      <c r="B297" s="9" t="s">
        <v>226</v>
      </c>
      <c r="C297" s="10">
        <v>191097</v>
      </c>
      <c r="D297" s="10"/>
      <c r="E297" s="27">
        <v>2020</v>
      </c>
      <c r="F297" s="9" t="s">
        <v>226</v>
      </c>
      <c r="G297" s="10">
        <v>191644</v>
      </c>
      <c r="H297" s="8"/>
      <c r="I297" s="2"/>
      <c r="J297" s="8"/>
      <c r="K297" s="3"/>
    </row>
    <row r="298" spans="1:11">
      <c r="A298">
        <v>2021</v>
      </c>
      <c r="B298" s="9" t="s">
        <v>227</v>
      </c>
      <c r="C298" s="10">
        <v>600017</v>
      </c>
      <c r="D298" s="10"/>
      <c r="E298" s="27">
        <v>2020</v>
      </c>
      <c r="F298" s="9" t="s">
        <v>227</v>
      </c>
      <c r="G298" s="10">
        <v>587422</v>
      </c>
      <c r="H298" s="8"/>
      <c r="I298" s="2"/>
      <c r="J298" s="8"/>
      <c r="K298" s="3"/>
    </row>
    <row r="299" spans="1:11">
      <c r="A299">
        <v>2021</v>
      </c>
      <c r="B299" s="9" t="s">
        <v>228</v>
      </c>
      <c r="C299" s="10">
        <v>59442</v>
      </c>
      <c r="D299" s="10"/>
      <c r="E299" s="27">
        <v>2020</v>
      </c>
      <c r="F299" s="9" t="s">
        <v>228</v>
      </c>
      <c r="G299" s="10">
        <v>54334</v>
      </c>
      <c r="H299" s="8"/>
      <c r="I299" s="2"/>
      <c r="J299" s="8"/>
      <c r="K299" s="3"/>
    </row>
    <row r="300" spans="1:11">
      <c r="A300">
        <v>2021</v>
      </c>
      <c r="B300" s="9" t="s">
        <v>229</v>
      </c>
      <c r="C300" s="10">
        <v>174431</v>
      </c>
      <c r="D300" s="10"/>
      <c r="E300" s="27">
        <v>2020</v>
      </c>
      <c r="F300" s="9" t="s">
        <v>229</v>
      </c>
      <c r="G300" s="10">
        <v>169470</v>
      </c>
      <c r="H300" s="8"/>
      <c r="I300" s="2"/>
      <c r="J300" s="8"/>
      <c r="K300" s="3"/>
    </row>
    <row r="301" spans="1:11">
      <c r="A301">
        <v>2021</v>
      </c>
      <c r="B301" s="9" t="s">
        <v>230</v>
      </c>
      <c r="C301" s="10">
        <v>416579</v>
      </c>
      <c r="D301" s="10"/>
      <c r="E301" s="27">
        <v>2020</v>
      </c>
      <c r="F301" s="9" t="s">
        <v>230</v>
      </c>
      <c r="G301" s="10">
        <v>403285</v>
      </c>
      <c r="H301" s="14"/>
      <c r="I301" s="2"/>
      <c r="J301" s="14"/>
      <c r="K301" s="3"/>
    </row>
    <row r="302" spans="1:11">
      <c r="A302">
        <v>2021</v>
      </c>
      <c r="B302" s="9" t="s">
        <v>231</v>
      </c>
      <c r="C302" s="10">
        <v>275844</v>
      </c>
      <c r="D302" s="10"/>
      <c r="E302" s="27">
        <v>2020</v>
      </c>
      <c r="F302" s="9" t="s">
        <v>231</v>
      </c>
      <c r="G302" s="10">
        <v>264418</v>
      </c>
      <c r="H302" s="7"/>
      <c r="I302" s="2"/>
      <c r="J302" s="7"/>
      <c r="K302" s="1"/>
    </row>
    <row r="303" spans="1:11">
      <c r="A303">
        <v>2021</v>
      </c>
      <c r="B303" s="9" t="s">
        <v>232</v>
      </c>
      <c r="C303" s="10">
        <v>231078</v>
      </c>
      <c r="D303" s="10"/>
      <c r="E303" s="27">
        <v>2020</v>
      </c>
      <c r="F303" s="9" t="s">
        <v>232</v>
      </c>
      <c r="G303" s="10">
        <v>233090</v>
      </c>
      <c r="H303" s="7"/>
      <c r="I303" s="2"/>
      <c r="J303" s="7"/>
      <c r="K303" s="3"/>
    </row>
    <row r="304" spans="1:11">
      <c r="A304">
        <v>2021</v>
      </c>
      <c r="B304" s="9" t="s">
        <v>233</v>
      </c>
      <c r="C304" s="10">
        <v>180540</v>
      </c>
      <c r="D304" s="10"/>
      <c r="E304" s="27">
        <v>2020</v>
      </c>
      <c r="F304" s="9" t="s">
        <v>233</v>
      </c>
      <c r="G304" s="10">
        <v>192328</v>
      </c>
      <c r="H304" s="7"/>
      <c r="I304" s="2"/>
      <c r="J304" s="7"/>
      <c r="K304" s="3"/>
    </row>
    <row r="305" spans="1:11">
      <c r="A305">
        <v>2021</v>
      </c>
      <c r="B305" s="9" t="s">
        <v>234</v>
      </c>
      <c r="C305" s="10">
        <v>106318</v>
      </c>
      <c r="D305" s="10"/>
      <c r="E305" s="27">
        <v>2020</v>
      </c>
      <c r="F305" s="9" t="s">
        <v>234</v>
      </c>
      <c r="G305" s="10">
        <v>92896</v>
      </c>
      <c r="H305" s="7"/>
      <c r="I305" s="2"/>
      <c r="J305" s="7"/>
      <c r="K305" s="3"/>
    </row>
    <row r="306" spans="1:11">
      <c r="A306">
        <v>2021</v>
      </c>
      <c r="B306" s="9" t="s">
        <v>235</v>
      </c>
      <c r="C306" s="10">
        <v>57293</v>
      </c>
      <c r="D306" s="10"/>
      <c r="E306" s="27">
        <v>2020</v>
      </c>
      <c r="F306" s="9" t="s">
        <v>235</v>
      </c>
      <c r="G306" s="10">
        <v>63552</v>
      </c>
      <c r="H306" s="7"/>
      <c r="I306" s="2"/>
      <c r="J306" s="7"/>
      <c r="K306" s="3"/>
    </row>
    <row r="307" spans="1:11">
      <c r="A307">
        <v>2021</v>
      </c>
      <c r="B307" s="9" t="s">
        <v>236</v>
      </c>
      <c r="C307" s="10">
        <v>115855</v>
      </c>
      <c r="D307" s="10"/>
      <c r="E307" s="27">
        <v>2020</v>
      </c>
      <c r="F307" s="9" t="s">
        <v>236</v>
      </c>
      <c r="G307" s="10">
        <v>119021</v>
      </c>
      <c r="H307" s="7"/>
      <c r="I307" s="2"/>
      <c r="J307" s="7"/>
      <c r="K307" s="3"/>
    </row>
    <row r="308" spans="1:11">
      <c r="A308">
        <v>2021</v>
      </c>
      <c r="B308" s="9" t="s">
        <v>237</v>
      </c>
      <c r="C308" s="10">
        <v>84562</v>
      </c>
      <c r="D308" s="10"/>
      <c r="E308" s="27">
        <v>2020</v>
      </c>
      <c r="F308" s="9" t="s">
        <v>237</v>
      </c>
      <c r="G308" s="10">
        <v>61382</v>
      </c>
      <c r="H308" s="7"/>
      <c r="I308" s="2"/>
      <c r="J308" s="7"/>
      <c r="K308" s="3"/>
    </row>
    <row r="309" spans="1:11">
      <c r="A309">
        <v>2021</v>
      </c>
      <c r="B309" s="9" t="s">
        <v>238</v>
      </c>
      <c r="C309" s="10">
        <v>210068</v>
      </c>
      <c r="D309" s="10"/>
      <c r="E309" s="27">
        <v>2020</v>
      </c>
      <c r="F309" s="9" t="s">
        <v>238</v>
      </c>
      <c r="G309" s="10">
        <v>199867</v>
      </c>
      <c r="H309" s="7"/>
      <c r="I309" s="2"/>
      <c r="J309" s="7"/>
      <c r="K309" s="3"/>
    </row>
    <row r="310" spans="1:11">
      <c r="A310">
        <v>2021</v>
      </c>
      <c r="B310" s="9" t="s">
        <v>239</v>
      </c>
      <c r="C310" s="10">
        <v>276581</v>
      </c>
      <c r="D310" s="10"/>
      <c r="E310" s="27">
        <v>2020</v>
      </c>
      <c r="F310" s="9" t="s">
        <v>239</v>
      </c>
      <c r="G310" s="10">
        <v>222425</v>
      </c>
      <c r="H310" s="7"/>
      <c r="I310" s="2"/>
      <c r="J310" s="7"/>
      <c r="K310" s="3"/>
    </row>
    <row r="311" spans="1:11">
      <c r="A311">
        <v>2021</v>
      </c>
      <c r="B311" s="9" t="s">
        <v>240</v>
      </c>
      <c r="C311" s="10">
        <v>153831</v>
      </c>
      <c r="D311" s="10"/>
      <c r="E311" s="27">
        <v>2020</v>
      </c>
      <c r="F311" s="9" t="s">
        <v>240</v>
      </c>
      <c r="G311" s="10">
        <v>158192</v>
      </c>
      <c r="H311" s="7"/>
      <c r="I311" s="2"/>
      <c r="J311" s="7"/>
      <c r="K311" s="3"/>
    </row>
    <row r="312" spans="1:11">
      <c r="A312">
        <v>2021</v>
      </c>
      <c r="B312" s="9" t="s">
        <v>241</v>
      </c>
      <c r="C312" s="10">
        <v>102286</v>
      </c>
      <c r="D312" s="10"/>
      <c r="E312" s="27">
        <v>2020</v>
      </c>
      <c r="F312" s="9" t="s">
        <v>241</v>
      </c>
      <c r="G312" s="10">
        <v>103010</v>
      </c>
      <c r="H312" s="7"/>
      <c r="I312" s="2"/>
      <c r="J312" s="7"/>
      <c r="K312" s="3"/>
    </row>
    <row r="313" spans="1:11">
      <c r="A313">
        <v>2021</v>
      </c>
      <c r="B313" s="9" t="s">
        <v>242</v>
      </c>
      <c r="C313" s="10">
        <v>4578</v>
      </c>
      <c r="D313" s="10"/>
      <c r="E313" s="27">
        <v>2020</v>
      </c>
      <c r="F313" s="9" t="s">
        <v>242</v>
      </c>
      <c r="G313" s="10">
        <v>4512</v>
      </c>
      <c r="H313" s="7"/>
      <c r="I313" s="2"/>
      <c r="J313" s="7"/>
      <c r="K313" s="3"/>
    </row>
    <row r="314" spans="1:11">
      <c r="A314">
        <v>2021</v>
      </c>
      <c r="B314" s="9" t="s">
        <v>243</v>
      </c>
      <c r="C314" s="10">
        <v>158530</v>
      </c>
      <c r="D314" s="10"/>
      <c r="E314" s="27">
        <v>2020</v>
      </c>
      <c r="F314" s="9" t="s">
        <v>243</v>
      </c>
      <c r="G314" s="10">
        <v>164002</v>
      </c>
      <c r="H314" s="7"/>
      <c r="I314" s="2"/>
      <c r="J314" s="7"/>
      <c r="K314" s="3"/>
    </row>
    <row r="315" spans="1:11">
      <c r="A315">
        <v>2021</v>
      </c>
      <c r="B315" s="9" t="s">
        <v>244</v>
      </c>
      <c r="C315" s="10">
        <v>859476</v>
      </c>
      <c r="D315" s="10"/>
      <c r="E315" s="27">
        <v>2020</v>
      </c>
      <c r="F315" s="9" t="s">
        <v>244</v>
      </c>
      <c r="G315" s="10">
        <v>805449</v>
      </c>
      <c r="H315" s="7"/>
      <c r="I315" s="2"/>
      <c r="J315" s="7"/>
      <c r="K315" s="3"/>
    </row>
    <row r="316" spans="1:11">
      <c r="A316">
        <v>2021</v>
      </c>
      <c r="B316" s="9" t="s">
        <v>245</v>
      </c>
      <c r="C316" s="10">
        <v>25928</v>
      </c>
      <c r="D316" s="10"/>
      <c r="E316" s="27">
        <v>2020</v>
      </c>
      <c r="F316" s="9" t="s">
        <v>245</v>
      </c>
      <c r="G316" s="10">
        <v>23515</v>
      </c>
      <c r="H316" s="7"/>
      <c r="I316" s="2"/>
      <c r="J316" s="7"/>
      <c r="K316" s="3"/>
    </row>
    <row r="317" spans="1:11">
      <c r="A317">
        <v>2021</v>
      </c>
      <c r="B317" s="9" t="s">
        <v>246</v>
      </c>
      <c r="C317" s="10">
        <v>4454</v>
      </c>
      <c r="D317" s="10"/>
      <c r="E317" s="27">
        <v>2020</v>
      </c>
      <c r="F317" s="9" t="s">
        <v>246</v>
      </c>
      <c r="G317" s="10">
        <v>6030</v>
      </c>
      <c r="H317" s="7"/>
      <c r="I317" s="2"/>
      <c r="J317" s="7"/>
      <c r="K317" s="3"/>
    </row>
    <row r="318" spans="1:11">
      <c r="A318">
        <v>2021</v>
      </c>
      <c r="B318" s="9" t="s">
        <v>247</v>
      </c>
      <c r="C318" s="10">
        <v>94651</v>
      </c>
      <c r="D318" s="10"/>
      <c r="E318" s="27">
        <v>2020</v>
      </c>
      <c r="F318" s="9" t="s">
        <v>247</v>
      </c>
      <c r="G318" s="10">
        <v>98751</v>
      </c>
      <c r="H318" s="7"/>
      <c r="I318" s="2"/>
      <c r="J318" s="7"/>
      <c r="K318" s="3"/>
    </row>
    <row r="319" spans="1:11">
      <c r="A319">
        <v>2021</v>
      </c>
      <c r="B319" s="9" t="s">
        <v>248</v>
      </c>
      <c r="C319" s="10">
        <v>194677</v>
      </c>
      <c r="D319" s="10"/>
      <c r="E319" s="27">
        <v>2020</v>
      </c>
      <c r="F319" s="9" t="s">
        <v>248</v>
      </c>
      <c r="G319" s="10">
        <v>200741</v>
      </c>
      <c r="H319" s="7"/>
      <c r="I319" s="2"/>
      <c r="J319" s="7"/>
      <c r="K319" s="3"/>
    </row>
    <row r="320" spans="1:11">
      <c r="A320">
        <v>2021</v>
      </c>
      <c r="B320" s="9" t="s">
        <v>249</v>
      </c>
      <c r="C320" s="10">
        <v>29639</v>
      </c>
      <c r="D320" s="10"/>
      <c r="E320" s="27">
        <v>2020</v>
      </c>
      <c r="F320" s="9" t="s">
        <v>249</v>
      </c>
      <c r="G320" s="10">
        <v>23005</v>
      </c>
      <c r="H320" s="7"/>
      <c r="I320" s="2"/>
      <c r="J320" s="7"/>
      <c r="K320" s="3"/>
    </row>
    <row r="321" spans="1:11">
      <c r="A321">
        <v>2021</v>
      </c>
      <c r="B321" s="9" t="s">
        <v>250</v>
      </c>
      <c r="C321" s="10">
        <v>3831884</v>
      </c>
      <c r="D321" s="10"/>
      <c r="E321" s="27">
        <v>2020</v>
      </c>
      <c r="F321" s="9" t="s">
        <v>250</v>
      </c>
      <c r="G321" s="10">
        <v>3670011</v>
      </c>
      <c r="H321" s="7"/>
      <c r="I321" s="2"/>
      <c r="J321" s="7"/>
      <c r="K321" s="3"/>
    </row>
    <row r="322" spans="1:11">
      <c r="A322">
        <v>2021</v>
      </c>
      <c r="B322" s="9" t="s">
        <v>251</v>
      </c>
      <c r="C322" s="10">
        <v>9530</v>
      </c>
      <c r="D322" s="10"/>
      <c r="E322" s="27">
        <v>2020</v>
      </c>
      <c r="F322" s="9" t="s">
        <v>251</v>
      </c>
      <c r="G322" s="10">
        <v>6001</v>
      </c>
      <c r="H322" s="7"/>
      <c r="I322" s="2"/>
      <c r="J322" s="7"/>
      <c r="K322" s="3"/>
    </row>
    <row r="323" spans="1:11">
      <c r="A323">
        <v>2021</v>
      </c>
      <c r="B323" s="9" t="s">
        <v>252</v>
      </c>
      <c r="C323" s="10">
        <v>84227</v>
      </c>
      <c r="D323" s="10"/>
      <c r="E323" s="27">
        <v>2020</v>
      </c>
      <c r="F323" s="9" t="s">
        <v>252</v>
      </c>
      <c r="G323" s="10">
        <v>76947</v>
      </c>
      <c r="H323" s="7"/>
      <c r="I323" s="2"/>
      <c r="J323" s="7"/>
      <c r="K323" s="3"/>
    </row>
    <row r="324" spans="1:11">
      <c r="A324">
        <v>2021</v>
      </c>
      <c r="B324" s="9" t="s">
        <v>253</v>
      </c>
      <c r="C324" s="10">
        <v>112410</v>
      </c>
      <c r="D324" s="10"/>
      <c r="E324" s="27">
        <v>2020</v>
      </c>
      <c r="F324" s="9" t="s">
        <v>253</v>
      </c>
      <c r="G324" s="10">
        <v>108504</v>
      </c>
      <c r="H324" s="7"/>
      <c r="I324" s="2"/>
      <c r="J324" s="7"/>
      <c r="K324" s="3"/>
    </row>
    <row r="325" spans="1:11">
      <c r="A325">
        <v>2021</v>
      </c>
      <c r="B325" s="9" t="s">
        <v>254</v>
      </c>
      <c r="C325" s="10">
        <v>1330693</v>
      </c>
      <c r="D325" s="10"/>
      <c r="E325" s="27">
        <v>2020</v>
      </c>
      <c r="F325" s="9" t="s">
        <v>254</v>
      </c>
      <c r="G325" s="10">
        <v>1294821</v>
      </c>
      <c r="H325" s="7"/>
      <c r="I325" s="2"/>
      <c r="J325" s="7"/>
      <c r="K325" s="3"/>
    </row>
    <row r="326" spans="1:11">
      <c r="A326">
        <v>2021</v>
      </c>
      <c r="B326" s="9" t="s">
        <v>255</v>
      </c>
      <c r="C326" s="10">
        <v>113183</v>
      </c>
      <c r="D326" s="10"/>
      <c r="E326" s="27">
        <v>2020</v>
      </c>
      <c r="F326" s="9" t="s">
        <v>255</v>
      </c>
      <c r="G326" s="10">
        <v>104396</v>
      </c>
      <c r="H326" s="7"/>
      <c r="I326" s="2"/>
      <c r="J326" s="7"/>
      <c r="K326" s="3"/>
    </row>
    <row r="327" spans="1:11">
      <c r="A327">
        <v>2021</v>
      </c>
      <c r="B327" s="9" t="s">
        <v>256</v>
      </c>
      <c r="C327" s="10">
        <v>16123</v>
      </c>
      <c r="D327" s="10"/>
      <c r="E327" s="27">
        <v>2020</v>
      </c>
      <c r="F327" s="9" t="s">
        <v>256</v>
      </c>
      <c r="G327" s="10">
        <v>29119</v>
      </c>
      <c r="H327" s="7"/>
      <c r="I327" s="2"/>
      <c r="J327" s="7"/>
      <c r="K327" s="3"/>
    </row>
    <row r="328" spans="1:11">
      <c r="A328">
        <v>2021</v>
      </c>
      <c r="B328" s="9" t="s">
        <v>257</v>
      </c>
      <c r="C328" s="10">
        <v>265198</v>
      </c>
      <c r="D328" s="10"/>
      <c r="E328" s="27">
        <v>2020</v>
      </c>
      <c r="F328" s="9" t="s">
        <v>257</v>
      </c>
      <c r="G328" s="10">
        <v>256842</v>
      </c>
      <c r="H328" s="7"/>
      <c r="I328" s="2"/>
      <c r="J328" s="7"/>
      <c r="K328" s="3"/>
    </row>
    <row r="329" spans="1:11">
      <c r="A329">
        <v>2021</v>
      </c>
      <c r="B329" s="9" t="s">
        <v>258</v>
      </c>
      <c r="C329" s="10">
        <v>577223</v>
      </c>
      <c r="D329" s="10"/>
      <c r="E329" s="27">
        <v>2020</v>
      </c>
      <c r="F329" s="9" t="s">
        <v>258</v>
      </c>
      <c r="G329" s="10">
        <v>547209</v>
      </c>
      <c r="H329" s="7"/>
      <c r="I329" s="2"/>
      <c r="J329" s="7"/>
      <c r="K329" s="3"/>
    </row>
    <row r="330" spans="1:11">
      <c r="A330">
        <v>2021</v>
      </c>
      <c r="B330" s="9" t="s">
        <v>259</v>
      </c>
      <c r="C330" s="10">
        <v>197316</v>
      </c>
      <c r="D330" s="10"/>
      <c r="E330" s="27">
        <v>2020</v>
      </c>
      <c r="F330" s="9" t="s">
        <v>259</v>
      </c>
      <c r="G330" s="10">
        <v>193812</v>
      </c>
      <c r="H330" s="7"/>
      <c r="I330" s="2"/>
      <c r="J330" s="7"/>
      <c r="K330" s="3"/>
    </row>
    <row r="331" spans="1:11">
      <c r="A331">
        <v>2021</v>
      </c>
      <c r="B331" s="9" t="s">
        <v>260</v>
      </c>
      <c r="C331" s="10">
        <v>1625983</v>
      </c>
      <c r="D331" s="10"/>
      <c r="E331" s="27">
        <v>2020</v>
      </c>
      <c r="F331" s="9" t="s">
        <v>260</v>
      </c>
      <c r="G331" s="10">
        <v>1606136</v>
      </c>
      <c r="H331" s="7"/>
      <c r="I331" s="2"/>
      <c r="J331" s="7"/>
      <c r="K331" s="3"/>
    </row>
    <row r="332" spans="1:11">
      <c r="A332">
        <v>2021</v>
      </c>
      <c r="B332" s="9" t="s">
        <v>261</v>
      </c>
      <c r="C332" s="10">
        <v>212649</v>
      </c>
      <c r="D332" s="10"/>
      <c r="E332" s="27">
        <v>2020</v>
      </c>
      <c r="F332" s="9" t="s">
        <v>261</v>
      </c>
      <c r="G332" s="10">
        <v>216082</v>
      </c>
      <c r="H332" s="7"/>
      <c r="I332" s="2"/>
      <c r="J332" s="7"/>
      <c r="K332" s="3"/>
    </row>
    <row r="333" spans="1:11">
      <c r="A333">
        <v>2021</v>
      </c>
      <c r="B333" s="9" t="s">
        <v>262</v>
      </c>
      <c r="C333" s="10">
        <v>89737</v>
      </c>
      <c r="D333" s="10"/>
      <c r="E333" s="27">
        <v>2020</v>
      </c>
      <c r="F333" s="9" t="s">
        <v>262</v>
      </c>
      <c r="G333" s="10">
        <v>83023</v>
      </c>
      <c r="H333" s="7"/>
      <c r="I333" s="2"/>
      <c r="J333" s="7"/>
      <c r="K333" s="3"/>
    </row>
    <row r="334" spans="1:11">
      <c r="A334">
        <v>2021</v>
      </c>
      <c r="B334" s="9" t="s">
        <v>263</v>
      </c>
      <c r="C334" s="10">
        <v>24379</v>
      </c>
      <c r="D334" s="10"/>
      <c r="E334" s="27">
        <v>2020</v>
      </c>
      <c r="F334" s="9" t="s">
        <v>263</v>
      </c>
      <c r="G334" s="10">
        <v>23814</v>
      </c>
      <c r="H334" s="7"/>
      <c r="I334" s="2"/>
      <c r="J334" s="7"/>
      <c r="K334" s="3"/>
    </row>
    <row r="335" spans="1:11">
      <c r="A335">
        <v>2021</v>
      </c>
      <c r="B335" s="9" t="s">
        <v>264</v>
      </c>
      <c r="C335" s="10">
        <v>55391</v>
      </c>
      <c r="D335" s="10"/>
      <c r="E335" s="27">
        <v>2020</v>
      </c>
      <c r="F335" s="9" t="s">
        <v>264</v>
      </c>
      <c r="G335" s="10">
        <v>51061</v>
      </c>
      <c r="H335" s="7"/>
      <c r="I335" s="2"/>
      <c r="J335" s="7"/>
      <c r="K335" s="3"/>
    </row>
    <row r="336" spans="1:11">
      <c r="A336">
        <v>2021</v>
      </c>
      <c r="B336" s="9" t="s">
        <v>265</v>
      </c>
      <c r="C336" s="10">
        <v>44355</v>
      </c>
      <c r="D336" s="10"/>
      <c r="E336" s="27">
        <v>2020</v>
      </c>
      <c r="F336" s="9" t="s">
        <v>265</v>
      </c>
      <c r="G336" s="10">
        <v>39697</v>
      </c>
      <c r="H336" s="7"/>
      <c r="I336" s="2"/>
      <c r="J336" s="7"/>
      <c r="K336" s="3"/>
    </row>
    <row r="337" spans="1:11">
      <c r="A337">
        <v>2021</v>
      </c>
      <c r="B337" s="9" t="s">
        <v>267</v>
      </c>
      <c r="C337" s="10">
        <v>922984</v>
      </c>
      <c r="D337" s="10"/>
      <c r="E337" s="27">
        <v>2020</v>
      </c>
      <c r="F337" s="9" t="s">
        <v>267</v>
      </c>
      <c r="G337" s="10">
        <v>841134</v>
      </c>
      <c r="H337" s="7"/>
      <c r="I337" s="2"/>
      <c r="J337" s="7"/>
      <c r="K337" s="3"/>
    </row>
    <row r="338" spans="1:11">
      <c r="A338">
        <v>2021</v>
      </c>
      <c r="B338" s="9" t="s">
        <v>268</v>
      </c>
      <c r="C338" s="10">
        <v>201706</v>
      </c>
      <c r="D338" s="10"/>
      <c r="E338" s="27">
        <v>2020</v>
      </c>
      <c r="F338" s="9" t="s">
        <v>268</v>
      </c>
      <c r="G338" s="10">
        <v>187538</v>
      </c>
      <c r="H338" s="7"/>
      <c r="I338" s="2"/>
      <c r="J338" s="7"/>
      <c r="K338" s="3"/>
    </row>
    <row r="339" spans="1:11">
      <c r="A339">
        <v>2021</v>
      </c>
      <c r="B339" s="9" t="s">
        <v>269</v>
      </c>
      <c r="C339" s="10">
        <v>1466614</v>
      </c>
      <c r="D339" s="10"/>
      <c r="E339" s="27">
        <v>2020</v>
      </c>
      <c r="F339" s="9" t="s">
        <v>269</v>
      </c>
      <c r="G339" s="10">
        <v>1332897</v>
      </c>
      <c r="H339" s="7"/>
      <c r="I339" s="2"/>
      <c r="J339" s="7"/>
      <c r="K339" s="3"/>
    </row>
    <row r="340" spans="1:11">
      <c r="A340">
        <v>2021</v>
      </c>
      <c r="B340" s="9" t="s">
        <v>270</v>
      </c>
      <c r="C340" s="10">
        <v>284591</v>
      </c>
      <c r="D340" s="10"/>
      <c r="E340" s="27">
        <v>2020</v>
      </c>
      <c r="F340" s="9" t="s">
        <v>270</v>
      </c>
      <c r="G340" s="10">
        <v>269860</v>
      </c>
      <c r="H340" s="7"/>
      <c r="I340" s="2"/>
      <c r="J340" s="7"/>
      <c r="K340" s="3"/>
    </row>
    <row r="341" spans="1:11">
      <c r="A341">
        <v>2021</v>
      </c>
      <c r="B341" s="9" t="s">
        <v>271</v>
      </c>
      <c r="C341" s="10">
        <v>17985</v>
      </c>
      <c r="D341" s="10"/>
      <c r="E341" s="27">
        <v>2020</v>
      </c>
      <c r="F341" s="9" t="s">
        <v>271</v>
      </c>
      <c r="G341" s="10">
        <v>17006</v>
      </c>
      <c r="H341" s="7"/>
      <c r="I341" s="2"/>
      <c r="J341" s="7"/>
      <c r="K341" s="3"/>
    </row>
    <row r="342" spans="1:11">
      <c r="A342">
        <v>2021</v>
      </c>
      <c r="B342" s="9" t="s">
        <v>272</v>
      </c>
      <c r="C342" s="10">
        <v>50329</v>
      </c>
      <c r="D342" s="10"/>
      <c r="E342" s="27">
        <v>2020</v>
      </c>
      <c r="F342" s="9" t="s">
        <v>272</v>
      </c>
      <c r="G342" s="10">
        <v>48129</v>
      </c>
      <c r="H342" s="7"/>
      <c r="I342" s="2"/>
      <c r="J342" s="7"/>
      <c r="K342" s="3"/>
    </row>
    <row r="343" spans="1:11">
      <c r="A343">
        <v>2021</v>
      </c>
      <c r="B343" s="9" t="s">
        <v>273</v>
      </c>
      <c r="C343" s="10">
        <v>158837</v>
      </c>
      <c r="D343" s="10"/>
      <c r="E343" s="27">
        <v>2020</v>
      </c>
      <c r="F343" s="9" t="s">
        <v>273</v>
      </c>
      <c r="G343" s="10">
        <v>138071</v>
      </c>
      <c r="H343" s="7"/>
      <c r="I343" s="2"/>
      <c r="J343" s="7"/>
      <c r="K343" s="3"/>
    </row>
    <row r="344" spans="1:11">
      <c r="A344">
        <v>2021</v>
      </c>
      <c r="B344" s="9" t="s">
        <v>274</v>
      </c>
      <c r="C344" s="10">
        <v>82984</v>
      </c>
      <c r="D344" s="10"/>
      <c r="E344" s="27">
        <v>2020</v>
      </c>
      <c r="F344" s="9" t="s">
        <v>274</v>
      </c>
      <c r="G344" s="10">
        <v>89834</v>
      </c>
      <c r="H344" s="7"/>
      <c r="I344" s="2"/>
      <c r="J344" s="7"/>
      <c r="K344" s="3"/>
    </row>
    <row r="345" spans="1:11">
      <c r="A345">
        <v>2021</v>
      </c>
      <c r="B345" s="9" t="s">
        <v>275</v>
      </c>
      <c r="C345" s="10">
        <v>266993</v>
      </c>
      <c r="D345" s="10"/>
      <c r="E345" s="27">
        <v>2020</v>
      </c>
      <c r="F345" s="9" t="s">
        <v>275</v>
      </c>
      <c r="G345" s="10">
        <v>242772</v>
      </c>
      <c r="H345" s="7"/>
      <c r="I345" s="2"/>
      <c r="J345" s="7"/>
      <c r="K345" s="3"/>
    </row>
    <row r="346" spans="1:11">
      <c r="A346">
        <v>2021</v>
      </c>
      <c r="B346" s="9" t="s">
        <v>276</v>
      </c>
      <c r="C346" s="10">
        <v>120007</v>
      </c>
      <c r="D346" s="10"/>
      <c r="E346" s="27">
        <v>2020</v>
      </c>
      <c r="F346" s="9" t="s">
        <v>276</v>
      </c>
      <c r="G346" s="10">
        <v>112035</v>
      </c>
      <c r="H346" s="7"/>
      <c r="I346" s="2"/>
      <c r="J346" s="7"/>
      <c r="K346" s="3"/>
    </row>
    <row r="347" spans="1:11">
      <c r="A347">
        <v>2021</v>
      </c>
      <c r="B347" s="9" t="s">
        <v>277</v>
      </c>
      <c r="C347" s="10">
        <v>10476</v>
      </c>
      <c r="D347" s="10"/>
      <c r="E347" s="27">
        <v>2020</v>
      </c>
      <c r="F347" s="9" t="s">
        <v>277</v>
      </c>
      <c r="G347" s="10">
        <v>10369</v>
      </c>
      <c r="H347" s="7"/>
      <c r="I347" s="2"/>
      <c r="J347" s="7"/>
      <c r="K347" s="3"/>
    </row>
    <row r="348" spans="1:11">
      <c r="A348">
        <v>2021</v>
      </c>
      <c r="B348" s="9" t="s">
        <v>278</v>
      </c>
      <c r="C348" s="10">
        <v>425226</v>
      </c>
      <c r="D348" s="10"/>
      <c r="E348" s="27">
        <v>2020</v>
      </c>
      <c r="F348" s="9" t="s">
        <v>278</v>
      </c>
      <c r="G348" s="10">
        <v>381438</v>
      </c>
      <c r="H348" s="7"/>
      <c r="I348" s="2"/>
      <c r="J348" s="7"/>
      <c r="K348" s="3"/>
    </row>
    <row r="349" spans="1:11">
      <c r="A349">
        <v>2021</v>
      </c>
      <c r="B349" s="9" t="s">
        <v>279</v>
      </c>
      <c r="C349" s="10">
        <v>2345448</v>
      </c>
      <c r="D349" s="10"/>
      <c r="E349" s="27">
        <v>2020</v>
      </c>
      <c r="F349" s="9" t="s">
        <v>279</v>
      </c>
      <c r="G349" s="10">
        <v>2231456</v>
      </c>
      <c r="H349" s="7"/>
      <c r="I349" s="2"/>
      <c r="J349" s="7"/>
      <c r="K349" s="3"/>
    </row>
    <row r="350" spans="1:11">
      <c r="A350">
        <v>2021</v>
      </c>
      <c r="B350" s="9" t="s">
        <v>280</v>
      </c>
      <c r="C350" s="10">
        <v>160016</v>
      </c>
      <c r="D350" s="10"/>
      <c r="E350" s="27">
        <v>2020</v>
      </c>
      <c r="F350" s="9" t="s">
        <v>280</v>
      </c>
      <c r="G350" s="10">
        <v>118039</v>
      </c>
      <c r="H350" s="7"/>
      <c r="I350" s="2"/>
      <c r="J350" s="7"/>
      <c r="K350" s="3"/>
    </row>
    <row r="351" spans="1:11">
      <c r="A351">
        <v>2021</v>
      </c>
      <c r="B351" s="9" t="s">
        <v>281</v>
      </c>
      <c r="C351" s="10">
        <v>43191</v>
      </c>
      <c r="D351" s="10"/>
      <c r="E351" s="27">
        <v>2020</v>
      </c>
      <c r="F351" s="9" t="s">
        <v>281</v>
      </c>
      <c r="G351" s="10">
        <v>51405</v>
      </c>
      <c r="H351" s="8"/>
      <c r="I351" s="2"/>
      <c r="J351" s="8"/>
      <c r="K351" s="3"/>
    </row>
    <row r="352" spans="1:11">
      <c r="A352">
        <v>2021</v>
      </c>
      <c r="B352" s="9" t="s">
        <v>282</v>
      </c>
      <c r="C352" s="10">
        <v>1624816</v>
      </c>
      <c r="D352" s="10"/>
      <c r="E352" s="27">
        <v>2020</v>
      </c>
      <c r="F352" s="9" t="s">
        <v>282</v>
      </c>
      <c r="G352" s="10">
        <v>1503744</v>
      </c>
      <c r="H352" s="7"/>
      <c r="I352" s="2"/>
      <c r="J352" s="7"/>
      <c r="K352" s="1"/>
    </row>
    <row r="353" spans="1:11">
      <c r="A353">
        <v>2021</v>
      </c>
      <c r="B353" s="9" t="s">
        <v>283</v>
      </c>
      <c r="C353" s="10">
        <v>18818</v>
      </c>
      <c r="D353" s="10"/>
      <c r="E353" s="27">
        <v>2020</v>
      </c>
      <c r="F353" s="9" t="s">
        <v>283</v>
      </c>
      <c r="G353" s="10">
        <v>14929</v>
      </c>
      <c r="H353" s="7"/>
      <c r="I353" s="2"/>
      <c r="J353" s="7"/>
      <c r="K353" s="3"/>
    </row>
    <row r="354" spans="1:11">
      <c r="A354">
        <v>2021</v>
      </c>
      <c r="B354" s="9" t="s">
        <v>284</v>
      </c>
      <c r="C354" s="10">
        <v>148320</v>
      </c>
      <c r="D354" s="10"/>
      <c r="E354" s="27">
        <v>2020</v>
      </c>
      <c r="F354" s="9" t="s">
        <v>284</v>
      </c>
      <c r="G354" s="10">
        <v>156216</v>
      </c>
      <c r="H354" s="7"/>
      <c r="I354" s="2"/>
      <c r="J354" s="7"/>
      <c r="K354" s="3"/>
    </row>
    <row r="355" spans="1:11">
      <c r="A355">
        <v>2021</v>
      </c>
      <c r="B355" s="9" t="s">
        <v>285</v>
      </c>
      <c r="C355" s="10">
        <v>24411</v>
      </c>
      <c r="D355" s="10"/>
      <c r="E355" s="27">
        <v>2020</v>
      </c>
      <c r="F355" s="9" t="s">
        <v>285</v>
      </c>
      <c r="G355" s="10">
        <v>24056</v>
      </c>
      <c r="H355" s="7"/>
      <c r="I355" s="2"/>
      <c r="J355" s="7"/>
      <c r="K355" s="3"/>
    </row>
    <row r="356" spans="1:11">
      <c r="A356">
        <v>2021</v>
      </c>
      <c r="B356" s="9" t="s">
        <v>286</v>
      </c>
      <c r="C356" s="10">
        <v>342182</v>
      </c>
      <c r="D356" s="10"/>
      <c r="E356" s="27">
        <v>2020</v>
      </c>
      <c r="F356" s="9" t="s">
        <v>286</v>
      </c>
      <c r="G356" s="10">
        <v>298282</v>
      </c>
      <c r="H356" s="7"/>
      <c r="I356" s="2"/>
      <c r="J356" s="7"/>
      <c r="K356" s="3"/>
    </row>
    <row r="357" spans="1:11">
      <c r="A357">
        <v>2021</v>
      </c>
      <c r="B357" s="9" t="s">
        <v>287</v>
      </c>
      <c r="C357" s="10">
        <v>309568</v>
      </c>
      <c r="D357" s="10"/>
      <c r="E357" s="27">
        <v>2020</v>
      </c>
      <c r="F357" s="9" t="s">
        <v>287</v>
      </c>
      <c r="G357" s="10">
        <v>317327</v>
      </c>
      <c r="H357" s="7"/>
      <c r="I357" s="2"/>
      <c r="J357" s="7"/>
      <c r="K357" s="3"/>
    </row>
    <row r="358" spans="1:11">
      <c r="A358">
        <v>2021</v>
      </c>
      <c r="B358" s="9" t="s">
        <v>288</v>
      </c>
      <c r="C358" s="10">
        <v>206385</v>
      </c>
      <c r="D358" s="10"/>
      <c r="E358" s="27">
        <v>2020</v>
      </c>
      <c r="F358" s="9" t="s">
        <v>288</v>
      </c>
      <c r="G358" s="10">
        <v>186040</v>
      </c>
      <c r="H358" s="7"/>
      <c r="I358" s="2"/>
      <c r="J358" s="7"/>
      <c r="K358" s="3"/>
    </row>
    <row r="359" spans="1:11">
      <c r="A359">
        <v>2021</v>
      </c>
      <c r="B359" s="9" t="s">
        <v>289</v>
      </c>
      <c r="C359" s="10">
        <v>143067</v>
      </c>
      <c r="D359" s="10"/>
      <c r="E359" s="27">
        <v>2020</v>
      </c>
      <c r="F359" s="9" t="s">
        <v>289</v>
      </c>
      <c r="G359" s="10">
        <v>134433</v>
      </c>
      <c r="H359" s="7"/>
      <c r="I359" s="2"/>
      <c r="J359" s="7"/>
      <c r="K359" s="3"/>
    </row>
    <row r="360" spans="1:11">
      <c r="A360">
        <v>2021</v>
      </c>
      <c r="B360" s="9" t="s">
        <v>290</v>
      </c>
      <c r="C360" s="10">
        <v>697826</v>
      </c>
      <c r="D360" s="10"/>
      <c r="E360" s="27">
        <v>2020</v>
      </c>
      <c r="F360" s="9" t="s">
        <v>290</v>
      </c>
      <c r="G360" s="10">
        <v>631475</v>
      </c>
      <c r="H360" s="7"/>
      <c r="I360" s="2"/>
      <c r="J360" s="7"/>
      <c r="K360" s="3"/>
    </row>
    <row r="361" spans="1:11">
      <c r="A361">
        <v>2021</v>
      </c>
      <c r="B361" s="9" t="s">
        <v>291</v>
      </c>
      <c r="C361" s="10">
        <v>1512369</v>
      </c>
      <c r="D361" s="10"/>
      <c r="E361" s="27">
        <v>2020</v>
      </c>
      <c r="F361" s="9" t="s">
        <v>291</v>
      </c>
      <c r="G361" s="10">
        <v>1354840</v>
      </c>
      <c r="H361" s="7"/>
      <c r="I361" s="2"/>
      <c r="J361" s="7"/>
      <c r="K361" s="3"/>
    </row>
    <row r="362" spans="1:11">
      <c r="A362">
        <v>2021</v>
      </c>
      <c r="B362" s="9" t="s">
        <v>292</v>
      </c>
      <c r="C362" s="10">
        <v>418733</v>
      </c>
      <c r="D362" s="10"/>
      <c r="E362" s="27">
        <v>2020</v>
      </c>
      <c r="F362" s="9" t="s">
        <v>292</v>
      </c>
      <c r="G362" s="10">
        <v>401835</v>
      </c>
      <c r="H362" s="7"/>
      <c r="I362" s="2"/>
      <c r="J362" s="7"/>
      <c r="K362" s="3"/>
    </row>
    <row r="363" spans="1:11">
      <c r="A363">
        <v>2021</v>
      </c>
      <c r="B363" s="9" t="s">
        <v>293</v>
      </c>
      <c r="C363" s="10">
        <v>2767656</v>
      </c>
      <c r="D363" s="10"/>
      <c r="E363" s="27">
        <v>2020</v>
      </c>
      <c r="F363" s="9" t="s">
        <v>293</v>
      </c>
      <c r="G363" s="10">
        <v>2457132</v>
      </c>
      <c r="H363" s="7"/>
      <c r="I363" s="2"/>
      <c r="J363" s="7"/>
      <c r="K363" s="3"/>
    </row>
    <row r="364" spans="1:11">
      <c r="A364">
        <v>2021</v>
      </c>
      <c r="B364" s="9" t="s">
        <v>294</v>
      </c>
      <c r="C364" s="10">
        <v>78902</v>
      </c>
      <c r="D364" s="10"/>
      <c r="E364" s="27">
        <v>2020</v>
      </c>
      <c r="F364" s="9" t="s">
        <v>294</v>
      </c>
      <c r="G364" s="10">
        <v>72845</v>
      </c>
      <c r="H364" s="7"/>
      <c r="I364" s="2"/>
      <c r="J364" s="7"/>
      <c r="K364" s="3"/>
    </row>
    <row r="365" spans="1:11">
      <c r="A365">
        <v>2021</v>
      </c>
      <c r="B365" s="9" t="s">
        <v>295</v>
      </c>
      <c r="C365" s="10">
        <v>416142</v>
      </c>
      <c r="D365" s="10"/>
      <c r="E365" s="27">
        <v>2020</v>
      </c>
      <c r="F365" s="9" t="s">
        <v>295</v>
      </c>
      <c r="G365" s="10">
        <v>449299</v>
      </c>
      <c r="H365" s="7"/>
      <c r="I365" s="2"/>
      <c r="J365" s="7"/>
      <c r="K365" s="3"/>
    </row>
    <row r="366" spans="1:11">
      <c r="A366">
        <v>2021</v>
      </c>
      <c r="B366" s="9" t="s">
        <v>296</v>
      </c>
      <c r="C366" s="10">
        <v>12297</v>
      </c>
      <c r="D366" s="10"/>
      <c r="E366" s="27">
        <v>2020</v>
      </c>
      <c r="F366" s="9" t="s">
        <v>296</v>
      </c>
      <c r="G366" s="10">
        <v>13330</v>
      </c>
      <c r="H366" s="7"/>
      <c r="I366" s="2"/>
      <c r="J366" s="7"/>
      <c r="K366" s="3"/>
    </row>
    <row r="367" spans="1:11">
      <c r="A367">
        <v>2021</v>
      </c>
      <c r="B367" s="9" t="s">
        <v>297</v>
      </c>
      <c r="C367" s="10">
        <v>94420</v>
      </c>
      <c r="D367" s="10"/>
      <c r="E367" s="27">
        <v>2020</v>
      </c>
      <c r="F367" s="9" t="s">
        <v>297</v>
      </c>
      <c r="G367" s="10">
        <v>76392</v>
      </c>
      <c r="H367" s="7"/>
      <c r="I367" s="2"/>
      <c r="J367" s="7"/>
      <c r="K367" s="3"/>
    </row>
    <row r="368" spans="1:11">
      <c r="A368">
        <v>2021</v>
      </c>
      <c r="B368" s="9" t="s">
        <v>298</v>
      </c>
      <c r="C368" s="10">
        <v>289268</v>
      </c>
      <c r="D368" s="10"/>
      <c r="E368" s="27">
        <v>2020</v>
      </c>
      <c r="F368" s="9" t="s">
        <v>298</v>
      </c>
      <c r="G368" s="10">
        <v>276012</v>
      </c>
      <c r="H368" s="7"/>
      <c r="I368" s="2"/>
      <c r="J368" s="7"/>
      <c r="K368" s="3"/>
    </row>
    <row r="369" spans="1:11">
      <c r="A369">
        <v>2021</v>
      </c>
      <c r="B369" s="9" t="s">
        <v>299</v>
      </c>
      <c r="C369" s="10">
        <v>250701</v>
      </c>
      <c r="D369" s="10"/>
      <c r="E369" s="27">
        <v>2020</v>
      </c>
      <c r="F369" s="9" t="s">
        <v>299</v>
      </c>
      <c r="G369" s="10">
        <v>235945</v>
      </c>
      <c r="H369" s="7"/>
      <c r="I369" s="2"/>
      <c r="J369" s="7"/>
      <c r="K369" s="3"/>
    </row>
    <row r="370" spans="1:11">
      <c r="A370">
        <v>2021</v>
      </c>
      <c r="B370" s="9" t="s">
        <v>300</v>
      </c>
      <c r="C370" s="10">
        <v>261285</v>
      </c>
      <c r="D370" s="10"/>
      <c r="E370" s="27">
        <v>2020</v>
      </c>
      <c r="F370" s="9" t="s">
        <v>300</v>
      </c>
      <c r="G370" s="10">
        <v>259031</v>
      </c>
      <c r="H370" s="7"/>
      <c r="I370" s="2"/>
      <c r="J370" s="7"/>
      <c r="K370" s="3"/>
    </row>
    <row r="371" spans="1:11">
      <c r="A371">
        <v>2021</v>
      </c>
      <c r="B371" s="9" t="s">
        <v>301</v>
      </c>
      <c r="C371" s="10">
        <v>20945</v>
      </c>
      <c r="D371" s="10"/>
      <c r="E371" s="27">
        <v>2020</v>
      </c>
      <c r="F371" s="9" t="s">
        <v>301</v>
      </c>
      <c r="G371" s="10">
        <v>23550</v>
      </c>
      <c r="H371" s="7"/>
      <c r="I371" s="2"/>
      <c r="J371" s="7"/>
      <c r="K371" s="3"/>
    </row>
    <row r="372" spans="1:11">
      <c r="A372">
        <v>2021</v>
      </c>
      <c r="B372" s="9" t="s">
        <v>302</v>
      </c>
      <c r="C372" s="10">
        <v>288069</v>
      </c>
      <c r="D372" s="10"/>
      <c r="E372" s="27">
        <v>2020</v>
      </c>
      <c r="F372" s="9" t="s">
        <v>302</v>
      </c>
      <c r="G372" s="10">
        <v>261384</v>
      </c>
      <c r="H372" s="7"/>
      <c r="I372" s="2"/>
      <c r="J372" s="7"/>
      <c r="K372" s="3"/>
    </row>
    <row r="373" spans="1:11">
      <c r="A373">
        <v>2021</v>
      </c>
      <c r="B373" s="9" t="s">
        <v>303</v>
      </c>
      <c r="C373" s="10">
        <v>46794</v>
      </c>
      <c r="D373" s="10"/>
      <c r="E373" s="27">
        <v>2020</v>
      </c>
      <c r="F373" s="9" t="s">
        <v>303</v>
      </c>
      <c r="G373" s="10">
        <v>50719</v>
      </c>
      <c r="H373" s="7"/>
      <c r="I373" s="2"/>
      <c r="J373" s="7"/>
      <c r="K373" s="3"/>
    </row>
    <row r="374" spans="1:11">
      <c r="A374">
        <v>2021</v>
      </c>
      <c r="B374" s="9" t="s">
        <v>304</v>
      </c>
      <c r="C374" s="10">
        <v>384764</v>
      </c>
      <c r="D374" s="10"/>
      <c r="E374" s="27">
        <v>2020</v>
      </c>
      <c r="F374" s="9" t="s">
        <v>304</v>
      </c>
      <c r="G374" s="10">
        <v>384352</v>
      </c>
      <c r="H374" s="7"/>
      <c r="I374" s="2"/>
      <c r="J374" s="7"/>
      <c r="K374" s="3"/>
    </row>
    <row r="375" spans="1:11">
      <c r="A375">
        <v>2021</v>
      </c>
      <c r="B375" s="9" t="s">
        <v>305</v>
      </c>
      <c r="C375" s="10">
        <v>615762</v>
      </c>
      <c r="D375" s="10"/>
      <c r="E375" s="27">
        <v>2020</v>
      </c>
      <c r="F375" s="9" t="s">
        <v>305</v>
      </c>
      <c r="G375" s="10">
        <v>551843</v>
      </c>
      <c r="H375" s="7"/>
      <c r="I375" s="2"/>
      <c r="J375" s="7"/>
      <c r="K375" s="3"/>
    </row>
    <row r="376" spans="1:11">
      <c r="A376">
        <v>2021</v>
      </c>
      <c r="B376" s="9" t="s">
        <v>306</v>
      </c>
      <c r="C376" s="10">
        <v>3327414</v>
      </c>
      <c r="D376" s="10"/>
      <c r="E376" s="27">
        <v>2020</v>
      </c>
      <c r="F376" s="9" t="s">
        <v>306</v>
      </c>
      <c r="G376" s="10">
        <v>3111138</v>
      </c>
      <c r="H376" s="7"/>
      <c r="I376" s="2"/>
      <c r="J376" s="7"/>
      <c r="K376" s="3"/>
    </row>
    <row r="377" spans="1:11">
      <c r="A377">
        <v>2021</v>
      </c>
      <c r="B377" s="9" t="s">
        <v>307</v>
      </c>
      <c r="C377" s="10">
        <v>254018</v>
      </c>
      <c r="D377" s="10"/>
      <c r="E377" s="27">
        <v>2020</v>
      </c>
      <c r="F377" s="9" t="s">
        <v>307</v>
      </c>
      <c r="G377" s="10">
        <v>249384</v>
      </c>
      <c r="H377" s="7"/>
      <c r="I377" s="2"/>
      <c r="J377" s="7"/>
      <c r="K377" s="3"/>
    </row>
    <row r="378" spans="1:11">
      <c r="A378">
        <v>2021</v>
      </c>
      <c r="B378" s="9" t="s">
        <v>308</v>
      </c>
      <c r="C378" s="10">
        <v>78209</v>
      </c>
      <c r="D378" s="10"/>
      <c r="E378" s="27">
        <v>2020</v>
      </c>
      <c r="F378" s="9" t="s">
        <v>308</v>
      </c>
      <c r="G378" s="10">
        <v>78253</v>
      </c>
      <c r="H378" s="7"/>
      <c r="I378" s="2"/>
      <c r="J378" s="7"/>
      <c r="K378" s="3"/>
    </row>
    <row r="379" spans="1:11">
      <c r="A379">
        <v>2021</v>
      </c>
      <c r="B379" s="9" t="s">
        <v>310</v>
      </c>
      <c r="C379" s="10">
        <v>132943</v>
      </c>
      <c r="D379" s="10"/>
      <c r="E379" s="27">
        <v>2020</v>
      </c>
      <c r="F379" s="9" t="s">
        <v>310</v>
      </c>
      <c r="G379" s="10">
        <v>119917</v>
      </c>
      <c r="H379" s="7"/>
      <c r="I379" s="2"/>
      <c r="J379" s="7"/>
      <c r="K379" s="3"/>
    </row>
    <row r="380" spans="1:11">
      <c r="A380">
        <v>2021</v>
      </c>
      <c r="B380" s="9" t="s">
        <v>311</v>
      </c>
      <c r="C380" s="10">
        <v>72295</v>
      </c>
      <c r="D380" s="10"/>
      <c r="E380" s="27">
        <v>2020</v>
      </c>
      <c r="F380" s="9" t="s">
        <v>311</v>
      </c>
      <c r="G380" s="10">
        <v>84824</v>
      </c>
      <c r="H380" s="7"/>
      <c r="I380" s="2"/>
      <c r="J380" s="7"/>
      <c r="K380" s="3"/>
    </row>
    <row r="381" spans="1:11">
      <c r="A381">
        <v>2021</v>
      </c>
      <c r="B381" s="9" t="s">
        <v>312</v>
      </c>
      <c r="C381" s="10">
        <v>16511</v>
      </c>
      <c r="D381" s="10"/>
      <c r="E381" s="27">
        <v>2020</v>
      </c>
      <c r="F381" s="9" t="s">
        <v>312</v>
      </c>
      <c r="G381" s="10">
        <v>18537</v>
      </c>
      <c r="H381" s="7"/>
      <c r="I381" s="2"/>
      <c r="J381" s="7"/>
      <c r="K381" s="3"/>
    </row>
    <row r="382" spans="1:11">
      <c r="A382">
        <v>2021</v>
      </c>
      <c r="B382" s="9" t="s">
        <v>313</v>
      </c>
      <c r="C382" s="10">
        <v>34262</v>
      </c>
      <c r="D382" s="10"/>
      <c r="E382" s="27">
        <v>2020</v>
      </c>
      <c r="F382" s="9" t="s">
        <v>313</v>
      </c>
      <c r="G382" s="10">
        <v>32346</v>
      </c>
      <c r="H382" s="7"/>
      <c r="I382" s="2"/>
      <c r="J382" s="7"/>
      <c r="K382" s="3"/>
    </row>
    <row r="383" spans="1:11">
      <c r="A383">
        <v>2021</v>
      </c>
      <c r="B383" s="9" t="s">
        <v>314</v>
      </c>
      <c r="C383" s="10">
        <v>652742</v>
      </c>
      <c r="D383" s="10"/>
      <c r="E383" s="27">
        <v>2020</v>
      </c>
      <c r="F383" s="9" t="s">
        <v>314</v>
      </c>
      <c r="G383" s="10">
        <v>644348</v>
      </c>
      <c r="H383" s="7"/>
      <c r="I383" s="2"/>
      <c r="J383" s="7"/>
      <c r="K383" s="3"/>
    </row>
    <row r="384" spans="1:11">
      <c r="A384">
        <v>2021</v>
      </c>
      <c r="B384" s="9" t="s">
        <v>315</v>
      </c>
      <c r="C384" s="10">
        <v>2571310</v>
      </c>
      <c r="D384" s="10"/>
      <c r="E384" s="27">
        <v>2020</v>
      </c>
      <c r="F384" s="9" t="s">
        <v>315</v>
      </c>
      <c r="G384" s="10">
        <v>2407821</v>
      </c>
      <c r="H384" s="7"/>
      <c r="I384" s="2"/>
      <c r="J384" s="7"/>
      <c r="K384" s="3"/>
    </row>
    <row r="385" spans="1:11">
      <c r="A385">
        <v>2021</v>
      </c>
      <c r="B385" s="9" t="s">
        <v>316</v>
      </c>
      <c r="C385" s="10">
        <v>69655</v>
      </c>
      <c r="D385" s="10"/>
      <c r="E385" s="27">
        <v>2020</v>
      </c>
      <c r="F385" s="9" t="s">
        <v>316</v>
      </c>
      <c r="G385" s="10">
        <v>55644</v>
      </c>
      <c r="H385" s="7"/>
      <c r="I385" s="2"/>
      <c r="J385" s="7"/>
      <c r="K385" s="3"/>
    </row>
    <row r="386" spans="1:11">
      <c r="A386">
        <v>2021</v>
      </c>
      <c r="B386" s="9" t="s">
        <v>317</v>
      </c>
      <c r="C386" s="10">
        <v>1086575</v>
      </c>
      <c r="D386" s="10"/>
      <c r="E386" s="27">
        <v>2020</v>
      </c>
      <c r="F386" s="9" t="s">
        <v>317</v>
      </c>
      <c r="G386" s="10">
        <v>1072100</v>
      </c>
      <c r="H386" s="7"/>
      <c r="I386" s="2"/>
      <c r="J386" s="7"/>
      <c r="K386" s="3"/>
    </row>
    <row r="387" spans="1:11">
      <c r="A387">
        <v>2021</v>
      </c>
      <c r="B387" s="9" t="s">
        <v>318</v>
      </c>
      <c r="C387" s="10">
        <v>234963</v>
      </c>
      <c r="D387" s="10"/>
      <c r="E387" s="27">
        <v>2020</v>
      </c>
      <c r="F387" s="9" t="s">
        <v>318</v>
      </c>
      <c r="G387" s="10">
        <v>234617</v>
      </c>
      <c r="H387" s="7"/>
      <c r="I387" s="2"/>
      <c r="J387" s="7"/>
      <c r="K387" s="3"/>
    </row>
    <row r="388" spans="1:11">
      <c r="A388">
        <v>2021</v>
      </c>
      <c r="B388" s="9" t="s">
        <v>319</v>
      </c>
      <c r="C388" s="10">
        <v>21156</v>
      </c>
      <c r="D388" s="10"/>
      <c r="E388" s="27">
        <v>2020</v>
      </c>
      <c r="F388" s="9" t="s">
        <v>319</v>
      </c>
      <c r="G388" s="10">
        <v>14731</v>
      </c>
      <c r="H388" s="7"/>
      <c r="I388" s="2"/>
      <c r="J388" s="7"/>
      <c r="K388" s="3"/>
    </row>
    <row r="389" spans="1:11">
      <c r="A389">
        <v>2021</v>
      </c>
      <c r="B389" s="9" t="s">
        <v>320</v>
      </c>
      <c r="C389" s="10">
        <v>106273</v>
      </c>
      <c r="D389" s="10"/>
      <c r="E389" s="27">
        <v>2020</v>
      </c>
      <c r="F389" s="9" t="s">
        <v>320</v>
      </c>
      <c r="G389" s="10">
        <v>94931</v>
      </c>
      <c r="H389" s="7"/>
      <c r="I389" s="2"/>
      <c r="J389" s="7"/>
      <c r="K389" s="3"/>
    </row>
    <row r="390" spans="1:11">
      <c r="A390">
        <v>2021</v>
      </c>
      <c r="B390" s="9" t="s">
        <v>321</v>
      </c>
      <c r="C390" s="10">
        <v>444943</v>
      </c>
      <c r="D390" s="10"/>
      <c r="E390" s="27">
        <v>2020</v>
      </c>
      <c r="F390" s="9" t="s">
        <v>321</v>
      </c>
      <c r="G390" s="10">
        <v>470265</v>
      </c>
      <c r="H390" s="7"/>
      <c r="I390" s="2"/>
      <c r="J390" s="7"/>
      <c r="K390" s="3"/>
    </row>
    <row r="391" spans="1:11">
      <c r="A391">
        <v>2021</v>
      </c>
      <c r="B391" s="9" t="s">
        <v>322</v>
      </c>
      <c r="C391" s="10">
        <v>18077</v>
      </c>
      <c r="D391" s="10"/>
      <c r="E391" s="27">
        <v>2020</v>
      </c>
      <c r="F391" s="9" t="s">
        <v>322</v>
      </c>
      <c r="G391" s="10">
        <v>18194</v>
      </c>
      <c r="H391" s="7"/>
      <c r="I391" s="2"/>
      <c r="J391" s="7"/>
      <c r="K391" s="3"/>
    </row>
    <row r="392" spans="1:11">
      <c r="A392">
        <v>2021</v>
      </c>
      <c r="B392" s="9" t="s">
        <v>323</v>
      </c>
      <c r="C392" s="10">
        <v>151253</v>
      </c>
      <c r="D392" s="10"/>
      <c r="E392" s="27">
        <v>2020</v>
      </c>
      <c r="F392" s="9" t="s">
        <v>323</v>
      </c>
      <c r="G392" s="10">
        <v>146258</v>
      </c>
      <c r="H392" s="7"/>
      <c r="I392" s="2"/>
      <c r="J392" s="7"/>
      <c r="K392" s="3"/>
    </row>
    <row r="393" spans="1:11">
      <c r="A393">
        <v>2021</v>
      </c>
      <c r="B393" s="9" t="s">
        <v>324</v>
      </c>
      <c r="C393" s="10">
        <v>128462</v>
      </c>
      <c r="D393" s="10"/>
      <c r="E393" s="27">
        <v>2020</v>
      </c>
      <c r="F393" s="9" t="s">
        <v>324</v>
      </c>
      <c r="G393" s="10">
        <v>131205</v>
      </c>
      <c r="H393" s="7"/>
      <c r="I393" s="2"/>
      <c r="J393" s="7"/>
      <c r="K393" s="3"/>
    </row>
    <row r="394" spans="1:11">
      <c r="A394">
        <v>2021</v>
      </c>
      <c r="B394" s="9" t="s">
        <v>325</v>
      </c>
      <c r="C394" s="10">
        <v>128439</v>
      </c>
      <c r="D394" s="10"/>
      <c r="E394" s="27">
        <v>2020</v>
      </c>
      <c r="F394" s="9" t="s">
        <v>325</v>
      </c>
      <c r="G394" s="10">
        <v>123834</v>
      </c>
      <c r="H394" s="7"/>
      <c r="I394" s="2"/>
      <c r="J394" s="7"/>
      <c r="K394" s="3"/>
    </row>
    <row r="395" spans="1:11">
      <c r="A395">
        <v>2021</v>
      </c>
      <c r="B395" s="9" t="s">
        <v>326</v>
      </c>
      <c r="C395" s="10">
        <v>113254</v>
      </c>
      <c r="D395" s="10"/>
      <c r="E395" s="27">
        <v>2020</v>
      </c>
      <c r="F395" s="9" t="s">
        <v>326</v>
      </c>
      <c r="G395" s="10">
        <v>130840</v>
      </c>
      <c r="H395" s="7"/>
      <c r="I395" s="2"/>
      <c r="J395" s="7"/>
      <c r="K395" s="3"/>
    </row>
    <row r="396" spans="1:11">
      <c r="A396">
        <v>2021</v>
      </c>
      <c r="B396" s="9" t="s">
        <v>327</v>
      </c>
      <c r="C396" s="10">
        <v>133586</v>
      </c>
      <c r="D396" s="10"/>
      <c r="E396" s="27">
        <v>2020</v>
      </c>
      <c r="F396" s="9" t="s">
        <v>327</v>
      </c>
      <c r="G396" s="10">
        <v>140596</v>
      </c>
      <c r="H396" s="7"/>
      <c r="I396" s="2"/>
      <c r="J396" s="7"/>
      <c r="K396" s="3"/>
    </row>
    <row r="397" spans="1:11">
      <c r="A397">
        <v>2021</v>
      </c>
      <c r="B397" s="9" t="s">
        <v>328</v>
      </c>
      <c r="C397" s="10">
        <v>373276</v>
      </c>
      <c r="D397" s="10"/>
      <c r="E397" s="27">
        <v>2020</v>
      </c>
      <c r="F397" s="9" t="s">
        <v>328</v>
      </c>
      <c r="G397" s="10">
        <v>372167</v>
      </c>
      <c r="H397" s="7"/>
      <c r="I397" s="2"/>
      <c r="J397" s="7"/>
      <c r="K397" s="3"/>
    </row>
    <row r="398" spans="1:11">
      <c r="A398">
        <v>2021</v>
      </c>
      <c r="B398" s="9" t="s">
        <v>329</v>
      </c>
      <c r="C398" s="10">
        <v>83479</v>
      </c>
      <c r="D398" s="10"/>
      <c r="E398" s="27">
        <v>2020</v>
      </c>
      <c r="F398" s="9" t="s">
        <v>329</v>
      </c>
      <c r="G398" s="10">
        <v>73093</v>
      </c>
      <c r="H398" s="7"/>
      <c r="I398" s="2"/>
      <c r="J398" s="7"/>
      <c r="K398" s="3"/>
    </row>
    <row r="399" spans="1:11">
      <c r="A399">
        <v>2021</v>
      </c>
      <c r="B399" s="9" t="s">
        <v>330</v>
      </c>
      <c r="C399" s="10">
        <v>68133</v>
      </c>
      <c r="D399" s="10"/>
      <c r="E399" s="27">
        <v>2020</v>
      </c>
      <c r="F399" s="9" t="s">
        <v>330</v>
      </c>
      <c r="G399" s="10">
        <v>57945</v>
      </c>
      <c r="H399" s="7"/>
      <c r="I399" s="2"/>
      <c r="J399" s="7"/>
      <c r="K399" s="3"/>
    </row>
    <row r="400" spans="1:11">
      <c r="A400">
        <v>2021</v>
      </c>
      <c r="B400" s="9" t="s">
        <v>331</v>
      </c>
      <c r="C400" s="10">
        <v>433453</v>
      </c>
      <c r="D400" s="10"/>
      <c r="E400" s="27">
        <v>2020</v>
      </c>
      <c r="F400" s="9" t="s">
        <v>331</v>
      </c>
      <c r="G400" s="10">
        <v>423253</v>
      </c>
      <c r="H400" s="7"/>
      <c r="I400" s="2"/>
      <c r="J400" s="7"/>
      <c r="K400" s="3"/>
    </row>
    <row r="401" spans="1:11">
      <c r="A401">
        <v>2021</v>
      </c>
      <c r="B401" s="9" t="s">
        <v>332</v>
      </c>
      <c r="C401" s="10">
        <v>555954</v>
      </c>
      <c r="D401" s="10"/>
      <c r="E401" s="27">
        <v>2020</v>
      </c>
      <c r="F401" s="9" t="s">
        <v>332</v>
      </c>
      <c r="G401" s="10">
        <v>520644</v>
      </c>
      <c r="H401" s="8"/>
      <c r="I401" s="2"/>
      <c r="J401" s="8"/>
      <c r="K401" s="3"/>
    </row>
    <row r="402" spans="1:11">
      <c r="A402">
        <v>2021</v>
      </c>
      <c r="B402" s="9" t="s">
        <v>333</v>
      </c>
      <c r="C402" s="10">
        <v>532756</v>
      </c>
      <c r="D402" s="10"/>
      <c r="E402" s="27">
        <v>2020</v>
      </c>
      <c r="F402" s="9" t="s">
        <v>333</v>
      </c>
      <c r="G402" s="10">
        <v>514191</v>
      </c>
      <c r="H402" s="12"/>
      <c r="I402" s="11"/>
    </row>
    <row r="403" spans="1:11">
      <c r="A403">
        <v>2021</v>
      </c>
      <c r="B403" s="9" t="s">
        <v>334</v>
      </c>
      <c r="C403" s="10">
        <v>147435</v>
      </c>
      <c r="D403" s="10"/>
      <c r="E403" s="27">
        <v>2020</v>
      </c>
      <c r="F403" s="9" t="s">
        <v>334</v>
      </c>
      <c r="G403" s="10">
        <v>148356</v>
      </c>
      <c r="H403" s="12"/>
      <c r="I403" s="13"/>
    </row>
    <row r="404" spans="1:11">
      <c r="A404">
        <v>2021</v>
      </c>
      <c r="B404" s="9" t="s">
        <v>335</v>
      </c>
      <c r="C404" s="10">
        <v>678936</v>
      </c>
      <c r="D404" s="10"/>
      <c r="E404" s="27">
        <v>2020</v>
      </c>
      <c r="F404" s="9" t="s">
        <v>335</v>
      </c>
      <c r="G404" s="10">
        <v>623199</v>
      </c>
      <c r="H404" s="12"/>
      <c r="I404" s="13"/>
    </row>
    <row r="405" spans="1:11">
      <c r="A405">
        <v>2021</v>
      </c>
      <c r="B405" s="9" t="s">
        <v>336</v>
      </c>
      <c r="C405" s="10">
        <v>196309</v>
      </c>
      <c r="D405" s="10"/>
      <c r="E405" s="27">
        <v>2020</v>
      </c>
      <c r="F405" s="9" t="s">
        <v>336</v>
      </c>
      <c r="G405" s="10">
        <v>178905</v>
      </c>
      <c r="H405" s="12"/>
      <c r="I405" s="13"/>
    </row>
    <row r="406" spans="1:11">
      <c r="A406">
        <v>2021</v>
      </c>
      <c r="B406" s="9" t="s">
        <v>337</v>
      </c>
      <c r="C406" s="10">
        <v>106369</v>
      </c>
      <c r="D406" s="10"/>
      <c r="E406" s="27">
        <v>2020</v>
      </c>
      <c r="F406" s="9" t="s">
        <v>337</v>
      </c>
      <c r="G406" s="10">
        <v>93226</v>
      </c>
      <c r="H406" s="12"/>
      <c r="I406" s="13"/>
    </row>
    <row r="407" spans="1:11">
      <c r="A407">
        <v>2021</v>
      </c>
      <c r="B407" s="9" t="s">
        <v>338</v>
      </c>
      <c r="C407" s="10">
        <v>215359</v>
      </c>
      <c r="D407" s="10"/>
      <c r="E407" s="27">
        <v>2020</v>
      </c>
      <c r="F407" s="9" t="s">
        <v>338</v>
      </c>
      <c r="G407" s="10">
        <v>215477</v>
      </c>
      <c r="H407" s="12"/>
      <c r="I407" s="13"/>
    </row>
    <row r="408" spans="1:11">
      <c r="A408">
        <v>2021</v>
      </c>
      <c r="B408" s="9" t="s">
        <v>339</v>
      </c>
      <c r="C408" s="10">
        <v>139680</v>
      </c>
      <c r="D408" s="10"/>
      <c r="E408" s="27">
        <v>2020</v>
      </c>
      <c r="F408" s="9" t="s">
        <v>339</v>
      </c>
      <c r="G408" s="10">
        <v>141286</v>
      </c>
      <c r="H408" s="12"/>
      <c r="I408" s="13"/>
    </row>
    <row r="409" spans="1:11">
      <c r="A409">
        <v>2021</v>
      </c>
      <c r="B409" s="9" t="s">
        <v>340</v>
      </c>
      <c r="C409" s="10">
        <v>38773</v>
      </c>
      <c r="D409" s="10"/>
      <c r="E409" s="27">
        <v>2020</v>
      </c>
      <c r="F409" s="9" t="s">
        <v>340</v>
      </c>
      <c r="G409" s="10">
        <v>37289</v>
      </c>
      <c r="H409" s="12"/>
      <c r="I409" s="13"/>
    </row>
    <row r="410" spans="1:11">
      <c r="A410">
        <v>2021</v>
      </c>
      <c r="B410" s="9" t="s">
        <v>341</v>
      </c>
      <c r="C410" s="10">
        <v>314535</v>
      </c>
      <c r="D410" s="10"/>
      <c r="E410" s="27">
        <v>2020</v>
      </c>
      <c r="F410" s="9" t="s">
        <v>341</v>
      </c>
      <c r="G410" s="10">
        <v>341654</v>
      </c>
      <c r="H410" s="12"/>
      <c r="I410" s="13"/>
    </row>
    <row r="411" spans="1:11">
      <c r="A411">
        <v>2021</v>
      </c>
      <c r="B411" s="9" t="s">
        <v>342</v>
      </c>
      <c r="C411" s="10">
        <v>1351553</v>
      </c>
      <c r="D411" s="10"/>
      <c r="E411" s="27">
        <v>2020</v>
      </c>
      <c r="F411" s="9" t="s">
        <v>342</v>
      </c>
      <c r="G411" s="10">
        <v>1256321</v>
      </c>
      <c r="H411" s="12"/>
      <c r="I411" s="13"/>
    </row>
    <row r="412" spans="1:11">
      <c r="A412">
        <v>2021</v>
      </c>
      <c r="B412" s="9" t="s">
        <v>343</v>
      </c>
      <c r="C412" s="10">
        <v>349875</v>
      </c>
      <c r="D412" s="10"/>
      <c r="E412" s="27">
        <v>2020</v>
      </c>
      <c r="F412" s="9" t="s">
        <v>343</v>
      </c>
      <c r="G412" s="10">
        <v>354462</v>
      </c>
      <c r="H412" s="12"/>
      <c r="I412" s="13"/>
    </row>
    <row r="413" spans="1:11">
      <c r="A413">
        <v>2021</v>
      </c>
      <c r="B413" s="9" t="s">
        <v>344</v>
      </c>
      <c r="C413" s="10">
        <v>612365</v>
      </c>
      <c r="D413" s="10"/>
      <c r="E413" s="27">
        <v>2020</v>
      </c>
      <c r="F413" s="9" t="s">
        <v>344</v>
      </c>
      <c r="G413" s="10">
        <v>605002</v>
      </c>
      <c r="H413" s="12"/>
      <c r="I413" s="13"/>
    </row>
    <row r="414" spans="1:11">
      <c r="A414">
        <v>2021</v>
      </c>
      <c r="B414" s="9" t="s">
        <v>345</v>
      </c>
      <c r="C414" s="10">
        <v>14833</v>
      </c>
      <c r="D414" s="10"/>
      <c r="E414" s="27">
        <v>2020</v>
      </c>
      <c r="F414" s="9" t="s">
        <v>345</v>
      </c>
      <c r="G414" s="10">
        <v>14386</v>
      </c>
      <c r="H414" s="12"/>
      <c r="I414" s="13"/>
    </row>
    <row r="415" spans="1:11">
      <c r="A415">
        <v>2021</v>
      </c>
      <c r="B415" s="9" t="s">
        <v>346</v>
      </c>
      <c r="C415" s="10">
        <v>37000</v>
      </c>
      <c r="D415" s="10"/>
      <c r="E415" s="27">
        <v>2020</v>
      </c>
      <c r="F415" s="9" t="s">
        <v>346</v>
      </c>
      <c r="G415" s="10">
        <v>37758</v>
      </c>
      <c r="H415" s="12"/>
      <c r="I415" s="13"/>
    </row>
    <row r="416" spans="1:11">
      <c r="A416">
        <v>2021</v>
      </c>
      <c r="B416" s="9" t="s">
        <v>347</v>
      </c>
      <c r="C416" s="10">
        <v>214544</v>
      </c>
      <c r="D416" s="10"/>
      <c r="E416" s="27">
        <v>2020</v>
      </c>
      <c r="F416" s="9" t="s">
        <v>347</v>
      </c>
      <c r="G416" s="10">
        <v>222839</v>
      </c>
      <c r="H416" s="12"/>
      <c r="I416" s="13"/>
    </row>
    <row r="417" spans="1:9">
      <c r="A417">
        <v>2021</v>
      </c>
      <c r="B417" s="9" t="s">
        <v>348</v>
      </c>
      <c r="C417" s="10">
        <v>100591</v>
      </c>
      <c r="D417" s="10"/>
      <c r="E417" s="27">
        <v>2020</v>
      </c>
      <c r="F417" s="9" t="s">
        <v>348</v>
      </c>
      <c r="G417" s="10">
        <v>101540</v>
      </c>
      <c r="H417" s="12"/>
      <c r="I417" s="13"/>
    </row>
    <row r="418" spans="1:9">
      <c r="A418">
        <v>2021</v>
      </c>
      <c r="B418" s="9" t="s">
        <v>349</v>
      </c>
      <c r="C418" s="10">
        <v>529375</v>
      </c>
      <c r="D418" s="10"/>
      <c r="E418" s="27">
        <v>2020</v>
      </c>
      <c r="F418" s="9" t="s">
        <v>349</v>
      </c>
      <c r="G418" s="10">
        <v>484721</v>
      </c>
      <c r="H418" s="12"/>
      <c r="I418" s="13"/>
    </row>
    <row r="419" spans="1:9">
      <c r="A419">
        <v>2021</v>
      </c>
      <c r="B419" s="9" t="s">
        <v>350</v>
      </c>
      <c r="C419" s="10">
        <v>611281</v>
      </c>
      <c r="D419" s="10"/>
      <c r="E419" s="27">
        <v>2020</v>
      </c>
      <c r="F419" s="9" t="s">
        <v>350</v>
      </c>
      <c r="G419" s="10">
        <v>622806</v>
      </c>
      <c r="H419" s="12"/>
      <c r="I419" s="13"/>
    </row>
    <row r="420" spans="1:9">
      <c r="A420">
        <v>2021</v>
      </c>
      <c r="B420" s="9" t="s">
        <v>351</v>
      </c>
      <c r="C420" s="10">
        <v>560572</v>
      </c>
      <c r="D420" s="10"/>
      <c r="E420" s="27">
        <v>2020</v>
      </c>
      <c r="F420" s="9" t="s">
        <v>351</v>
      </c>
      <c r="G420" s="10">
        <v>554891</v>
      </c>
      <c r="H420" s="12"/>
      <c r="I420" s="13"/>
    </row>
    <row r="421" spans="1:9">
      <c r="A421">
        <v>2021</v>
      </c>
      <c r="B421" s="9" t="s">
        <v>352</v>
      </c>
      <c r="C421" s="10">
        <v>248525</v>
      </c>
      <c r="D421" s="10"/>
      <c r="E421" s="27">
        <v>2020</v>
      </c>
      <c r="F421" s="9" t="s">
        <v>352</v>
      </c>
      <c r="G421" s="10">
        <v>231030</v>
      </c>
      <c r="H421" s="12"/>
      <c r="I421" s="13"/>
    </row>
    <row r="422" spans="1:9">
      <c r="A422">
        <v>2021</v>
      </c>
      <c r="B422" s="9" t="s">
        <v>353</v>
      </c>
      <c r="C422" s="10">
        <v>69118</v>
      </c>
      <c r="D422" s="10"/>
      <c r="E422" s="27">
        <v>2020</v>
      </c>
      <c r="F422" s="9" t="s">
        <v>353</v>
      </c>
      <c r="G422" s="10">
        <v>78517</v>
      </c>
      <c r="H422" s="12"/>
      <c r="I422" s="13"/>
    </row>
    <row r="423" spans="1:9">
      <c r="A423">
        <v>2021</v>
      </c>
      <c r="B423" s="9" t="s">
        <v>354</v>
      </c>
      <c r="C423" s="10">
        <v>41485</v>
      </c>
      <c r="D423" s="10"/>
      <c r="E423" s="27">
        <v>2020</v>
      </c>
      <c r="F423" s="9" t="s">
        <v>354</v>
      </c>
      <c r="G423" s="10">
        <v>44224</v>
      </c>
      <c r="H423" s="12"/>
      <c r="I423" s="13"/>
    </row>
    <row r="424" spans="1:9">
      <c r="A424">
        <v>2021</v>
      </c>
      <c r="B424" s="9" t="s">
        <v>355</v>
      </c>
      <c r="C424" s="10">
        <v>638045</v>
      </c>
      <c r="D424" s="10"/>
      <c r="E424" s="27">
        <v>2020</v>
      </c>
      <c r="F424" s="9" t="s">
        <v>355</v>
      </c>
      <c r="G424" s="10">
        <v>607113</v>
      </c>
      <c r="H424" s="12"/>
      <c r="I424" s="13"/>
    </row>
    <row r="425" spans="1:9">
      <c r="A425">
        <v>2021</v>
      </c>
      <c r="B425" s="9" t="s">
        <v>356</v>
      </c>
      <c r="C425" s="10">
        <v>4219969</v>
      </c>
      <c r="D425" s="10"/>
      <c r="E425" s="27">
        <v>2020</v>
      </c>
      <c r="F425" s="9" t="s">
        <v>356</v>
      </c>
      <c r="G425" s="10">
        <v>4155073</v>
      </c>
      <c r="H425" s="12"/>
      <c r="I425" s="13"/>
    </row>
    <row r="426" spans="1:9">
      <c r="A426">
        <v>2021</v>
      </c>
      <c r="B426" s="9" t="s">
        <v>357</v>
      </c>
      <c r="C426" s="10">
        <v>7290</v>
      </c>
      <c r="D426" s="10"/>
      <c r="E426" s="27">
        <v>2020</v>
      </c>
      <c r="F426" s="9" t="s">
        <v>357</v>
      </c>
      <c r="G426" s="10">
        <v>6415</v>
      </c>
      <c r="H426" s="12"/>
      <c r="I426" s="13"/>
    </row>
    <row r="427" spans="1:9">
      <c r="A427">
        <v>2021</v>
      </c>
      <c r="B427" s="9" t="s">
        <v>358</v>
      </c>
      <c r="C427" s="10">
        <v>214112</v>
      </c>
      <c r="D427" s="10"/>
      <c r="E427" s="27">
        <v>2020</v>
      </c>
      <c r="F427" s="9" t="s">
        <v>358</v>
      </c>
      <c r="G427" s="10">
        <v>185763</v>
      </c>
      <c r="H427" s="12"/>
      <c r="I427" s="13"/>
    </row>
    <row r="428" spans="1:9">
      <c r="A428">
        <v>2021</v>
      </c>
      <c r="B428" s="9" t="s">
        <v>359</v>
      </c>
      <c r="C428" s="10">
        <v>203781</v>
      </c>
      <c r="D428" s="10"/>
      <c r="E428" s="27">
        <v>2020</v>
      </c>
      <c r="F428" s="9" t="s">
        <v>359</v>
      </c>
      <c r="G428" s="10">
        <v>198523</v>
      </c>
      <c r="H428" s="12"/>
      <c r="I428" s="13"/>
    </row>
    <row r="429" spans="1:9">
      <c r="A429">
        <v>2021</v>
      </c>
      <c r="B429" s="9" t="s">
        <v>360</v>
      </c>
      <c r="C429" s="10">
        <v>50370</v>
      </c>
      <c r="D429" s="10"/>
      <c r="E429" s="27">
        <v>2020</v>
      </c>
      <c r="F429" s="9" t="s">
        <v>360</v>
      </c>
      <c r="G429" s="10">
        <v>52992</v>
      </c>
      <c r="H429" s="12"/>
      <c r="I429" s="13"/>
    </row>
    <row r="430" spans="1:9">
      <c r="A430">
        <v>2021</v>
      </c>
      <c r="B430" s="9" t="s">
        <v>361</v>
      </c>
      <c r="C430" s="10">
        <v>1489468</v>
      </c>
      <c r="D430" s="10"/>
      <c r="E430" s="27">
        <v>2020</v>
      </c>
      <c r="F430" s="9" t="s">
        <v>361</v>
      </c>
      <c r="G430" s="10">
        <v>1328415</v>
      </c>
      <c r="H430" s="12"/>
      <c r="I430" s="13"/>
    </row>
    <row r="431" spans="1:9">
      <c r="A431">
        <v>2021</v>
      </c>
      <c r="B431" s="9" t="s">
        <v>362</v>
      </c>
      <c r="C431" s="10">
        <v>9787</v>
      </c>
      <c r="D431" s="10"/>
      <c r="E431" s="27">
        <v>2020</v>
      </c>
      <c r="F431" s="9" t="s">
        <v>362</v>
      </c>
      <c r="G431" s="10">
        <v>9889</v>
      </c>
      <c r="H431" s="12"/>
      <c r="I431" s="13"/>
    </row>
    <row r="432" spans="1:9">
      <c r="A432">
        <v>2021</v>
      </c>
      <c r="B432" s="9" t="s">
        <v>363</v>
      </c>
      <c r="C432" s="10">
        <v>22267</v>
      </c>
      <c r="D432" s="10"/>
      <c r="E432" s="27">
        <v>2020</v>
      </c>
      <c r="F432" s="9" t="s">
        <v>363</v>
      </c>
      <c r="G432" s="10">
        <v>23302</v>
      </c>
      <c r="H432" s="12"/>
      <c r="I432" s="13"/>
    </row>
    <row r="433" spans="1:9">
      <c r="A433">
        <v>2021</v>
      </c>
      <c r="B433" s="9" t="s">
        <v>364</v>
      </c>
      <c r="C433" s="10">
        <v>45458</v>
      </c>
      <c r="D433" s="10"/>
      <c r="E433" s="27">
        <v>2020</v>
      </c>
      <c r="F433" s="9" t="s">
        <v>364</v>
      </c>
      <c r="G433" s="10">
        <v>43704</v>
      </c>
      <c r="H433" s="12"/>
      <c r="I433" s="13"/>
    </row>
    <row r="434" spans="1:9">
      <c r="A434">
        <v>2021</v>
      </c>
      <c r="B434" s="9" t="s">
        <v>365</v>
      </c>
      <c r="C434" s="10">
        <v>3910</v>
      </c>
      <c r="D434" s="10"/>
      <c r="E434" s="27">
        <v>2020</v>
      </c>
      <c r="F434" s="9" t="s">
        <v>365</v>
      </c>
      <c r="G434" s="10">
        <v>3891</v>
      </c>
      <c r="H434" s="12"/>
      <c r="I434" s="13"/>
    </row>
    <row r="435" spans="1:9">
      <c r="A435">
        <v>2021</v>
      </c>
      <c r="B435" s="9" t="s">
        <v>366</v>
      </c>
      <c r="C435" s="10">
        <v>4278</v>
      </c>
      <c r="D435" s="10"/>
      <c r="E435" s="27">
        <v>2020</v>
      </c>
      <c r="F435" s="9" t="s">
        <v>366</v>
      </c>
      <c r="G435" s="10">
        <v>4253</v>
      </c>
      <c r="H435" s="12"/>
      <c r="I435" s="13"/>
    </row>
    <row r="436" spans="1:9">
      <c r="A436">
        <v>2021</v>
      </c>
      <c r="B436" s="9" t="s">
        <v>367</v>
      </c>
      <c r="C436" s="10">
        <v>126929</v>
      </c>
      <c r="D436" s="10"/>
      <c r="E436" s="27">
        <v>2020</v>
      </c>
      <c r="F436" s="9" t="s">
        <v>367</v>
      </c>
      <c r="G436" s="10">
        <v>113173</v>
      </c>
      <c r="H436" s="12"/>
      <c r="I436" s="13"/>
    </row>
    <row r="437" spans="1:9">
      <c r="A437">
        <v>2021</v>
      </c>
      <c r="B437" s="9" t="s">
        <v>368</v>
      </c>
      <c r="C437" s="10">
        <v>9416</v>
      </c>
      <c r="D437" s="10"/>
      <c r="E437" s="27">
        <v>2020</v>
      </c>
      <c r="F437" s="9" t="s">
        <v>368</v>
      </c>
      <c r="G437" s="10">
        <v>9160</v>
      </c>
      <c r="H437" s="12"/>
      <c r="I437" s="13"/>
    </row>
    <row r="438" spans="1:9">
      <c r="A438">
        <v>2021</v>
      </c>
      <c r="B438" s="9" t="s">
        <v>369</v>
      </c>
      <c r="C438" s="10">
        <v>393426</v>
      </c>
      <c r="D438" s="10"/>
      <c r="E438" s="27">
        <v>2020</v>
      </c>
      <c r="F438" s="9" t="s">
        <v>369</v>
      </c>
      <c r="G438" s="10">
        <v>403701</v>
      </c>
      <c r="H438" s="12"/>
      <c r="I438" s="13"/>
    </row>
    <row r="439" spans="1:9">
      <c r="A439">
        <v>2021</v>
      </c>
      <c r="B439" s="9" t="s">
        <v>370</v>
      </c>
      <c r="C439" s="10">
        <v>58243</v>
      </c>
      <c r="D439" s="10"/>
      <c r="E439" s="27">
        <v>2020</v>
      </c>
      <c r="F439" s="9" t="s">
        <v>370</v>
      </c>
      <c r="G439" s="10">
        <v>52220</v>
      </c>
      <c r="H439" s="12"/>
      <c r="I439" s="13"/>
    </row>
    <row r="440" spans="1:9">
      <c r="A440">
        <v>2021</v>
      </c>
      <c r="B440" s="9" t="s">
        <v>371</v>
      </c>
      <c r="C440" s="10">
        <v>297562</v>
      </c>
      <c r="D440" s="10"/>
      <c r="E440" s="27">
        <v>2020</v>
      </c>
      <c r="F440" s="9" t="s">
        <v>371</v>
      </c>
      <c r="G440" s="10">
        <v>282900</v>
      </c>
      <c r="H440" s="12"/>
      <c r="I440" s="13"/>
    </row>
    <row r="441" spans="1:9">
      <c r="A441">
        <v>2021</v>
      </c>
      <c r="B441" s="9" t="s">
        <v>372</v>
      </c>
      <c r="C441" s="10">
        <v>53803</v>
      </c>
      <c r="D441" s="10"/>
      <c r="E441" s="27">
        <v>2020</v>
      </c>
      <c r="F441" s="9" t="s">
        <v>372</v>
      </c>
      <c r="G441" s="10">
        <v>50968</v>
      </c>
      <c r="H441" s="12"/>
      <c r="I441" s="13"/>
    </row>
    <row r="442" spans="1:9">
      <c r="A442">
        <v>2021</v>
      </c>
      <c r="B442" s="9" t="s">
        <v>373</v>
      </c>
      <c r="C442" s="10">
        <v>200444</v>
      </c>
      <c r="D442" s="10"/>
      <c r="E442" s="27">
        <v>2020</v>
      </c>
      <c r="F442" s="9" t="s">
        <v>373</v>
      </c>
      <c r="G442" s="10">
        <v>208767</v>
      </c>
      <c r="H442" s="12"/>
      <c r="I442" s="13"/>
    </row>
    <row r="443" spans="1:9">
      <c r="A443">
        <v>2021</v>
      </c>
      <c r="B443" s="9" t="s">
        <v>374</v>
      </c>
      <c r="C443" s="10">
        <v>89772</v>
      </c>
      <c r="D443" s="10"/>
      <c r="E443" s="27">
        <v>2020</v>
      </c>
      <c r="F443" s="9" t="s">
        <v>374</v>
      </c>
      <c r="G443" s="10">
        <v>100885</v>
      </c>
      <c r="H443" s="12"/>
      <c r="I443" s="13"/>
    </row>
    <row r="444" spans="1:9">
      <c r="A444">
        <v>2021</v>
      </c>
      <c r="B444" s="9" t="s">
        <v>375</v>
      </c>
      <c r="C444" s="10">
        <v>145366</v>
      </c>
      <c r="D444" s="10"/>
      <c r="E444" s="27">
        <v>2020</v>
      </c>
      <c r="F444" s="9" t="s">
        <v>375</v>
      </c>
      <c r="G444" s="10">
        <v>126719</v>
      </c>
      <c r="H444" s="12"/>
      <c r="I444" s="13"/>
    </row>
    <row r="445" spans="1:9">
      <c r="A445">
        <v>2021</v>
      </c>
      <c r="B445" s="9" t="s">
        <v>376</v>
      </c>
      <c r="C445" s="10">
        <v>361058</v>
      </c>
      <c r="D445" s="10"/>
      <c r="E445" s="27">
        <v>2020</v>
      </c>
      <c r="F445" s="9" t="s">
        <v>376</v>
      </c>
      <c r="G445" s="10">
        <v>386014</v>
      </c>
      <c r="H445" s="12"/>
      <c r="I445" s="13"/>
    </row>
    <row r="446" spans="1:9">
      <c r="A446">
        <v>2021</v>
      </c>
      <c r="B446" s="9" t="s">
        <v>377</v>
      </c>
      <c r="C446" s="10">
        <v>74548</v>
      </c>
      <c r="D446" s="10"/>
      <c r="E446" s="27">
        <v>2020</v>
      </c>
      <c r="F446" s="9" t="s">
        <v>377</v>
      </c>
      <c r="G446" s="10">
        <v>54435</v>
      </c>
      <c r="H446" s="12"/>
      <c r="I446" s="13"/>
    </row>
    <row r="447" spans="1:9">
      <c r="A447">
        <v>2021</v>
      </c>
      <c r="B447" s="9" t="s">
        <v>378</v>
      </c>
      <c r="C447" s="10">
        <v>16133</v>
      </c>
      <c r="D447" s="10"/>
      <c r="E447" s="27">
        <v>2020</v>
      </c>
      <c r="F447" s="9" t="s">
        <v>378</v>
      </c>
      <c r="G447" s="10">
        <v>15994</v>
      </c>
      <c r="H447" s="12"/>
      <c r="I447" s="13"/>
    </row>
    <row r="448" spans="1:9">
      <c r="A448">
        <v>2021</v>
      </c>
      <c r="B448" s="9" t="s">
        <v>379</v>
      </c>
      <c r="C448" s="10">
        <v>170697</v>
      </c>
      <c r="D448" s="10"/>
      <c r="E448" s="27">
        <v>2020</v>
      </c>
      <c r="F448" s="9" t="s">
        <v>379</v>
      </c>
      <c r="G448" s="10">
        <v>167496</v>
      </c>
      <c r="H448" s="12"/>
      <c r="I448" s="13"/>
    </row>
    <row r="449" spans="1:9">
      <c r="A449">
        <v>2021</v>
      </c>
      <c r="B449" s="9" t="s">
        <v>380</v>
      </c>
      <c r="C449" s="10">
        <v>15617</v>
      </c>
      <c r="D449" s="10"/>
      <c r="E449" s="27">
        <v>2020</v>
      </c>
      <c r="F449" s="9" t="s">
        <v>380</v>
      </c>
      <c r="G449" s="10">
        <v>14841</v>
      </c>
      <c r="H449" s="12"/>
      <c r="I449" s="13"/>
    </row>
    <row r="450" spans="1:9">
      <c r="A450">
        <v>2021</v>
      </c>
      <c r="B450" s="9" t="s">
        <v>381</v>
      </c>
      <c r="C450" s="10">
        <v>416133</v>
      </c>
      <c r="D450" s="10"/>
      <c r="E450" s="27">
        <v>2020</v>
      </c>
      <c r="F450" s="9" t="s">
        <v>381</v>
      </c>
      <c r="G450" s="10">
        <v>389393</v>
      </c>
      <c r="H450" s="12"/>
      <c r="I450" s="13"/>
    </row>
    <row r="451" spans="1:9">
      <c r="A451">
        <v>2021</v>
      </c>
      <c r="B451" s="9" t="s">
        <v>382</v>
      </c>
      <c r="C451" s="10">
        <v>195911</v>
      </c>
      <c r="D451" s="10"/>
      <c r="E451" s="27">
        <v>2020</v>
      </c>
      <c r="F451" s="9" t="s">
        <v>382</v>
      </c>
      <c r="G451" s="10">
        <v>172726</v>
      </c>
      <c r="H451" s="12"/>
      <c r="I451" s="13"/>
    </row>
    <row r="452" spans="1:9">
      <c r="A452">
        <v>2021</v>
      </c>
      <c r="B452" s="9" t="s">
        <v>383</v>
      </c>
      <c r="C452" s="10">
        <v>143403</v>
      </c>
      <c r="D452" s="10"/>
      <c r="E452" s="27">
        <v>2020</v>
      </c>
      <c r="F452" s="9" t="s">
        <v>383</v>
      </c>
      <c r="G452" s="10">
        <v>124407</v>
      </c>
      <c r="H452" s="12"/>
      <c r="I452" s="11"/>
    </row>
    <row r="453" spans="1:9">
      <c r="A453">
        <v>2021</v>
      </c>
      <c r="B453" s="9" t="s">
        <v>384</v>
      </c>
      <c r="C453" s="10">
        <v>12729</v>
      </c>
      <c r="D453" s="10"/>
      <c r="E453" s="27">
        <v>2020</v>
      </c>
      <c r="F453" s="9" t="s">
        <v>384</v>
      </c>
      <c r="G453" s="10">
        <v>12236</v>
      </c>
      <c r="H453" s="12"/>
      <c r="I453" s="13"/>
    </row>
    <row r="454" spans="1:9">
      <c r="A454">
        <v>2021</v>
      </c>
      <c r="B454" s="9" t="s">
        <v>385</v>
      </c>
      <c r="C454" s="10">
        <v>44687</v>
      </c>
      <c r="D454" s="10"/>
      <c r="E454" s="27">
        <v>2020</v>
      </c>
      <c r="F454" s="9" t="s">
        <v>385</v>
      </c>
      <c r="G454" s="10">
        <v>47296</v>
      </c>
      <c r="H454" s="12"/>
      <c r="I454" s="13"/>
    </row>
    <row r="455" spans="1:9">
      <c r="A455">
        <v>2021</v>
      </c>
      <c r="B455" s="9" t="s">
        <v>386</v>
      </c>
      <c r="C455" s="10">
        <v>222461</v>
      </c>
      <c r="D455" s="10"/>
      <c r="E455" s="27">
        <v>2020</v>
      </c>
      <c r="F455" s="9" t="s">
        <v>386</v>
      </c>
      <c r="G455" s="10">
        <v>195528</v>
      </c>
      <c r="H455" s="12"/>
      <c r="I455" s="13"/>
    </row>
    <row r="456" spans="1:9">
      <c r="A456">
        <v>2021</v>
      </c>
      <c r="B456" s="9" t="s">
        <v>387</v>
      </c>
      <c r="C456" s="10">
        <v>366020</v>
      </c>
      <c r="D456" s="10"/>
      <c r="E456" s="27">
        <v>2020</v>
      </c>
      <c r="F456" s="9" t="s">
        <v>387</v>
      </c>
      <c r="G456" s="10">
        <v>299307</v>
      </c>
      <c r="H456" s="12"/>
      <c r="I456" s="13"/>
    </row>
    <row r="457" spans="1:9">
      <c r="A457">
        <v>2021</v>
      </c>
      <c r="B457" s="9" t="s">
        <v>388</v>
      </c>
      <c r="C457" s="10">
        <v>42687</v>
      </c>
      <c r="D457" s="10"/>
      <c r="E457" s="27">
        <v>2020</v>
      </c>
      <c r="F457" s="9" t="s">
        <v>388</v>
      </c>
      <c r="G457" s="10">
        <v>36601</v>
      </c>
      <c r="H457" s="12"/>
      <c r="I457" s="13"/>
    </row>
    <row r="458" spans="1:9">
      <c r="A458">
        <v>2021</v>
      </c>
      <c r="B458" s="9" t="s">
        <v>389</v>
      </c>
      <c r="C458" s="10">
        <v>22228</v>
      </c>
      <c r="D458" s="10"/>
      <c r="E458" s="27">
        <v>2020</v>
      </c>
      <c r="F458" s="9" t="s">
        <v>389</v>
      </c>
      <c r="G458" s="10">
        <v>22436</v>
      </c>
      <c r="H458" s="12"/>
      <c r="I458" s="13"/>
    </row>
    <row r="459" spans="1:9">
      <c r="A459">
        <v>2021</v>
      </c>
      <c r="B459" s="9" t="s">
        <v>390</v>
      </c>
      <c r="C459" s="10">
        <v>154440</v>
      </c>
      <c r="D459" s="10"/>
      <c r="E459" s="27">
        <v>2020</v>
      </c>
      <c r="F459" s="9" t="s">
        <v>390</v>
      </c>
      <c r="G459" s="10">
        <v>150331</v>
      </c>
      <c r="H459" s="12"/>
      <c r="I459" s="13"/>
    </row>
    <row r="460" spans="1:9">
      <c r="A460">
        <v>2021</v>
      </c>
      <c r="B460" s="9" t="s">
        <v>391</v>
      </c>
      <c r="C460" s="10">
        <v>49670</v>
      </c>
      <c r="D460" s="10"/>
      <c r="E460" s="27">
        <v>2020</v>
      </c>
      <c r="F460" s="9" t="s">
        <v>391</v>
      </c>
      <c r="G460" s="10">
        <v>48146</v>
      </c>
      <c r="H460" s="12"/>
      <c r="I460" s="13"/>
    </row>
    <row r="461" spans="1:9">
      <c r="A461">
        <v>2021</v>
      </c>
      <c r="B461" s="9" t="s">
        <v>392</v>
      </c>
      <c r="C461" s="10">
        <v>148891</v>
      </c>
      <c r="D461" s="10"/>
      <c r="E461" s="27">
        <v>2020</v>
      </c>
      <c r="F461" s="9" t="s">
        <v>392</v>
      </c>
      <c r="G461" s="10">
        <v>121113</v>
      </c>
      <c r="H461" s="12"/>
      <c r="I461" s="13"/>
    </row>
    <row r="462" spans="1:9">
      <c r="A462">
        <v>2021</v>
      </c>
      <c r="B462" s="9" t="s">
        <v>393</v>
      </c>
      <c r="C462" s="10">
        <v>176057</v>
      </c>
      <c r="D462" s="10"/>
      <c r="E462" s="27">
        <v>2020</v>
      </c>
      <c r="F462" s="9" t="s">
        <v>393</v>
      </c>
      <c r="G462" s="10">
        <v>172514</v>
      </c>
      <c r="H462" s="12"/>
      <c r="I462" s="13"/>
    </row>
    <row r="463" spans="1:9">
      <c r="A463">
        <v>2021</v>
      </c>
      <c r="B463" s="9" t="s">
        <v>394</v>
      </c>
      <c r="C463" s="10">
        <v>1388250</v>
      </c>
      <c r="D463" s="10"/>
      <c r="E463" s="27">
        <v>2020</v>
      </c>
      <c r="F463" s="9" t="s">
        <v>394</v>
      </c>
      <c r="G463" s="10">
        <v>1353712</v>
      </c>
      <c r="H463" s="12"/>
      <c r="I463" s="13"/>
    </row>
    <row r="464" spans="1:9">
      <c r="A464">
        <v>2021</v>
      </c>
      <c r="B464" s="9" t="s">
        <v>395</v>
      </c>
      <c r="C464" s="10">
        <v>905786</v>
      </c>
      <c r="D464" s="10"/>
      <c r="E464" s="27">
        <v>2020</v>
      </c>
      <c r="F464" s="9" t="s">
        <v>395</v>
      </c>
      <c r="G464" s="10">
        <v>860677</v>
      </c>
      <c r="H464" s="12"/>
      <c r="I464" s="13"/>
    </row>
    <row r="465" spans="1:9">
      <c r="A465">
        <v>2021</v>
      </c>
      <c r="B465" s="9" t="s">
        <v>396</v>
      </c>
      <c r="C465" s="10">
        <v>155724</v>
      </c>
      <c r="D465" s="10"/>
      <c r="E465" s="27">
        <v>2020</v>
      </c>
      <c r="F465" s="9" t="s">
        <v>396</v>
      </c>
      <c r="G465" s="10">
        <v>142617</v>
      </c>
      <c r="H465" s="12"/>
      <c r="I465" s="13"/>
    </row>
    <row r="466" spans="1:9">
      <c r="A466">
        <v>2021</v>
      </c>
      <c r="B466" s="9" t="s">
        <v>397</v>
      </c>
      <c r="C466" s="10">
        <v>115756</v>
      </c>
      <c r="D466" s="10"/>
      <c r="E466" s="27">
        <v>2020</v>
      </c>
      <c r="F466" s="9" t="s">
        <v>397</v>
      </c>
      <c r="G466" s="10">
        <v>108159</v>
      </c>
      <c r="H466" s="12"/>
      <c r="I466" s="13"/>
    </row>
    <row r="467" spans="1:9">
      <c r="A467">
        <v>2021</v>
      </c>
      <c r="B467" s="9" t="s">
        <v>398</v>
      </c>
      <c r="C467" s="10">
        <v>24242</v>
      </c>
      <c r="D467" s="10"/>
      <c r="E467" s="27">
        <v>2020</v>
      </c>
      <c r="F467" s="9" t="s">
        <v>398</v>
      </c>
      <c r="G467" s="10">
        <v>22296</v>
      </c>
      <c r="H467" s="12"/>
      <c r="I467" s="13"/>
    </row>
    <row r="468" spans="1:9">
      <c r="A468">
        <v>2021</v>
      </c>
      <c r="B468" s="9" t="s">
        <v>399</v>
      </c>
      <c r="C468" s="10">
        <v>11886</v>
      </c>
      <c r="D468" s="10"/>
      <c r="E468" s="27">
        <v>2020</v>
      </c>
      <c r="F468" s="9" t="s">
        <v>399</v>
      </c>
      <c r="G468" s="10">
        <v>26403</v>
      </c>
      <c r="H468" s="12"/>
      <c r="I468" s="13"/>
    </row>
    <row r="469" spans="1:9">
      <c r="A469">
        <v>2021</v>
      </c>
      <c r="B469" s="9" t="s">
        <v>400</v>
      </c>
      <c r="C469" s="10">
        <v>628701</v>
      </c>
      <c r="D469" s="10"/>
      <c r="E469" s="27">
        <v>2020</v>
      </c>
      <c r="F469" s="9" t="s">
        <v>400</v>
      </c>
      <c r="G469" s="10">
        <v>483274</v>
      </c>
      <c r="H469" s="12"/>
      <c r="I469" s="13"/>
    </row>
    <row r="470" spans="1:9">
      <c r="A470">
        <v>2021</v>
      </c>
      <c r="B470" s="9" t="s">
        <v>401</v>
      </c>
      <c r="C470" s="10">
        <v>500931</v>
      </c>
      <c r="D470" s="10"/>
      <c r="E470" s="27">
        <v>2020</v>
      </c>
      <c r="F470" s="9" t="s">
        <v>401</v>
      </c>
      <c r="G470" s="10">
        <v>498810</v>
      </c>
      <c r="H470" s="12"/>
      <c r="I470" s="13"/>
    </row>
    <row r="471" spans="1:9">
      <c r="A471">
        <v>2021</v>
      </c>
      <c r="B471" s="9" t="s">
        <v>402</v>
      </c>
      <c r="C471" s="10">
        <v>12115</v>
      </c>
      <c r="D471" s="10"/>
      <c r="E471" s="27">
        <v>2020</v>
      </c>
      <c r="F471" s="9" t="s">
        <v>402</v>
      </c>
      <c r="G471" s="10">
        <v>12831</v>
      </c>
      <c r="H471" s="12"/>
      <c r="I471" s="13"/>
    </row>
    <row r="472" spans="1:9">
      <c r="A472">
        <v>2021</v>
      </c>
      <c r="B472" s="9" t="s">
        <v>403</v>
      </c>
      <c r="C472" s="10">
        <v>108978</v>
      </c>
      <c r="D472" s="10"/>
      <c r="E472" s="27">
        <v>2020</v>
      </c>
      <c r="F472" s="9" t="s">
        <v>403</v>
      </c>
      <c r="G472" s="10">
        <v>102602</v>
      </c>
      <c r="H472" s="12"/>
      <c r="I472" s="13"/>
    </row>
    <row r="473" spans="1:9">
      <c r="A473">
        <v>2021</v>
      </c>
      <c r="B473" s="9" t="s">
        <v>404</v>
      </c>
      <c r="C473" s="10">
        <v>56758</v>
      </c>
      <c r="D473" s="10"/>
      <c r="E473" s="27">
        <v>2020</v>
      </c>
      <c r="F473" s="9" t="s">
        <v>404</v>
      </c>
      <c r="G473" s="10">
        <v>44325</v>
      </c>
      <c r="H473" s="12"/>
      <c r="I473" s="13"/>
    </row>
    <row r="474" spans="1:9">
      <c r="A474">
        <v>2021</v>
      </c>
      <c r="B474" s="9" t="s">
        <v>405</v>
      </c>
      <c r="C474" s="10">
        <v>32187</v>
      </c>
      <c r="D474" s="10"/>
      <c r="E474" s="27">
        <v>2020</v>
      </c>
      <c r="F474" s="9" t="s">
        <v>405</v>
      </c>
      <c r="G474" s="10">
        <v>32512</v>
      </c>
      <c r="H474" s="12"/>
      <c r="I474" s="13"/>
    </row>
    <row r="475" spans="1:9">
      <c r="A475">
        <v>2021</v>
      </c>
      <c r="B475" s="9" t="s">
        <v>406</v>
      </c>
      <c r="C475" s="10">
        <v>88632</v>
      </c>
      <c r="D475" s="10"/>
      <c r="E475" s="27">
        <v>2020</v>
      </c>
      <c r="F475" s="9" t="s">
        <v>406</v>
      </c>
      <c r="G475" s="10">
        <v>61310</v>
      </c>
      <c r="H475" s="12"/>
      <c r="I475" s="13"/>
    </row>
    <row r="476" spans="1:9">
      <c r="A476">
        <v>2021</v>
      </c>
      <c r="B476" s="9" t="s">
        <v>407</v>
      </c>
      <c r="C476" s="10">
        <v>856220</v>
      </c>
      <c r="D476" s="10"/>
      <c r="E476" s="27">
        <v>2020</v>
      </c>
      <c r="F476" s="9" t="s">
        <v>407</v>
      </c>
      <c r="G476" s="10">
        <v>832728</v>
      </c>
      <c r="H476" s="12"/>
      <c r="I476" s="13"/>
    </row>
    <row r="477" spans="1:9">
      <c r="A477">
        <v>2021</v>
      </c>
      <c r="B477" s="9" t="s">
        <v>408</v>
      </c>
      <c r="C477" s="10">
        <v>12292</v>
      </c>
      <c r="D477" s="10"/>
      <c r="E477" s="27">
        <v>2020</v>
      </c>
      <c r="F477" s="9" t="s">
        <v>408</v>
      </c>
      <c r="G477" s="10">
        <v>11938</v>
      </c>
      <c r="H477" s="12"/>
      <c r="I477" s="13"/>
    </row>
    <row r="478" spans="1:9">
      <c r="A478">
        <v>2021</v>
      </c>
      <c r="B478" s="9" t="s">
        <v>409</v>
      </c>
      <c r="C478" s="10">
        <v>91951</v>
      </c>
      <c r="D478" s="10"/>
      <c r="E478" s="27">
        <v>2020</v>
      </c>
      <c r="F478" s="9" t="s">
        <v>409</v>
      </c>
      <c r="G478" s="10">
        <v>89473</v>
      </c>
      <c r="H478" s="12"/>
      <c r="I478" s="13"/>
    </row>
    <row r="479" spans="1:9">
      <c r="A479">
        <v>2021</v>
      </c>
      <c r="B479" s="9" t="s">
        <v>410</v>
      </c>
      <c r="C479" s="10">
        <v>158213</v>
      </c>
      <c r="D479" s="10"/>
      <c r="E479" s="27">
        <v>2020</v>
      </c>
      <c r="F479" s="9" t="s">
        <v>410</v>
      </c>
      <c r="G479" s="10">
        <v>149424</v>
      </c>
      <c r="H479" s="12"/>
      <c r="I479" s="13"/>
    </row>
    <row r="480" spans="1:9">
      <c r="A480">
        <v>2021</v>
      </c>
      <c r="B480" s="9" t="s">
        <v>411</v>
      </c>
      <c r="C480" s="10">
        <v>1493252</v>
      </c>
      <c r="D480" s="10"/>
      <c r="E480" s="27">
        <v>2020</v>
      </c>
      <c r="F480" s="9" t="s">
        <v>411</v>
      </c>
      <c r="G480" s="10">
        <v>1425647</v>
      </c>
      <c r="H480" s="12"/>
      <c r="I480" s="13"/>
    </row>
    <row r="481" spans="1:9">
      <c r="A481">
        <v>2021</v>
      </c>
      <c r="B481" s="9" t="s">
        <v>412</v>
      </c>
      <c r="C481" s="10">
        <v>785642</v>
      </c>
      <c r="D481" s="10"/>
      <c r="E481" s="27">
        <v>2020</v>
      </c>
      <c r="F481" s="9" t="s">
        <v>412</v>
      </c>
      <c r="G481" s="10">
        <v>806253</v>
      </c>
      <c r="H481" s="12"/>
      <c r="I481" s="13"/>
    </row>
    <row r="482" spans="1:9">
      <c r="A482">
        <v>2021</v>
      </c>
      <c r="B482" s="9" t="s">
        <v>413</v>
      </c>
      <c r="C482" s="10">
        <v>397835</v>
      </c>
      <c r="D482" s="10"/>
      <c r="E482" s="27">
        <v>2020</v>
      </c>
      <c r="F482" s="9" t="s">
        <v>413</v>
      </c>
      <c r="G482" s="10">
        <v>464489</v>
      </c>
      <c r="H482" s="12"/>
      <c r="I482" s="13"/>
    </row>
    <row r="483" spans="1:9">
      <c r="A483">
        <v>2021</v>
      </c>
      <c r="B483" s="9" t="s">
        <v>414</v>
      </c>
      <c r="C483" s="10">
        <v>3459829</v>
      </c>
      <c r="D483" s="10"/>
      <c r="E483" s="27">
        <v>2020</v>
      </c>
      <c r="F483" s="9" t="s">
        <v>414</v>
      </c>
      <c r="G483" s="10">
        <v>3535954</v>
      </c>
      <c r="H483" s="12"/>
      <c r="I483" s="13"/>
    </row>
    <row r="484" spans="1:9">
      <c r="A484">
        <v>2021</v>
      </c>
      <c r="B484" s="9" t="s">
        <v>415</v>
      </c>
      <c r="C484" s="10">
        <v>1836310</v>
      </c>
      <c r="D484" s="10"/>
      <c r="E484" s="27">
        <v>2020</v>
      </c>
      <c r="F484" s="9" t="s">
        <v>415</v>
      </c>
      <c r="G484" s="10">
        <v>1788080</v>
      </c>
      <c r="H484" s="12"/>
      <c r="I484" s="13"/>
    </row>
    <row r="485" spans="1:9">
      <c r="A485">
        <v>2021</v>
      </c>
      <c r="B485" s="9" t="s">
        <v>416</v>
      </c>
      <c r="C485" s="10">
        <v>1665904</v>
      </c>
      <c r="D485" s="10"/>
      <c r="E485" s="27">
        <v>2020</v>
      </c>
      <c r="F485" s="9" t="s">
        <v>416</v>
      </c>
      <c r="G485" s="10">
        <v>1707604</v>
      </c>
      <c r="H485" s="12"/>
      <c r="I485" s="13"/>
    </row>
    <row r="486" spans="1:9">
      <c r="A486">
        <v>2021</v>
      </c>
      <c r="B486" s="9" t="s">
        <v>417</v>
      </c>
      <c r="C486" s="10">
        <v>46114</v>
      </c>
      <c r="D486" s="10"/>
      <c r="E486" s="27">
        <v>2020</v>
      </c>
      <c r="F486" s="9" t="s">
        <v>417</v>
      </c>
      <c r="G486" s="10">
        <v>44542</v>
      </c>
      <c r="H486" s="12"/>
      <c r="I486" s="13"/>
    </row>
    <row r="487" spans="1:9">
      <c r="A487">
        <v>2021</v>
      </c>
      <c r="B487" s="9" t="s">
        <v>418</v>
      </c>
      <c r="C487" s="10">
        <v>39879</v>
      </c>
      <c r="D487" s="10"/>
      <c r="E487" s="27">
        <v>2020</v>
      </c>
      <c r="F487" s="9" t="s">
        <v>418</v>
      </c>
      <c r="G487" s="10">
        <v>36032</v>
      </c>
      <c r="H487" s="12"/>
      <c r="I487" s="13"/>
    </row>
    <row r="489" spans="1:9">
      <c r="B489" s="9" t="s">
        <v>932</v>
      </c>
      <c r="C489" s="10">
        <f>SUM(C2:C487)</f>
        <v>459426333</v>
      </c>
      <c r="D489" s="10"/>
      <c r="E489" s="10"/>
      <c r="F489" s="10"/>
      <c r="G489" s="10">
        <f>SUM(G2:G487)</f>
        <v>444242020</v>
      </c>
    </row>
    <row r="491" spans="1:9">
      <c r="B491" s="9" t="s">
        <v>931</v>
      </c>
      <c r="C491" s="18">
        <v>459426333</v>
      </c>
      <c r="D491" s="18"/>
      <c r="E491" s="18"/>
      <c r="F491" s="18"/>
      <c r="G491" s="18">
        <v>444242020</v>
      </c>
    </row>
    <row r="493" spans="1:9">
      <c r="B493" s="19" t="s">
        <v>930</v>
      </c>
      <c r="C493" s="20">
        <f>C489-C491</f>
        <v>0</v>
      </c>
      <c r="D493" s="20"/>
      <c r="E493" s="20"/>
      <c r="F493" s="20"/>
      <c r="G493" s="20">
        <f>G489-G491</f>
        <v>0</v>
      </c>
    </row>
  </sheetData>
  <pageMargins left="0.7" right="0.7" top="0.75" bottom="0.75" header="0.3" footer="0.3"/>
  <ignoredErrors>
    <ignoredError sqref="G489 C48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BF9AB-369A-6548-A5B7-334C5D63C529}">
  <sheetPr>
    <tabColor rgb="FFFFFF00"/>
  </sheetPr>
  <dimension ref="A1:K493"/>
  <sheetViews>
    <sheetView workbookViewId="0">
      <selection activeCell="E2" sqref="E2:G487"/>
    </sheetView>
  </sheetViews>
  <sheetFormatPr baseColWidth="10" defaultRowHeight="16"/>
  <cols>
    <col min="2" max="2" width="29.5" style="9" bestFit="1" customWidth="1"/>
    <col min="3" max="3" width="18.83203125" style="9" bestFit="1" customWidth="1"/>
    <col min="4" max="4" width="3.5" style="9" customWidth="1"/>
    <col min="5" max="5" width="15" style="9" customWidth="1"/>
    <col min="6" max="6" width="29.5" style="9" bestFit="1" customWidth="1"/>
    <col min="7" max="7" width="18.83203125" style="9" bestFit="1" customWidth="1"/>
  </cols>
  <sheetData>
    <row r="1" spans="1:9">
      <c r="A1" t="s">
        <v>1421</v>
      </c>
      <c r="B1" s="9" t="s">
        <v>419</v>
      </c>
      <c r="C1" s="9" t="s">
        <v>1422</v>
      </c>
      <c r="E1" t="s">
        <v>1421</v>
      </c>
      <c r="F1" s="9" t="s">
        <v>419</v>
      </c>
      <c r="G1" s="9" t="s">
        <v>1422</v>
      </c>
    </row>
    <row r="2" spans="1:9">
      <c r="A2">
        <v>2019</v>
      </c>
      <c r="B2" s="9" t="s">
        <v>492</v>
      </c>
      <c r="C2" s="10">
        <v>4839</v>
      </c>
      <c r="D2" s="10"/>
      <c r="E2" s="27">
        <v>2018</v>
      </c>
      <c r="F2" s="9" t="s">
        <v>492</v>
      </c>
      <c r="G2" s="10">
        <v>4662</v>
      </c>
      <c r="H2" s="2"/>
      <c r="I2" s="1"/>
    </row>
    <row r="3" spans="1:9">
      <c r="A3">
        <v>2019</v>
      </c>
      <c r="B3" s="9" t="s">
        <v>493</v>
      </c>
      <c r="C3" s="10">
        <v>50980</v>
      </c>
      <c r="D3" s="10"/>
      <c r="E3" s="27">
        <v>2018</v>
      </c>
      <c r="F3" s="9" t="s">
        <v>493</v>
      </c>
      <c r="G3" s="10">
        <v>47287</v>
      </c>
      <c r="H3" s="2"/>
      <c r="I3" s="3"/>
    </row>
    <row r="4" spans="1:9">
      <c r="A4">
        <v>2019</v>
      </c>
      <c r="B4" s="9" t="s">
        <v>494</v>
      </c>
      <c r="C4" s="10">
        <v>271092</v>
      </c>
      <c r="D4" s="10"/>
      <c r="E4" s="27">
        <v>2018</v>
      </c>
      <c r="F4" s="9" t="s">
        <v>494</v>
      </c>
      <c r="G4" s="10">
        <v>268821</v>
      </c>
      <c r="H4" s="2"/>
      <c r="I4" s="3"/>
    </row>
    <row r="5" spans="1:9">
      <c r="A5">
        <v>2019</v>
      </c>
      <c r="B5" s="9" t="s">
        <v>495</v>
      </c>
      <c r="C5" s="10">
        <v>383431</v>
      </c>
      <c r="D5" s="10"/>
      <c r="E5" s="27">
        <v>2018</v>
      </c>
      <c r="F5" s="9" t="s">
        <v>495</v>
      </c>
      <c r="G5" s="10">
        <v>381768</v>
      </c>
      <c r="H5" s="2"/>
      <c r="I5" s="3"/>
    </row>
    <row r="6" spans="1:9">
      <c r="A6">
        <v>2019</v>
      </c>
      <c r="B6" s="9" t="s">
        <v>420</v>
      </c>
      <c r="E6" s="27">
        <v>2018</v>
      </c>
      <c r="F6" s="9" t="s">
        <v>420</v>
      </c>
      <c r="H6" s="2"/>
      <c r="I6" s="1"/>
    </row>
    <row r="7" spans="1:9">
      <c r="A7">
        <v>2019</v>
      </c>
      <c r="B7" s="9" t="s">
        <v>496</v>
      </c>
      <c r="C7" s="10">
        <v>28710</v>
      </c>
      <c r="D7" s="10"/>
      <c r="E7" s="27">
        <v>2018</v>
      </c>
      <c r="F7" s="9" t="s">
        <v>496</v>
      </c>
      <c r="G7" s="10">
        <v>26431</v>
      </c>
      <c r="H7" s="2"/>
      <c r="I7" s="3"/>
    </row>
    <row r="8" spans="1:9">
      <c r="A8">
        <v>2019</v>
      </c>
      <c r="B8" s="9" t="s">
        <v>497</v>
      </c>
      <c r="C8" s="10">
        <v>464330</v>
      </c>
      <c r="D8" s="10"/>
      <c r="E8" s="27">
        <v>2018</v>
      </c>
      <c r="F8" s="9" t="s">
        <v>497</v>
      </c>
      <c r="G8" s="10">
        <v>423616</v>
      </c>
      <c r="H8" s="2"/>
      <c r="I8" s="3"/>
    </row>
    <row r="9" spans="1:9">
      <c r="A9">
        <v>2019</v>
      </c>
      <c r="B9" s="9" t="s">
        <v>498</v>
      </c>
      <c r="C9" s="10">
        <v>630478</v>
      </c>
      <c r="D9" s="10"/>
      <c r="E9" s="27">
        <v>2018</v>
      </c>
      <c r="F9" s="9" t="s">
        <v>498</v>
      </c>
      <c r="G9" s="10">
        <v>613113</v>
      </c>
      <c r="H9" s="2"/>
      <c r="I9" s="3"/>
    </row>
    <row r="10" spans="1:9">
      <c r="A10">
        <v>2019</v>
      </c>
      <c r="B10" s="9" t="s">
        <v>499</v>
      </c>
      <c r="C10" s="10">
        <v>415805</v>
      </c>
      <c r="D10" s="10"/>
      <c r="E10" s="27">
        <v>2018</v>
      </c>
      <c r="F10" s="9" t="s">
        <v>499</v>
      </c>
      <c r="G10" s="10">
        <v>388044</v>
      </c>
      <c r="H10" s="2"/>
      <c r="I10" s="3"/>
    </row>
    <row r="11" spans="1:9">
      <c r="A11">
        <v>2019</v>
      </c>
      <c r="B11" s="9" t="s">
        <v>500</v>
      </c>
      <c r="C11" s="10">
        <v>1916022</v>
      </c>
      <c r="D11" s="10"/>
      <c r="E11" s="27">
        <v>2018</v>
      </c>
      <c r="F11" s="9" t="s">
        <v>500</v>
      </c>
      <c r="G11" s="10">
        <v>1806788</v>
      </c>
      <c r="H11" s="2"/>
      <c r="I11" s="3"/>
    </row>
    <row r="12" spans="1:9">
      <c r="A12">
        <v>2019</v>
      </c>
      <c r="B12" s="9" t="s">
        <v>501</v>
      </c>
      <c r="C12" s="10">
        <v>17549</v>
      </c>
      <c r="D12" s="10"/>
      <c r="E12" s="27">
        <v>2018</v>
      </c>
      <c r="F12" s="9" t="s">
        <v>501</v>
      </c>
      <c r="G12" s="10">
        <v>16452</v>
      </c>
      <c r="H12" s="2"/>
      <c r="I12" s="3"/>
    </row>
    <row r="13" spans="1:9">
      <c r="A13">
        <v>2019</v>
      </c>
      <c r="B13" s="9" t="s">
        <v>502</v>
      </c>
      <c r="C13" s="10">
        <v>260917</v>
      </c>
      <c r="D13" s="10"/>
      <c r="E13" s="27">
        <v>2018</v>
      </c>
      <c r="F13" s="9" t="s">
        <v>502</v>
      </c>
      <c r="G13" s="10">
        <v>245256</v>
      </c>
      <c r="H13" s="2"/>
      <c r="I13" s="3"/>
    </row>
    <row r="14" spans="1:9">
      <c r="A14">
        <v>2019</v>
      </c>
      <c r="B14" s="9" t="s">
        <v>4</v>
      </c>
      <c r="C14" s="10">
        <v>69976</v>
      </c>
      <c r="D14" s="10"/>
      <c r="E14" s="27">
        <v>2018</v>
      </c>
      <c r="F14" s="9" t="s">
        <v>4</v>
      </c>
      <c r="G14" s="10">
        <v>67119</v>
      </c>
      <c r="H14" s="2"/>
      <c r="I14" s="3"/>
    </row>
    <row r="15" spans="1:9">
      <c r="A15">
        <v>2019</v>
      </c>
      <c r="B15" s="9" t="s">
        <v>503</v>
      </c>
      <c r="C15" s="10">
        <v>161430</v>
      </c>
      <c r="D15" s="10"/>
      <c r="E15" s="27">
        <v>2018</v>
      </c>
      <c r="F15" s="9" t="s">
        <v>503</v>
      </c>
      <c r="G15" s="10">
        <v>157453</v>
      </c>
      <c r="H15" s="2"/>
      <c r="I15" s="3"/>
    </row>
    <row r="16" spans="1:9">
      <c r="A16">
        <v>2019</v>
      </c>
      <c r="B16" s="9" t="s">
        <v>504</v>
      </c>
      <c r="C16" s="10">
        <v>126340</v>
      </c>
      <c r="D16" s="10"/>
      <c r="E16" s="27">
        <v>2018</v>
      </c>
      <c r="F16" s="9" t="s">
        <v>504</v>
      </c>
      <c r="G16" s="10">
        <v>117209</v>
      </c>
      <c r="H16" s="2"/>
      <c r="I16" s="3"/>
    </row>
    <row r="17" spans="1:9">
      <c r="A17">
        <v>2019</v>
      </c>
      <c r="B17" s="9" t="s">
        <v>421</v>
      </c>
      <c r="C17" s="10">
        <v>30535</v>
      </c>
      <c r="D17" s="10"/>
      <c r="E17" s="27">
        <v>2018</v>
      </c>
      <c r="F17" s="9" t="s">
        <v>421</v>
      </c>
      <c r="G17" s="10">
        <v>32653</v>
      </c>
      <c r="H17" s="2"/>
      <c r="I17" s="3"/>
    </row>
    <row r="18" spans="1:9">
      <c r="A18">
        <v>2019</v>
      </c>
      <c r="B18" s="9" t="s">
        <v>505</v>
      </c>
      <c r="C18" s="10">
        <v>229681</v>
      </c>
      <c r="D18" s="10"/>
      <c r="E18" s="27">
        <v>2018</v>
      </c>
      <c r="F18" s="9" t="s">
        <v>505</v>
      </c>
      <c r="G18" s="10">
        <v>217688</v>
      </c>
      <c r="H18" s="2"/>
      <c r="I18" s="3"/>
    </row>
    <row r="19" spans="1:9">
      <c r="A19">
        <v>2019</v>
      </c>
      <c r="B19" s="9" t="s">
        <v>506</v>
      </c>
      <c r="C19" s="10">
        <v>197420</v>
      </c>
      <c r="D19" s="10"/>
      <c r="E19" s="27">
        <v>2018</v>
      </c>
      <c r="F19" s="9" t="s">
        <v>506</v>
      </c>
      <c r="G19" s="10">
        <v>158953</v>
      </c>
      <c r="H19" s="2"/>
      <c r="I19" s="3"/>
    </row>
    <row r="20" spans="1:9">
      <c r="A20">
        <v>2019</v>
      </c>
      <c r="B20" s="9" t="s">
        <v>507</v>
      </c>
      <c r="C20" s="10">
        <v>274145</v>
      </c>
      <c r="D20" s="10"/>
      <c r="E20" s="27">
        <v>2018</v>
      </c>
      <c r="F20" s="9" t="s">
        <v>507</v>
      </c>
      <c r="G20" s="10">
        <v>244953</v>
      </c>
      <c r="H20" s="2"/>
      <c r="I20" s="3"/>
    </row>
    <row r="21" spans="1:9">
      <c r="A21">
        <v>2019</v>
      </c>
      <c r="B21" s="9" t="s">
        <v>508</v>
      </c>
      <c r="C21" s="10">
        <v>570624</v>
      </c>
      <c r="D21" s="10"/>
      <c r="E21" s="27">
        <v>2018</v>
      </c>
      <c r="F21" s="9" t="s">
        <v>508</v>
      </c>
      <c r="G21" s="10">
        <v>544718</v>
      </c>
      <c r="H21" s="2"/>
      <c r="I21" s="3"/>
    </row>
    <row r="22" spans="1:9">
      <c r="A22">
        <v>2019</v>
      </c>
      <c r="B22" s="9" t="s">
        <v>422</v>
      </c>
      <c r="E22" s="27">
        <v>2018</v>
      </c>
      <c r="F22" s="9" t="s">
        <v>422</v>
      </c>
      <c r="H22" s="2"/>
      <c r="I22" s="1"/>
    </row>
    <row r="23" spans="1:9">
      <c r="A23">
        <v>2019</v>
      </c>
      <c r="B23" s="9" t="s">
        <v>509</v>
      </c>
      <c r="C23" s="10">
        <v>207702</v>
      </c>
      <c r="D23" s="10"/>
      <c r="E23" s="27">
        <v>2018</v>
      </c>
      <c r="F23" s="9" t="s">
        <v>509</v>
      </c>
      <c r="G23" s="10">
        <v>200249</v>
      </c>
      <c r="H23" s="2"/>
      <c r="I23" s="3"/>
    </row>
    <row r="24" spans="1:9">
      <c r="A24">
        <v>2019</v>
      </c>
      <c r="B24" s="9" t="s">
        <v>510</v>
      </c>
      <c r="C24" s="10">
        <v>558781</v>
      </c>
      <c r="D24" s="10"/>
      <c r="E24" s="27">
        <v>2018</v>
      </c>
      <c r="F24" s="9" t="s">
        <v>510</v>
      </c>
      <c r="G24" s="10">
        <v>519474</v>
      </c>
      <c r="H24" s="2"/>
      <c r="I24" s="3"/>
    </row>
    <row r="25" spans="1:9">
      <c r="A25">
        <v>2019</v>
      </c>
      <c r="B25" s="9" t="s">
        <v>511</v>
      </c>
      <c r="C25" s="10">
        <v>362696</v>
      </c>
      <c r="D25" s="10"/>
      <c r="E25" s="27">
        <v>2018</v>
      </c>
      <c r="F25" s="9" t="s">
        <v>511</v>
      </c>
      <c r="G25" s="10">
        <v>335148</v>
      </c>
      <c r="H25" s="2"/>
      <c r="I25" s="3"/>
    </row>
    <row r="26" spans="1:9">
      <c r="A26">
        <v>2019</v>
      </c>
      <c r="B26" s="9" t="s">
        <v>512</v>
      </c>
      <c r="C26" s="10">
        <v>1110657</v>
      </c>
      <c r="D26" s="10"/>
      <c r="E26" s="27">
        <v>2018</v>
      </c>
      <c r="F26" s="9" t="s">
        <v>512</v>
      </c>
      <c r="G26" s="10">
        <v>1070439</v>
      </c>
      <c r="H26" s="2"/>
      <c r="I26" s="3"/>
    </row>
    <row r="27" spans="1:9">
      <c r="A27">
        <v>2019</v>
      </c>
      <c r="B27" s="9" t="s">
        <v>513</v>
      </c>
      <c r="C27" s="10">
        <v>66896</v>
      </c>
      <c r="D27" s="10"/>
      <c r="E27" s="27">
        <v>2018</v>
      </c>
      <c r="F27" s="9" t="s">
        <v>513</v>
      </c>
      <c r="G27" s="10">
        <v>54719</v>
      </c>
      <c r="H27" s="2"/>
      <c r="I27" s="3"/>
    </row>
    <row r="28" spans="1:9">
      <c r="A28">
        <v>2019</v>
      </c>
      <c r="B28" s="9" t="s">
        <v>514</v>
      </c>
      <c r="C28" s="10">
        <v>370715</v>
      </c>
      <c r="D28" s="10"/>
      <c r="E28" s="27">
        <v>2018</v>
      </c>
      <c r="F28" s="9" t="s">
        <v>514</v>
      </c>
      <c r="G28" s="10">
        <v>373988</v>
      </c>
      <c r="H28" s="2"/>
      <c r="I28" s="3"/>
    </row>
    <row r="29" spans="1:9">
      <c r="A29">
        <v>2019</v>
      </c>
      <c r="B29" s="9" t="s">
        <v>515</v>
      </c>
      <c r="C29" s="10">
        <v>82651</v>
      </c>
      <c r="D29" s="10"/>
      <c r="E29" s="27">
        <v>2018</v>
      </c>
      <c r="F29" s="9" t="s">
        <v>515</v>
      </c>
      <c r="G29" s="10">
        <v>77720</v>
      </c>
      <c r="H29" s="2"/>
      <c r="I29" s="3"/>
    </row>
    <row r="30" spans="1:9">
      <c r="A30">
        <v>2019</v>
      </c>
      <c r="B30" s="9" t="s">
        <v>11</v>
      </c>
      <c r="C30" s="10">
        <v>30461</v>
      </c>
      <c r="D30" s="10"/>
      <c r="E30" s="27">
        <v>2018</v>
      </c>
      <c r="F30" s="9" t="s">
        <v>11</v>
      </c>
      <c r="G30" s="10">
        <v>33315</v>
      </c>
      <c r="H30" s="2"/>
      <c r="I30" s="3"/>
    </row>
    <row r="31" spans="1:9">
      <c r="A31">
        <v>2019</v>
      </c>
      <c r="B31" s="9" t="s">
        <v>516</v>
      </c>
      <c r="C31" s="10">
        <v>1926893</v>
      </c>
      <c r="D31" s="10"/>
      <c r="E31" s="27">
        <v>2018</v>
      </c>
      <c r="F31" s="9" t="s">
        <v>516</v>
      </c>
      <c r="G31" s="10">
        <v>1859338</v>
      </c>
      <c r="H31" s="2"/>
      <c r="I31" s="3"/>
    </row>
    <row r="32" spans="1:9">
      <c r="A32">
        <v>2019</v>
      </c>
      <c r="B32" s="9" t="s">
        <v>517</v>
      </c>
      <c r="C32" s="10">
        <v>4753822</v>
      </c>
      <c r="D32" s="10"/>
      <c r="E32" s="27">
        <v>2018</v>
      </c>
      <c r="F32" s="9" t="s">
        <v>517</v>
      </c>
      <c r="G32" s="10">
        <v>4527132</v>
      </c>
      <c r="H32" s="2"/>
      <c r="I32" s="3"/>
    </row>
    <row r="33" spans="1:9">
      <c r="A33">
        <v>2019</v>
      </c>
      <c r="B33" s="9" t="s">
        <v>518</v>
      </c>
      <c r="C33" s="10">
        <v>1214705</v>
      </c>
      <c r="D33" s="10"/>
      <c r="E33" s="27">
        <v>2018</v>
      </c>
      <c r="F33" s="9" t="s">
        <v>518</v>
      </c>
      <c r="G33" s="10">
        <v>1187740</v>
      </c>
      <c r="H33" s="2"/>
      <c r="I33" s="3"/>
    </row>
    <row r="34" spans="1:9">
      <c r="A34">
        <v>2019</v>
      </c>
      <c r="B34" s="9" t="s">
        <v>14</v>
      </c>
      <c r="C34" s="10">
        <v>6072</v>
      </c>
      <c r="D34" s="10"/>
      <c r="E34" s="27">
        <v>2018</v>
      </c>
      <c r="F34" s="9" t="s">
        <v>14</v>
      </c>
      <c r="G34" s="10">
        <v>5838</v>
      </c>
      <c r="H34" s="2"/>
      <c r="I34" s="3"/>
    </row>
    <row r="35" spans="1:9">
      <c r="A35">
        <v>2019</v>
      </c>
      <c r="B35" s="9" t="s">
        <v>519</v>
      </c>
      <c r="C35" s="10">
        <v>592536</v>
      </c>
      <c r="D35" s="10"/>
      <c r="E35" s="27">
        <v>2018</v>
      </c>
      <c r="F35" s="9" t="s">
        <v>519</v>
      </c>
      <c r="G35" s="10">
        <v>592089</v>
      </c>
      <c r="H35" s="2"/>
      <c r="I35" s="3"/>
    </row>
    <row r="36" spans="1:9">
      <c r="A36">
        <v>2019</v>
      </c>
      <c r="B36" s="9" t="s">
        <v>520</v>
      </c>
      <c r="C36" s="10">
        <v>63801</v>
      </c>
      <c r="D36" s="10"/>
      <c r="E36" s="27">
        <v>2018</v>
      </c>
      <c r="F36" s="9" t="s">
        <v>520</v>
      </c>
      <c r="G36" s="10">
        <v>65251</v>
      </c>
      <c r="H36" s="2"/>
      <c r="I36" s="3"/>
    </row>
    <row r="37" spans="1:9">
      <c r="A37">
        <v>2019</v>
      </c>
      <c r="B37" s="9" t="s">
        <v>423</v>
      </c>
      <c r="C37" s="10">
        <v>1071741</v>
      </c>
      <c r="D37" s="10"/>
      <c r="E37" s="27">
        <v>2018</v>
      </c>
      <c r="F37" s="9" t="s">
        <v>423</v>
      </c>
      <c r="G37" s="10">
        <v>1062439</v>
      </c>
      <c r="H37" s="2"/>
      <c r="I37" s="3"/>
    </row>
    <row r="38" spans="1:9">
      <c r="A38">
        <v>2019</v>
      </c>
      <c r="B38" s="9" t="s">
        <v>521</v>
      </c>
      <c r="C38" s="10">
        <v>27812</v>
      </c>
      <c r="D38" s="10"/>
      <c r="E38" s="27">
        <v>2018</v>
      </c>
      <c r="F38" s="9" t="s">
        <v>521</v>
      </c>
      <c r="G38" s="10">
        <v>28658</v>
      </c>
      <c r="H38" s="2"/>
      <c r="I38" s="3"/>
    </row>
    <row r="39" spans="1:9">
      <c r="A39">
        <v>2019</v>
      </c>
      <c r="B39" s="9" t="s">
        <v>522</v>
      </c>
      <c r="C39" s="10">
        <v>71906</v>
      </c>
      <c r="D39" s="10"/>
      <c r="E39" s="27">
        <v>2018</v>
      </c>
      <c r="F39" s="9" t="s">
        <v>522</v>
      </c>
      <c r="G39" s="10">
        <v>67808</v>
      </c>
      <c r="H39" s="2"/>
      <c r="I39" s="3"/>
    </row>
    <row r="40" spans="1:9">
      <c r="A40">
        <v>2019</v>
      </c>
      <c r="B40" s="9" t="s">
        <v>523</v>
      </c>
      <c r="C40" s="10">
        <v>136398</v>
      </c>
      <c r="D40" s="10"/>
      <c r="E40" s="27">
        <v>2018</v>
      </c>
      <c r="F40" s="9" t="s">
        <v>523</v>
      </c>
      <c r="G40" s="10">
        <v>126745</v>
      </c>
      <c r="H40" s="2"/>
      <c r="I40" s="3"/>
    </row>
    <row r="41" spans="1:9">
      <c r="A41">
        <v>2019</v>
      </c>
      <c r="B41" s="9" t="s">
        <v>524</v>
      </c>
      <c r="C41" s="10">
        <v>221159</v>
      </c>
      <c r="D41" s="10"/>
      <c r="E41" s="27">
        <v>2018</v>
      </c>
      <c r="F41" s="9" t="s">
        <v>524</v>
      </c>
      <c r="G41" s="10">
        <v>228765</v>
      </c>
      <c r="H41" s="2"/>
      <c r="I41" s="3"/>
    </row>
    <row r="42" spans="1:9">
      <c r="A42">
        <v>2019</v>
      </c>
      <c r="B42" s="9" t="s">
        <v>525</v>
      </c>
      <c r="C42" s="10">
        <v>179304</v>
      </c>
      <c r="D42" s="10"/>
      <c r="E42" s="27">
        <v>2018</v>
      </c>
      <c r="F42" s="9" t="s">
        <v>525</v>
      </c>
      <c r="G42" s="10">
        <v>176499</v>
      </c>
      <c r="H42" s="2"/>
      <c r="I42" s="3"/>
    </row>
    <row r="43" spans="1:9">
      <c r="A43">
        <v>2019</v>
      </c>
      <c r="B43" s="9" t="s">
        <v>526</v>
      </c>
      <c r="C43" s="10">
        <v>571702</v>
      </c>
      <c r="D43" s="10"/>
      <c r="E43" s="27">
        <v>2018</v>
      </c>
      <c r="F43" s="9" t="s">
        <v>526</v>
      </c>
      <c r="G43" s="10">
        <v>546636</v>
      </c>
      <c r="H43" s="2"/>
      <c r="I43" s="3"/>
    </row>
    <row r="44" spans="1:9">
      <c r="A44">
        <v>2019</v>
      </c>
      <c r="B44" s="9" t="s">
        <v>527</v>
      </c>
      <c r="C44" s="10">
        <v>2098165</v>
      </c>
      <c r="D44" s="10"/>
      <c r="E44" s="27">
        <v>2018</v>
      </c>
      <c r="F44" s="9" t="s">
        <v>527</v>
      </c>
      <c r="G44" s="10">
        <v>2030871</v>
      </c>
      <c r="H44" s="2"/>
      <c r="I44" s="3"/>
    </row>
    <row r="45" spans="1:9">
      <c r="A45">
        <v>2019</v>
      </c>
      <c r="B45" s="9" t="s">
        <v>528</v>
      </c>
      <c r="C45" s="10">
        <v>49538</v>
      </c>
      <c r="D45" s="10"/>
      <c r="E45" s="27">
        <v>2018</v>
      </c>
      <c r="F45" s="9" t="s">
        <v>528</v>
      </c>
      <c r="G45" s="10">
        <v>46731</v>
      </c>
      <c r="H45" s="2"/>
      <c r="I45" s="3"/>
    </row>
    <row r="46" spans="1:9">
      <c r="A46">
        <v>2019</v>
      </c>
      <c r="B46" s="9" t="s">
        <v>529</v>
      </c>
      <c r="C46" s="10">
        <v>167571</v>
      </c>
      <c r="D46" s="10"/>
      <c r="E46" s="27">
        <v>2018</v>
      </c>
      <c r="F46" s="9" t="s">
        <v>529</v>
      </c>
      <c r="G46" s="10">
        <v>167930</v>
      </c>
      <c r="H46" s="2"/>
      <c r="I46" s="3"/>
    </row>
    <row r="47" spans="1:9">
      <c r="A47">
        <v>2019</v>
      </c>
      <c r="B47" s="9" t="s">
        <v>530</v>
      </c>
      <c r="C47" s="10">
        <v>346089</v>
      </c>
      <c r="D47" s="10"/>
      <c r="E47" s="27">
        <v>2018</v>
      </c>
      <c r="F47" s="9" t="s">
        <v>530</v>
      </c>
      <c r="G47" s="10">
        <v>318532</v>
      </c>
      <c r="H47" s="2"/>
      <c r="I47" s="3"/>
    </row>
    <row r="48" spans="1:9">
      <c r="A48">
        <v>2019</v>
      </c>
      <c r="B48" s="9" t="s">
        <v>531</v>
      </c>
      <c r="E48" s="27">
        <v>2018</v>
      </c>
      <c r="F48" s="9" t="s">
        <v>531</v>
      </c>
      <c r="H48" s="2"/>
      <c r="I48" s="1"/>
    </row>
    <row r="49" spans="1:9">
      <c r="A49">
        <v>2019</v>
      </c>
      <c r="B49" s="9" t="s">
        <v>532</v>
      </c>
      <c r="C49" s="10">
        <v>369000</v>
      </c>
      <c r="D49" s="10"/>
      <c r="E49" s="27">
        <v>2018</v>
      </c>
      <c r="F49" s="9" t="s">
        <v>532</v>
      </c>
      <c r="G49" s="10">
        <v>383837</v>
      </c>
      <c r="H49" s="2"/>
      <c r="I49" s="3"/>
    </row>
    <row r="50" spans="1:9">
      <c r="A50">
        <v>2019</v>
      </c>
      <c r="B50" s="9" t="s">
        <v>533</v>
      </c>
      <c r="C50" s="10">
        <v>252989</v>
      </c>
      <c r="D50" s="10"/>
      <c r="E50" s="27">
        <v>2018</v>
      </c>
      <c r="F50" s="9" t="s">
        <v>533</v>
      </c>
      <c r="G50" s="10">
        <v>241907</v>
      </c>
      <c r="H50" s="2"/>
      <c r="I50" s="3"/>
    </row>
    <row r="51" spans="1:9">
      <c r="A51">
        <v>2019</v>
      </c>
      <c r="B51" s="9" t="s">
        <v>534</v>
      </c>
      <c r="C51" s="10">
        <v>8369</v>
      </c>
      <c r="D51" s="10"/>
      <c r="E51" s="27">
        <v>2018</v>
      </c>
      <c r="F51" s="9" t="s">
        <v>534</v>
      </c>
      <c r="G51" s="10">
        <v>9148</v>
      </c>
      <c r="H51" s="2"/>
      <c r="I51" s="3"/>
    </row>
    <row r="52" spans="1:9">
      <c r="A52">
        <v>2019</v>
      </c>
      <c r="B52" s="9" t="s">
        <v>535</v>
      </c>
      <c r="C52" s="10">
        <v>628402</v>
      </c>
      <c r="D52" s="10"/>
      <c r="E52" s="27">
        <v>2018</v>
      </c>
      <c r="F52" s="9" t="s">
        <v>535</v>
      </c>
      <c r="G52" s="10">
        <v>606030</v>
      </c>
      <c r="H52" s="2"/>
      <c r="I52" s="1"/>
    </row>
    <row r="53" spans="1:9">
      <c r="A53">
        <v>2019</v>
      </c>
      <c r="B53" s="9" t="s">
        <v>536</v>
      </c>
      <c r="C53" s="10">
        <v>178905</v>
      </c>
      <c r="D53" s="10"/>
      <c r="E53" s="27">
        <v>2018</v>
      </c>
      <c r="F53" s="9" t="s">
        <v>536</v>
      </c>
      <c r="G53" s="10">
        <v>134288</v>
      </c>
      <c r="H53" s="2"/>
      <c r="I53" s="3"/>
    </row>
    <row r="54" spans="1:9">
      <c r="A54">
        <v>2019</v>
      </c>
      <c r="B54" s="9" t="s">
        <v>537</v>
      </c>
      <c r="C54" s="10">
        <v>431492</v>
      </c>
      <c r="D54" s="10"/>
      <c r="E54" s="27">
        <v>2018</v>
      </c>
      <c r="F54" s="9" t="s">
        <v>537</v>
      </c>
      <c r="G54" s="10">
        <v>418694</v>
      </c>
      <c r="H54" s="2"/>
      <c r="I54" s="3"/>
    </row>
    <row r="55" spans="1:9">
      <c r="A55">
        <v>2019</v>
      </c>
      <c r="B55" s="9" t="s">
        <v>424</v>
      </c>
      <c r="C55" s="10">
        <v>34347</v>
      </c>
      <c r="D55" s="10"/>
      <c r="E55" s="27">
        <v>2018</v>
      </c>
      <c r="F55" s="9" t="s">
        <v>424</v>
      </c>
      <c r="G55" s="10">
        <v>71093</v>
      </c>
      <c r="H55" s="2"/>
      <c r="I55" s="3"/>
    </row>
    <row r="56" spans="1:9">
      <c r="A56">
        <v>2019</v>
      </c>
      <c r="B56" s="9" t="s">
        <v>538</v>
      </c>
      <c r="C56" s="10">
        <v>179591</v>
      </c>
      <c r="D56" s="10"/>
      <c r="E56" s="27">
        <v>2018</v>
      </c>
      <c r="F56" s="9" t="s">
        <v>538</v>
      </c>
      <c r="G56" s="10">
        <v>176659</v>
      </c>
      <c r="H56" s="2"/>
      <c r="I56" s="3"/>
    </row>
    <row r="57" spans="1:9">
      <c r="A57">
        <v>2019</v>
      </c>
      <c r="B57" s="9" t="s">
        <v>539</v>
      </c>
      <c r="C57" s="10">
        <v>95752</v>
      </c>
      <c r="D57" s="10"/>
      <c r="E57" s="27">
        <v>2018</v>
      </c>
      <c r="F57" s="9" t="s">
        <v>539</v>
      </c>
      <c r="G57" s="10">
        <v>107016</v>
      </c>
      <c r="H57" s="2"/>
      <c r="I57" s="3"/>
    </row>
    <row r="58" spans="1:9">
      <c r="A58">
        <v>2019</v>
      </c>
      <c r="B58" s="9" t="s">
        <v>540</v>
      </c>
      <c r="C58" s="10">
        <v>356523</v>
      </c>
      <c r="D58" s="10"/>
      <c r="E58" s="27">
        <v>2018</v>
      </c>
      <c r="F58" s="9" t="s">
        <v>540</v>
      </c>
      <c r="G58" s="10">
        <v>358861</v>
      </c>
      <c r="H58" s="2"/>
      <c r="I58" s="3"/>
    </row>
    <row r="59" spans="1:9">
      <c r="A59">
        <v>2019</v>
      </c>
      <c r="B59" s="9" t="s">
        <v>541</v>
      </c>
      <c r="C59" s="10">
        <v>67848</v>
      </c>
      <c r="D59" s="10"/>
      <c r="E59" s="27">
        <v>2018</v>
      </c>
      <c r="F59" s="9" t="s">
        <v>541</v>
      </c>
      <c r="G59" s="10">
        <v>61964</v>
      </c>
      <c r="H59" s="2"/>
      <c r="I59" s="3"/>
    </row>
    <row r="60" spans="1:9">
      <c r="A60">
        <v>2019</v>
      </c>
      <c r="B60" s="9" t="s">
        <v>542</v>
      </c>
      <c r="C60" s="10">
        <v>110561</v>
      </c>
      <c r="D60" s="10"/>
      <c r="E60" s="27">
        <v>2018</v>
      </c>
      <c r="F60" s="9" t="s">
        <v>542</v>
      </c>
      <c r="G60" s="10">
        <v>118239</v>
      </c>
      <c r="H60" s="2"/>
      <c r="I60" s="3"/>
    </row>
    <row r="61" spans="1:9">
      <c r="A61">
        <v>2019</v>
      </c>
      <c r="B61" s="9" t="s">
        <v>543</v>
      </c>
      <c r="C61" s="10">
        <v>1291929</v>
      </c>
      <c r="D61" s="10"/>
      <c r="E61" s="27">
        <v>2018</v>
      </c>
      <c r="F61" s="9" t="s">
        <v>543</v>
      </c>
      <c r="G61" s="10">
        <v>1245045</v>
      </c>
      <c r="H61" s="2"/>
      <c r="I61" s="3"/>
    </row>
    <row r="62" spans="1:9">
      <c r="A62">
        <v>2019</v>
      </c>
      <c r="B62" s="9" t="s">
        <v>25</v>
      </c>
      <c r="C62" s="10">
        <v>15451</v>
      </c>
      <c r="D62" s="10"/>
      <c r="E62" s="27">
        <v>2018</v>
      </c>
      <c r="F62" s="9" t="s">
        <v>25</v>
      </c>
      <c r="G62" s="10">
        <v>14786</v>
      </c>
      <c r="H62" s="2"/>
      <c r="I62" s="3"/>
    </row>
    <row r="63" spans="1:9">
      <c r="A63">
        <v>2019</v>
      </c>
      <c r="B63" s="9" t="s">
        <v>544</v>
      </c>
      <c r="C63" s="10">
        <v>51275</v>
      </c>
      <c r="D63" s="10"/>
      <c r="E63" s="27">
        <v>2018</v>
      </c>
      <c r="F63" s="9" t="s">
        <v>544</v>
      </c>
      <c r="G63" s="10">
        <v>51543</v>
      </c>
      <c r="H63" s="2"/>
      <c r="I63" s="3"/>
    </row>
    <row r="64" spans="1:9">
      <c r="A64">
        <v>2019</v>
      </c>
      <c r="B64" s="9" t="s">
        <v>545</v>
      </c>
      <c r="C64" s="10">
        <v>24330</v>
      </c>
      <c r="D64" s="10"/>
      <c r="E64" s="27">
        <v>2018</v>
      </c>
      <c r="F64" s="9" t="s">
        <v>545</v>
      </c>
      <c r="G64" s="10">
        <v>23774</v>
      </c>
      <c r="H64" s="2"/>
      <c r="I64" s="3"/>
    </row>
    <row r="65" spans="1:9">
      <c r="A65">
        <v>2019</v>
      </c>
      <c r="B65" s="9" t="s">
        <v>546</v>
      </c>
      <c r="C65" s="10">
        <v>188364</v>
      </c>
      <c r="D65" s="10"/>
      <c r="E65" s="27">
        <v>2018</v>
      </c>
      <c r="F65" s="9" t="s">
        <v>546</v>
      </c>
      <c r="G65" s="10">
        <v>182737</v>
      </c>
      <c r="H65" s="2"/>
      <c r="I65" s="3"/>
    </row>
    <row r="66" spans="1:9">
      <c r="A66">
        <v>2019</v>
      </c>
      <c r="B66" s="9" t="s">
        <v>547</v>
      </c>
      <c r="C66" s="10">
        <v>1915613</v>
      </c>
      <c r="D66" s="10"/>
      <c r="E66" s="27">
        <v>2018</v>
      </c>
      <c r="F66" s="9" t="s">
        <v>547</v>
      </c>
      <c r="G66" s="10">
        <v>1876891</v>
      </c>
      <c r="H66" s="2"/>
      <c r="I66" s="3"/>
    </row>
    <row r="67" spans="1:9">
      <c r="A67">
        <v>2019</v>
      </c>
      <c r="B67" s="9" t="s">
        <v>548</v>
      </c>
      <c r="C67" s="10">
        <v>229826</v>
      </c>
      <c r="D67" s="10"/>
      <c r="E67" s="27">
        <v>2018</v>
      </c>
      <c r="F67" s="9" t="s">
        <v>548</v>
      </c>
      <c r="G67" s="10">
        <v>214593</v>
      </c>
      <c r="H67" s="2"/>
      <c r="I67" s="3"/>
    </row>
    <row r="68" spans="1:9">
      <c r="A68">
        <v>2019</v>
      </c>
      <c r="B68" s="9" t="s">
        <v>549</v>
      </c>
      <c r="C68" s="10">
        <v>505966</v>
      </c>
      <c r="D68" s="10"/>
      <c r="E68" s="27">
        <v>2018</v>
      </c>
      <c r="F68" s="9" t="s">
        <v>549</v>
      </c>
      <c r="G68" s="10">
        <v>468255</v>
      </c>
      <c r="H68" s="2"/>
      <c r="I68" s="3"/>
    </row>
    <row r="69" spans="1:9">
      <c r="A69">
        <v>2019</v>
      </c>
      <c r="B69" s="9" t="s">
        <v>550</v>
      </c>
      <c r="C69" s="10">
        <v>152451</v>
      </c>
      <c r="D69" s="10"/>
      <c r="E69" s="27">
        <v>2018</v>
      </c>
      <c r="F69" s="9" t="s">
        <v>550</v>
      </c>
      <c r="G69" s="10">
        <v>153269</v>
      </c>
      <c r="H69" s="2"/>
      <c r="I69" s="3"/>
    </row>
    <row r="70" spans="1:9">
      <c r="A70">
        <v>2019</v>
      </c>
      <c r="B70" s="9" t="s">
        <v>551</v>
      </c>
      <c r="C70" s="10">
        <v>323432</v>
      </c>
      <c r="D70" s="10"/>
      <c r="E70" s="27">
        <v>2018</v>
      </c>
      <c r="F70" s="9" t="s">
        <v>551</v>
      </c>
      <c r="G70" s="10">
        <v>313467</v>
      </c>
      <c r="H70" s="2"/>
      <c r="I70" s="3"/>
    </row>
    <row r="71" spans="1:9">
      <c r="A71">
        <v>2019</v>
      </c>
      <c r="B71" s="9" t="s">
        <v>552</v>
      </c>
      <c r="C71" s="10">
        <v>100555</v>
      </c>
      <c r="D71" s="10"/>
      <c r="E71" s="27">
        <v>2018</v>
      </c>
      <c r="F71" s="9" t="s">
        <v>552</v>
      </c>
      <c r="G71" s="10">
        <v>111249</v>
      </c>
      <c r="H71" s="2"/>
      <c r="I71" s="3"/>
    </row>
    <row r="72" spans="1:9">
      <c r="A72">
        <v>2019</v>
      </c>
      <c r="B72" s="9" t="s">
        <v>553</v>
      </c>
      <c r="C72" s="10">
        <v>283252</v>
      </c>
      <c r="D72" s="10"/>
      <c r="E72" s="27">
        <v>2018</v>
      </c>
      <c r="F72" s="9" t="s">
        <v>553</v>
      </c>
      <c r="G72" s="10">
        <v>286071</v>
      </c>
      <c r="H72" s="2"/>
      <c r="I72" s="3"/>
    </row>
    <row r="73" spans="1:9">
      <c r="A73">
        <v>2019</v>
      </c>
      <c r="B73" s="9" t="s">
        <v>554</v>
      </c>
      <c r="C73" s="10">
        <v>1029716</v>
      </c>
      <c r="D73" s="10"/>
      <c r="E73" s="27">
        <v>2018</v>
      </c>
      <c r="F73" s="9" t="s">
        <v>554</v>
      </c>
      <c r="G73" s="10">
        <v>1104658</v>
      </c>
      <c r="H73" s="2"/>
      <c r="I73" s="3"/>
    </row>
    <row r="74" spans="1:9">
      <c r="A74">
        <v>2019</v>
      </c>
      <c r="B74" s="9" t="s">
        <v>555</v>
      </c>
      <c r="C74" s="10">
        <v>1904746</v>
      </c>
      <c r="D74" s="10"/>
      <c r="E74" s="27">
        <v>2018</v>
      </c>
      <c r="F74" s="9" t="s">
        <v>555</v>
      </c>
      <c r="G74" s="10">
        <v>1926325</v>
      </c>
      <c r="H74" s="2"/>
      <c r="I74" s="3"/>
    </row>
    <row r="75" spans="1:9">
      <c r="A75">
        <v>2019</v>
      </c>
      <c r="B75" s="9" t="s">
        <v>556</v>
      </c>
      <c r="C75" s="10">
        <v>4346</v>
      </c>
      <c r="D75" s="10"/>
      <c r="E75" s="27">
        <v>2018</v>
      </c>
      <c r="F75" s="9" t="s">
        <v>556</v>
      </c>
      <c r="G75" s="10">
        <v>4264</v>
      </c>
      <c r="H75" s="2"/>
      <c r="I75" s="3"/>
    </row>
    <row r="76" spans="1:9">
      <c r="A76">
        <v>2019</v>
      </c>
      <c r="B76" s="9" t="s">
        <v>557</v>
      </c>
      <c r="C76" s="10">
        <v>28025</v>
      </c>
      <c r="D76" s="10"/>
      <c r="E76" s="27">
        <v>2018</v>
      </c>
      <c r="F76" s="9" t="s">
        <v>557</v>
      </c>
      <c r="G76" s="10">
        <v>29140</v>
      </c>
      <c r="H76" s="2"/>
      <c r="I76" s="3"/>
    </row>
    <row r="77" spans="1:9">
      <c r="A77">
        <v>2019</v>
      </c>
      <c r="B77" s="9" t="s">
        <v>558</v>
      </c>
      <c r="C77" s="10">
        <v>162096</v>
      </c>
      <c r="D77" s="10"/>
      <c r="E77" s="27">
        <v>2018</v>
      </c>
      <c r="F77" s="9" t="s">
        <v>558</v>
      </c>
      <c r="G77" s="10">
        <v>146248</v>
      </c>
      <c r="H77" s="2"/>
      <c r="I77" s="3"/>
    </row>
    <row r="78" spans="1:9">
      <c r="A78">
        <v>2019</v>
      </c>
      <c r="B78" s="9" t="s">
        <v>559</v>
      </c>
      <c r="C78" s="10">
        <v>362318</v>
      </c>
      <c r="D78" s="10"/>
      <c r="E78" s="27">
        <v>2018</v>
      </c>
      <c r="F78" s="9" t="s">
        <v>559</v>
      </c>
      <c r="G78" s="10">
        <v>358246</v>
      </c>
      <c r="H78" s="2"/>
      <c r="I78" s="3"/>
    </row>
    <row r="79" spans="1:9">
      <c r="A79">
        <v>2019</v>
      </c>
      <c r="B79" s="9" t="s">
        <v>560</v>
      </c>
      <c r="C79" s="10">
        <v>4789386</v>
      </c>
      <c r="D79" s="10"/>
      <c r="E79" s="27">
        <v>2018</v>
      </c>
      <c r="F79" s="9" t="s">
        <v>560</v>
      </c>
      <c r="G79" s="10">
        <v>4725583</v>
      </c>
      <c r="H79" s="2"/>
      <c r="I79" s="3"/>
    </row>
    <row r="80" spans="1:9">
      <c r="A80">
        <v>2019</v>
      </c>
      <c r="B80" s="9" t="s">
        <v>561</v>
      </c>
      <c r="C80" s="10">
        <v>5757092</v>
      </c>
      <c r="D80" s="10"/>
      <c r="E80" s="27">
        <v>2018</v>
      </c>
      <c r="F80" s="9" t="s">
        <v>561</v>
      </c>
      <c r="G80" s="10">
        <v>5597501</v>
      </c>
      <c r="H80" s="2"/>
      <c r="I80" s="3"/>
    </row>
    <row r="81" spans="1:9">
      <c r="A81">
        <v>2019</v>
      </c>
      <c r="B81" s="9" t="s">
        <v>425</v>
      </c>
      <c r="E81" s="27">
        <v>2018</v>
      </c>
      <c r="F81" s="9" t="s">
        <v>425</v>
      </c>
      <c r="H81" s="2"/>
      <c r="I81" s="1"/>
    </row>
    <row r="82" spans="1:9">
      <c r="A82">
        <v>2019</v>
      </c>
      <c r="B82" s="9" t="s">
        <v>562</v>
      </c>
      <c r="C82" s="10">
        <v>5711281</v>
      </c>
      <c r="D82" s="10"/>
      <c r="E82" s="27">
        <v>2018</v>
      </c>
      <c r="F82" s="9" t="s">
        <v>562</v>
      </c>
      <c r="G82" s="10">
        <v>5573060</v>
      </c>
      <c r="H82" s="2"/>
      <c r="I82" s="3"/>
    </row>
    <row r="83" spans="1:9">
      <c r="A83">
        <v>2019</v>
      </c>
      <c r="B83" s="9" t="s">
        <v>563</v>
      </c>
      <c r="C83" s="10">
        <v>3142012</v>
      </c>
      <c r="D83" s="10"/>
      <c r="E83" s="27">
        <v>2018</v>
      </c>
      <c r="F83" s="9" t="s">
        <v>563</v>
      </c>
      <c r="G83" s="10">
        <v>3003431</v>
      </c>
      <c r="H83" s="2"/>
      <c r="I83" s="3"/>
    </row>
    <row r="84" spans="1:9">
      <c r="A84">
        <v>2019</v>
      </c>
      <c r="B84" s="9" t="s">
        <v>564</v>
      </c>
      <c r="C84" s="10">
        <v>785851</v>
      </c>
      <c r="D84" s="10"/>
      <c r="E84" s="27">
        <v>2018</v>
      </c>
      <c r="F84" s="9" t="s">
        <v>564</v>
      </c>
      <c r="G84" s="10">
        <v>798665</v>
      </c>
      <c r="H84" s="2"/>
      <c r="I84" s="3"/>
    </row>
    <row r="85" spans="1:9">
      <c r="A85">
        <v>2019</v>
      </c>
      <c r="B85" s="9" t="s">
        <v>565</v>
      </c>
      <c r="C85" s="10">
        <v>1919752</v>
      </c>
      <c r="D85" s="10"/>
      <c r="E85" s="27">
        <v>2018</v>
      </c>
      <c r="F85" s="9" t="s">
        <v>565</v>
      </c>
      <c r="G85" s="10">
        <v>1935391</v>
      </c>
      <c r="H85" s="2"/>
      <c r="I85" s="3"/>
    </row>
    <row r="86" spans="1:9">
      <c r="A86">
        <v>2019</v>
      </c>
      <c r="B86" s="9" t="s">
        <v>51</v>
      </c>
      <c r="C86" s="10">
        <v>132175</v>
      </c>
      <c r="D86" s="10"/>
      <c r="E86" s="27">
        <v>2018</v>
      </c>
      <c r="F86" s="9" t="s">
        <v>51</v>
      </c>
      <c r="G86" s="10">
        <v>126495</v>
      </c>
      <c r="H86" s="2"/>
      <c r="I86" s="3"/>
    </row>
    <row r="87" spans="1:9">
      <c r="A87">
        <v>2019</v>
      </c>
      <c r="B87" s="9" t="s">
        <v>52</v>
      </c>
      <c r="C87" s="10">
        <v>4210</v>
      </c>
      <c r="D87" s="10"/>
      <c r="E87" s="27">
        <v>2018</v>
      </c>
      <c r="F87" s="9" t="s">
        <v>52</v>
      </c>
      <c r="G87" s="10">
        <v>4131</v>
      </c>
      <c r="H87" s="2"/>
      <c r="I87" s="3"/>
    </row>
    <row r="88" spans="1:9">
      <c r="A88">
        <v>2019</v>
      </c>
      <c r="B88" s="9" t="s">
        <v>566</v>
      </c>
      <c r="C88" s="10">
        <v>830560</v>
      </c>
      <c r="D88" s="10"/>
      <c r="E88" s="27">
        <v>2018</v>
      </c>
      <c r="F88" s="9" t="s">
        <v>566</v>
      </c>
      <c r="G88" s="10">
        <v>784110</v>
      </c>
      <c r="H88" s="2"/>
      <c r="I88" s="3"/>
    </row>
    <row r="89" spans="1:9">
      <c r="A89">
        <v>2019</v>
      </c>
      <c r="B89" s="9" t="s">
        <v>567</v>
      </c>
      <c r="C89" s="10">
        <v>322366</v>
      </c>
      <c r="D89" s="10"/>
      <c r="E89" s="27">
        <v>2018</v>
      </c>
      <c r="F89" s="9" t="s">
        <v>567</v>
      </c>
      <c r="G89" s="10">
        <v>312263</v>
      </c>
      <c r="H89" s="2"/>
      <c r="I89" s="3"/>
    </row>
    <row r="90" spans="1:9">
      <c r="A90">
        <v>2019</v>
      </c>
      <c r="B90" s="9" t="s">
        <v>568</v>
      </c>
      <c r="C90" s="10">
        <v>23520</v>
      </c>
      <c r="D90" s="10"/>
      <c r="E90" s="27">
        <v>2018</v>
      </c>
      <c r="F90" s="9" t="s">
        <v>568</v>
      </c>
      <c r="G90" s="10">
        <v>19983</v>
      </c>
      <c r="H90" s="2"/>
      <c r="I90" s="3"/>
    </row>
    <row r="91" spans="1:9">
      <c r="A91">
        <v>2019</v>
      </c>
      <c r="B91" s="9" t="s">
        <v>569</v>
      </c>
      <c r="C91" s="10">
        <v>134880</v>
      </c>
      <c r="D91" s="10"/>
      <c r="E91" s="27">
        <v>2018</v>
      </c>
      <c r="F91" s="9" t="s">
        <v>569</v>
      </c>
      <c r="G91" s="10">
        <v>113021</v>
      </c>
      <c r="H91" s="2"/>
      <c r="I91" s="3"/>
    </row>
    <row r="92" spans="1:9">
      <c r="A92">
        <v>2019</v>
      </c>
      <c r="B92" s="9" t="s">
        <v>570</v>
      </c>
      <c r="C92" s="10">
        <v>10899</v>
      </c>
      <c r="D92" s="10"/>
      <c r="E92" s="27">
        <v>2018</v>
      </c>
      <c r="F92" s="9" t="s">
        <v>570</v>
      </c>
      <c r="G92" s="10">
        <v>21771</v>
      </c>
      <c r="H92" s="2"/>
      <c r="I92" s="3"/>
    </row>
    <row r="93" spans="1:9">
      <c r="A93">
        <v>2019</v>
      </c>
      <c r="B93" s="9" t="s">
        <v>571</v>
      </c>
      <c r="C93" s="10">
        <v>5722</v>
      </c>
      <c r="D93" s="10"/>
      <c r="E93" s="27">
        <v>2018</v>
      </c>
      <c r="F93" s="9" t="s">
        <v>571</v>
      </c>
      <c r="G93" s="10">
        <v>1846</v>
      </c>
      <c r="H93" s="2"/>
      <c r="I93" s="3"/>
    </row>
    <row r="94" spans="1:9">
      <c r="A94">
        <v>2019</v>
      </c>
      <c r="B94" s="9" t="s">
        <v>572</v>
      </c>
      <c r="C94" s="10">
        <v>78576</v>
      </c>
      <c r="D94" s="10"/>
      <c r="E94" s="27">
        <v>2018</v>
      </c>
      <c r="F94" s="9" t="s">
        <v>572</v>
      </c>
      <c r="G94" s="10">
        <v>77512</v>
      </c>
      <c r="H94" s="2"/>
      <c r="I94" s="3"/>
    </row>
    <row r="95" spans="1:9">
      <c r="A95">
        <v>2019</v>
      </c>
      <c r="B95" s="9" t="s">
        <v>573</v>
      </c>
      <c r="C95" s="10">
        <v>185235</v>
      </c>
      <c r="D95" s="10"/>
      <c r="E95" s="27">
        <v>2018</v>
      </c>
      <c r="F95" s="9" t="s">
        <v>573</v>
      </c>
      <c r="G95" s="10">
        <v>180223</v>
      </c>
      <c r="H95" s="2"/>
      <c r="I95" s="3"/>
    </row>
    <row r="96" spans="1:9">
      <c r="A96">
        <v>2019</v>
      </c>
      <c r="B96" s="9" t="s">
        <v>574</v>
      </c>
      <c r="C96" s="10">
        <v>549088</v>
      </c>
      <c r="D96" s="10"/>
      <c r="E96" s="27">
        <v>2018</v>
      </c>
      <c r="F96" s="9" t="s">
        <v>574</v>
      </c>
      <c r="G96" s="10">
        <v>567607</v>
      </c>
      <c r="H96" s="2"/>
      <c r="I96" s="3"/>
    </row>
    <row r="97" spans="1:11">
      <c r="A97">
        <v>2019</v>
      </c>
      <c r="B97" s="9" t="s">
        <v>575</v>
      </c>
      <c r="C97" s="10">
        <v>35613</v>
      </c>
      <c r="D97" s="10"/>
      <c r="E97" s="27">
        <v>2018</v>
      </c>
      <c r="F97" s="9" t="s">
        <v>575</v>
      </c>
      <c r="G97" s="10">
        <v>35601</v>
      </c>
      <c r="H97" s="2"/>
      <c r="I97" s="3"/>
    </row>
    <row r="98" spans="1:11">
      <c r="A98">
        <v>2019</v>
      </c>
      <c r="B98" s="9" t="s">
        <v>576</v>
      </c>
      <c r="C98" s="10">
        <v>3712840</v>
      </c>
      <c r="D98" s="10"/>
      <c r="E98" s="27">
        <v>2018</v>
      </c>
      <c r="F98" s="9" t="s">
        <v>576</v>
      </c>
      <c r="G98" s="10">
        <v>3544185</v>
      </c>
      <c r="H98" s="2"/>
      <c r="I98" s="3"/>
    </row>
    <row r="99" spans="1:11">
      <c r="A99">
        <v>2019</v>
      </c>
      <c r="B99" s="9" t="s">
        <v>577</v>
      </c>
      <c r="C99" s="10">
        <v>8361</v>
      </c>
      <c r="D99" s="10"/>
      <c r="E99" s="27">
        <v>2018</v>
      </c>
      <c r="F99" s="9" t="s">
        <v>577</v>
      </c>
      <c r="G99" s="10">
        <v>9030</v>
      </c>
      <c r="H99" s="2"/>
      <c r="I99" s="3"/>
    </row>
    <row r="100" spans="1:11">
      <c r="A100">
        <v>2019</v>
      </c>
      <c r="B100" s="9" t="s">
        <v>578</v>
      </c>
      <c r="C100" s="10">
        <v>1807</v>
      </c>
      <c r="D100" s="10"/>
      <c r="E100" s="27">
        <v>2018</v>
      </c>
      <c r="F100" s="9" t="s">
        <v>578</v>
      </c>
      <c r="G100" s="10">
        <v>4786</v>
      </c>
      <c r="H100" s="2"/>
      <c r="I100" s="3"/>
    </row>
    <row r="101" spans="1:11">
      <c r="A101">
        <v>2019</v>
      </c>
      <c r="B101" s="9" t="s">
        <v>579</v>
      </c>
      <c r="C101" s="10">
        <v>6955018</v>
      </c>
      <c r="D101" s="10"/>
      <c r="E101" s="27">
        <v>2018</v>
      </c>
      <c r="F101" s="9" t="s">
        <v>579</v>
      </c>
      <c r="G101" s="10">
        <v>6744626</v>
      </c>
      <c r="H101" s="2"/>
      <c r="I101" s="3"/>
    </row>
    <row r="102" spans="1:11">
      <c r="A102">
        <v>2019</v>
      </c>
      <c r="B102" s="9" t="s">
        <v>61</v>
      </c>
      <c r="C102" s="10">
        <v>140315</v>
      </c>
      <c r="D102" s="10"/>
      <c r="E102" s="27">
        <v>2018</v>
      </c>
      <c r="F102" s="9" t="s">
        <v>61</v>
      </c>
      <c r="G102" s="10">
        <v>143231</v>
      </c>
      <c r="H102" s="7"/>
      <c r="I102" s="2"/>
      <c r="J102" s="7"/>
      <c r="K102" s="1"/>
    </row>
    <row r="103" spans="1:11">
      <c r="A103">
        <v>2019</v>
      </c>
      <c r="B103" s="9" t="s">
        <v>580</v>
      </c>
      <c r="C103" s="10">
        <v>944252</v>
      </c>
      <c r="D103" s="10"/>
      <c r="E103" s="27">
        <v>2018</v>
      </c>
      <c r="F103" s="9" t="s">
        <v>580</v>
      </c>
      <c r="G103" s="10">
        <v>965505</v>
      </c>
      <c r="H103" s="7"/>
      <c r="I103" s="2"/>
      <c r="J103" s="7"/>
      <c r="K103" s="3"/>
    </row>
    <row r="104" spans="1:11">
      <c r="A104">
        <v>2019</v>
      </c>
      <c r="B104" s="9" t="s">
        <v>581</v>
      </c>
      <c r="C104" s="10">
        <v>87478</v>
      </c>
      <c r="D104" s="10"/>
      <c r="E104" s="27">
        <v>2018</v>
      </c>
      <c r="F104" s="9" t="s">
        <v>581</v>
      </c>
      <c r="G104" s="10">
        <v>92043</v>
      </c>
      <c r="H104" s="7"/>
      <c r="I104" s="2"/>
      <c r="J104" s="7"/>
      <c r="K104" s="3"/>
    </row>
    <row r="105" spans="1:11">
      <c r="A105">
        <v>2019</v>
      </c>
      <c r="B105" s="9" t="s">
        <v>582</v>
      </c>
      <c r="C105" s="10">
        <v>105888</v>
      </c>
      <c r="D105" s="10"/>
      <c r="E105" s="27">
        <v>2018</v>
      </c>
      <c r="F105" s="9" t="s">
        <v>582</v>
      </c>
      <c r="G105" s="10">
        <v>88537</v>
      </c>
      <c r="H105" s="7"/>
      <c r="I105" s="2"/>
      <c r="J105" s="7"/>
      <c r="K105" s="3"/>
    </row>
    <row r="106" spans="1:11">
      <c r="A106">
        <v>2019</v>
      </c>
      <c r="B106" s="9" t="s">
        <v>583</v>
      </c>
      <c r="C106" s="10">
        <v>213924</v>
      </c>
      <c r="D106" s="10"/>
      <c r="E106" s="27">
        <v>2018</v>
      </c>
      <c r="F106" s="9" t="s">
        <v>583</v>
      </c>
      <c r="G106" s="10">
        <v>196681</v>
      </c>
      <c r="H106" s="7"/>
      <c r="I106" s="2"/>
      <c r="J106" s="7"/>
      <c r="K106" s="3"/>
    </row>
    <row r="107" spans="1:11">
      <c r="A107">
        <v>2019</v>
      </c>
      <c r="B107" s="9" t="s">
        <v>584</v>
      </c>
      <c r="C107" s="10">
        <v>1322316</v>
      </c>
      <c r="D107" s="10"/>
      <c r="E107" s="27">
        <v>2018</v>
      </c>
      <c r="F107" s="9" t="s">
        <v>584</v>
      </c>
      <c r="G107" s="10">
        <v>1253695</v>
      </c>
      <c r="H107" s="7"/>
      <c r="I107" s="2"/>
      <c r="J107" s="7"/>
      <c r="K107" s="3"/>
    </row>
    <row r="108" spans="1:11">
      <c r="A108">
        <v>2019</v>
      </c>
      <c r="B108" s="9" t="s">
        <v>585</v>
      </c>
      <c r="C108" s="10">
        <v>100801</v>
      </c>
      <c r="D108" s="10"/>
      <c r="E108" s="27">
        <v>2018</v>
      </c>
      <c r="F108" s="9" t="s">
        <v>585</v>
      </c>
      <c r="G108" s="10">
        <v>94273</v>
      </c>
      <c r="H108" s="7"/>
      <c r="I108" s="2"/>
      <c r="J108" s="7"/>
      <c r="K108" s="3"/>
    </row>
    <row r="109" spans="1:11">
      <c r="A109">
        <v>2019</v>
      </c>
      <c r="B109" s="9" t="s">
        <v>586</v>
      </c>
      <c r="C109" s="10">
        <v>197862</v>
      </c>
      <c r="D109" s="10"/>
      <c r="E109" s="27">
        <v>2018</v>
      </c>
      <c r="F109" s="9" t="s">
        <v>586</v>
      </c>
      <c r="G109" s="10">
        <v>186256</v>
      </c>
      <c r="H109" s="7"/>
      <c r="I109" s="2"/>
      <c r="J109" s="7"/>
      <c r="K109" s="3"/>
    </row>
    <row r="110" spans="1:11">
      <c r="A110">
        <v>2019</v>
      </c>
      <c r="B110" s="9" t="s">
        <v>587</v>
      </c>
      <c r="C110" s="10">
        <v>36405</v>
      </c>
      <c r="D110" s="10"/>
      <c r="E110" s="27">
        <v>2018</v>
      </c>
      <c r="F110" s="9" t="s">
        <v>587</v>
      </c>
      <c r="G110" s="10">
        <v>36515</v>
      </c>
      <c r="H110" s="7"/>
      <c r="I110" s="2"/>
      <c r="J110" s="7"/>
      <c r="K110" s="3"/>
    </row>
    <row r="111" spans="1:11">
      <c r="A111">
        <v>2019</v>
      </c>
      <c r="B111" s="9" t="s">
        <v>588</v>
      </c>
      <c r="C111" s="10">
        <v>251869</v>
      </c>
      <c r="D111" s="10"/>
      <c r="E111" s="27">
        <v>2018</v>
      </c>
      <c r="F111" s="9" t="s">
        <v>588</v>
      </c>
      <c r="G111" s="10">
        <v>272664</v>
      </c>
      <c r="H111" s="7"/>
      <c r="I111" s="2"/>
      <c r="J111" s="7"/>
      <c r="K111" s="3"/>
    </row>
    <row r="112" spans="1:11">
      <c r="A112">
        <v>2019</v>
      </c>
      <c r="B112" s="9" t="s">
        <v>589</v>
      </c>
      <c r="C112" s="10">
        <v>517044</v>
      </c>
      <c r="D112" s="10"/>
      <c r="E112" s="27">
        <v>2018</v>
      </c>
      <c r="F112" s="9" t="s">
        <v>589</v>
      </c>
      <c r="G112" s="10">
        <v>492130</v>
      </c>
      <c r="H112" s="7"/>
      <c r="I112" s="2"/>
      <c r="J112" s="7"/>
      <c r="K112" s="3"/>
    </row>
    <row r="113" spans="1:11">
      <c r="A113">
        <v>2019</v>
      </c>
      <c r="B113" s="9" t="s">
        <v>590</v>
      </c>
      <c r="C113" s="10">
        <v>1206977</v>
      </c>
      <c r="D113" s="10"/>
      <c r="E113" s="27">
        <v>2018</v>
      </c>
      <c r="F113" s="9" t="s">
        <v>590</v>
      </c>
      <c r="G113" s="10">
        <v>1167005</v>
      </c>
      <c r="H113" s="7"/>
      <c r="I113" s="2"/>
      <c r="J113" s="7"/>
      <c r="K113" s="3"/>
    </row>
    <row r="114" spans="1:11">
      <c r="A114">
        <v>2019</v>
      </c>
      <c r="B114" s="9" t="s">
        <v>591</v>
      </c>
      <c r="C114" s="10">
        <v>180047</v>
      </c>
      <c r="D114" s="10"/>
      <c r="E114" s="27">
        <v>2018</v>
      </c>
      <c r="F114" s="9" t="s">
        <v>591</v>
      </c>
      <c r="G114" s="10">
        <v>197049</v>
      </c>
      <c r="H114" s="7"/>
      <c r="I114" s="2"/>
      <c r="J114" s="7"/>
      <c r="K114" s="3"/>
    </row>
    <row r="115" spans="1:11">
      <c r="A115">
        <v>2019</v>
      </c>
      <c r="B115" s="9" t="s">
        <v>592</v>
      </c>
      <c r="C115" s="10">
        <v>424094</v>
      </c>
      <c r="D115" s="10"/>
      <c r="E115" s="27">
        <v>2018</v>
      </c>
      <c r="F115" s="9" t="s">
        <v>592</v>
      </c>
      <c r="G115" s="10">
        <v>413756</v>
      </c>
      <c r="H115" s="7"/>
      <c r="I115" s="2"/>
      <c r="J115" s="7"/>
      <c r="K115" s="3"/>
    </row>
    <row r="116" spans="1:11">
      <c r="A116">
        <v>2019</v>
      </c>
      <c r="B116" s="9" t="s">
        <v>593</v>
      </c>
      <c r="C116" s="10">
        <v>22820</v>
      </c>
      <c r="D116" s="10"/>
      <c r="E116" s="27">
        <v>2018</v>
      </c>
      <c r="F116" s="9" t="s">
        <v>593</v>
      </c>
      <c r="G116" s="10">
        <v>22165</v>
      </c>
      <c r="H116" s="7"/>
      <c r="I116" s="2"/>
      <c r="J116" s="7"/>
      <c r="K116" s="3"/>
    </row>
    <row r="117" spans="1:11">
      <c r="A117">
        <v>2019</v>
      </c>
      <c r="B117" s="9" t="s">
        <v>594</v>
      </c>
      <c r="C117" s="10">
        <v>1597072</v>
      </c>
      <c r="D117" s="10"/>
      <c r="E117" s="27">
        <v>2018</v>
      </c>
      <c r="F117" s="9" t="s">
        <v>594</v>
      </c>
      <c r="G117" s="10">
        <v>1549898</v>
      </c>
      <c r="H117" s="7"/>
      <c r="I117" s="2"/>
      <c r="J117" s="7"/>
      <c r="K117" s="3"/>
    </row>
    <row r="118" spans="1:11">
      <c r="A118">
        <v>2019</v>
      </c>
      <c r="B118" s="9" t="s">
        <v>595</v>
      </c>
      <c r="C118" s="10">
        <v>4024647</v>
      </c>
      <c r="D118" s="10"/>
      <c r="E118" s="27">
        <v>2018</v>
      </c>
      <c r="F118" s="9" t="s">
        <v>595</v>
      </c>
      <c r="G118" s="10">
        <v>3849828</v>
      </c>
      <c r="H118" s="7"/>
      <c r="I118" s="2"/>
      <c r="J118" s="7"/>
      <c r="K118" s="3"/>
    </row>
    <row r="119" spans="1:11">
      <c r="A119">
        <v>2019</v>
      </c>
      <c r="B119" s="9" t="s">
        <v>596</v>
      </c>
      <c r="C119" s="10">
        <v>1498732</v>
      </c>
      <c r="D119" s="10"/>
      <c r="E119" s="27">
        <v>2018</v>
      </c>
      <c r="F119" s="9" t="s">
        <v>596</v>
      </c>
      <c r="G119" s="10">
        <v>1419652</v>
      </c>
      <c r="H119" s="7"/>
      <c r="I119" s="2"/>
      <c r="J119" s="7"/>
      <c r="K119" s="3"/>
    </row>
    <row r="120" spans="1:11">
      <c r="A120">
        <v>2019</v>
      </c>
      <c r="B120" s="9" t="s">
        <v>597</v>
      </c>
      <c r="C120" s="10">
        <v>2034346</v>
      </c>
      <c r="D120" s="10"/>
      <c r="E120" s="27">
        <v>2018</v>
      </c>
      <c r="F120" s="9" t="s">
        <v>597</v>
      </c>
      <c r="G120" s="10">
        <v>2040606</v>
      </c>
      <c r="H120" s="7"/>
      <c r="I120" s="2"/>
      <c r="J120" s="7"/>
      <c r="K120" s="3"/>
    </row>
    <row r="121" spans="1:11">
      <c r="A121">
        <v>2019</v>
      </c>
      <c r="B121" s="9" t="s">
        <v>598</v>
      </c>
      <c r="C121" s="10">
        <v>211379</v>
      </c>
      <c r="D121" s="10"/>
      <c r="E121" s="27">
        <v>2018</v>
      </c>
      <c r="F121" s="9" t="s">
        <v>598</v>
      </c>
      <c r="G121" s="10">
        <v>201580</v>
      </c>
      <c r="H121" s="7"/>
      <c r="I121" s="2"/>
      <c r="J121" s="7"/>
      <c r="K121" s="3"/>
    </row>
    <row r="122" spans="1:11">
      <c r="A122">
        <v>2019</v>
      </c>
      <c r="B122" s="9" t="s">
        <v>599</v>
      </c>
      <c r="C122" s="10">
        <v>1098207</v>
      </c>
      <c r="D122" s="10"/>
      <c r="E122" s="27">
        <v>2018</v>
      </c>
      <c r="F122" s="9" t="s">
        <v>599</v>
      </c>
      <c r="G122" s="10">
        <v>1067530</v>
      </c>
      <c r="H122" s="7"/>
      <c r="I122" s="2"/>
      <c r="J122" s="7"/>
      <c r="K122" s="3"/>
    </row>
    <row r="123" spans="1:11">
      <c r="A123">
        <v>2019</v>
      </c>
      <c r="B123" s="9" t="s">
        <v>600</v>
      </c>
      <c r="C123" s="10">
        <v>77340</v>
      </c>
      <c r="D123" s="10"/>
      <c r="E123" s="27">
        <v>2018</v>
      </c>
      <c r="F123" s="9" t="s">
        <v>600</v>
      </c>
      <c r="G123" s="10">
        <v>70065</v>
      </c>
      <c r="H123" s="7"/>
      <c r="I123" s="2"/>
      <c r="J123" s="7"/>
      <c r="K123" s="3"/>
    </row>
    <row r="124" spans="1:11">
      <c r="A124">
        <v>2019</v>
      </c>
      <c r="B124" s="9" t="s">
        <v>601</v>
      </c>
      <c r="C124" s="10">
        <v>23502</v>
      </c>
      <c r="D124" s="10"/>
      <c r="E124" s="27">
        <v>2018</v>
      </c>
      <c r="F124" s="9" t="s">
        <v>601</v>
      </c>
      <c r="G124" s="10">
        <v>25397</v>
      </c>
      <c r="H124" s="7"/>
      <c r="I124" s="2"/>
      <c r="J124" s="7"/>
      <c r="K124" s="3"/>
    </row>
    <row r="125" spans="1:11">
      <c r="A125">
        <v>2019</v>
      </c>
      <c r="B125" s="9" t="s">
        <v>602</v>
      </c>
      <c r="C125" s="10">
        <v>46960</v>
      </c>
      <c r="D125" s="10"/>
      <c r="E125" s="27">
        <v>2018</v>
      </c>
      <c r="F125" s="9" t="s">
        <v>602</v>
      </c>
      <c r="G125" s="10">
        <v>46972</v>
      </c>
      <c r="H125" s="7"/>
      <c r="I125" s="2"/>
      <c r="J125" s="7"/>
      <c r="K125" s="3"/>
    </row>
    <row r="126" spans="1:11">
      <c r="A126">
        <v>2019</v>
      </c>
      <c r="B126" s="9" t="s">
        <v>603</v>
      </c>
      <c r="C126" s="10">
        <v>928666</v>
      </c>
      <c r="D126" s="10"/>
      <c r="E126" s="27">
        <v>2018</v>
      </c>
      <c r="F126" s="9" t="s">
        <v>603</v>
      </c>
      <c r="G126" s="10">
        <v>880564</v>
      </c>
      <c r="H126" s="7"/>
      <c r="I126" s="2"/>
      <c r="J126" s="7"/>
      <c r="K126" s="3"/>
    </row>
    <row r="127" spans="1:11">
      <c r="A127">
        <v>2019</v>
      </c>
      <c r="B127" s="9" t="s">
        <v>604</v>
      </c>
      <c r="C127" s="10">
        <v>991018</v>
      </c>
      <c r="D127" s="10"/>
      <c r="E127" s="27">
        <v>2018</v>
      </c>
      <c r="F127" s="9" t="s">
        <v>604</v>
      </c>
      <c r="G127" s="10">
        <v>947010</v>
      </c>
      <c r="H127" s="7"/>
      <c r="I127" s="2"/>
      <c r="J127" s="7"/>
      <c r="K127" s="3"/>
    </row>
    <row r="128" spans="1:11">
      <c r="A128">
        <v>2019</v>
      </c>
      <c r="B128" s="9" t="s">
        <v>605</v>
      </c>
      <c r="C128" s="10">
        <v>40925</v>
      </c>
      <c r="D128" s="10"/>
      <c r="E128" s="27">
        <v>2018</v>
      </c>
      <c r="F128" s="9" t="s">
        <v>605</v>
      </c>
      <c r="G128" s="10">
        <v>38455</v>
      </c>
      <c r="H128" s="7"/>
      <c r="I128" s="2"/>
      <c r="J128" s="7"/>
      <c r="K128" s="3"/>
    </row>
    <row r="129" spans="1:11">
      <c r="A129">
        <v>2019</v>
      </c>
      <c r="B129" s="9" t="s">
        <v>606</v>
      </c>
      <c r="C129" s="10">
        <v>103394</v>
      </c>
      <c r="D129" s="10"/>
      <c r="E129" s="27">
        <v>2018</v>
      </c>
      <c r="F129" s="9" t="s">
        <v>606</v>
      </c>
      <c r="G129" s="10">
        <v>101837</v>
      </c>
      <c r="H129" s="7"/>
      <c r="I129" s="2"/>
      <c r="J129" s="7"/>
      <c r="K129" s="3"/>
    </row>
    <row r="130" spans="1:11">
      <c r="A130">
        <v>2019</v>
      </c>
      <c r="B130" s="9" t="s">
        <v>426</v>
      </c>
      <c r="C130" s="10">
        <v>84848</v>
      </c>
      <c r="D130" s="10"/>
      <c r="E130" s="27">
        <v>2018</v>
      </c>
      <c r="F130" s="9" t="s">
        <v>426</v>
      </c>
      <c r="G130" s="10">
        <v>70965</v>
      </c>
      <c r="H130" s="7"/>
      <c r="I130" s="2"/>
      <c r="J130" s="7"/>
      <c r="K130" s="3"/>
    </row>
    <row r="131" spans="1:11">
      <c r="A131">
        <v>2019</v>
      </c>
      <c r="B131" s="9" t="s">
        <v>607</v>
      </c>
      <c r="C131" s="10">
        <v>458530</v>
      </c>
      <c r="D131" s="10"/>
      <c r="E131" s="27">
        <v>2018</v>
      </c>
      <c r="F131" s="9" t="s">
        <v>607</v>
      </c>
      <c r="G131" s="10">
        <v>442939</v>
      </c>
      <c r="H131" s="7"/>
      <c r="I131" s="2"/>
      <c r="J131" s="7"/>
      <c r="K131" s="3"/>
    </row>
    <row r="132" spans="1:11">
      <c r="A132">
        <v>2019</v>
      </c>
      <c r="B132" s="9" t="s">
        <v>608</v>
      </c>
      <c r="C132" s="10">
        <v>870088</v>
      </c>
      <c r="D132" s="10"/>
      <c r="E132" s="27">
        <v>2018</v>
      </c>
      <c r="F132" s="9" t="s">
        <v>608</v>
      </c>
      <c r="G132" s="10">
        <v>854861</v>
      </c>
      <c r="H132" s="7"/>
      <c r="I132" s="2"/>
      <c r="J132" s="7"/>
      <c r="K132" s="3"/>
    </row>
    <row r="133" spans="1:11">
      <c r="A133">
        <v>2019</v>
      </c>
      <c r="B133" s="9" t="s">
        <v>609</v>
      </c>
      <c r="C133" s="10">
        <v>1687135</v>
      </c>
      <c r="D133" s="10"/>
      <c r="E133" s="27">
        <v>2018</v>
      </c>
      <c r="F133" s="9" t="s">
        <v>609</v>
      </c>
      <c r="G133" s="10">
        <v>1634326</v>
      </c>
      <c r="H133" s="7"/>
      <c r="I133" s="2"/>
      <c r="J133" s="7"/>
      <c r="K133" s="3"/>
    </row>
    <row r="134" spans="1:11">
      <c r="A134">
        <v>2019</v>
      </c>
      <c r="B134" s="9" t="s">
        <v>610</v>
      </c>
      <c r="C134" s="10">
        <v>183500</v>
      </c>
      <c r="D134" s="10"/>
      <c r="E134" s="27">
        <v>2018</v>
      </c>
      <c r="F134" s="9" t="s">
        <v>610</v>
      </c>
      <c r="G134" s="10">
        <v>195149</v>
      </c>
      <c r="H134" s="7"/>
      <c r="I134" s="2"/>
      <c r="J134" s="7"/>
      <c r="K134" s="3"/>
    </row>
    <row r="135" spans="1:11">
      <c r="A135">
        <v>2019</v>
      </c>
      <c r="B135" s="9" t="s">
        <v>611</v>
      </c>
      <c r="C135" s="10">
        <v>555268</v>
      </c>
      <c r="D135" s="10"/>
      <c r="E135" s="27">
        <v>2018</v>
      </c>
      <c r="F135" s="9" t="s">
        <v>611</v>
      </c>
      <c r="G135" s="10">
        <v>445815</v>
      </c>
      <c r="H135" s="7"/>
      <c r="I135" s="2"/>
      <c r="J135" s="7"/>
      <c r="K135" s="3"/>
    </row>
    <row r="136" spans="1:11">
      <c r="A136">
        <v>2019</v>
      </c>
      <c r="B136" s="9" t="s">
        <v>612</v>
      </c>
      <c r="C136" s="10">
        <v>1375779</v>
      </c>
      <c r="D136" s="10"/>
      <c r="E136" s="27">
        <v>2018</v>
      </c>
      <c r="F136" s="9" t="s">
        <v>612</v>
      </c>
      <c r="G136" s="10">
        <v>1328757</v>
      </c>
      <c r="H136" s="7"/>
      <c r="I136" s="2"/>
      <c r="J136" s="7"/>
      <c r="K136" s="3"/>
    </row>
    <row r="137" spans="1:11">
      <c r="A137">
        <v>2019</v>
      </c>
      <c r="B137" s="9" t="s">
        <v>613</v>
      </c>
      <c r="C137" s="10">
        <v>2868274</v>
      </c>
      <c r="D137" s="10"/>
      <c r="E137" s="27">
        <v>2018</v>
      </c>
      <c r="F137" s="9" t="s">
        <v>613</v>
      </c>
      <c r="G137" s="10">
        <v>2732661</v>
      </c>
      <c r="H137" s="7"/>
      <c r="I137" s="2"/>
      <c r="J137" s="7"/>
      <c r="K137" s="3"/>
    </row>
    <row r="138" spans="1:11">
      <c r="A138">
        <v>2019</v>
      </c>
      <c r="B138" s="9" t="s">
        <v>614</v>
      </c>
      <c r="C138" s="10">
        <v>14186</v>
      </c>
      <c r="D138" s="10"/>
      <c r="E138" s="27">
        <v>2018</v>
      </c>
      <c r="F138" s="9" t="s">
        <v>614</v>
      </c>
      <c r="G138" s="10">
        <v>13698</v>
      </c>
      <c r="H138" s="7"/>
      <c r="I138" s="2"/>
      <c r="J138" s="7"/>
      <c r="K138" s="3"/>
    </row>
    <row r="139" spans="1:11">
      <c r="A139">
        <v>2019</v>
      </c>
      <c r="B139" s="9" t="s">
        <v>615</v>
      </c>
      <c r="C139" s="10">
        <v>277282</v>
      </c>
      <c r="D139" s="10"/>
      <c r="E139" s="27">
        <v>2018</v>
      </c>
      <c r="F139" s="9" t="s">
        <v>615</v>
      </c>
      <c r="G139" s="10">
        <v>289287</v>
      </c>
      <c r="H139" s="7"/>
      <c r="I139" s="2"/>
      <c r="J139" s="7"/>
      <c r="K139" s="3"/>
    </row>
    <row r="140" spans="1:11">
      <c r="A140">
        <v>2019</v>
      </c>
      <c r="B140" s="9" t="s">
        <v>616</v>
      </c>
      <c r="C140" s="10">
        <v>17613</v>
      </c>
      <c r="D140" s="10"/>
      <c r="E140" s="27">
        <v>2018</v>
      </c>
      <c r="F140" s="9" t="s">
        <v>616</v>
      </c>
      <c r="G140" s="10">
        <v>14433</v>
      </c>
      <c r="H140" s="7"/>
      <c r="I140" s="2"/>
      <c r="J140" s="7"/>
      <c r="K140" s="3"/>
    </row>
    <row r="141" spans="1:11">
      <c r="A141">
        <v>2019</v>
      </c>
      <c r="B141" s="9" t="s">
        <v>617</v>
      </c>
      <c r="E141" s="27">
        <v>2018</v>
      </c>
      <c r="F141" s="9" t="s">
        <v>617</v>
      </c>
      <c r="H141" s="7"/>
      <c r="I141" s="2"/>
      <c r="J141" s="7"/>
      <c r="K141" s="1"/>
    </row>
    <row r="142" spans="1:11">
      <c r="A142">
        <v>2019</v>
      </c>
      <c r="B142" s="9" t="s">
        <v>618</v>
      </c>
      <c r="C142" s="10">
        <v>3210805</v>
      </c>
      <c r="D142" s="10"/>
      <c r="E142" s="27">
        <v>2018</v>
      </c>
      <c r="F142" s="9" t="s">
        <v>618</v>
      </c>
      <c r="G142" s="10">
        <v>3114006</v>
      </c>
      <c r="H142" s="7"/>
      <c r="I142" s="2"/>
      <c r="J142" s="7"/>
      <c r="K142" s="3"/>
    </row>
    <row r="143" spans="1:11">
      <c r="A143">
        <v>2019</v>
      </c>
      <c r="B143" s="9" t="s">
        <v>619</v>
      </c>
      <c r="C143" s="10">
        <v>36058</v>
      </c>
      <c r="D143" s="10"/>
      <c r="E143" s="27">
        <v>2018</v>
      </c>
      <c r="F143" s="9" t="s">
        <v>619</v>
      </c>
      <c r="G143" s="10">
        <v>31876</v>
      </c>
      <c r="H143" s="7"/>
      <c r="I143" s="2"/>
      <c r="J143" s="7"/>
      <c r="K143" s="3"/>
    </row>
    <row r="144" spans="1:11">
      <c r="A144">
        <v>2019</v>
      </c>
      <c r="B144" s="9" t="s">
        <v>620</v>
      </c>
      <c r="C144" s="10">
        <v>2184904</v>
      </c>
      <c r="D144" s="10"/>
      <c r="E144" s="27">
        <v>2018</v>
      </c>
      <c r="F144" s="9" t="s">
        <v>620</v>
      </c>
      <c r="G144" s="10">
        <v>2120257</v>
      </c>
      <c r="H144" s="7"/>
      <c r="I144" s="2"/>
      <c r="J144" s="7"/>
      <c r="K144" s="3"/>
    </row>
    <row r="145" spans="1:11">
      <c r="A145">
        <v>2019</v>
      </c>
      <c r="B145" s="9" t="s">
        <v>621</v>
      </c>
      <c r="C145" s="10">
        <v>135797</v>
      </c>
      <c r="D145" s="10"/>
      <c r="E145" s="27">
        <v>2018</v>
      </c>
      <c r="F145" s="9" t="s">
        <v>621</v>
      </c>
      <c r="G145" s="10">
        <v>124226</v>
      </c>
      <c r="H145" s="7"/>
      <c r="I145" s="2"/>
      <c r="J145" s="7"/>
      <c r="K145" s="3"/>
    </row>
    <row r="146" spans="1:11">
      <c r="A146">
        <v>2019</v>
      </c>
      <c r="B146" s="9" t="s">
        <v>622</v>
      </c>
      <c r="C146" s="10">
        <v>323230</v>
      </c>
      <c r="D146" s="10"/>
      <c r="E146" s="27">
        <v>2018</v>
      </c>
      <c r="F146" s="9" t="s">
        <v>622</v>
      </c>
      <c r="G146" s="10">
        <v>314096</v>
      </c>
      <c r="H146" s="7"/>
      <c r="I146" s="2"/>
      <c r="J146" s="7"/>
      <c r="K146" s="3"/>
    </row>
    <row r="147" spans="1:11">
      <c r="A147">
        <v>2019</v>
      </c>
      <c r="B147" s="9" t="s">
        <v>623</v>
      </c>
      <c r="C147" s="10">
        <v>110369</v>
      </c>
      <c r="D147" s="10"/>
      <c r="E147" s="27">
        <v>2018</v>
      </c>
      <c r="F147" s="9" t="s">
        <v>623</v>
      </c>
      <c r="G147" s="10">
        <v>113076</v>
      </c>
      <c r="H147" s="7"/>
      <c r="I147" s="2"/>
      <c r="J147" s="7"/>
      <c r="K147" s="3"/>
    </row>
    <row r="148" spans="1:11">
      <c r="A148">
        <v>2019</v>
      </c>
      <c r="B148" s="9" t="s">
        <v>624</v>
      </c>
      <c r="C148" s="10">
        <v>87352</v>
      </c>
      <c r="D148" s="10"/>
      <c r="E148" s="27">
        <v>2018</v>
      </c>
      <c r="F148" s="9" t="s">
        <v>624</v>
      </c>
      <c r="G148" s="10">
        <v>86097</v>
      </c>
      <c r="H148" s="7"/>
      <c r="I148" s="2"/>
      <c r="J148" s="7"/>
      <c r="K148" s="3"/>
    </row>
    <row r="149" spans="1:11">
      <c r="A149">
        <v>2019</v>
      </c>
      <c r="B149" s="9" t="s">
        <v>625</v>
      </c>
      <c r="C149" s="10">
        <v>213257</v>
      </c>
      <c r="D149" s="10"/>
      <c r="E149" s="27">
        <v>2018</v>
      </c>
      <c r="F149" s="9" t="s">
        <v>625</v>
      </c>
      <c r="G149" s="10">
        <v>196276</v>
      </c>
      <c r="H149" s="7"/>
      <c r="I149" s="2"/>
      <c r="J149" s="7"/>
      <c r="K149" s="3"/>
    </row>
    <row r="150" spans="1:11">
      <c r="A150">
        <v>2019</v>
      </c>
      <c r="B150" s="9" t="s">
        <v>626</v>
      </c>
      <c r="C150" s="10">
        <v>476217</v>
      </c>
      <c r="D150" s="10"/>
      <c r="E150" s="27">
        <v>2018</v>
      </c>
      <c r="F150" s="9" t="s">
        <v>626</v>
      </c>
      <c r="G150" s="10">
        <v>448396</v>
      </c>
      <c r="H150" s="7"/>
      <c r="I150" s="2"/>
      <c r="J150" s="7"/>
      <c r="K150" s="3"/>
    </row>
    <row r="151" spans="1:11">
      <c r="A151">
        <v>2019</v>
      </c>
      <c r="B151" s="9" t="s">
        <v>627</v>
      </c>
      <c r="C151" s="10">
        <v>109984</v>
      </c>
      <c r="D151" s="10"/>
      <c r="E151" s="27">
        <v>2018</v>
      </c>
      <c r="F151" s="9" t="s">
        <v>627</v>
      </c>
      <c r="G151" s="10">
        <v>105158</v>
      </c>
      <c r="H151" s="8"/>
      <c r="I151" s="2"/>
      <c r="J151" s="8"/>
      <c r="K151" s="3"/>
    </row>
    <row r="152" spans="1:11">
      <c r="A152">
        <v>2019</v>
      </c>
      <c r="B152" s="9" t="s">
        <v>628</v>
      </c>
      <c r="C152" s="10">
        <v>11138</v>
      </c>
      <c r="D152" s="10"/>
      <c r="E152" s="27">
        <v>2018</v>
      </c>
      <c r="F152" s="9" t="s">
        <v>628</v>
      </c>
      <c r="G152" s="10">
        <v>23198</v>
      </c>
      <c r="H152" s="7"/>
      <c r="I152" s="2"/>
      <c r="J152" s="7"/>
      <c r="K152" s="1"/>
    </row>
    <row r="153" spans="1:11">
      <c r="A153">
        <v>2019</v>
      </c>
      <c r="B153" s="9" t="s">
        <v>629</v>
      </c>
      <c r="C153" s="10">
        <v>423843</v>
      </c>
      <c r="D153" s="10"/>
      <c r="E153" s="27">
        <v>2018</v>
      </c>
      <c r="F153" s="9" t="s">
        <v>629</v>
      </c>
      <c r="G153" s="10">
        <v>423885</v>
      </c>
      <c r="H153" s="7"/>
      <c r="I153" s="2"/>
      <c r="J153" s="7"/>
      <c r="K153" s="3"/>
    </row>
    <row r="154" spans="1:11">
      <c r="A154">
        <v>2019</v>
      </c>
      <c r="B154" s="9" t="s">
        <v>630</v>
      </c>
      <c r="C154" s="10">
        <v>361876</v>
      </c>
      <c r="D154" s="10"/>
      <c r="E154" s="27">
        <v>2018</v>
      </c>
      <c r="F154" s="9" t="s">
        <v>630</v>
      </c>
      <c r="G154" s="10">
        <v>329504</v>
      </c>
      <c r="H154" s="7"/>
      <c r="I154" s="2"/>
      <c r="J154" s="7"/>
      <c r="K154" s="3"/>
    </row>
    <row r="155" spans="1:11">
      <c r="A155">
        <v>2019</v>
      </c>
      <c r="B155" s="9" t="s">
        <v>631</v>
      </c>
      <c r="C155" s="10">
        <v>1226224</v>
      </c>
      <c r="D155" s="10"/>
      <c r="E155" s="27">
        <v>2018</v>
      </c>
      <c r="F155" s="9" t="s">
        <v>631</v>
      </c>
      <c r="G155" s="10">
        <v>1208447</v>
      </c>
      <c r="H155" s="7"/>
      <c r="I155" s="2"/>
      <c r="J155" s="7"/>
      <c r="K155" s="3"/>
    </row>
    <row r="156" spans="1:11">
      <c r="A156">
        <v>2019</v>
      </c>
      <c r="B156" s="9" t="s">
        <v>632</v>
      </c>
      <c r="C156" s="10">
        <v>2281621</v>
      </c>
      <c r="D156" s="10"/>
      <c r="E156" s="27">
        <v>2018</v>
      </c>
      <c r="F156" s="9" t="s">
        <v>632</v>
      </c>
      <c r="G156" s="10">
        <v>2191695</v>
      </c>
      <c r="H156" s="7"/>
      <c r="I156" s="2"/>
      <c r="J156" s="7"/>
      <c r="K156" s="3"/>
    </row>
    <row r="157" spans="1:11">
      <c r="A157">
        <v>2019</v>
      </c>
      <c r="B157" s="9" t="s">
        <v>633</v>
      </c>
      <c r="C157" s="10">
        <v>118335</v>
      </c>
      <c r="D157" s="10"/>
      <c r="E157" s="27">
        <v>2018</v>
      </c>
      <c r="F157" s="9" t="s">
        <v>633</v>
      </c>
      <c r="G157" s="10">
        <v>108140</v>
      </c>
      <c r="H157" s="7"/>
      <c r="I157" s="2"/>
      <c r="J157" s="7"/>
      <c r="K157" s="3"/>
    </row>
    <row r="158" spans="1:11">
      <c r="A158">
        <v>2019</v>
      </c>
      <c r="B158" s="9" t="s">
        <v>634</v>
      </c>
      <c r="C158" s="10">
        <v>418514</v>
      </c>
      <c r="D158" s="10"/>
      <c r="E158" s="27">
        <v>2018</v>
      </c>
      <c r="F158" s="9" t="s">
        <v>634</v>
      </c>
      <c r="G158" s="10">
        <v>405884</v>
      </c>
      <c r="H158" s="7"/>
      <c r="I158" s="2"/>
      <c r="J158" s="7"/>
      <c r="K158" s="3"/>
    </row>
    <row r="159" spans="1:11">
      <c r="A159">
        <v>2019</v>
      </c>
      <c r="B159" s="9" t="s">
        <v>635</v>
      </c>
      <c r="C159" s="10">
        <v>1564494</v>
      </c>
      <c r="D159" s="10"/>
      <c r="E159" s="27">
        <v>2018</v>
      </c>
      <c r="F159" s="9" t="s">
        <v>635</v>
      </c>
      <c r="G159" s="10">
        <v>1521586</v>
      </c>
      <c r="H159" s="7"/>
      <c r="I159" s="2"/>
      <c r="J159" s="7"/>
      <c r="K159" s="3"/>
    </row>
    <row r="160" spans="1:11">
      <c r="A160">
        <v>2019</v>
      </c>
      <c r="B160" s="9" t="s">
        <v>636</v>
      </c>
      <c r="C160" s="10">
        <v>40210</v>
      </c>
      <c r="D160" s="10"/>
      <c r="E160" s="27">
        <v>2018</v>
      </c>
      <c r="F160" s="9" t="s">
        <v>636</v>
      </c>
      <c r="G160" s="10">
        <v>47521</v>
      </c>
      <c r="H160" s="7"/>
      <c r="I160" s="2"/>
      <c r="J160" s="7"/>
      <c r="K160" s="3"/>
    </row>
    <row r="161" spans="1:11">
      <c r="A161">
        <v>2019</v>
      </c>
      <c r="B161" s="9" t="s">
        <v>637</v>
      </c>
      <c r="C161" s="10">
        <v>1532381</v>
      </c>
      <c r="D161" s="10"/>
      <c r="E161" s="27">
        <v>2018</v>
      </c>
      <c r="F161" s="9" t="s">
        <v>637</v>
      </c>
      <c r="G161" s="10">
        <v>1570337</v>
      </c>
      <c r="H161" s="7"/>
      <c r="I161" s="2"/>
      <c r="J161" s="7"/>
      <c r="K161" s="3"/>
    </row>
    <row r="162" spans="1:11">
      <c r="A162">
        <v>2019</v>
      </c>
      <c r="B162" s="9" t="s">
        <v>638</v>
      </c>
      <c r="C162" s="10">
        <v>754641</v>
      </c>
      <c r="D162" s="10"/>
      <c r="E162" s="27">
        <v>2018</v>
      </c>
      <c r="F162" s="9" t="s">
        <v>638</v>
      </c>
      <c r="G162" s="10">
        <v>711484</v>
      </c>
      <c r="H162" s="7"/>
      <c r="I162" s="2"/>
      <c r="J162" s="7"/>
      <c r="K162" s="3"/>
    </row>
    <row r="163" spans="1:11">
      <c r="A163">
        <v>2019</v>
      </c>
      <c r="B163" s="9" t="s">
        <v>639</v>
      </c>
      <c r="C163" s="10">
        <v>15622</v>
      </c>
      <c r="D163" s="10"/>
      <c r="E163" s="27">
        <v>2018</v>
      </c>
      <c r="F163" s="9" t="s">
        <v>639</v>
      </c>
      <c r="G163" s="10">
        <v>14870</v>
      </c>
      <c r="H163" s="7"/>
      <c r="I163" s="2"/>
      <c r="J163" s="7"/>
      <c r="K163" s="3"/>
    </row>
    <row r="164" spans="1:11">
      <c r="A164">
        <v>2019</v>
      </c>
      <c r="B164" s="9" t="s">
        <v>640</v>
      </c>
      <c r="C164" s="10">
        <v>72074</v>
      </c>
      <c r="D164" s="10"/>
      <c r="E164" s="27">
        <v>2018</v>
      </c>
      <c r="F164" s="9" t="s">
        <v>640</v>
      </c>
      <c r="G164" s="10">
        <v>68833</v>
      </c>
      <c r="H164" s="7"/>
      <c r="I164" s="2"/>
      <c r="J164" s="7"/>
      <c r="K164" s="3"/>
    </row>
    <row r="165" spans="1:11">
      <c r="A165">
        <v>2019</v>
      </c>
      <c r="B165" s="9" t="s">
        <v>641</v>
      </c>
      <c r="C165" s="10">
        <v>165948</v>
      </c>
      <c r="D165" s="10"/>
      <c r="E165" s="27">
        <v>2018</v>
      </c>
      <c r="F165" s="9" t="s">
        <v>641</v>
      </c>
      <c r="G165" s="10">
        <v>152424</v>
      </c>
      <c r="H165" s="7"/>
      <c r="I165" s="2"/>
      <c r="J165" s="7"/>
      <c r="K165" s="3"/>
    </row>
    <row r="166" spans="1:11">
      <c r="A166">
        <v>2019</v>
      </c>
      <c r="B166" s="9" t="s">
        <v>642</v>
      </c>
      <c r="C166" s="10">
        <v>825507</v>
      </c>
      <c r="D166" s="10"/>
      <c r="E166" s="27">
        <v>2018</v>
      </c>
      <c r="F166" s="9" t="s">
        <v>642</v>
      </c>
      <c r="G166" s="10">
        <v>815653</v>
      </c>
      <c r="H166" s="7"/>
      <c r="I166" s="2"/>
      <c r="J166" s="7"/>
      <c r="K166" s="3"/>
    </row>
    <row r="167" spans="1:11">
      <c r="A167">
        <v>2019</v>
      </c>
      <c r="B167" s="9" t="s">
        <v>643</v>
      </c>
      <c r="C167" s="10">
        <v>22931</v>
      </c>
      <c r="D167" s="10"/>
      <c r="E167" s="27">
        <v>2018</v>
      </c>
      <c r="F167" s="9" t="s">
        <v>643</v>
      </c>
      <c r="G167" s="10">
        <v>21862</v>
      </c>
      <c r="H167" s="7"/>
      <c r="I167" s="2"/>
      <c r="J167" s="7"/>
      <c r="K167" s="3"/>
    </row>
    <row r="168" spans="1:11">
      <c r="A168">
        <v>2019</v>
      </c>
      <c r="B168" s="9" t="s">
        <v>644</v>
      </c>
      <c r="C168" s="10">
        <v>298516</v>
      </c>
      <c r="D168" s="10"/>
      <c r="E168" s="27">
        <v>2018</v>
      </c>
      <c r="F168" s="9" t="s">
        <v>644</v>
      </c>
      <c r="G168" s="10">
        <v>284592</v>
      </c>
      <c r="H168" s="7"/>
      <c r="I168" s="2"/>
      <c r="J168" s="7"/>
      <c r="K168" s="3"/>
    </row>
    <row r="169" spans="1:11">
      <c r="A169">
        <v>2019</v>
      </c>
      <c r="B169" s="9" t="s">
        <v>645</v>
      </c>
      <c r="C169" s="10">
        <v>492789</v>
      </c>
      <c r="D169" s="10"/>
      <c r="E169" s="27">
        <v>2018</v>
      </c>
      <c r="F169" s="9" t="s">
        <v>645</v>
      </c>
      <c r="G169" s="10">
        <v>486338</v>
      </c>
      <c r="H169" s="7"/>
      <c r="I169" s="2"/>
      <c r="J169" s="7"/>
      <c r="K169" s="3"/>
    </row>
    <row r="170" spans="1:11">
      <c r="A170">
        <v>2019</v>
      </c>
      <c r="B170" s="9" t="s">
        <v>646</v>
      </c>
      <c r="C170" s="10">
        <v>57110</v>
      </c>
      <c r="D170" s="10"/>
      <c r="E170" s="27">
        <v>2018</v>
      </c>
      <c r="F170" s="9" t="s">
        <v>646</v>
      </c>
      <c r="G170" s="10">
        <v>51377</v>
      </c>
      <c r="H170" s="7"/>
      <c r="I170" s="2"/>
      <c r="J170" s="7"/>
      <c r="K170" s="3"/>
    </row>
    <row r="171" spans="1:11">
      <c r="A171">
        <v>2019</v>
      </c>
      <c r="B171" s="9" t="s">
        <v>647</v>
      </c>
      <c r="C171" s="10">
        <v>1468774</v>
      </c>
      <c r="D171" s="10"/>
      <c r="E171" s="27">
        <v>2018</v>
      </c>
      <c r="F171" s="9" t="s">
        <v>647</v>
      </c>
      <c r="G171" s="10">
        <v>1431435</v>
      </c>
      <c r="H171" s="7"/>
      <c r="I171" s="2"/>
      <c r="J171" s="7"/>
      <c r="K171" s="3"/>
    </row>
    <row r="172" spans="1:11">
      <c r="A172">
        <v>2019</v>
      </c>
      <c r="B172" s="9" t="s">
        <v>648</v>
      </c>
      <c r="C172" s="10">
        <v>314512</v>
      </c>
      <c r="D172" s="10"/>
      <c r="E172" s="27">
        <v>2018</v>
      </c>
      <c r="F172" s="9" t="s">
        <v>648</v>
      </c>
      <c r="G172" s="10">
        <v>298722</v>
      </c>
      <c r="H172" s="7"/>
      <c r="I172" s="2"/>
      <c r="J172" s="7"/>
      <c r="K172" s="3"/>
    </row>
    <row r="173" spans="1:11">
      <c r="A173">
        <v>2019</v>
      </c>
      <c r="B173" s="9" t="s">
        <v>649</v>
      </c>
      <c r="C173" s="10">
        <v>4027850</v>
      </c>
      <c r="D173" s="10"/>
      <c r="E173" s="27">
        <v>2018</v>
      </c>
      <c r="F173" s="9" t="s">
        <v>649</v>
      </c>
      <c r="G173" s="10">
        <v>3979087</v>
      </c>
      <c r="H173" s="7"/>
      <c r="I173" s="2"/>
      <c r="J173" s="7"/>
      <c r="K173" s="3"/>
    </row>
    <row r="174" spans="1:11">
      <c r="A174">
        <v>2019</v>
      </c>
      <c r="B174" s="9" t="s">
        <v>650</v>
      </c>
      <c r="C174" s="10">
        <v>217313</v>
      </c>
      <c r="D174" s="10"/>
      <c r="E174" s="27">
        <v>2018</v>
      </c>
      <c r="F174" s="9" t="s">
        <v>650</v>
      </c>
      <c r="G174" s="10">
        <v>220936</v>
      </c>
      <c r="H174" s="7"/>
      <c r="I174" s="2"/>
      <c r="J174" s="7"/>
      <c r="K174" s="3"/>
    </row>
    <row r="175" spans="1:11">
      <c r="A175">
        <v>2019</v>
      </c>
      <c r="B175" s="9" t="s">
        <v>651</v>
      </c>
      <c r="C175" s="10">
        <v>774361</v>
      </c>
      <c r="D175" s="10"/>
      <c r="E175" s="27">
        <v>2018</v>
      </c>
      <c r="F175" s="9" t="s">
        <v>651</v>
      </c>
      <c r="G175" s="10">
        <v>711682</v>
      </c>
      <c r="H175" s="7"/>
      <c r="I175" s="2"/>
      <c r="J175" s="7"/>
      <c r="K175" s="3"/>
    </row>
    <row r="176" spans="1:11">
      <c r="A176">
        <v>2019</v>
      </c>
      <c r="B176" s="9" t="s">
        <v>652</v>
      </c>
      <c r="C176" s="10">
        <v>127872</v>
      </c>
      <c r="D176" s="10"/>
      <c r="E176" s="27">
        <v>2018</v>
      </c>
      <c r="F176" s="9" t="s">
        <v>652</v>
      </c>
      <c r="G176" s="10">
        <v>125971</v>
      </c>
      <c r="H176" s="7"/>
      <c r="I176" s="2"/>
      <c r="J176" s="7"/>
      <c r="K176" s="3"/>
    </row>
    <row r="177" spans="1:11">
      <c r="A177">
        <v>2019</v>
      </c>
      <c r="B177" s="9" t="s">
        <v>653</v>
      </c>
      <c r="C177" s="10">
        <v>258772</v>
      </c>
      <c r="D177" s="10"/>
      <c r="E177" s="27">
        <v>2018</v>
      </c>
      <c r="F177" s="9" t="s">
        <v>653</v>
      </c>
      <c r="G177" s="10">
        <v>260652</v>
      </c>
      <c r="H177" s="7"/>
      <c r="I177" s="2"/>
      <c r="J177" s="7"/>
      <c r="K177" s="3"/>
    </row>
    <row r="178" spans="1:11">
      <c r="A178">
        <v>2019</v>
      </c>
      <c r="B178" s="9" t="s">
        <v>654</v>
      </c>
      <c r="C178" s="10">
        <v>632027</v>
      </c>
      <c r="D178" s="10"/>
      <c r="E178" s="27">
        <v>2018</v>
      </c>
      <c r="F178" s="9" t="s">
        <v>654</v>
      </c>
      <c r="G178" s="10">
        <v>633926</v>
      </c>
      <c r="H178" s="7"/>
      <c r="I178" s="2"/>
      <c r="J178" s="7"/>
      <c r="K178" s="3"/>
    </row>
    <row r="179" spans="1:11">
      <c r="A179">
        <v>2019</v>
      </c>
      <c r="B179" s="9" t="s">
        <v>655</v>
      </c>
      <c r="C179" s="10">
        <v>866199</v>
      </c>
      <c r="D179" s="10"/>
      <c r="E179" s="27">
        <v>2018</v>
      </c>
      <c r="F179" s="9" t="s">
        <v>655</v>
      </c>
      <c r="G179" s="10">
        <v>811374</v>
      </c>
      <c r="H179" s="7"/>
      <c r="I179" s="2"/>
      <c r="J179" s="7"/>
      <c r="K179" s="3"/>
    </row>
    <row r="180" spans="1:11">
      <c r="A180">
        <v>2019</v>
      </c>
      <c r="B180" s="9" t="s">
        <v>656</v>
      </c>
      <c r="C180" s="10">
        <v>1487653</v>
      </c>
      <c r="D180" s="10"/>
      <c r="E180" s="27">
        <v>2018</v>
      </c>
      <c r="F180" s="9" t="s">
        <v>656</v>
      </c>
      <c r="G180" s="10">
        <v>1406920</v>
      </c>
      <c r="H180" s="7"/>
      <c r="I180" s="2"/>
      <c r="J180" s="7"/>
      <c r="K180" s="3"/>
    </row>
    <row r="181" spans="1:11">
      <c r="A181">
        <v>2019</v>
      </c>
      <c r="B181" s="9" t="s">
        <v>657</v>
      </c>
      <c r="C181" s="10">
        <v>1385672</v>
      </c>
      <c r="D181" s="10"/>
      <c r="E181" s="27">
        <v>2018</v>
      </c>
      <c r="F181" s="9" t="s">
        <v>657</v>
      </c>
      <c r="G181" s="10">
        <v>1335914</v>
      </c>
      <c r="H181" s="7"/>
      <c r="I181" s="2"/>
      <c r="J181" s="7"/>
      <c r="K181" s="3"/>
    </row>
    <row r="182" spans="1:11">
      <c r="A182">
        <v>2019</v>
      </c>
      <c r="B182" s="9" t="s">
        <v>658</v>
      </c>
      <c r="C182" s="10">
        <v>35953</v>
      </c>
      <c r="D182" s="10"/>
      <c r="E182" s="27">
        <v>2018</v>
      </c>
      <c r="F182" s="9" t="s">
        <v>658</v>
      </c>
      <c r="G182" s="10">
        <v>36202</v>
      </c>
      <c r="H182" s="7"/>
      <c r="I182" s="2"/>
      <c r="J182" s="7"/>
      <c r="K182" s="3"/>
    </row>
    <row r="183" spans="1:11">
      <c r="A183">
        <v>2019</v>
      </c>
      <c r="B183" s="9" t="s">
        <v>659</v>
      </c>
      <c r="C183" s="10">
        <v>1313104</v>
      </c>
      <c r="D183" s="10"/>
      <c r="E183" s="27">
        <v>2018</v>
      </c>
      <c r="F183" s="9" t="s">
        <v>659</v>
      </c>
      <c r="G183" s="10">
        <v>1293784</v>
      </c>
      <c r="H183" s="7"/>
      <c r="I183" s="2"/>
      <c r="J183" s="7"/>
      <c r="K183" s="3"/>
    </row>
    <row r="184" spans="1:11">
      <c r="A184">
        <v>2019</v>
      </c>
      <c r="B184" s="9" t="s">
        <v>436</v>
      </c>
      <c r="C184" s="10">
        <v>40246</v>
      </c>
      <c r="D184" s="10"/>
      <c r="E184" s="27">
        <v>2018</v>
      </c>
      <c r="F184" s="9" t="s">
        <v>436</v>
      </c>
      <c r="G184" s="10">
        <v>38411</v>
      </c>
      <c r="H184" s="7"/>
      <c r="I184" s="2"/>
      <c r="J184" s="7"/>
      <c r="K184" s="3"/>
    </row>
    <row r="185" spans="1:11">
      <c r="A185">
        <v>2019</v>
      </c>
      <c r="B185" s="9" t="s">
        <v>660</v>
      </c>
      <c r="C185" s="10">
        <v>34347</v>
      </c>
      <c r="D185" s="10"/>
      <c r="E185" s="27">
        <v>2018</v>
      </c>
      <c r="F185" s="9" t="s">
        <v>660</v>
      </c>
      <c r="G185" s="10">
        <v>36207</v>
      </c>
      <c r="H185" s="7"/>
      <c r="I185" s="2"/>
      <c r="J185" s="7"/>
      <c r="K185" s="3"/>
    </row>
    <row r="186" spans="1:11">
      <c r="A186">
        <v>2019</v>
      </c>
      <c r="B186" s="9" t="s">
        <v>661</v>
      </c>
      <c r="C186" s="10">
        <v>399265</v>
      </c>
      <c r="D186" s="10"/>
      <c r="E186" s="27">
        <v>2018</v>
      </c>
      <c r="F186" s="9" t="s">
        <v>661</v>
      </c>
      <c r="G186" s="10">
        <v>379065</v>
      </c>
      <c r="H186" s="7"/>
      <c r="I186" s="2"/>
      <c r="J186" s="7"/>
      <c r="K186" s="3"/>
    </row>
    <row r="187" spans="1:11">
      <c r="A187">
        <v>2019</v>
      </c>
      <c r="B187" s="9" t="s">
        <v>662</v>
      </c>
      <c r="C187" s="10">
        <v>1281708</v>
      </c>
      <c r="D187" s="10"/>
      <c r="E187" s="27">
        <v>2018</v>
      </c>
      <c r="F187" s="9" t="s">
        <v>662</v>
      </c>
      <c r="G187" s="10">
        <v>1232262</v>
      </c>
      <c r="H187" s="7"/>
      <c r="I187" s="2"/>
      <c r="J187" s="7"/>
      <c r="K187" s="3"/>
    </row>
    <row r="188" spans="1:11">
      <c r="A188">
        <v>2019</v>
      </c>
      <c r="B188" s="9" t="s">
        <v>663</v>
      </c>
      <c r="C188" s="10">
        <v>2485315</v>
      </c>
      <c r="D188" s="10"/>
      <c r="E188" s="27">
        <v>2018</v>
      </c>
      <c r="F188" s="9" t="s">
        <v>663</v>
      </c>
      <c r="G188" s="10">
        <v>2386346</v>
      </c>
      <c r="H188" s="7"/>
      <c r="I188" s="2"/>
      <c r="J188" s="7"/>
      <c r="K188" s="3"/>
    </row>
    <row r="189" spans="1:11">
      <c r="A189">
        <v>2019</v>
      </c>
      <c r="B189" s="9" t="s">
        <v>664</v>
      </c>
      <c r="C189" s="10">
        <v>3391496</v>
      </c>
      <c r="D189" s="10"/>
      <c r="E189" s="27">
        <v>2018</v>
      </c>
      <c r="F189" s="9" t="s">
        <v>664</v>
      </c>
      <c r="G189" s="10">
        <v>3371390</v>
      </c>
      <c r="H189" s="7"/>
      <c r="I189" s="2"/>
      <c r="J189" s="7"/>
      <c r="K189" s="3"/>
    </row>
    <row r="190" spans="1:11">
      <c r="A190">
        <v>2019</v>
      </c>
      <c r="B190" s="9" t="s">
        <v>665</v>
      </c>
      <c r="C190" s="10">
        <v>1737209</v>
      </c>
      <c r="D190" s="10"/>
      <c r="E190" s="27">
        <v>2018</v>
      </c>
      <c r="F190" s="9" t="s">
        <v>665</v>
      </c>
      <c r="G190" s="10">
        <v>1663874</v>
      </c>
      <c r="H190" s="7"/>
      <c r="I190" s="2"/>
      <c r="J190" s="7"/>
      <c r="K190" s="3"/>
    </row>
    <row r="191" spans="1:11">
      <c r="A191">
        <v>2019</v>
      </c>
      <c r="B191" s="9" t="s">
        <v>666</v>
      </c>
      <c r="C191" s="10">
        <v>63542</v>
      </c>
      <c r="D191" s="10"/>
      <c r="E191" s="27">
        <v>2018</v>
      </c>
      <c r="F191" s="9" t="s">
        <v>666</v>
      </c>
      <c r="G191" s="10">
        <v>60127</v>
      </c>
      <c r="H191" s="7"/>
      <c r="I191" s="2"/>
      <c r="J191" s="7"/>
      <c r="K191" s="3"/>
    </row>
    <row r="192" spans="1:11">
      <c r="A192">
        <v>2019</v>
      </c>
      <c r="B192" s="9" t="s">
        <v>667</v>
      </c>
      <c r="C192" s="10">
        <v>83268</v>
      </c>
      <c r="D192" s="10"/>
      <c r="E192" s="27">
        <v>2018</v>
      </c>
      <c r="F192" s="9" t="s">
        <v>667</v>
      </c>
      <c r="G192" s="10">
        <v>76268</v>
      </c>
      <c r="H192" s="7"/>
      <c r="I192" s="2"/>
      <c r="J192" s="7"/>
      <c r="K192" s="3"/>
    </row>
    <row r="193" spans="1:11">
      <c r="A193">
        <v>2019</v>
      </c>
      <c r="B193" s="9" t="s">
        <v>668</v>
      </c>
      <c r="C193" s="10">
        <v>442845</v>
      </c>
      <c r="D193" s="10"/>
      <c r="E193" s="27">
        <v>2018</v>
      </c>
      <c r="F193" s="9" t="s">
        <v>668</v>
      </c>
      <c r="G193" s="10">
        <v>426826</v>
      </c>
      <c r="H193" s="7"/>
      <c r="I193" s="2"/>
      <c r="J193" s="7"/>
      <c r="K193" s="3"/>
    </row>
    <row r="194" spans="1:11">
      <c r="A194">
        <v>2019</v>
      </c>
      <c r="B194" s="9" t="s">
        <v>669</v>
      </c>
      <c r="C194" s="10">
        <v>1653730</v>
      </c>
      <c r="D194" s="10"/>
      <c r="E194" s="27">
        <v>2018</v>
      </c>
      <c r="F194" s="9" t="s">
        <v>669</v>
      </c>
      <c r="G194" s="10">
        <v>1672515</v>
      </c>
      <c r="H194" s="7"/>
      <c r="I194" s="2"/>
      <c r="J194" s="7"/>
      <c r="K194" s="3"/>
    </row>
    <row r="195" spans="1:11">
      <c r="A195">
        <v>2019</v>
      </c>
      <c r="B195" s="9" t="s">
        <v>670</v>
      </c>
      <c r="C195" s="10">
        <v>11530</v>
      </c>
      <c r="D195" s="10"/>
      <c r="E195" s="27">
        <v>2018</v>
      </c>
      <c r="F195" s="9" t="s">
        <v>670</v>
      </c>
      <c r="G195" s="10">
        <v>11560</v>
      </c>
      <c r="H195" s="7"/>
      <c r="I195" s="2"/>
      <c r="J195" s="7"/>
      <c r="K195" s="3"/>
    </row>
    <row r="196" spans="1:11">
      <c r="A196">
        <v>2019</v>
      </c>
      <c r="B196" s="9" t="s">
        <v>671</v>
      </c>
      <c r="C196" s="10">
        <v>886260</v>
      </c>
      <c r="D196" s="10"/>
      <c r="E196" s="27">
        <v>2018</v>
      </c>
      <c r="F196" s="9" t="s">
        <v>671</v>
      </c>
      <c r="G196" s="10">
        <v>888519</v>
      </c>
      <c r="H196" s="7"/>
      <c r="I196" s="2"/>
      <c r="J196" s="7"/>
      <c r="K196" s="3"/>
    </row>
    <row r="197" spans="1:11">
      <c r="A197">
        <v>2019</v>
      </c>
      <c r="B197" s="9" t="s">
        <v>672</v>
      </c>
      <c r="C197" s="10">
        <v>2486051</v>
      </c>
      <c r="D197" s="10"/>
      <c r="E197" s="27">
        <v>2018</v>
      </c>
      <c r="F197" s="9" t="s">
        <v>672</v>
      </c>
      <c r="G197" s="10">
        <v>2443078</v>
      </c>
      <c r="H197" s="7"/>
      <c r="I197" s="2"/>
      <c r="J197" s="7"/>
      <c r="K197" s="3"/>
    </row>
    <row r="198" spans="1:11">
      <c r="A198">
        <v>2019</v>
      </c>
      <c r="B198" s="9" t="s">
        <v>673</v>
      </c>
      <c r="C198" s="10">
        <v>3103365</v>
      </c>
      <c r="D198" s="10"/>
      <c r="E198" s="27">
        <v>2018</v>
      </c>
      <c r="F198" s="9" t="s">
        <v>673</v>
      </c>
      <c r="G198" s="10">
        <v>3003249</v>
      </c>
      <c r="H198" s="7"/>
      <c r="I198" s="2"/>
      <c r="J198" s="7"/>
      <c r="K198" s="3"/>
    </row>
    <row r="199" spans="1:11">
      <c r="A199">
        <v>2019</v>
      </c>
      <c r="B199" s="9" t="s">
        <v>674</v>
      </c>
      <c r="C199" s="10">
        <v>3778102</v>
      </c>
      <c r="D199" s="10"/>
      <c r="E199" s="27">
        <v>2018</v>
      </c>
      <c r="F199" s="9" t="s">
        <v>674</v>
      </c>
      <c r="G199" s="10">
        <v>3821136</v>
      </c>
      <c r="H199" s="7"/>
      <c r="I199" s="2"/>
      <c r="J199" s="7"/>
      <c r="K199" s="3"/>
    </row>
    <row r="200" spans="1:11">
      <c r="A200">
        <v>2019</v>
      </c>
      <c r="B200" s="9" t="s">
        <v>675</v>
      </c>
      <c r="C200" s="10">
        <v>73154</v>
      </c>
      <c r="D200" s="10"/>
      <c r="E200" s="27">
        <v>2018</v>
      </c>
      <c r="F200" s="9" t="s">
        <v>675</v>
      </c>
      <c r="G200" s="10">
        <v>67121</v>
      </c>
      <c r="H200" s="7"/>
      <c r="I200" s="2"/>
      <c r="J200" s="7"/>
      <c r="K200" s="3"/>
    </row>
    <row r="201" spans="1:11">
      <c r="A201">
        <v>2019</v>
      </c>
      <c r="B201" s="9" t="s">
        <v>676</v>
      </c>
      <c r="C201" s="10">
        <v>175346</v>
      </c>
      <c r="D201" s="10"/>
      <c r="E201" s="27">
        <v>2018</v>
      </c>
      <c r="F201" s="9" t="s">
        <v>676</v>
      </c>
      <c r="G201" s="10">
        <v>157689</v>
      </c>
      <c r="H201" s="8"/>
      <c r="I201" s="2"/>
      <c r="J201" s="8"/>
      <c r="K201" s="3"/>
    </row>
    <row r="202" spans="1:11">
      <c r="A202">
        <v>2019</v>
      </c>
      <c r="B202" s="9" t="s">
        <v>677</v>
      </c>
      <c r="C202" s="10">
        <v>282115</v>
      </c>
      <c r="D202" s="10"/>
      <c r="E202" s="27">
        <v>2018</v>
      </c>
      <c r="F202" s="9" t="s">
        <v>677</v>
      </c>
      <c r="G202" s="10">
        <v>268834</v>
      </c>
      <c r="H202" s="7"/>
      <c r="I202" s="2"/>
      <c r="J202" s="7"/>
      <c r="K202" s="1"/>
    </row>
    <row r="203" spans="1:11">
      <c r="A203">
        <v>2019</v>
      </c>
      <c r="B203" s="9" t="s">
        <v>678</v>
      </c>
      <c r="C203" s="10">
        <v>2069034</v>
      </c>
      <c r="D203" s="10"/>
      <c r="E203" s="27">
        <v>2018</v>
      </c>
      <c r="F203" s="9" t="s">
        <v>678</v>
      </c>
      <c r="G203" s="10">
        <v>2004991</v>
      </c>
      <c r="H203" s="7"/>
      <c r="I203" s="2"/>
      <c r="J203" s="7"/>
      <c r="K203" s="3"/>
    </row>
    <row r="204" spans="1:11">
      <c r="A204">
        <v>2019</v>
      </c>
      <c r="B204" s="9" t="s">
        <v>447</v>
      </c>
      <c r="C204" s="10">
        <v>118984</v>
      </c>
      <c r="D204" s="10"/>
      <c r="E204" s="27">
        <v>2018</v>
      </c>
      <c r="F204" s="9" t="s">
        <v>447</v>
      </c>
      <c r="G204" s="10">
        <v>111698</v>
      </c>
      <c r="H204" s="7"/>
      <c r="I204" s="2"/>
      <c r="J204" s="7"/>
      <c r="K204" s="3"/>
    </row>
    <row r="205" spans="1:11">
      <c r="A205">
        <v>2019</v>
      </c>
      <c r="B205" s="9" t="s">
        <v>679</v>
      </c>
      <c r="C205" s="10">
        <v>2403900</v>
      </c>
      <c r="D205" s="10"/>
      <c r="E205" s="27">
        <v>2018</v>
      </c>
      <c r="F205" s="9" t="s">
        <v>679</v>
      </c>
      <c r="G205" s="10">
        <v>2273875</v>
      </c>
      <c r="H205" s="7"/>
      <c r="I205" s="2"/>
      <c r="J205" s="7"/>
      <c r="K205" s="3"/>
    </row>
    <row r="206" spans="1:11">
      <c r="A206">
        <v>2019</v>
      </c>
      <c r="B206" s="9" t="s">
        <v>680</v>
      </c>
      <c r="C206" s="10">
        <v>111940</v>
      </c>
      <c r="D206" s="10"/>
      <c r="E206" s="27">
        <v>2018</v>
      </c>
      <c r="F206" s="9" t="s">
        <v>680</v>
      </c>
      <c r="G206" s="10">
        <v>104243</v>
      </c>
      <c r="H206" s="7"/>
      <c r="I206" s="2"/>
      <c r="J206" s="7"/>
      <c r="K206" s="3"/>
    </row>
    <row r="207" spans="1:11">
      <c r="A207">
        <v>2019</v>
      </c>
      <c r="B207" s="9" t="s">
        <v>681</v>
      </c>
      <c r="C207" s="10">
        <v>178098</v>
      </c>
      <c r="D207" s="10"/>
      <c r="E207" s="27">
        <v>2018</v>
      </c>
      <c r="F207" s="9" t="s">
        <v>681</v>
      </c>
      <c r="G207" s="10">
        <v>172720</v>
      </c>
      <c r="H207" s="7"/>
      <c r="I207" s="2"/>
      <c r="J207" s="7"/>
      <c r="K207" s="3"/>
    </row>
    <row r="208" spans="1:11">
      <c r="A208">
        <v>2019</v>
      </c>
      <c r="B208" s="9" t="s">
        <v>451</v>
      </c>
      <c r="C208" s="10">
        <v>74977</v>
      </c>
      <c r="D208" s="10"/>
      <c r="E208" s="27">
        <v>2018</v>
      </c>
      <c r="F208" s="9" t="s">
        <v>451</v>
      </c>
      <c r="G208" s="10">
        <v>82702</v>
      </c>
      <c r="H208" s="7"/>
      <c r="I208" s="2"/>
      <c r="J208" s="7"/>
      <c r="K208" s="3"/>
    </row>
    <row r="209" spans="1:11">
      <c r="A209">
        <v>2019</v>
      </c>
      <c r="B209" s="9" t="s">
        <v>452</v>
      </c>
      <c r="C209" s="10">
        <v>22644</v>
      </c>
      <c r="D209" s="10"/>
      <c r="E209" s="27">
        <v>2018</v>
      </c>
      <c r="F209" s="9" t="s">
        <v>452</v>
      </c>
      <c r="G209" s="10">
        <v>22754</v>
      </c>
      <c r="H209" s="7"/>
      <c r="I209" s="2"/>
      <c r="J209" s="7"/>
      <c r="K209" s="3"/>
    </row>
    <row r="210" spans="1:11">
      <c r="A210">
        <v>2019</v>
      </c>
      <c r="B210" s="9" t="s">
        <v>682</v>
      </c>
      <c r="C210" s="10">
        <v>232118</v>
      </c>
      <c r="D210" s="10"/>
      <c r="E210" s="27">
        <v>2018</v>
      </c>
      <c r="F210" s="9" t="s">
        <v>682</v>
      </c>
      <c r="G210" s="10">
        <v>239547</v>
      </c>
      <c r="H210" s="7"/>
      <c r="I210" s="2"/>
      <c r="J210" s="7"/>
      <c r="K210" s="3"/>
    </row>
    <row r="211" spans="1:11">
      <c r="A211">
        <v>2019</v>
      </c>
      <c r="B211" s="9" t="s">
        <v>683</v>
      </c>
      <c r="C211" s="10">
        <v>10266</v>
      </c>
      <c r="D211" s="10"/>
      <c r="E211" s="27">
        <v>2018</v>
      </c>
      <c r="F211" s="9" t="s">
        <v>683</v>
      </c>
      <c r="G211" s="10">
        <v>10241</v>
      </c>
      <c r="H211" s="7"/>
      <c r="I211" s="2"/>
      <c r="J211" s="7"/>
      <c r="K211" s="3"/>
    </row>
    <row r="212" spans="1:11">
      <c r="A212">
        <v>2019</v>
      </c>
      <c r="B212" s="9" t="s">
        <v>455</v>
      </c>
      <c r="E212" s="27">
        <v>2018</v>
      </c>
      <c r="F212" s="9" t="s">
        <v>455</v>
      </c>
      <c r="H212" s="7"/>
      <c r="I212" s="2"/>
      <c r="J212" s="7"/>
      <c r="K212" s="1"/>
    </row>
    <row r="213" spans="1:11">
      <c r="A213">
        <v>2019</v>
      </c>
      <c r="B213" s="9" t="s">
        <v>684</v>
      </c>
      <c r="C213" s="10">
        <v>2156652</v>
      </c>
      <c r="D213" s="10"/>
      <c r="E213" s="27">
        <v>2018</v>
      </c>
      <c r="F213" s="9" t="s">
        <v>684</v>
      </c>
      <c r="G213" s="10">
        <v>2106239</v>
      </c>
      <c r="H213" s="7"/>
      <c r="I213" s="2"/>
      <c r="J213" s="7"/>
      <c r="K213" s="3"/>
    </row>
    <row r="214" spans="1:11">
      <c r="A214">
        <v>2019</v>
      </c>
      <c r="B214" s="9" t="s">
        <v>685</v>
      </c>
      <c r="C214" s="10">
        <v>2808194</v>
      </c>
      <c r="D214" s="10"/>
      <c r="E214" s="27">
        <v>2018</v>
      </c>
      <c r="F214" s="9" t="s">
        <v>685</v>
      </c>
      <c r="G214" s="10">
        <v>2708887</v>
      </c>
      <c r="H214" s="7"/>
      <c r="I214" s="2"/>
      <c r="J214" s="7"/>
      <c r="K214" s="3"/>
    </row>
    <row r="215" spans="1:11">
      <c r="A215">
        <v>2019</v>
      </c>
      <c r="B215" s="9" t="s">
        <v>686</v>
      </c>
      <c r="C215" s="10">
        <v>245488</v>
      </c>
      <c r="D215" s="10"/>
      <c r="E215" s="27">
        <v>2018</v>
      </c>
      <c r="F215" s="9" t="s">
        <v>686</v>
      </c>
      <c r="G215" s="10">
        <v>215918</v>
      </c>
      <c r="H215" s="7"/>
      <c r="I215" s="2"/>
      <c r="J215" s="7"/>
      <c r="K215" s="3"/>
    </row>
    <row r="216" spans="1:11">
      <c r="A216">
        <v>2019</v>
      </c>
      <c r="B216" s="9" t="s">
        <v>687</v>
      </c>
      <c r="C216" s="10">
        <v>22231</v>
      </c>
      <c r="D216" s="10"/>
      <c r="E216" s="27">
        <v>2018</v>
      </c>
      <c r="F216" s="9" t="s">
        <v>687</v>
      </c>
      <c r="G216" s="10">
        <v>26082</v>
      </c>
      <c r="H216" s="7"/>
      <c r="I216" s="2"/>
      <c r="J216" s="7"/>
      <c r="K216" s="3"/>
    </row>
    <row r="217" spans="1:11">
      <c r="A217">
        <v>2019</v>
      </c>
      <c r="B217" s="9" t="s">
        <v>688</v>
      </c>
      <c r="C217" s="10">
        <v>137551</v>
      </c>
      <c r="D217" s="10"/>
      <c r="E217" s="27">
        <v>2018</v>
      </c>
      <c r="F217" s="9" t="s">
        <v>688</v>
      </c>
      <c r="G217" s="10">
        <v>153735</v>
      </c>
      <c r="H217" s="7"/>
      <c r="I217" s="2"/>
      <c r="J217" s="7"/>
      <c r="K217" s="3"/>
    </row>
    <row r="218" spans="1:11">
      <c r="A218">
        <v>2019</v>
      </c>
      <c r="B218" s="9" t="s">
        <v>689</v>
      </c>
      <c r="C218" s="10">
        <v>251831</v>
      </c>
      <c r="D218" s="10"/>
      <c r="E218" s="27">
        <v>2018</v>
      </c>
      <c r="F218" s="9" t="s">
        <v>689</v>
      </c>
      <c r="G218" s="10">
        <v>253905</v>
      </c>
      <c r="H218" s="7"/>
      <c r="I218" s="2"/>
      <c r="J218" s="7"/>
      <c r="K218" s="3"/>
    </row>
    <row r="219" spans="1:11">
      <c r="A219">
        <v>2019</v>
      </c>
      <c r="B219" s="9" t="s">
        <v>690</v>
      </c>
      <c r="C219" s="10">
        <v>528349</v>
      </c>
      <c r="D219" s="10"/>
      <c r="E219" s="27">
        <v>2018</v>
      </c>
      <c r="F219" s="9" t="s">
        <v>690</v>
      </c>
      <c r="G219" s="10">
        <v>512474</v>
      </c>
      <c r="H219" s="7"/>
      <c r="I219" s="2"/>
      <c r="J219" s="7"/>
      <c r="K219" s="3"/>
    </row>
    <row r="220" spans="1:11">
      <c r="A220">
        <v>2019</v>
      </c>
      <c r="B220" s="9" t="s">
        <v>691</v>
      </c>
      <c r="C220" s="10">
        <v>50789</v>
      </c>
      <c r="D220" s="10"/>
      <c r="E220" s="27">
        <v>2018</v>
      </c>
      <c r="F220" s="9" t="s">
        <v>691</v>
      </c>
      <c r="G220" s="10">
        <v>49780</v>
      </c>
      <c r="H220" s="7"/>
      <c r="I220" s="2"/>
      <c r="J220" s="7"/>
      <c r="K220" s="3"/>
    </row>
    <row r="221" spans="1:11">
      <c r="A221">
        <v>2019</v>
      </c>
      <c r="B221" s="9" t="s">
        <v>692</v>
      </c>
      <c r="C221" s="10">
        <v>436014</v>
      </c>
      <c r="D221" s="10"/>
      <c r="E221" s="27">
        <v>2018</v>
      </c>
      <c r="F221" s="9" t="s">
        <v>692</v>
      </c>
      <c r="G221" s="10">
        <v>432515</v>
      </c>
      <c r="H221" s="7"/>
      <c r="I221" s="2"/>
      <c r="J221" s="7"/>
      <c r="K221" s="3"/>
    </row>
    <row r="222" spans="1:11">
      <c r="A222">
        <v>2019</v>
      </c>
      <c r="B222" s="9" t="s">
        <v>693</v>
      </c>
      <c r="C222" s="10">
        <v>393753</v>
      </c>
      <c r="D222" s="10"/>
      <c r="E222" s="27">
        <v>2018</v>
      </c>
      <c r="F222" s="9" t="s">
        <v>693</v>
      </c>
      <c r="G222" s="10">
        <v>387289</v>
      </c>
      <c r="H222" s="7"/>
      <c r="I222" s="2"/>
      <c r="J222" s="7"/>
      <c r="K222" s="3"/>
    </row>
    <row r="223" spans="1:11">
      <c r="A223">
        <v>2019</v>
      </c>
      <c r="B223" s="9" t="s">
        <v>694</v>
      </c>
      <c r="C223" s="10">
        <v>1486422</v>
      </c>
      <c r="D223" s="10"/>
      <c r="E223" s="27">
        <v>2018</v>
      </c>
      <c r="F223" s="9" t="s">
        <v>694</v>
      </c>
      <c r="G223" s="10">
        <v>1415091</v>
      </c>
      <c r="H223" s="7"/>
      <c r="I223" s="2"/>
      <c r="J223" s="7"/>
      <c r="K223" s="3"/>
    </row>
    <row r="224" spans="1:11">
      <c r="A224">
        <v>2019</v>
      </c>
      <c r="B224" s="9" t="s">
        <v>695</v>
      </c>
      <c r="C224" s="10">
        <v>502062</v>
      </c>
      <c r="D224" s="10"/>
      <c r="E224" s="27">
        <v>2018</v>
      </c>
      <c r="F224" s="9" t="s">
        <v>695</v>
      </c>
      <c r="G224" s="10">
        <v>466188</v>
      </c>
      <c r="H224" s="7"/>
      <c r="I224" s="2"/>
      <c r="J224" s="7"/>
      <c r="K224" s="3"/>
    </row>
    <row r="225" spans="1:11">
      <c r="A225">
        <v>2019</v>
      </c>
      <c r="B225" s="9" t="s">
        <v>696</v>
      </c>
      <c r="C225" s="10">
        <v>15000</v>
      </c>
      <c r="D225" s="10"/>
      <c r="E225" s="27">
        <v>2018</v>
      </c>
      <c r="F225" s="9" t="s">
        <v>696</v>
      </c>
      <c r="G225" s="10">
        <v>16131</v>
      </c>
      <c r="H225" s="7"/>
      <c r="I225" s="2"/>
      <c r="J225" s="7"/>
      <c r="K225" s="3"/>
    </row>
    <row r="226" spans="1:11">
      <c r="A226">
        <v>2019</v>
      </c>
      <c r="B226" s="9" t="s">
        <v>697</v>
      </c>
      <c r="C226" s="10">
        <v>1098053</v>
      </c>
      <c r="D226" s="10"/>
      <c r="E226" s="27">
        <v>2018</v>
      </c>
      <c r="F226" s="9" t="s">
        <v>697</v>
      </c>
      <c r="G226" s="10">
        <v>1050208</v>
      </c>
      <c r="H226" s="7"/>
      <c r="I226" s="2"/>
      <c r="J226" s="7"/>
      <c r="K226" s="3"/>
    </row>
    <row r="227" spans="1:11">
      <c r="A227">
        <v>2019</v>
      </c>
      <c r="B227" s="9" t="s">
        <v>463</v>
      </c>
      <c r="C227" s="10">
        <v>125942</v>
      </c>
      <c r="D227" s="10"/>
      <c r="E227" s="27">
        <v>2018</v>
      </c>
      <c r="F227" s="9" t="s">
        <v>463</v>
      </c>
      <c r="G227" s="10">
        <v>120906</v>
      </c>
      <c r="H227" s="7"/>
      <c r="I227" s="2"/>
      <c r="J227" s="7"/>
      <c r="K227" s="3"/>
    </row>
    <row r="228" spans="1:11">
      <c r="A228">
        <v>2019</v>
      </c>
      <c r="B228" s="9" t="s">
        <v>698</v>
      </c>
      <c r="C228" s="10">
        <v>3093546</v>
      </c>
      <c r="D228" s="10"/>
      <c r="E228" s="27">
        <v>2018</v>
      </c>
      <c r="F228" s="9" t="s">
        <v>698</v>
      </c>
      <c r="G228" s="10">
        <v>3043600</v>
      </c>
      <c r="H228" s="7"/>
      <c r="I228" s="2"/>
      <c r="J228" s="7"/>
      <c r="K228" s="3"/>
    </row>
    <row r="229" spans="1:11">
      <c r="A229">
        <v>2019</v>
      </c>
      <c r="B229" s="9" t="s">
        <v>699</v>
      </c>
      <c r="C229" s="10">
        <v>5302514</v>
      </c>
      <c r="D229" s="10"/>
      <c r="E229" s="27">
        <v>2018</v>
      </c>
      <c r="F229" s="9" t="s">
        <v>699</v>
      </c>
      <c r="G229" s="10">
        <v>5238952</v>
      </c>
      <c r="H229" s="7"/>
      <c r="I229" s="2"/>
      <c r="J229" s="7"/>
      <c r="K229" s="3"/>
    </row>
    <row r="230" spans="1:11">
      <c r="A230">
        <v>2019</v>
      </c>
      <c r="B230" s="9" t="s">
        <v>700</v>
      </c>
      <c r="C230" s="10">
        <v>251695</v>
      </c>
      <c r="D230" s="10"/>
      <c r="E230" s="27">
        <v>2018</v>
      </c>
      <c r="F230" s="9" t="s">
        <v>700</v>
      </c>
      <c r="G230" s="10">
        <v>243647</v>
      </c>
      <c r="H230" s="7"/>
      <c r="I230" s="2"/>
      <c r="J230" s="7"/>
      <c r="K230" s="3"/>
    </row>
    <row r="231" spans="1:11">
      <c r="A231">
        <v>2019</v>
      </c>
      <c r="B231" s="9" t="s">
        <v>701</v>
      </c>
      <c r="C231" s="10">
        <v>82451</v>
      </c>
      <c r="D231" s="10"/>
      <c r="E231" s="27">
        <v>2018</v>
      </c>
      <c r="F231" s="9" t="s">
        <v>701</v>
      </c>
      <c r="G231" s="10">
        <v>73511</v>
      </c>
      <c r="H231" s="7"/>
      <c r="I231" s="2"/>
      <c r="J231" s="7"/>
      <c r="K231" s="3"/>
    </row>
    <row r="232" spans="1:11">
      <c r="A232">
        <v>2019</v>
      </c>
      <c r="B232" s="9" t="s">
        <v>702</v>
      </c>
      <c r="C232" s="10">
        <v>324149</v>
      </c>
      <c r="D232" s="10"/>
      <c r="E232" s="27">
        <v>2018</v>
      </c>
      <c r="F232" s="9" t="s">
        <v>702</v>
      </c>
      <c r="G232" s="10">
        <v>297022</v>
      </c>
      <c r="H232" s="7"/>
      <c r="I232" s="2"/>
      <c r="J232" s="7"/>
      <c r="K232" s="3"/>
    </row>
    <row r="233" spans="1:11">
      <c r="A233">
        <v>2019</v>
      </c>
      <c r="B233" s="9" t="s">
        <v>467</v>
      </c>
      <c r="C233" s="10">
        <v>2063</v>
      </c>
      <c r="D233" s="10"/>
      <c r="E233" s="27">
        <v>2018</v>
      </c>
      <c r="F233" s="9" t="s">
        <v>467</v>
      </c>
      <c r="G233" s="10">
        <v>12819</v>
      </c>
      <c r="H233" s="7"/>
      <c r="I233" s="2"/>
      <c r="J233" s="7"/>
      <c r="K233" s="3"/>
    </row>
    <row r="234" spans="1:11">
      <c r="A234">
        <v>2019</v>
      </c>
      <c r="B234" s="9" t="s">
        <v>703</v>
      </c>
      <c r="C234" s="10">
        <v>117607</v>
      </c>
      <c r="D234" s="10"/>
      <c r="E234" s="27">
        <v>2018</v>
      </c>
      <c r="F234" s="9" t="s">
        <v>703</v>
      </c>
      <c r="G234" s="10">
        <v>115266</v>
      </c>
      <c r="H234" s="7"/>
      <c r="I234" s="2"/>
      <c r="J234" s="7"/>
      <c r="K234" s="3"/>
    </row>
    <row r="235" spans="1:11">
      <c r="A235">
        <v>2019</v>
      </c>
      <c r="B235" s="9" t="s">
        <v>704</v>
      </c>
      <c r="C235" s="10">
        <v>206072</v>
      </c>
      <c r="D235" s="10"/>
      <c r="E235" s="27">
        <v>2018</v>
      </c>
      <c r="F235" s="9" t="s">
        <v>704</v>
      </c>
      <c r="G235" s="10">
        <v>205970</v>
      </c>
      <c r="H235" s="7"/>
      <c r="I235" s="2"/>
      <c r="J235" s="7"/>
      <c r="K235" s="3"/>
    </row>
    <row r="236" spans="1:11">
      <c r="A236">
        <v>2019</v>
      </c>
      <c r="B236" s="9" t="s">
        <v>705</v>
      </c>
      <c r="C236" s="10">
        <v>10963622</v>
      </c>
      <c r="D236" s="10"/>
      <c r="E236" s="27">
        <v>2018</v>
      </c>
      <c r="F236" s="9" t="s">
        <v>705</v>
      </c>
      <c r="G236" s="10">
        <v>10538647</v>
      </c>
      <c r="H236" s="7"/>
      <c r="I236" s="2"/>
      <c r="J236" s="7"/>
      <c r="K236" s="3"/>
    </row>
    <row r="237" spans="1:11">
      <c r="A237">
        <v>2019</v>
      </c>
      <c r="B237" s="9" t="s">
        <v>706</v>
      </c>
      <c r="C237" s="10">
        <v>12723379</v>
      </c>
      <c r="D237" s="10"/>
      <c r="E237" s="27">
        <v>2018</v>
      </c>
      <c r="F237" s="9" t="s">
        <v>706</v>
      </c>
      <c r="G237" s="10">
        <v>12825313</v>
      </c>
      <c r="H237" s="7"/>
      <c r="I237" s="2"/>
      <c r="J237" s="7"/>
      <c r="K237" s="3"/>
    </row>
    <row r="238" spans="1:11">
      <c r="A238">
        <v>2019</v>
      </c>
      <c r="B238" s="9" t="s">
        <v>707</v>
      </c>
      <c r="C238" s="10">
        <v>80513</v>
      </c>
      <c r="D238" s="10"/>
      <c r="E238" s="27">
        <v>2018</v>
      </c>
      <c r="F238" s="9" t="s">
        <v>707</v>
      </c>
      <c r="G238" s="10">
        <v>82627</v>
      </c>
      <c r="H238" s="7"/>
      <c r="I238" s="2"/>
      <c r="J238" s="7"/>
      <c r="K238" s="3"/>
    </row>
    <row r="239" spans="1:11">
      <c r="A239">
        <v>2019</v>
      </c>
      <c r="B239" s="9" t="s">
        <v>708</v>
      </c>
      <c r="C239" s="10">
        <v>212038</v>
      </c>
      <c r="D239" s="10"/>
      <c r="E239" s="27">
        <v>2018</v>
      </c>
      <c r="F239" s="9" t="s">
        <v>708</v>
      </c>
      <c r="G239" s="10">
        <v>202699</v>
      </c>
      <c r="H239" s="7"/>
      <c r="I239" s="2"/>
      <c r="J239" s="7"/>
      <c r="K239" s="3"/>
    </row>
    <row r="240" spans="1:11">
      <c r="A240">
        <v>2019</v>
      </c>
      <c r="B240" s="9" t="s">
        <v>709</v>
      </c>
      <c r="C240" s="10">
        <v>19209</v>
      </c>
      <c r="D240" s="10"/>
      <c r="E240" s="27">
        <v>2018</v>
      </c>
      <c r="F240" s="9" t="s">
        <v>709</v>
      </c>
      <c r="G240" s="10">
        <v>18952</v>
      </c>
      <c r="H240" s="7"/>
      <c r="I240" s="2"/>
      <c r="J240" s="7"/>
      <c r="K240" s="3"/>
    </row>
    <row r="241" spans="1:11">
      <c r="A241">
        <v>2019</v>
      </c>
      <c r="B241" s="9" t="s">
        <v>710</v>
      </c>
      <c r="C241" s="10">
        <v>46542</v>
      </c>
      <c r="D241" s="10"/>
      <c r="E241" s="27">
        <v>2018</v>
      </c>
      <c r="F241" s="9" t="s">
        <v>710</v>
      </c>
      <c r="G241" s="10">
        <v>47121</v>
      </c>
      <c r="H241" s="7"/>
      <c r="I241" s="2"/>
      <c r="J241" s="7"/>
      <c r="K241" s="3"/>
    </row>
    <row r="242" spans="1:11">
      <c r="A242">
        <v>2019</v>
      </c>
      <c r="B242" s="9" t="s">
        <v>711</v>
      </c>
      <c r="C242" s="10">
        <v>1012610</v>
      </c>
      <c r="D242" s="10"/>
      <c r="E242" s="27">
        <v>2018</v>
      </c>
      <c r="F242" s="9" t="s">
        <v>711</v>
      </c>
      <c r="G242" s="10">
        <v>975038</v>
      </c>
      <c r="H242" s="7"/>
      <c r="I242" s="2"/>
      <c r="J242" s="7"/>
      <c r="K242" s="3"/>
    </row>
    <row r="243" spans="1:11">
      <c r="A243">
        <v>2019</v>
      </c>
      <c r="B243" s="9" t="s">
        <v>712</v>
      </c>
      <c r="C243" s="10">
        <v>1548573</v>
      </c>
      <c r="D243" s="10"/>
      <c r="E243" s="27">
        <v>2018</v>
      </c>
      <c r="F243" s="9" t="s">
        <v>712</v>
      </c>
      <c r="G243" s="10">
        <v>1527870</v>
      </c>
      <c r="H243" s="7"/>
      <c r="I243" s="2"/>
      <c r="J243" s="7"/>
      <c r="K243" s="3"/>
    </row>
    <row r="244" spans="1:11">
      <c r="A244">
        <v>2019</v>
      </c>
      <c r="B244" s="9" t="s">
        <v>713</v>
      </c>
      <c r="C244" s="10">
        <v>49616</v>
      </c>
      <c r="D244" s="10"/>
      <c r="E244" s="27">
        <v>2018</v>
      </c>
      <c r="F244" s="9" t="s">
        <v>713</v>
      </c>
      <c r="G244" s="10">
        <v>37877</v>
      </c>
      <c r="H244" s="7"/>
      <c r="I244" s="2"/>
      <c r="J244" s="7"/>
      <c r="K244" s="3"/>
    </row>
    <row r="245" spans="1:11">
      <c r="A245">
        <v>2019</v>
      </c>
      <c r="B245" s="9" t="s">
        <v>714</v>
      </c>
      <c r="C245" s="10">
        <v>87097</v>
      </c>
      <c r="D245" s="10"/>
      <c r="E245" s="27">
        <v>2018</v>
      </c>
      <c r="F245" s="9" t="s">
        <v>714</v>
      </c>
      <c r="G245" s="10">
        <v>69473</v>
      </c>
      <c r="H245" s="7"/>
      <c r="I245" s="2"/>
      <c r="J245" s="7"/>
      <c r="K245" s="3"/>
    </row>
    <row r="246" spans="1:11">
      <c r="A246">
        <v>2019</v>
      </c>
      <c r="B246" s="9" t="s">
        <v>475</v>
      </c>
      <c r="E246" s="27">
        <v>2018</v>
      </c>
      <c r="F246" s="9" t="s">
        <v>475</v>
      </c>
      <c r="G246" s="10">
        <v>8208</v>
      </c>
      <c r="H246" s="7"/>
      <c r="I246" s="2"/>
      <c r="J246" s="7"/>
      <c r="K246" s="3"/>
    </row>
    <row r="247" spans="1:11">
      <c r="A247">
        <v>2019</v>
      </c>
      <c r="B247" s="9" t="s">
        <v>715</v>
      </c>
      <c r="C247" s="10">
        <v>653587</v>
      </c>
      <c r="D247" s="10"/>
      <c r="E247" s="27">
        <v>2018</v>
      </c>
      <c r="F247" s="9" t="s">
        <v>715</v>
      </c>
      <c r="G247" s="10">
        <v>631489</v>
      </c>
      <c r="H247" s="7"/>
      <c r="I247" s="2"/>
      <c r="J247" s="7"/>
      <c r="K247" s="3"/>
    </row>
    <row r="248" spans="1:11">
      <c r="A248">
        <v>2019</v>
      </c>
      <c r="B248" s="9" t="s">
        <v>476</v>
      </c>
      <c r="C248" s="10">
        <v>5718</v>
      </c>
      <c r="D248" s="10"/>
      <c r="E248" s="27">
        <v>2018</v>
      </c>
      <c r="F248" s="9" t="s">
        <v>476</v>
      </c>
      <c r="G248" s="10">
        <v>5534</v>
      </c>
      <c r="H248" s="7"/>
      <c r="I248" s="2"/>
      <c r="J248" s="7"/>
      <c r="K248" s="3"/>
    </row>
    <row r="249" spans="1:11">
      <c r="A249">
        <v>2019</v>
      </c>
      <c r="B249" s="9" t="s">
        <v>716</v>
      </c>
      <c r="C249" s="10">
        <v>2397635</v>
      </c>
      <c r="D249" s="10"/>
      <c r="E249" s="27">
        <v>2018</v>
      </c>
      <c r="F249" s="9" t="s">
        <v>716</v>
      </c>
      <c r="G249" s="10">
        <v>2329809</v>
      </c>
      <c r="H249" s="7"/>
      <c r="I249" s="2"/>
      <c r="J249" s="7"/>
      <c r="K249" s="3"/>
    </row>
    <row r="250" spans="1:11">
      <c r="A250">
        <v>2019</v>
      </c>
      <c r="B250" s="9" t="s">
        <v>717</v>
      </c>
      <c r="C250" s="10">
        <v>4360640</v>
      </c>
      <c r="D250" s="10"/>
      <c r="E250" s="27">
        <v>2018</v>
      </c>
      <c r="F250" s="9" t="s">
        <v>717</v>
      </c>
      <c r="G250" s="10">
        <v>4169330</v>
      </c>
      <c r="H250" s="7"/>
      <c r="I250" s="2"/>
      <c r="J250" s="7"/>
      <c r="K250" s="3"/>
    </row>
    <row r="251" spans="1:11">
      <c r="A251">
        <v>2019</v>
      </c>
      <c r="B251" s="9" t="s">
        <v>718</v>
      </c>
      <c r="C251" s="10">
        <v>4543755</v>
      </c>
      <c r="D251" s="10"/>
      <c r="E251" s="27">
        <v>2018</v>
      </c>
      <c r="F251" s="9" t="s">
        <v>718</v>
      </c>
      <c r="G251" s="10">
        <v>4384816</v>
      </c>
      <c r="H251" s="8"/>
      <c r="I251" s="2"/>
      <c r="J251" s="8"/>
      <c r="K251" s="3"/>
    </row>
    <row r="252" spans="1:11">
      <c r="A252">
        <v>2019</v>
      </c>
      <c r="B252" s="9" t="s">
        <v>719</v>
      </c>
      <c r="C252" s="10">
        <v>2692966</v>
      </c>
      <c r="D252" s="10"/>
      <c r="E252" s="27">
        <v>2018</v>
      </c>
      <c r="F252" s="9" t="s">
        <v>719</v>
      </c>
      <c r="G252" s="10">
        <v>2703639</v>
      </c>
      <c r="H252" s="7"/>
      <c r="I252" s="2"/>
      <c r="J252" s="7"/>
      <c r="K252" s="1"/>
    </row>
    <row r="253" spans="1:11">
      <c r="A253">
        <v>2019</v>
      </c>
      <c r="B253" s="9" t="s">
        <v>93</v>
      </c>
      <c r="C253" s="10">
        <v>103969</v>
      </c>
      <c r="D253" s="10"/>
      <c r="E253" s="27">
        <v>2018</v>
      </c>
      <c r="F253" s="9" t="s">
        <v>93</v>
      </c>
      <c r="G253" s="10">
        <v>96375</v>
      </c>
      <c r="H253" s="7"/>
      <c r="I253" s="2"/>
      <c r="J253" s="7"/>
      <c r="K253" s="3"/>
    </row>
    <row r="254" spans="1:11">
      <c r="A254">
        <v>2019</v>
      </c>
      <c r="B254" s="9" t="s">
        <v>720</v>
      </c>
      <c r="C254" s="10">
        <v>58215</v>
      </c>
      <c r="D254" s="10"/>
      <c r="E254" s="27">
        <v>2018</v>
      </c>
      <c r="F254" s="9" t="s">
        <v>720</v>
      </c>
      <c r="G254" s="10">
        <v>59123</v>
      </c>
      <c r="H254" s="7"/>
      <c r="I254" s="2"/>
      <c r="J254" s="7"/>
      <c r="K254" s="3"/>
    </row>
    <row r="255" spans="1:11">
      <c r="A255">
        <v>2019</v>
      </c>
      <c r="B255" s="9" t="s">
        <v>721</v>
      </c>
      <c r="C255" s="10">
        <v>119182</v>
      </c>
      <c r="D255" s="10"/>
      <c r="E255" s="27">
        <v>2018</v>
      </c>
      <c r="F255" s="9" t="s">
        <v>721</v>
      </c>
      <c r="G255" s="10">
        <v>113805</v>
      </c>
      <c r="H255" s="7"/>
      <c r="I255" s="2"/>
      <c r="J255" s="7"/>
      <c r="K255" s="3"/>
    </row>
    <row r="256" spans="1:11">
      <c r="A256">
        <v>2019</v>
      </c>
      <c r="B256" s="9" t="s">
        <v>722</v>
      </c>
      <c r="C256" s="10">
        <v>84968</v>
      </c>
      <c r="D256" s="10"/>
      <c r="E256" s="27">
        <v>2018</v>
      </c>
      <c r="F256" s="9" t="s">
        <v>722</v>
      </c>
      <c r="G256" s="10">
        <v>79022</v>
      </c>
      <c r="H256" s="7"/>
      <c r="I256" s="2"/>
      <c r="J256" s="7"/>
      <c r="K256" s="3"/>
    </row>
    <row r="257" spans="1:11">
      <c r="A257">
        <v>2019</v>
      </c>
      <c r="B257" s="9" t="s">
        <v>723</v>
      </c>
      <c r="C257" s="10">
        <v>1050506</v>
      </c>
      <c r="D257" s="10"/>
      <c r="E257" s="27">
        <v>2018</v>
      </c>
      <c r="F257" s="9" t="s">
        <v>723</v>
      </c>
      <c r="G257" s="10">
        <v>988451</v>
      </c>
      <c r="H257" s="7"/>
      <c r="I257" s="2"/>
      <c r="J257" s="7"/>
      <c r="K257" s="3"/>
    </row>
    <row r="258" spans="1:11">
      <c r="A258">
        <v>2019</v>
      </c>
      <c r="B258" s="9" t="s">
        <v>96</v>
      </c>
      <c r="C258" s="10">
        <v>36268</v>
      </c>
      <c r="D258" s="10"/>
      <c r="E258" s="27">
        <v>2018</v>
      </c>
      <c r="F258" s="9" t="s">
        <v>96</v>
      </c>
      <c r="G258" s="10">
        <v>35068</v>
      </c>
      <c r="H258" s="7"/>
      <c r="I258" s="2"/>
      <c r="J258" s="7"/>
      <c r="K258" s="3"/>
    </row>
    <row r="259" spans="1:11">
      <c r="A259">
        <v>2019</v>
      </c>
      <c r="B259" s="9" t="s">
        <v>724</v>
      </c>
      <c r="C259" s="10">
        <v>2739557</v>
      </c>
      <c r="D259" s="10"/>
      <c r="E259" s="27">
        <v>2018</v>
      </c>
      <c r="F259" s="9" t="s">
        <v>724</v>
      </c>
      <c r="G259" s="10">
        <v>2670653</v>
      </c>
      <c r="H259" s="7"/>
      <c r="I259" s="2"/>
      <c r="J259" s="7"/>
      <c r="K259" s="3"/>
    </row>
    <row r="260" spans="1:11">
      <c r="A260">
        <v>2019</v>
      </c>
      <c r="B260" s="9" t="s">
        <v>725</v>
      </c>
      <c r="C260" s="10">
        <v>235326</v>
      </c>
      <c r="D260" s="10"/>
      <c r="E260" s="27">
        <v>2018</v>
      </c>
      <c r="F260" s="9" t="s">
        <v>725</v>
      </c>
      <c r="G260" s="10">
        <v>231649</v>
      </c>
      <c r="H260" s="7"/>
      <c r="I260" s="2"/>
      <c r="J260" s="7"/>
      <c r="K260" s="3"/>
    </row>
    <row r="261" spans="1:11">
      <c r="A261">
        <v>2019</v>
      </c>
      <c r="B261" s="9" t="s">
        <v>726</v>
      </c>
      <c r="C261" s="10">
        <v>666766</v>
      </c>
      <c r="D261" s="10"/>
      <c r="E261" s="27">
        <v>2018</v>
      </c>
      <c r="F261" s="9" t="s">
        <v>726</v>
      </c>
      <c r="G261" s="10">
        <v>630452</v>
      </c>
      <c r="H261" s="7"/>
      <c r="I261" s="2"/>
      <c r="J261" s="7"/>
      <c r="K261" s="3"/>
    </row>
    <row r="262" spans="1:11">
      <c r="A262">
        <v>2019</v>
      </c>
      <c r="B262" s="9" t="s">
        <v>727</v>
      </c>
      <c r="C262" s="10">
        <v>2048011</v>
      </c>
      <c r="D262" s="10"/>
      <c r="E262" s="27">
        <v>2018</v>
      </c>
      <c r="F262" s="9" t="s">
        <v>727</v>
      </c>
      <c r="G262" s="10">
        <v>2044539</v>
      </c>
      <c r="H262" s="7"/>
      <c r="I262" s="2"/>
      <c r="J262" s="7"/>
      <c r="K262" s="3"/>
    </row>
    <row r="263" spans="1:11">
      <c r="A263">
        <v>2019</v>
      </c>
      <c r="B263" s="9" t="s">
        <v>728</v>
      </c>
      <c r="C263" s="10">
        <v>8628</v>
      </c>
      <c r="D263" s="10"/>
      <c r="E263" s="27">
        <v>2018</v>
      </c>
      <c r="F263" s="9" t="s">
        <v>728</v>
      </c>
      <c r="G263" s="10">
        <v>10532</v>
      </c>
      <c r="H263" s="7"/>
      <c r="I263" s="2"/>
      <c r="J263" s="7"/>
      <c r="K263" s="3"/>
    </row>
    <row r="264" spans="1:11">
      <c r="A264">
        <v>2019</v>
      </c>
      <c r="B264" s="9" t="s">
        <v>729</v>
      </c>
      <c r="C264" s="10">
        <v>154361</v>
      </c>
      <c r="D264" s="10"/>
      <c r="E264" s="27">
        <v>2018</v>
      </c>
      <c r="F264" s="9" t="s">
        <v>729</v>
      </c>
      <c r="G264" s="10">
        <v>151078</v>
      </c>
      <c r="H264" s="7"/>
      <c r="I264" s="2"/>
      <c r="J264" s="7"/>
      <c r="K264" s="3"/>
    </row>
    <row r="265" spans="1:11">
      <c r="A265">
        <v>2019</v>
      </c>
      <c r="B265" s="9" t="s">
        <v>730</v>
      </c>
      <c r="C265" s="10">
        <v>87865</v>
      </c>
      <c r="D265" s="10"/>
      <c r="E265" s="27">
        <v>2018</v>
      </c>
      <c r="F265" s="9" t="s">
        <v>730</v>
      </c>
      <c r="G265" s="10">
        <v>88856</v>
      </c>
      <c r="H265" s="7"/>
      <c r="I265" s="2"/>
      <c r="J265" s="7"/>
      <c r="K265" s="3"/>
    </row>
    <row r="266" spans="1:11">
      <c r="A266">
        <v>2019</v>
      </c>
      <c r="B266" s="9" t="s">
        <v>731</v>
      </c>
      <c r="C266" s="10">
        <v>228717</v>
      </c>
      <c r="D266" s="10"/>
      <c r="E266" s="27">
        <v>2018</v>
      </c>
      <c r="F266" s="9" t="s">
        <v>731</v>
      </c>
      <c r="G266" s="10">
        <v>199248</v>
      </c>
      <c r="H266" s="7"/>
      <c r="I266" s="2"/>
      <c r="J266" s="7"/>
      <c r="K266" s="3"/>
    </row>
    <row r="267" spans="1:11">
      <c r="A267">
        <v>2019</v>
      </c>
      <c r="B267" s="9" t="s">
        <v>732</v>
      </c>
      <c r="C267" s="10">
        <v>463586</v>
      </c>
      <c r="D267" s="10"/>
      <c r="E267" s="27">
        <v>2018</v>
      </c>
      <c r="F267" s="9" t="s">
        <v>732</v>
      </c>
      <c r="G267" s="10">
        <v>447399</v>
      </c>
      <c r="H267" s="7"/>
      <c r="I267" s="2"/>
      <c r="J267" s="7"/>
      <c r="K267" s="3"/>
    </row>
    <row r="268" spans="1:11">
      <c r="A268">
        <v>2019</v>
      </c>
      <c r="B268" s="9" t="s">
        <v>733</v>
      </c>
      <c r="C268" s="10">
        <v>999621</v>
      </c>
      <c r="D268" s="10"/>
      <c r="E268" s="27">
        <v>2018</v>
      </c>
      <c r="F268" s="9" t="s">
        <v>733</v>
      </c>
      <c r="G268" s="10">
        <v>937513</v>
      </c>
      <c r="H268" s="7"/>
      <c r="I268" s="2"/>
      <c r="J268" s="7"/>
      <c r="K268" s="3"/>
    </row>
    <row r="269" spans="1:11">
      <c r="A269">
        <v>2019</v>
      </c>
      <c r="B269" s="9" t="s">
        <v>734</v>
      </c>
      <c r="C269" s="10">
        <v>10264733</v>
      </c>
      <c r="D269" s="10"/>
      <c r="E269" s="27">
        <v>2018</v>
      </c>
      <c r="F269" s="9" t="s">
        <v>734</v>
      </c>
      <c r="G269" s="10">
        <v>10048534</v>
      </c>
      <c r="H269" s="7"/>
      <c r="I269" s="2"/>
      <c r="J269" s="7"/>
      <c r="K269" s="3"/>
    </row>
    <row r="270" spans="1:11">
      <c r="A270">
        <v>2019</v>
      </c>
      <c r="B270" s="9" t="s">
        <v>735</v>
      </c>
      <c r="C270" s="10">
        <v>27386</v>
      </c>
      <c r="D270" s="10"/>
      <c r="E270" s="27">
        <v>2018</v>
      </c>
      <c r="F270" s="9" t="s">
        <v>735</v>
      </c>
      <c r="G270" s="10">
        <v>26358</v>
      </c>
      <c r="H270" s="7"/>
      <c r="I270" s="2"/>
      <c r="J270" s="7"/>
      <c r="K270" s="3"/>
    </row>
    <row r="271" spans="1:11">
      <c r="A271">
        <v>2019</v>
      </c>
      <c r="B271" s="9" t="s">
        <v>105</v>
      </c>
      <c r="C271" s="10">
        <v>137433</v>
      </c>
      <c r="D271" s="10"/>
      <c r="E271" s="27">
        <v>2018</v>
      </c>
      <c r="F271" s="9" t="s">
        <v>105</v>
      </c>
      <c r="G271" s="10">
        <v>137687</v>
      </c>
      <c r="H271" s="7"/>
      <c r="I271" s="2"/>
      <c r="J271" s="7"/>
      <c r="K271" s="3"/>
    </row>
    <row r="272" spans="1:11">
      <c r="A272">
        <v>2019</v>
      </c>
      <c r="B272" s="9" t="s">
        <v>736</v>
      </c>
      <c r="E272" s="27">
        <v>2018</v>
      </c>
      <c r="F272" s="9" t="s">
        <v>736</v>
      </c>
      <c r="G272" s="10">
        <v>10257</v>
      </c>
      <c r="H272" s="7"/>
      <c r="I272" s="2"/>
      <c r="J272" s="7"/>
      <c r="K272" s="3"/>
    </row>
    <row r="273" spans="1:11">
      <c r="A273">
        <v>2019</v>
      </c>
      <c r="B273" s="9" t="s">
        <v>737</v>
      </c>
      <c r="C273" s="10">
        <v>18704</v>
      </c>
      <c r="D273" s="10"/>
      <c r="E273" s="27">
        <v>2018</v>
      </c>
      <c r="F273" s="9" t="s">
        <v>737</v>
      </c>
      <c r="G273" s="10">
        <v>18615</v>
      </c>
      <c r="H273" s="7"/>
      <c r="I273" s="2"/>
      <c r="J273" s="7"/>
      <c r="K273" s="3"/>
    </row>
    <row r="274" spans="1:11">
      <c r="A274">
        <v>2019</v>
      </c>
      <c r="B274" s="9" t="s">
        <v>738</v>
      </c>
      <c r="C274" s="10">
        <v>63097</v>
      </c>
      <c r="D274" s="10"/>
      <c r="E274" s="27">
        <v>2018</v>
      </c>
      <c r="F274" s="9" t="s">
        <v>738</v>
      </c>
      <c r="G274" s="10">
        <v>55029</v>
      </c>
      <c r="H274" s="7"/>
      <c r="I274" s="2"/>
      <c r="J274" s="7"/>
      <c r="K274" s="3"/>
    </row>
    <row r="275" spans="1:11">
      <c r="A275">
        <v>2019</v>
      </c>
      <c r="B275" s="9" t="s">
        <v>739</v>
      </c>
      <c r="C275" s="10">
        <v>131976</v>
      </c>
      <c r="D275" s="10"/>
      <c r="E275" s="27">
        <v>2018</v>
      </c>
      <c r="F275" s="9" t="s">
        <v>739</v>
      </c>
      <c r="G275" s="10">
        <v>121444</v>
      </c>
      <c r="H275" s="7"/>
      <c r="I275" s="2"/>
      <c r="J275" s="7"/>
      <c r="K275" s="3"/>
    </row>
    <row r="276" spans="1:11">
      <c r="A276">
        <v>2019</v>
      </c>
      <c r="B276" s="9" t="s">
        <v>740</v>
      </c>
      <c r="C276" s="10">
        <v>532238</v>
      </c>
      <c r="D276" s="10"/>
      <c r="E276" s="27">
        <v>2018</v>
      </c>
      <c r="F276" s="9" t="s">
        <v>740</v>
      </c>
      <c r="G276" s="10">
        <v>518462</v>
      </c>
      <c r="H276" s="7"/>
      <c r="I276" s="2"/>
      <c r="J276" s="7"/>
      <c r="K276" s="3"/>
    </row>
    <row r="277" spans="1:11">
      <c r="A277">
        <v>2019</v>
      </c>
      <c r="B277" s="9" t="s">
        <v>741</v>
      </c>
      <c r="C277" s="10">
        <v>132212</v>
      </c>
      <c r="D277" s="10"/>
      <c r="E277" s="27">
        <v>2018</v>
      </c>
      <c r="F277" s="9" t="s">
        <v>741</v>
      </c>
      <c r="G277" s="10">
        <v>137253</v>
      </c>
      <c r="H277" s="7"/>
      <c r="I277" s="2"/>
      <c r="J277" s="7"/>
      <c r="K277" s="3"/>
    </row>
    <row r="278" spans="1:11">
      <c r="A278">
        <v>2019</v>
      </c>
      <c r="B278" s="9" t="s">
        <v>742</v>
      </c>
      <c r="C278" s="10">
        <v>81833</v>
      </c>
      <c r="D278" s="10"/>
      <c r="E278" s="27">
        <v>2018</v>
      </c>
      <c r="F278" s="9" t="s">
        <v>742</v>
      </c>
      <c r="G278" s="10">
        <v>78284</v>
      </c>
      <c r="H278" s="7"/>
      <c r="I278" s="2"/>
      <c r="J278" s="7"/>
      <c r="K278" s="3"/>
    </row>
    <row r="279" spans="1:11">
      <c r="A279">
        <v>2019</v>
      </c>
      <c r="B279" s="9" t="s">
        <v>743</v>
      </c>
      <c r="C279" s="10">
        <v>115706</v>
      </c>
      <c r="D279" s="10"/>
      <c r="E279" s="27">
        <v>2018</v>
      </c>
      <c r="F279" s="9" t="s">
        <v>743</v>
      </c>
      <c r="G279" s="10">
        <v>111840</v>
      </c>
      <c r="H279" s="7"/>
      <c r="I279" s="2"/>
      <c r="J279" s="7"/>
      <c r="K279" s="3"/>
    </row>
    <row r="280" spans="1:11">
      <c r="A280">
        <v>2019</v>
      </c>
      <c r="B280" s="9" t="s">
        <v>744</v>
      </c>
      <c r="C280" s="10">
        <v>129701</v>
      </c>
      <c r="D280" s="10"/>
      <c r="E280" s="27">
        <v>2018</v>
      </c>
      <c r="F280" s="9" t="s">
        <v>744</v>
      </c>
      <c r="G280" s="10">
        <v>119668</v>
      </c>
      <c r="H280" s="7"/>
      <c r="I280" s="2"/>
      <c r="J280" s="7"/>
      <c r="K280" s="3"/>
    </row>
    <row r="281" spans="1:11">
      <c r="A281">
        <v>2019</v>
      </c>
      <c r="B281" s="9" t="s">
        <v>745</v>
      </c>
      <c r="C281" s="10">
        <v>127925</v>
      </c>
      <c r="D281" s="10"/>
      <c r="E281" s="27">
        <v>2018</v>
      </c>
      <c r="F281" s="9" t="s">
        <v>745</v>
      </c>
      <c r="G281" s="10">
        <v>127071</v>
      </c>
      <c r="H281" s="7"/>
      <c r="I281" s="2"/>
      <c r="J281" s="7"/>
      <c r="K281" s="3"/>
    </row>
    <row r="282" spans="1:11">
      <c r="A282">
        <v>2019</v>
      </c>
      <c r="B282" s="9" t="s">
        <v>746</v>
      </c>
      <c r="C282" s="10">
        <v>354313</v>
      </c>
      <c r="D282" s="10"/>
      <c r="E282" s="27">
        <v>2018</v>
      </c>
      <c r="F282" s="9" t="s">
        <v>746</v>
      </c>
      <c r="G282" s="10">
        <v>342430</v>
      </c>
      <c r="H282" s="7"/>
      <c r="I282" s="2"/>
      <c r="J282" s="7"/>
      <c r="K282" s="3"/>
    </row>
    <row r="283" spans="1:11">
      <c r="A283">
        <v>2019</v>
      </c>
      <c r="B283" s="9" t="s">
        <v>109</v>
      </c>
      <c r="C283" s="10">
        <v>18187</v>
      </c>
      <c r="D283" s="10"/>
      <c r="E283" s="27">
        <v>2018</v>
      </c>
      <c r="F283" s="9" t="s">
        <v>109</v>
      </c>
      <c r="G283" s="10">
        <v>17664</v>
      </c>
      <c r="H283" s="7"/>
      <c r="I283" s="2"/>
      <c r="J283" s="7"/>
      <c r="K283" s="3"/>
    </row>
    <row r="284" spans="1:11">
      <c r="A284">
        <v>2019</v>
      </c>
      <c r="B284" s="9" t="s">
        <v>747</v>
      </c>
      <c r="C284" s="10">
        <v>71643</v>
      </c>
      <c r="D284" s="10"/>
      <c r="E284" s="27">
        <v>2018</v>
      </c>
      <c r="F284" s="9" t="s">
        <v>747</v>
      </c>
      <c r="G284" s="10">
        <v>57131</v>
      </c>
      <c r="H284" s="7"/>
      <c r="I284" s="2"/>
      <c r="J284" s="7"/>
      <c r="K284" s="3"/>
    </row>
    <row r="285" spans="1:11">
      <c r="A285">
        <v>2019</v>
      </c>
      <c r="B285" s="9" t="s">
        <v>748</v>
      </c>
      <c r="C285" s="10">
        <v>55730</v>
      </c>
      <c r="D285" s="10"/>
      <c r="E285" s="27">
        <v>2018</v>
      </c>
      <c r="F285" s="9" t="s">
        <v>748</v>
      </c>
      <c r="G285" s="10">
        <v>53966</v>
      </c>
      <c r="H285" s="7"/>
      <c r="I285" s="2"/>
      <c r="J285" s="7"/>
      <c r="K285" s="3"/>
    </row>
    <row r="286" spans="1:11">
      <c r="A286">
        <v>2019</v>
      </c>
      <c r="B286" s="9" t="s">
        <v>749</v>
      </c>
      <c r="C286" s="10">
        <v>151093</v>
      </c>
      <c r="D286" s="10"/>
      <c r="E286" s="27">
        <v>2018</v>
      </c>
      <c r="F286" s="9" t="s">
        <v>749</v>
      </c>
      <c r="G286" s="10">
        <v>153115</v>
      </c>
      <c r="H286" s="7"/>
      <c r="I286" s="2"/>
      <c r="J286" s="7"/>
      <c r="K286" s="3"/>
    </row>
    <row r="287" spans="1:11">
      <c r="A287">
        <v>2019</v>
      </c>
      <c r="B287" s="9" t="s">
        <v>750</v>
      </c>
      <c r="C287" s="10">
        <v>1543562</v>
      </c>
      <c r="D287" s="10"/>
      <c r="E287" s="27">
        <v>2018</v>
      </c>
      <c r="F287" s="9" t="s">
        <v>750</v>
      </c>
      <c r="G287" s="10">
        <v>1513869</v>
      </c>
      <c r="H287" s="7"/>
      <c r="I287" s="2"/>
      <c r="J287" s="7"/>
      <c r="K287" s="3"/>
    </row>
    <row r="288" spans="1:11">
      <c r="A288">
        <v>2019</v>
      </c>
      <c r="B288" s="9" t="s">
        <v>751</v>
      </c>
      <c r="C288" s="10">
        <v>444310</v>
      </c>
      <c r="D288" s="10"/>
      <c r="E288" s="27">
        <v>2018</v>
      </c>
      <c r="F288" s="9" t="s">
        <v>751</v>
      </c>
      <c r="G288" s="10">
        <v>410041</v>
      </c>
      <c r="H288" s="7"/>
      <c r="I288" s="2"/>
      <c r="J288" s="7"/>
      <c r="K288" s="3"/>
    </row>
    <row r="289" spans="1:11">
      <c r="A289">
        <v>2019</v>
      </c>
      <c r="B289" s="9" t="s">
        <v>752</v>
      </c>
      <c r="C289" s="10">
        <v>80581</v>
      </c>
      <c r="D289" s="10"/>
      <c r="E289" s="27">
        <v>2018</v>
      </c>
      <c r="F289" s="9" t="s">
        <v>752</v>
      </c>
      <c r="G289" s="10">
        <v>84514</v>
      </c>
      <c r="H289" s="7"/>
      <c r="I289" s="2"/>
      <c r="J289" s="7"/>
      <c r="K289" s="3"/>
    </row>
    <row r="290" spans="1:11">
      <c r="A290">
        <v>2019</v>
      </c>
      <c r="B290" s="9" t="s">
        <v>753</v>
      </c>
      <c r="C290" s="10">
        <v>526916</v>
      </c>
      <c r="D290" s="10"/>
      <c r="E290" s="27">
        <v>2018</v>
      </c>
      <c r="F290" s="9" t="s">
        <v>753</v>
      </c>
      <c r="G290" s="10">
        <v>496365</v>
      </c>
      <c r="H290" s="7"/>
      <c r="I290" s="2"/>
      <c r="J290" s="7"/>
      <c r="K290" s="3"/>
    </row>
    <row r="291" spans="1:11">
      <c r="A291">
        <v>2019</v>
      </c>
      <c r="B291" s="9" t="s">
        <v>754</v>
      </c>
      <c r="C291" s="10">
        <v>1226307</v>
      </c>
      <c r="D291" s="10"/>
      <c r="E291" s="27">
        <v>2018</v>
      </c>
      <c r="F291" s="9" t="s">
        <v>754</v>
      </c>
      <c r="G291" s="10">
        <v>1201590</v>
      </c>
      <c r="H291" s="7"/>
      <c r="I291" s="2"/>
      <c r="J291" s="7"/>
      <c r="K291" s="3"/>
    </row>
    <row r="292" spans="1:11">
      <c r="A292">
        <v>2019</v>
      </c>
      <c r="B292" s="9" t="s">
        <v>755</v>
      </c>
      <c r="C292" s="10">
        <v>560437</v>
      </c>
      <c r="D292" s="10"/>
      <c r="E292" s="27">
        <v>2018</v>
      </c>
      <c r="F292" s="9" t="s">
        <v>755</v>
      </c>
      <c r="G292" s="10">
        <v>525700</v>
      </c>
      <c r="H292" s="7"/>
      <c r="I292" s="2"/>
      <c r="J292" s="7"/>
      <c r="K292" s="3"/>
    </row>
    <row r="293" spans="1:11">
      <c r="A293">
        <v>2019</v>
      </c>
      <c r="B293" s="9" t="s">
        <v>756</v>
      </c>
      <c r="C293" s="10">
        <v>1000799</v>
      </c>
      <c r="D293" s="10"/>
      <c r="E293" s="27">
        <v>2018</v>
      </c>
      <c r="F293" s="9" t="s">
        <v>756</v>
      </c>
      <c r="G293" s="10">
        <v>992433</v>
      </c>
      <c r="H293" s="7"/>
      <c r="I293" s="2"/>
      <c r="J293" s="7"/>
      <c r="K293" s="3"/>
    </row>
    <row r="294" spans="1:11">
      <c r="A294">
        <v>2019</v>
      </c>
      <c r="B294" s="9" t="s">
        <v>757</v>
      </c>
      <c r="C294" s="10">
        <v>141896</v>
      </c>
      <c r="D294" s="10"/>
      <c r="E294" s="27">
        <v>2018</v>
      </c>
      <c r="F294" s="9" t="s">
        <v>757</v>
      </c>
      <c r="G294" s="10">
        <v>139618</v>
      </c>
      <c r="H294" s="7"/>
      <c r="I294" s="2"/>
      <c r="J294" s="7"/>
      <c r="K294" s="3"/>
    </row>
    <row r="295" spans="1:11">
      <c r="A295">
        <v>2019</v>
      </c>
      <c r="B295" s="9" t="s">
        <v>116</v>
      </c>
      <c r="C295" s="10">
        <v>51933</v>
      </c>
      <c r="D295" s="10"/>
      <c r="E295" s="27">
        <v>2018</v>
      </c>
      <c r="F295" s="9" t="s">
        <v>116</v>
      </c>
      <c r="G295" s="10">
        <v>50712</v>
      </c>
      <c r="H295" s="7"/>
      <c r="I295" s="2"/>
      <c r="J295" s="7"/>
      <c r="K295" s="3"/>
    </row>
    <row r="296" spans="1:11">
      <c r="A296">
        <v>2019</v>
      </c>
      <c r="B296" s="9" t="s">
        <v>758</v>
      </c>
      <c r="C296" s="10">
        <v>9153</v>
      </c>
      <c r="D296" s="10"/>
      <c r="E296" s="27">
        <v>2018</v>
      </c>
      <c r="F296" s="9" t="s">
        <v>758</v>
      </c>
      <c r="G296" s="10">
        <v>8888</v>
      </c>
      <c r="H296" s="7"/>
      <c r="I296" s="2"/>
      <c r="J296" s="7"/>
      <c r="K296" s="3"/>
    </row>
    <row r="297" spans="1:11">
      <c r="A297">
        <v>2019</v>
      </c>
      <c r="B297" s="9" t="s">
        <v>759</v>
      </c>
      <c r="C297" s="10">
        <v>11877</v>
      </c>
      <c r="D297" s="10"/>
      <c r="E297" s="27">
        <v>2018</v>
      </c>
      <c r="F297" s="9" t="s">
        <v>759</v>
      </c>
      <c r="G297" s="10">
        <v>11088</v>
      </c>
      <c r="H297" s="7"/>
      <c r="I297" s="2"/>
      <c r="J297" s="7"/>
      <c r="K297" s="3"/>
    </row>
    <row r="298" spans="1:11">
      <c r="A298">
        <v>2019</v>
      </c>
      <c r="B298" s="9" t="s">
        <v>760</v>
      </c>
      <c r="C298" s="10">
        <v>22449</v>
      </c>
      <c r="D298" s="10"/>
      <c r="E298" s="27">
        <v>2018</v>
      </c>
      <c r="F298" s="9" t="s">
        <v>760</v>
      </c>
      <c r="G298" s="10">
        <v>22072</v>
      </c>
      <c r="H298" s="7"/>
      <c r="I298" s="2"/>
      <c r="J298" s="7"/>
      <c r="K298" s="3"/>
    </row>
    <row r="299" spans="1:11">
      <c r="A299">
        <v>2019</v>
      </c>
      <c r="B299" s="9" t="s">
        <v>119</v>
      </c>
      <c r="E299" s="27">
        <v>2018</v>
      </c>
      <c r="F299" s="9" t="s">
        <v>119</v>
      </c>
      <c r="H299" s="7"/>
      <c r="I299" s="2"/>
      <c r="J299" s="7"/>
      <c r="K299" s="1"/>
    </row>
    <row r="300" spans="1:11">
      <c r="A300">
        <v>2019</v>
      </c>
      <c r="B300" s="9" t="s">
        <v>761</v>
      </c>
      <c r="C300" s="10">
        <v>120027</v>
      </c>
      <c r="D300" s="10"/>
      <c r="E300" s="27">
        <v>2018</v>
      </c>
      <c r="F300" s="9" t="s">
        <v>761</v>
      </c>
      <c r="G300" s="10">
        <v>116980</v>
      </c>
      <c r="H300" s="7"/>
      <c r="I300" s="2"/>
      <c r="J300" s="7"/>
      <c r="K300" s="3"/>
    </row>
    <row r="301" spans="1:11">
      <c r="A301">
        <v>2019</v>
      </c>
      <c r="B301" s="9" t="s">
        <v>122</v>
      </c>
      <c r="C301" s="10">
        <v>35299</v>
      </c>
      <c r="D301" s="10"/>
      <c r="E301" s="27">
        <v>2018</v>
      </c>
      <c r="F301" s="9" t="s">
        <v>122</v>
      </c>
      <c r="G301" s="10">
        <v>32336</v>
      </c>
      <c r="H301" s="8"/>
      <c r="I301" s="2"/>
      <c r="J301" s="8"/>
      <c r="K301" s="3"/>
    </row>
    <row r="302" spans="1:11">
      <c r="A302">
        <v>2019</v>
      </c>
      <c r="B302" s="9" t="s">
        <v>762</v>
      </c>
      <c r="C302" s="10">
        <v>89370</v>
      </c>
      <c r="D302" s="10"/>
      <c r="E302" s="27">
        <v>2018</v>
      </c>
      <c r="F302" s="9" t="s">
        <v>762</v>
      </c>
      <c r="G302" s="10">
        <v>97199</v>
      </c>
      <c r="H302" s="17"/>
      <c r="I302" s="2"/>
      <c r="J302" s="17"/>
      <c r="K302" s="1"/>
    </row>
    <row r="303" spans="1:11">
      <c r="A303">
        <v>2019</v>
      </c>
      <c r="B303" s="9" t="s">
        <v>763</v>
      </c>
      <c r="C303" s="10">
        <v>601573</v>
      </c>
      <c r="D303" s="10"/>
      <c r="E303" s="27">
        <v>2018</v>
      </c>
      <c r="F303" s="9" t="s">
        <v>763</v>
      </c>
      <c r="G303" s="10">
        <v>586995</v>
      </c>
      <c r="H303" s="7"/>
      <c r="I303" s="2"/>
      <c r="J303" s="7"/>
      <c r="K303" s="3"/>
    </row>
    <row r="304" spans="1:11">
      <c r="A304">
        <v>2019</v>
      </c>
      <c r="B304" s="9" t="s">
        <v>764</v>
      </c>
      <c r="C304" s="10">
        <v>600841</v>
      </c>
      <c r="D304" s="10"/>
      <c r="E304" s="27">
        <v>2018</v>
      </c>
      <c r="F304" s="9" t="s">
        <v>764</v>
      </c>
      <c r="G304" s="10">
        <v>601421</v>
      </c>
      <c r="H304" s="7"/>
      <c r="I304" s="2"/>
      <c r="J304" s="7"/>
      <c r="K304" s="3"/>
    </row>
    <row r="305" spans="1:11">
      <c r="A305">
        <v>2019</v>
      </c>
      <c r="B305" s="9" t="s">
        <v>765</v>
      </c>
      <c r="C305" s="10">
        <v>189187</v>
      </c>
      <c r="D305" s="10"/>
      <c r="E305" s="27">
        <v>2018</v>
      </c>
      <c r="F305" s="9" t="s">
        <v>765</v>
      </c>
      <c r="G305" s="10">
        <v>194318</v>
      </c>
      <c r="H305" s="7"/>
      <c r="I305" s="2"/>
      <c r="J305" s="7"/>
      <c r="K305" s="3"/>
    </row>
    <row r="306" spans="1:11">
      <c r="A306">
        <v>2019</v>
      </c>
      <c r="B306" s="9" t="s">
        <v>766</v>
      </c>
      <c r="C306" s="10">
        <v>87407</v>
      </c>
      <c r="D306" s="10"/>
      <c r="E306" s="27">
        <v>2018</v>
      </c>
      <c r="F306" s="9" t="s">
        <v>766</v>
      </c>
      <c r="G306" s="10">
        <v>71980</v>
      </c>
      <c r="H306" s="7"/>
      <c r="I306" s="2"/>
      <c r="J306" s="7"/>
      <c r="K306" s="3"/>
    </row>
    <row r="307" spans="1:11">
      <c r="A307">
        <v>2019</v>
      </c>
      <c r="B307" s="9" t="s">
        <v>767</v>
      </c>
      <c r="C307" s="10">
        <v>393309</v>
      </c>
      <c r="D307" s="10"/>
      <c r="E307" s="27">
        <v>2018</v>
      </c>
      <c r="F307" s="9" t="s">
        <v>767</v>
      </c>
      <c r="G307" s="10">
        <v>397140</v>
      </c>
      <c r="H307" s="7"/>
      <c r="I307" s="2"/>
      <c r="J307" s="7"/>
      <c r="K307" s="3"/>
    </row>
    <row r="308" spans="1:11">
      <c r="A308">
        <v>2019</v>
      </c>
      <c r="B308" s="9" t="s">
        <v>768</v>
      </c>
      <c r="C308" s="10">
        <v>193198</v>
      </c>
      <c r="D308" s="10"/>
      <c r="E308" s="27">
        <v>2018</v>
      </c>
      <c r="F308" s="9" t="s">
        <v>768</v>
      </c>
      <c r="G308" s="10">
        <v>193152</v>
      </c>
      <c r="H308" s="7"/>
      <c r="I308" s="2"/>
      <c r="J308" s="7"/>
      <c r="K308" s="3"/>
    </row>
    <row r="309" spans="1:11">
      <c r="A309">
        <v>2019</v>
      </c>
      <c r="B309" s="9" t="s">
        <v>769</v>
      </c>
      <c r="C309" s="10">
        <v>368039</v>
      </c>
      <c r="D309" s="10"/>
      <c r="E309" s="27">
        <v>2018</v>
      </c>
      <c r="F309" s="9" t="s">
        <v>769</v>
      </c>
      <c r="G309" s="10">
        <v>344552</v>
      </c>
      <c r="H309" s="7"/>
      <c r="I309" s="2"/>
      <c r="J309" s="7"/>
      <c r="K309" s="3"/>
    </row>
    <row r="310" spans="1:11">
      <c r="A310">
        <v>2019</v>
      </c>
      <c r="B310" s="9" t="s">
        <v>770</v>
      </c>
      <c r="C310" s="10">
        <v>133885</v>
      </c>
      <c r="D310" s="10"/>
      <c r="E310" s="27">
        <v>2018</v>
      </c>
      <c r="F310" s="9" t="s">
        <v>770</v>
      </c>
      <c r="G310" s="10">
        <v>127539</v>
      </c>
      <c r="H310" s="7"/>
      <c r="I310" s="2"/>
      <c r="J310" s="7"/>
      <c r="K310" s="3"/>
    </row>
    <row r="311" spans="1:11">
      <c r="A311">
        <v>2019</v>
      </c>
      <c r="B311" s="9" t="s">
        <v>771</v>
      </c>
      <c r="C311" s="10">
        <v>512501</v>
      </c>
      <c r="D311" s="10"/>
      <c r="E311" s="27">
        <v>2018</v>
      </c>
      <c r="F311" s="9" t="s">
        <v>771</v>
      </c>
      <c r="G311" s="10">
        <v>504331</v>
      </c>
      <c r="H311" s="7"/>
      <c r="I311" s="2"/>
      <c r="J311" s="7"/>
      <c r="K311" s="3"/>
    </row>
    <row r="312" spans="1:11">
      <c r="A312">
        <v>2019</v>
      </c>
      <c r="B312" s="9" t="s">
        <v>772</v>
      </c>
      <c r="C312" s="10">
        <v>33213</v>
      </c>
      <c r="D312" s="10"/>
      <c r="E312" s="27">
        <v>2018</v>
      </c>
      <c r="F312" s="9" t="s">
        <v>772</v>
      </c>
      <c r="G312" s="10">
        <v>18482</v>
      </c>
      <c r="H312" s="7"/>
      <c r="I312" s="2"/>
      <c r="J312" s="7"/>
      <c r="K312" s="3"/>
    </row>
    <row r="313" spans="1:11">
      <c r="A313">
        <v>2019</v>
      </c>
      <c r="B313" s="9" t="s">
        <v>773</v>
      </c>
      <c r="C313" s="10">
        <v>347068</v>
      </c>
      <c r="D313" s="10"/>
      <c r="E313" s="27">
        <v>2018</v>
      </c>
      <c r="F313" s="9" t="s">
        <v>773</v>
      </c>
      <c r="G313" s="10">
        <v>326218</v>
      </c>
      <c r="H313" s="7"/>
      <c r="I313" s="2"/>
      <c r="J313" s="7"/>
      <c r="K313" s="3"/>
    </row>
    <row r="314" spans="1:11">
      <c r="A314">
        <v>2019</v>
      </c>
      <c r="B314" s="9" t="s">
        <v>774</v>
      </c>
      <c r="C314" s="10">
        <v>3014797</v>
      </c>
      <c r="D314" s="10"/>
      <c r="E314" s="27">
        <v>2018</v>
      </c>
      <c r="F314" s="9" t="s">
        <v>774</v>
      </c>
      <c r="G314" s="10">
        <v>2962266</v>
      </c>
      <c r="H314" s="7"/>
      <c r="I314" s="2"/>
      <c r="J314" s="7"/>
      <c r="K314" s="3"/>
    </row>
    <row r="315" spans="1:11">
      <c r="A315">
        <v>2019</v>
      </c>
      <c r="B315" s="9" t="s">
        <v>129</v>
      </c>
      <c r="C315" s="10">
        <v>379663</v>
      </c>
      <c r="D315" s="10"/>
      <c r="E315" s="27">
        <v>2018</v>
      </c>
      <c r="F315" s="9" t="s">
        <v>129</v>
      </c>
      <c r="G315" s="10">
        <v>384843</v>
      </c>
      <c r="H315" s="7"/>
      <c r="I315" s="2"/>
      <c r="J315" s="7"/>
      <c r="K315" s="3"/>
    </row>
    <row r="316" spans="1:11">
      <c r="A316">
        <v>2019</v>
      </c>
      <c r="B316" s="9" t="s">
        <v>775</v>
      </c>
      <c r="C316" s="10">
        <v>1206312</v>
      </c>
      <c r="D316" s="10"/>
      <c r="E316" s="27">
        <v>2018</v>
      </c>
      <c r="F316" s="9" t="s">
        <v>775</v>
      </c>
      <c r="G316" s="10">
        <v>1108321</v>
      </c>
      <c r="H316" s="7"/>
      <c r="I316" s="2"/>
      <c r="J316" s="7"/>
      <c r="K316" s="3"/>
    </row>
    <row r="317" spans="1:11">
      <c r="A317">
        <v>2019</v>
      </c>
      <c r="B317" s="9" t="s">
        <v>776</v>
      </c>
      <c r="C317" s="10">
        <v>1794100</v>
      </c>
      <c r="D317" s="10"/>
      <c r="E317" s="27">
        <v>2018</v>
      </c>
      <c r="F317" s="9" t="s">
        <v>776</v>
      </c>
      <c r="G317" s="10">
        <v>1754369</v>
      </c>
      <c r="H317" s="7"/>
      <c r="I317" s="2"/>
      <c r="J317" s="7"/>
      <c r="K317" s="3"/>
    </row>
    <row r="318" spans="1:11">
      <c r="A318">
        <v>2019</v>
      </c>
      <c r="B318" s="9" t="s">
        <v>777</v>
      </c>
      <c r="C318" s="10">
        <v>334096</v>
      </c>
      <c r="D318" s="10"/>
      <c r="E318" s="27">
        <v>2018</v>
      </c>
      <c r="F318" s="9" t="s">
        <v>777</v>
      </c>
      <c r="G318" s="10">
        <v>338746</v>
      </c>
      <c r="H318" s="7"/>
      <c r="I318" s="2"/>
      <c r="J318" s="7"/>
      <c r="K318" s="3"/>
    </row>
    <row r="319" spans="1:11">
      <c r="A319">
        <v>2019</v>
      </c>
      <c r="B319" s="9" t="s">
        <v>778</v>
      </c>
      <c r="C319" s="10">
        <v>1707486</v>
      </c>
      <c r="D319" s="10"/>
      <c r="E319" s="27">
        <v>2018</v>
      </c>
      <c r="F319" s="9" t="s">
        <v>778</v>
      </c>
      <c r="G319" s="10">
        <v>1734615</v>
      </c>
      <c r="H319" s="7"/>
      <c r="I319" s="2"/>
      <c r="J319" s="7"/>
      <c r="K319" s="3"/>
    </row>
    <row r="320" spans="1:11">
      <c r="A320">
        <v>2019</v>
      </c>
      <c r="B320" s="9" t="s">
        <v>779</v>
      </c>
      <c r="C320" s="10">
        <v>931227</v>
      </c>
      <c r="D320" s="10"/>
      <c r="E320" s="27">
        <v>2018</v>
      </c>
      <c r="F320" s="9" t="s">
        <v>779</v>
      </c>
      <c r="G320" s="10">
        <v>914348</v>
      </c>
      <c r="H320" s="7"/>
      <c r="I320" s="2"/>
      <c r="J320" s="7"/>
      <c r="K320" s="3"/>
    </row>
    <row r="321" spans="1:11">
      <c r="A321">
        <v>2019</v>
      </c>
      <c r="B321" s="9" t="s">
        <v>480</v>
      </c>
      <c r="E321" s="27">
        <v>2018</v>
      </c>
      <c r="F321" s="9" t="s">
        <v>480</v>
      </c>
      <c r="G321" s="10">
        <v>2068</v>
      </c>
      <c r="H321" s="7"/>
      <c r="I321" s="2"/>
      <c r="J321" s="7"/>
      <c r="K321" s="3"/>
    </row>
    <row r="322" spans="1:11">
      <c r="A322">
        <v>2019</v>
      </c>
      <c r="B322" s="9" t="s">
        <v>780</v>
      </c>
      <c r="C322" s="10">
        <v>598851</v>
      </c>
      <c r="D322" s="10"/>
      <c r="E322" s="27">
        <v>2018</v>
      </c>
      <c r="F322" s="9" t="s">
        <v>780</v>
      </c>
      <c r="G322" s="10">
        <v>583986</v>
      </c>
      <c r="H322" s="7"/>
      <c r="I322" s="2"/>
      <c r="J322" s="7"/>
      <c r="K322" s="3"/>
    </row>
    <row r="323" spans="1:11">
      <c r="A323">
        <v>2019</v>
      </c>
      <c r="B323" s="9" t="s">
        <v>781</v>
      </c>
      <c r="C323" s="10">
        <v>15748</v>
      </c>
      <c r="D323" s="10"/>
      <c r="E323" s="27">
        <v>2018</v>
      </c>
      <c r="F323" s="9" t="s">
        <v>781</v>
      </c>
      <c r="G323" s="10">
        <v>14497</v>
      </c>
      <c r="H323" s="7"/>
      <c r="I323" s="2"/>
      <c r="J323" s="7"/>
      <c r="K323" s="3"/>
    </row>
    <row r="324" spans="1:11">
      <c r="A324">
        <v>2019</v>
      </c>
      <c r="B324" s="9" t="s">
        <v>782</v>
      </c>
      <c r="C324" s="10">
        <v>76167</v>
      </c>
      <c r="D324" s="10"/>
      <c r="E324" s="27">
        <v>2018</v>
      </c>
      <c r="F324" s="9" t="s">
        <v>782</v>
      </c>
      <c r="G324" s="10">
        <v>72640</v>
      </c>
      <c r="H324" s="7"/>
      <c r="I324" s="2"/>
      <c r="J324" s="7"/>
      <c r="K324" s="3"/>
    </row>
    <row r="325" spans="1:11">
      <c r="A325">
        <v>2019</v>
      </c>
      <c r="B325" s="9" t="s">
        <v>783</v>
      </c>
      <c r="C325" s="10">
        <v>36763</v>
      </c>
      <c r="D325" s="10"/>
      <c r="E325" s="27">
        <v>2018</v>
      </c>
      <c r="F325" s="9" t="s">
        <v>783</v>
      </c>
      <c r="G325" s="10">
        <v>30903</v>
      </c>
      <c r="H325" s="7"/>
      <c r="I325" s="2"/>
      <c r="J325" s="7"/>
      <c r="K325" s="3"/>
    </row>
    <row r="326" spans="1:11">
      <c r="A326">
        <v>2019</v>
      </c>
      <c r="B326" s="9" t="s">
        <v>784</v>
      </c>
      <c r="C326" s="10">
        <v>144705</v>
      </c>
      <c r="D326" s="10"/>
      <c r="E326" s="27">
        <v>2018</v>
      </c>
      <c r="F326" s="9" t="s">
        <v>784</v>
      </c>
      <c r="G326" s="10">
        <v>145160</v>
      </c>
      <c r="H326" s="7"/>
      <c r="I326" s="2"/>
      <c r="J326" s="7"/>
      <c r="K326" s="3"/>
    </row>
    <row r="327" spans="1:11">
      <c r="A327">
        <v>2019</v>
      </c>
      <c r="B327" s="9" t="s">
        <v>785</v>
      </c>
      <c r="C327" s="10">
        <v>200562</v>
      </c>
      <c r="D327" s="10"/>
      <c r="E327" s="27">
        <v>2018</v>
      </c>
      <c r="F327" s="9" t="s">
        <v>785</v>
      </c>
      <c r="G327" s="10">
        <v>226358</v>
      </c>
      <c r="H327" s="7"/>
      <c r="I327" s="2"/>
      <c r="J327" s="7"/>
      <c r="K327" s="3"/>
    </row>
    <row r="328" spans="1:11">
      <c r="A328">
        <v>2019</v>
      </c>
      <c r="B328" s="9" t="s">
        <v>786</v>
      </c>
      <c r="C328" s="10">
        <v>654660</v>
      </c>
      <c r="D328" s="10"/>
      <c r="E328" s="27">
        <v>2018</v>
      </c>
      <c r="F328" s="9" t="s">
        <v>786</v>
      </c>
      <c r="G328" s="10">
        <v>626470</v>
      </c>
      <c r="H328" s="7"/>
      <c r="I328" s="2"/>
      <c r="J328" s="7"/>
      <c r="K328" s="3"/>
    </row>
    <row r="329" spans="1:11">
      <c r="A329">
        <v>2019</v>
      </c>
      <c r="B329" s="9" t="s">
        <v>787</v>
      </c>
      <c r="C329" s="10">
        <v>106514</v>
      </c>
      <c r="D329" s="10"/>
      <c r="E329" s="27">
        <v>2018</v>
      </c>
      <c r="F329" s="9" t="s">
        <v>787</v>
      </c>
      <c r="G329" s="10">
        <v>105151</v>
      </c>
      <c r="H329" s="7"/>
      <c r="I329" s="2"/>
      <c r="J329" s="7"/>
      <c r="K329" s="3"/>
    </row>
    <row r="330" spans="1:11">
      <c r="A330">
        <v>2019</v>
      </c>
      <c r="B330" s="9" t="s">
        <v>788</v>
      </c>
      <c r="C330" s="10">
        <v>299463</v>
      </c>
      <c r="D330" s="10"/>
      <c r="E330" s="27">
        <v>2018</v>
      </c>
      <c r="F330" s="9" t="s">
        <v>788</v>
      </c>
      <c r="G330" s="10">
        <v>284318</v>
      </c>
      <c r="H330" s="7"/>
      <c r="I330" s="2"/>
      <c r="J330" s="7"/>
      <c r="K330" s="3"/>
    </row>
    <row r="331" spans="1:11">
      <c r="A331">
        <v>2019</v>
      </c>
      <c r="B331" s="9" t="s">
        <v>789</v>
      </c>
      <c r="C331" s="10">
        <v>533430</v>
      </c>
      <c r="D331" s="10"/>
      <c r="E331" s="27">
        <v>2018</v>
      </c>
      <c r="F331" s="9" t="s">
        <v>789</v>
      </c>
      <c r="G331" s="10">
        <v>544831</v>
      </c>
      <c r="H331" s="7"/>
      <c r="I331" s="2"/>
      <c r="J331" s="7"/>
      <c r="K331" s="3"/>
    </row>
    <row r="332" spans="1:11">
      <c r="A332">
        <v>2019</v>
      </c>
      <c r="B332" s="9" t="s">
        <v>790</v>
      </c>
      <c r="C332" s="10">
        <v>19569</v>
      </c>
      <c r="D332" s="10"/>
      <c r="E332" s="27">
        <v>2018</v>
      </c>
      <c r="F332" s="9" t="s">
        <v>790</v>
      </c>
      <c r="G332" s="10">
        <v>15821</v>
      </c>
      <c r="H332" s="7"/>
      <c r="I332" s="2"/>
      <c r="J332" s="7"/>
      <c r="K332" s="3"/>
    </row>
    <row r="333" spans="1:11">
      <c r="A333">
        <v>2019</v>
      </c>
      <c r="B333" s="9" t="s">
        <v>791</v>
      </c>
      <c r="C333" s="10">
        <v>634926</v>
      </c>
      <c r="D333" s="10"/>
      <c r="E333" s="27">
        <v>2018</v>
      </c>
      <c r="F333" s="9" t="s">
        <v>791</v>
      </c>
      <c r="G333" s="10">
        <v>595363</v>
      </c>
      <c r="H333" s="7"/>
      <c r="I333" s="2"/>
      <c r="J333" s="7"/>
      <c r="K333" s="3"/>
    </row>
    <row r="334" spans="1:11">
      <c r="A334">
        <v>2019</v>
      </c>
      <c r="B334" s="9" t="s">
        <v>792</v>
      </c>
      <c r="C334" s="10">
        <v>572721</v>
      </c>
      <c r="D334" s="10"/>
      <c r="E334" s="27">
        <v>2018</v>
      </c>
      <c r="F334" s="9" t="s">
        <v>792</v>
      </c>
      <c r="G334" s="10">
        <v>590068</v>
      </c>
      <c r="H334" s="7"/>
      <c r="I334" s="2"/>
      <c r="J334" s="7"/>
      <c r="K334" s="3"/>
    </row>
    <row r="335" spans="1:11">
      <c r="A335">
        <v>2019</v>
      </c>
      <c r="B335" s="9" t="s">
        <v>139</v>
      </c>
      <c r="C335" s="10">
        <v>72782</v>
      </c>
      <c r="D335" s="10"/>
      <c r="E335" s="27">
        <v>2018</v>
      </c>
      <c r="F335" s="9" t="s">
        <v>139</v>
      </c>
      <c r="G335" s="10">
        <v>67807</v>
      </c>
      <c r="H335" s="7"/>
      <c r="I335" s="2"/>
      <c r="J335" s="7"/>
      <c r="K335" s="3"/>
    </row>
    <row r="336" spans="1:11">
      <c r="A336">
        <v>2019</v>
      </c>
      <c r="B336" s="9" t="s">
        <v>793</v>
      </c>
      <c r="C336" s="10">
        <v>4429192</v>
      </c>
      <c r="D336" s="10"/>
      <c r="E336" s="27">
        <v>2018</v>
      </c>
      <c r="F336" s="9" t="s">
        <v>793</v>
      </c>
      <c r="G336" s="10">
        <v>4252984</v>
      </c>
      <c r="H336" s="7"/>
      <c r="I336" s="2"/>
      <c r="J336" s="7"/>
      <c r="K336" s="3"/>
    </row>
    <row r="337" spans="1:11">
      <c r="A337">
        <v>2019</v>
      </c>
      <c r="B337" s="9" t="s">
        <v>140</v>
      </c>
      <c r="C337" s="10">
        <v>168446</v>
      </c>
      <c r="D337" s="10"/>
      <c r="E337" s="27">
        <v>2018</v>
      </c>
      <c r="F337" s="9" t="s">
        <v>140</v>
      </c>
      <c r="G337" s="10">
        <v>156389</v>
      </c>
      <c r="H337" s="7"/>
      <c r="I337" s="2"/>
      <c r="J337" s="7"/>
      <c r="K337" s="3"/>
    </row>
    <row r="338" spans="1:11">
      <c r="A338">
        <v>2019</v>
      </c>
      <c r="B338" s="9" t="s">
        <v>794</v>
      </c>
      <c r="C338" s="10">
        <v>4018169</v>
      </c>
      <c r="D338" s="10"/>
      <c r="E338" s="27">
        <v>2018</v>
      </c>
      <c r="F338" s="9" t="s">
        <v>794</v>
      </c>
      <c r="G338" s="10">
        <v>3881056</v>
      </c>
      <c r="H338" s="7"/>
      <c r="I338" s="2"/>
      <c r="J338" s="7"/>
      <c r="K338" s="3"/>
    </row>
    <row r="339" spans="1:11">
      <c r="A339">
        <v>2019</v>
      </c>
      <c r="B339" s="9" t="s">
        <v>481</v>
      </c>
      <c r="E339" s="27">
        <v>2018</v>
      </c>
      <c r="F339" s="9" t="s">
        <v>481</v>
      </c>
      <c r="H339" s="7"/>
      <c r="I339" s="2"/>
      <c r="J339" s="7"/>
      <c r="K339" s="1"/>
    </row>
    <row r="340" spans="1:11">
      <c r="A340">
        <v>2019</v>
      </c>
      <c r="B340" s="9" t="s">
        <v>795</v>
      </c>
      <c r="C340" s="10">
        <v>370650</v>
      </c>
      <c r="D340" s="10"/>
      <c r="E340" s="27">
        <v>2018</v>
      </c>
      <c r="F340" s="9" t="s">
        <v>795</v>
      </c>
      <c r="G340" s="10">
        <v>366132</v>
      </c>
      <c r="H340" s="7"/>
      <c r="I340" s="2"/>
      <c r="J340" s="7"/>
      <c r="K340" s="3"/>
    </row>
    <row r="341" spans="1:11">
      <c r="A341">
        <v>2019</v>
      </c>
      <c r="B341" s="9" t="s">
        <v>143</v>
      </c>
      <c r="C341" s="10">
        <v>622086</v>
      </c>
      <c r="D341" s="10"/>
      <c r="E341" s="27">
        <v>2018</v>
      </c>
      <c r="F341" s="9" t="s">
        <v>143</v>
      </c>
      <c r="G341" s="10">
        <v>602597</v>
      </c>
      <c r="H341" s="7"/>
      <c r="I341" s="2"/>
      <c r="J341" s="7"/>
      <c r="K341" s="3"/>
    </row>
    <row r="342" spans="1:11">
      <c r="A342">
        <v>2019</v>
      </c>
      <c r="B342" s="9" t="s">
        <v>796</v>
      </c>
      <c r="C342" s="10">
        <v>566415</v>
      </c>
      <c r="D342" s="10"/>
      <c r="E342" s="27">
        <v>2018</v>
      </c>
      <c r="F342" s="9" t="s">
        <v>796</v>
      </c>
      <c r="G342" s="10">
        <v>541028</v>
      </c>
      <c r="H342" s="7"/>
      <c r="I342" s="2"/>
      <c r="J342" s="7"/>
      <c r="K342" s="3"/>
    </row>
    <row r="343" spans="1:11">
      <c r="A343">
        <v>2019</v>
      </c>
      <c r="B343" s="9" t="s">
        <v>797</v>
      </c>
      <c r="C343" s="10">
        <v>1426418</v>
      </c>
      <c r="D343" s="10"/>
      <c r="E343" s="27">
        <v>2018</v>
      </c>
      <c r="F343" s="9" t="s">
        <v>797</v>
      </c>
      <c r="G343" s="10">
        <v>1386877</v>
      </c>
      <c r="H343" s="7"/>
      <c r="I343" s="2"/>
      <c r="J343" s="7"/>
      <c r="K343" s="3"/>
    </row>
    <row r="344" spans="1:11">
      <c r="A344">
        <v>2019</v>
      </c>
      <c r="B344" s="9" t="s">
        <v>482</v>
      </c>
      <c r="E344" s="27">
        <v>2018</v>
      </c>
      <c r="F344" s="9" t="s">
        <v>482</v>
      </c>
      <c r="G344" s="10">
        <v>1809</v>
      </c>
      <c r="H344" s="7"/>
      <c r="I344" s="2"/>
      <c r="J344" s="7"/>
      <c r="K344" s="3"/>
    </row>
    <row r="345" spans="1:11">
      <c r="A345">
        <v>2019</v>
      </c>
      <c r="B345" s="9" t="s">
        <v>798</v>
      </c>
      <c r="C345" s="10">
        <v>235409</v>
      </c>
      <c r="D345" s="10"/>
      <c r="E345" s="27">
        <v>2018</v>
      </c>
      <c r="F345" s="9" t="s">
        <v>798</v>
      </c>
      <c r="G345" s="10">
        <v>224334</v>
      </c>
      <c r="H345" s="7"/>
      <c r="I345" s="2"/>
      <c r="J345" s="7"/>
      <c r="K345" s="3"/>
    </row>
    <row r="346" spans="1:11">
      <c r="A346">
        <v>2019</v>
      </c>
      <c r="B346" s="9" t="s">
        <v>799</v>
      </c>
      <c r="C346" s="10">
        <v>185278</v>
      </c>
      <c r="D346" s="10"/>
      <c r="E346" s="27">
        <v>2018</v>
      </c>
      <c r="F346" s="9" t="s">
        <v>799</v>
      </c>
      <c r="G346" s="10">
        <v>119247</v>
      </c>
      <c r="H346" s="7"/>
      <c r="I346" s="2"/>
      <c r="J346" s="7"/>
      <c r="K346" s="3"/>
    </row>
    <row r="347" spans="1:11">
      <c r="A347">
        <v>2019</v>
      </c>
      <c r="B347" s="9" t="s">
        <v>800</v>
      </c>
      <c r="C347" s="10">
        <v>2486859</v>
      </c>
      <c r="D347" s="10"/>
      <c r="E347" s="27">
        <v>2018</v>
      </c>
      <c r="F347" s="9" t="s">
        <v>800</v>
      </c>
      <c r="G347" s="10">
        <v>2479438</v>
      </c>
      <c r="H347" s="7"/>
      <c r="I347" s="2"/>
      <c r="J347" s="7"/>
      <c r="K347" s="3"/>
    </row>
    <row r="348" spans="1:11">
      <c r="A348">
        <v>2019</v>
      </c>
      <c r="B348" s="9" t="s">
        <v>801</v>
      </c>
      <c r="C348" s="10">
        <v>3212756</v>
      </c>
      <c r="D348" s="10"/>
      <c r="E348" s="27">
        <v>2018</v>
      </c>
      <c r="F348" s="9" t="s">
        <v>801</v>
      </c>
      <c r="G348" s="10">
        <v>3160639</v>
      </c>
      <c r="H348" s="7"/>
      <c r="I348" s="2"/>
      <c r="J348" s="7"/>
      <c r="K348" s="3"/>
    </row>
    <row r="349" spans="1:11">
      <c r="A349">
        <v>2019</v>
      </c>
      <c r="B349" s="9" t="s">
        <v>802</v>
      </c>
      <c r="C349" s="10">
        <v>37603</v>
      </c>
      <c r="D349" s="10"/>
      <c r="E349" s="27">
        <v>2018</v>
      </c>
      <c r="F349" s="9" t="s">
        <v>802</v>
      </c>
      <c r="G349" s="10">
        <v>39088</v>
      </c>
      <c r="H349" s="7"/>
      <c r="I349" s="2"/>
      <c r="J349" s="7"/>
      <c r="K349" s="3"/>
    </row>
    <row r="350" spans="1:11">
      <c r="A350">
        <v>2019</v>
      </c>
      <c r="B350" s="9" t="s">
        <v>803</v>
      </c>
      <c r="C350" s="10">
        <v>70121</v>
      </c>
      <c r="D350" s="10"/>
      <c r="E350" s="27">
        <v>2018</v>
      </c>
      <c r="F350" s="9" t="s">
        <v>803</v>
      </c>
      <c r="G350" s="10">
        <v>74353</v>
      </c>
      <c r="H350" s="7"/>
      <c r="I350" s="2"/>
      <c r="J350" s="7"/>
      <c r="K350" s="3"/>
    </row>
    <row r="351" spans="1:11">
      <c r="A351">
        <v>2019</v>
      </c>
      <c r="B351" s="9" t="s">
        <v>804</v>
      </c>
      <c r="C351" s="10">
        <v>197361</v>
      </c>
      <c r="D351" s="10"/>
      <c r="E351" s="27">
        <v>2018</v>
      </c>
      <c r="F351" s="9" t="s">
        <v>804</v>
      </c>
      <c r="G351" s="10">
        <v>188176</v>
      </c>
      <c r="H351" s="8"/>
      <c r="I351" s="2"/>
      <c r="J351" s="8"/>
      <c r="K351" s="3"/>
    </row>
    <row r="352" spans="1:11">
      <c r="A352">
        <v>2019</v>
      </c>
      <c r="B352" s="9" t="s">
        <v>805</v>
      </c>
      <c r="C352" s="10">
        <v>43835</v>
      </c>
      <c r="D352" s="10"/>
      <c r="E352" s="27">
        <v>2018</v>
      </c>
      <c r="F352" s="9" t="s">
        <v>805</v>
      </c>
      <c r="G352" s="10">
        <v>45407</v>
      </c>
      <c r="H352" s="7"/>
      <c r="I352" s="2"/>
      <c r="J352" s="7"/>
      <c r="K352" s="1"/>
    </row>
    <row r="353" spans="1:11">
      <c r="A353">
        <v>2019</v>
      </c>
      <c r="B353" s="9" t="s">
        <v>806</v>
      </c>
      <c r="C353" s="10">
        <v>191043</v>
      </c>
      <c r="D353" s="10"/>
      <c r="E353" s="27">
        <v>2018</v>
      </c>
      <c r="F353" s="9" t="s">
        <v>806</v>
      </c>
      <c r="G353" s="10">
        <v>171048</v>
      </c>
      <c r="H353" s="7"/>
      <c r="I353" s="2"/>
      <c r="J353" s="7"/>
      <c r="K353" s="3"/>
    </row>
    <row r="354" spans="1:11">
      <c r="A354">
        <v>2019</v>
      </c>
      <c r="B354" s="9" t="s">
        <v>807</v>
      </c>
      <c r="C354" s="10">
        <v>586685</v>
      </c>
      <c r="D354" s="10"/>
      <c r="E354" s="27">
        <v>2018</v>
      </c>
      <c r="F354" s="9" t="s">
        <v>807</v>
      </c>
      <c r="G354" s="10">
        <v>611335</v>
      </c>
      <c r="H354" s="7"/>
      <c r="I354" s="2"/>
      <c r="J354" s="7"/>
      <c r="K354" s="3"/>
    </row>
    <row r="355" spans="1:11">
      <c r="A355">
        <v>2019</v>
      </c>
      <c r="B355" s="9" t="s">
        <v>808</v>
      </c>
      <c r="C355" s="10">
        <v>730739</v>
      </c>
      <c r="D355" s="10"/>
      <c r="E355" s="27">
        <v>2018</v>
      </c>
      <c r="F355" s="9" t="s">
        <v>808</v>
      </c>
      <c r="G355" s="10">
        <v>723769</v>
      </c>
      <c r="H355" s="7"/>
      <c r="I355" s="2"/>
      <c r="J355" s="7"/>
      <c r="K355" s="3"/>
    </row>
    <row r="356" spans="1:11">
      <c r="A356">
        <v>2019</v>
      </c>
      <c r="B356" s="9" t="s">
        <v>809</v>
      </c>
      <c r="C356" s="10">
        <v>26762</v>
      </c>
      <c r="D356" s="10"/>
      <c r="E356" s="27">
        <v>2018</v>
      </c>
      <c r="F356" s="9" t="s">
        <v>809</v>
      </c>
      <c r="G356" s="10">
        <v>27849</v>
      </c>
      <c r="H356" s="7"/>
      <c r="I356" s="2"/>
      <c r="J356" s="7"/>
      <c r="K356" s="3"/>
    </row>
    <row r="357" spans="1:11">
      <c r="A357">
        <v>2019</v>
      </c>
      <c r="B357" s="9" t="s">
        <v>810</v>
      </c>
      <c r="C357" s="10">
        <v>4267740</v>
      </c>
      <c r="D357" s="10"/>
      <c r="E357" s="27">
        <v>2018</v>
      </c>
      <c r="F357" s="9" t="s">
        <v>810</v>
      </c>
      <c r="G357" s="10">
        <v>4106124</v>
      </c>
      <c r="H357" s="7"/>
      <c r="I357" s="2"/>
      <c r="J357" s="7"/>
      <c r="K357" s="3"/>
    </row>
    <row r="358" spans="1:11">
      <c r="A358">
        <v>2019</v>
      </c>
      <c r="B358" s="9" t="s">
        <v>811</v>
      </c>
      <c r="C358" s="10">
        <v>38641</v>
      </c>
      <c r="D358" s="10"/>
      <c r="E358" s="27">
        <v>2018</v>
      </c>
      <c r="F358" s="9" t="s">
        <v>811</v>
      </c>
      <c r="G358" s="10">
        <v>39071</v>
      </c>
      <c r="H358" s="7"/>
      <c r="I358" s="2"/>
      <c r="J358" s="7"/>
      <c r="K358" s="3"/>
    </row>
    <row r="359" spans="1:11">
      <c r="A359">
        <v>2019</v>
      </c>
      <c r="B359" s="9" t="s">
        <v>812</v>
      </c>
      <c r="C359" s="10">
        <v>4495178</v>
      </c>
      <c r="D359" s="10"/>
      <c r="E359" s="27">
        <v>2018</v>
      </c>
      <c r="F359" s="9" t="s">
        <v>812</v>
      </c>
      <c r="G359" s="10">
        <v>4398198</v>
      </c>
      <c r="H359" s="7"/>
      <c r="I359" s="2"/>
      <c r="J359" s="7"/>
      <c r="K359" s="3"/>
    </row>
    <row r="360" spans="1:11">
      <c r="A360">
        <v>2019</v>
      </c>
      <c r="B360" s="9" t="s">
        <v>813</v>
      </c>
      <c r="C360" s="10">
        <v>5588</v>
      </c>
      <c r="D360" s="10"/>
      <c r="E360" s="27">
        <v>2018</v>
      </c>
      <c r="F360" s="9" t="s">
        <v>813</v>
      </c>
      <c r="G360" s="10">
        <v>5535</v>
      </c>
      <c r="H360" s="7"/>
      <c r="I360" s="2"/>
      <c r="J360" s="7"/>
      <c r="K360" s="3"/>
    </row>
    <row r="361" spans="1:11">
      <c r="A361">
        <v>2019</v>
      </c>
      <c r="B361" s="9" t="s">
        <v>814</v>
      </c>
      <c r="C361" s="10">
        <v>2220873</v>
      </c>
      <c r="D361" s="10"/>
      <c r="E361" s="27">
        <v>2018</v>
      </c>
      <c r="F361" s="9" t="s">
        <v>814</v>
      </c>
      <c r="G361" s="10">
        <v>2188899</v>
      </c>
      <c r="H361" s="7"/>
      <c r="I361" s="2"/>
      <c r="J361" s="7"/>
      <c r="K361" s="3"/>
    </row>
    <row r="362" spans="1:11">
      <c r="A362">
        <v>2019</v>
      </c>
      <c r="B362" s="9" t="s">
        <v>815</v>
      </c>
      <c r="C362" s="10">
        <v>187078</v>
      </c>
      <c r="D362" s="10"/>
      <c r="E362" s="27">
        <v>2018</v>
      </c>
      <c r="F362" s="9" t="s">
        <v>815</v>
      </c>
      <c r="G362" s="10">
        <v>180512</v>
      </c>
      <c r="H362" s="7"/>
      <c r="I362" s="2"/>
      <c r="J362" s="7"/>
      <c r="K362" s="3"/>
    </row>
    <row r="363" spans="1:11">
      <c r="A363">
        <v>2019</v>
      </c>
      <c r="B363" s="9" t="s">
        <v>156</v>
      </c>
      <c r="C363" s="10">
        <v>8057</v>
      </c>
      <c r="D363" s="10"/>
      <c r="E363" s="27">
        <v>2018</v>
      </c>
      <c r="F363" s="9" t="s">
        <v>156</v>
      </c>
      <c r="G363" s="10">
        <v>7643</v>
      </c>
      <c r="H363" s="7"/>
      <c r="I363" s="2"/>
      <c r="J363" s="7"/>
      <c r="K363" s="3"/>
    </row>
    <row r="364" spans="1:11">
      <c r="A364">
        <v>2019</v>
      </c>
      <c r="B364" s="9" t="s">
        <v>816</v>
      </c>
      <c r="C364" s="10">
        <v>208529</v>
      </c>
      <c r="D364" s="10"/>
      <c r="E364" s="27">
        <v>2018</v>
      </c>
      <c r="F364" s="9" t="s">
        <v>816</v>
      </c>
      <c r="G364" s="10">
        <v>199617</v>
      </c>
      <c r="H364" s="7"/>
      <c r="I364" s="2"/>
      <c r="J364" s="7"/>
      <c r="K364" s="3"/>
    </row>
    <row r="365" spans="1:11">
      <c r="A365">
        <v>2019</v>
      </c>
      <c r="B365" s="9" t="s">
        <v>157</v>
      </c>
      <c r="C365" s="10">
        <v>7448</v>
      </c>
      <c r="D365" s="10"/>
      <c r="E365" s="27">
        <v>2018</v>
      </c>
      <c r="F365" s="9" t="s">
        <v>157</v>
      </c>
      <c r="G365" s="10">
        <v>6488</v>
      </c>
      <c r="H365" s="7"/>
      <c r="I365" s="2"/>
      <c r="J365" s="7"/>
      <c r="K365" s="3"/>
    </row>
    <row r="366" spans="1:11">
      <c r="A366">
        <v>2019</v>
      </c>
      <c r="B366" s="9" t="s">
        <v>817</v>
      </c>
      <c r="C366" s="10">
        <v>48734</v>
      </c>
      <c r="D366" s="10"/>
      <c r="E366" s="27">
        <v>2018</v>
      </c>
      <c r="F366" s="9" t="s">
        <v>817</v>
      </c>
      <c r="G366" s="10">
        <v>36447</v>
      </c>
      <c r="H366" s="7"/>
      <c r="I366" s="2"/>
      <c r="J366" s="7"/>
      <c r="K366" s="3"/>
    </row>
    <row r="367" spans="1:11">
      <c r="A367">
        <v>2019</v>
      </c>
      <c r="B367" s="9" t="s">
        <v>818</v>
      </c>
      <c r="C367" s="10">
        <v>77412</v>
      </c>
      <c r="D367" s="10"/>
      <c r="E367" s="27">
        <v>2018</v>
      </c>
      <c r="F367" s="9" t="s">
        <v>818</v>
      </c>
      <c r="G367" s="10">
        <v>66765</v>
      </c>
      <c r="H367" s="7"/>
      <c r="I367" s="2"/>
      <c r="J367" s="7"/>
      <c r="K367" s="3"/>
    </row>
    <row r="368" spans="1:11">
      <c r="A368">
        <v>2019</v>
      </c>
      <c r="B368" s="9" t="s">
        <v>819</v>
      </c>
      <c r="C368" s="10">
        <v>1338046</v>
      </c>
      <c r="D368" s="10"/>
      <c r="E368" s="27">
        <v>2018</v>
      </c>
      <c r="F368" s="9" t="s">
        <v>819</v>
      </c>
      <c r="G368" s="10">
        <v>1343106</v>
      </c>
      <c r="H368" s="7"/>
      <c r="I368" s="2"/>
      <c r="J368" s="7"/>
      <c r="K368" s="3"/>
    </row>
    <row r="369" spans="1:11">
      <c r="A369">
        <v>2019</v>
      </c>
      <c r="B369" s="9" t="s">
        <v>820</v>
      </c>
      <c r="C369" s="10">
        <v>84818</v>
      </c>
      <c r="D369" s="10"/>
      <c r="E369" s="27">
        <v>2018</v>
      </c>
      <c r="F369" s="9" t="s">
        <v>820</v>
      </c>
      <c r="G369" s="10">
        <v>100021</v>
      </c>
      <c r="H369" s="7"/>
      <c r="I369" s="2"/>
      <c r="J369" s="7"/>
      <c r="K369" s="3"/>
    </row>
    <row r="370" spans="1:11">
      <c r="A370">
        <v>2019</v>
      </c>
      <c r="B370" s="9" t="s">
        <v>821</v>
      </c>
      <c r="C370" s="10">
        <v>69351</v>
      </c>
      <c r="D370" s="10"/>
      <c r="E370" s="27">
        <v>2018</v>
      </c>
      <c r="F370" s="9" t="s">
        <v>821</v>
      </c>
      <c r="G370" s="10">
        <v>59438</v>
      </c>
      <c r="H370" s="7"/>
      <c r="I370" s="2"/>
      <c r="J370" s="7"/>
      <c r="K370" s="3"/>
    </row>
    <row r="371" spans="1:11">
      <c r="A371">
        <v>2019</v>
      </c>
      <c r="B371" s="9" t="s">
        <v>822</v>
      </c>
      <c r="C371" s="10">
        <v>101809</v>
      </c>
      <c r="D371" s="10"/>
      <c r="E371" s="27">
        <v>2018</v>
      </c>
      <c r="F371" s="9" t="s">
        <v>822</v>
      </c>
      <c r="G371" s="10">
        <v>93607</v>
      </c>
      <c r="H371" s="7"/>
      <c r="I371" s="2"/>
      <c r="J371" s="7"/>
      <c r="K371" s="3"/>
    </row>
    <row r="372" spans="1:11">
      <c r="A372">
        <v>2019</v>
      </c>
      <c r="B372" s="9" t="s">
        <v>823</v>
      </c>
      <c r="C372" s="10">
        <v>3915069</v>
      </c>
      <c r="D372" s="10"/>
      <c r="E372" s="27">
        <v>2018</v>
      </c>
      <c r="F372" s="9" t="s">
        <v>823</v>
      </c>
      <c r="G372" s="10">
        <v>3970942</v>
      </c>
      <c r="H372" s="7"/>
      <c r="I372" s="2"/>
      <c r="J372" s="7"/>
      <c r="K372" s="3"/>
    </row>
    <row r="373" spans="1:11">
      <c r="A373">
        <v>2019</v>
      </c>
      <c r="B373" s="9" t="s">
        <v>824</v>
      </c>
      <c r="C373" s="10">
        <v>42643</v>
      </c>
      <c r="D373" s="10"/>
      <c r="E373" s="27">
        <v>2018</v>
      </c>
      <c r="F373" s="9" t="s">
        <v>824</v>
      </c>
      <c r="G373" s="10">
        <v>50153</v>
      </c>
      <c r="H373" s="7"/>
      <c r="I373" s="2"/>
      <c r="J373" s="7"/>
      <c r="K373" s="3"/>
    </row>
    <row r="374" spans="1:11">
      <c r="A374">
        <v>2019</v>
      </c>
      <c r="B374" s="9" t="s">
        <v>825</v>
      </c>
      <c r="C374" s="10">
        <v>80331</v>
      </c>
      <c r="D374" s="10"/>
      <c r="E374" s="27">
        <v>2018</v>
      </c>
      <c r="F374" s="9" t="s">
        <v>825</v>
      </c>
      <c r="G374" s="10">
        <v>72678</v>
      </c>
      <c r="H374" s="7"/>
      <c r="I374" s="2"/>
      <c r="J374" s="7"/>
      <c r="K374" s="3"/>
    </row>
    <row r="375" spans="1:11">
      <c r="A375">
        <v>2019</v>
      </c>
      <c r="B375" s="9" t="s">
        <v>826</v>
      </c>
      <c r="C375" s="10">
        <v>189974</v>
      </c>
      <c r="D375" s="10"/>
      <c r="E375" s="27">
        <v>2018</v>
      </c>
      <c r="F375" s="9" t="s">
        <v>826</v>
      </c>
      <c r="G375" s="10">
        <v>163756</v>
      </c>
      <c r="H375" s="7"/>
      <c r="I375" s="2"/>
      <c r="J375" s="7"/>
      <c r="K375" s="3"/>
    </row>
    <row r="376" spans="1:11">
      <c r="A376">
        <v>2019</v>
      </c>
      <c r="B376" s="9" t="s">
        <v>827</v>
      </c>
      <c r="C376" s="9" t="s">
        <v>120</v>
      </c>
      <c r="E376" s="27">
        <v>2018</v>
      </c>
      <c r="F376" s="9" t="s">
        <v>827</v>
      </c>
      <c r="G376" s="10">
        <v>75023</v>
      </c>
      <c r="H376" s="7"/>
      <c r="I376" s="2"/>
      <c r="J376" s="7"/>
      <c r="K376" s="3"/>
    </row>
    <row r="377" spans="1:11">
      <c r="A377">
        <v>2019</v>
      </c>
      <c r="B377" s="9" t="s">
        <v>828</v>
      </c>
      <c r="C377" s="10">
        <v>135362</v>
      </c>
      <c r="D377" s="10"/>
      <c r="E377" s="27">
        <v>2018</v>
      </c>
      <c r="F377" s="9" t="s">
        <v>828</v>
      </c>
      <c r="G377" s="10">
        <v>137164</v>
      </c>
      <c r="H377" s="7"/>
      <c r="I377" s="2"/>
      <c r="J377" s="7"/>
      <c r="K377" s="3"/>
    </row>
    <row r="378" spans="1:11">
      <c r="A378">
        <v>2019</v>
      </c>
      <c r="B378" s="9" t="s">
        <v>829</v>
      </c>
      <c r="C378" s="10">
        <v>53501</v>
      </c>
      <c r="D378" s="10"/>
      <c r="E378" s="27">
        <v>2018</v>
      </c>
      <c r="F378" s="9" t="s">
        <v>829</v>
      </c>
      <c r="G378" s="10">
        <v>50985</v>
      </c>
      <c r="H378" s="7"/>
      <c r="I378" s="2"/>
      <c r="J378" s="7"/>
      <c r="K378" s="3"/>
    </row>
    <row r="379" spans="1:11">
      <c r="A379">
        <v>2019</v>
      </c>
      <c r="B379" s="9" t="s">
        <v>830</v>
      </c>
      <c r="C379" s="10">
        <v>99383</v>
      </c>
      <c r="D379" s="10"/>
      <c r="E379" s="27">
        <v>2018</v>
      </c>
      <c r="F379" s="9" t="s">
        <v>830</v>
      </c>
      <c r="G379" s="10">
        <v>95169</v>
      </c>
      <c r="H379" s="7"/>
      <c r="I379" s="2"/>
      <c r="J379" s="7"/>
      <c r="K379" s="3"/>
    </row>
    <row r="380" spans="1:11">
      <c r="A380">
        <v>2019</v>
      </c>
      <c r="B380" s="9" t="s">
        <v>831</v>
      </c>
      <c r="C380" s="10">
        <v>173157</v>
      </c>
      <c r="D380" s="10"/>
      <c r="E380" s="27">
        <v>2018</v>
      </c>
      <c r="F380" s="9" t="s">
        <v>831</v>
      </c>
      <c r="G380" s="10">
        <v>179622</v>
      </c>
      <c r="H380" s="7"/>
      <c r="I380" s="2"/>
      <c r="J380" s="7"/>
      <c r="K380" s="3"/>
    </row>
    <row r="381" spans="1:11">
      <c r="A381">
        <v>2019</v>
      </c>
      <c r="B381" s="9" t="s">
        <v>832</v>
      </c>
      <c r="C381" s="10">
        <v>176164</v>
      </c>
      <c r="D381" s="10"/>
      <c r="E381" s="27">
        <v>2018</v>
      </c>
      <c r="F381" s="9" t="s">
        <v>832</v>
      </c>
      <c r="G381" s="10">
        <v>158957</v>
      </c>
      <c r="H381" s="7"/>
      <c r="I381" s="2"/>
      <c r="J381" s="7"/>
      <c r="K381" s="3"/>
    </row>
    <row r="382" spans="1:11">
      <c r="A382">
        <v>2019</v>
      </c>
      <c r="B382" s="9" t="s">
        <v>833</v>
      </c>
      <c r="E382" s="27">
        <v>2018</v>
      </c>
      <c r="F382" s="9" t="s">
        <v>833</v>
      </c>
      <c r="H382" s="7"/>
      <c r="I382" s="2"/>
      <c r="J382" s="7"/>
      <c r="K382" s="1"/>
    </row>
    <row r="383" spans="1:11">
      <c r="A383">
        <v>2019</v>
      </c>
      <c r="B383" s="9" t="s">
        <v>834</v>
      </c>
      <c r="C383" s="10">
        <v>240470</v>
      </c>
      <c r="D383" s="10"/>
      <c r="E383" s="27">
        <v>2018</v>
      </c>
      <c r="F383" s="9" t="s">
        <v>834</v>
      </c>
      <c r="G383" s="10">
        <v>228304</v>
      </c>
      <c r="H383" s="7"/>
      <c r="I383" s="2"/>
      <c r="J383" s="7"/>
      <c r="K383" s="3"/>
    </row>
    <row r="384" spans="1:11">
      <c r="A384">
        <v>2019</v>
      </c>
      <c r="B384" s="9" t="s">
        <v>835</v>
      </c>
      <c r="C384" s="10">
        <v>75603</v>
      </c>
      <c r="D384" s="10"/>
      <c r="E384" s="27">
        <v>2018</v>
      </c>
      <c r="F384" s="9" t="s">
        <v>835</v>
      </c>
      <c r="G384" s="10">
        <v>65006</v>
      </c>
      <c r="H384" s="7"/>
      <c r="I384" s="2"/>
      <c r="J384" s="7"/>
      <c r="K384" s="3"/>
    </row>
    <row r="385" spans="1:11">
      <c r="A385">
        <v>2019</v>
      </c>
      <c r="B385" s="9" t="s">
        <v>836</v>
      </c>
      <c r="C385" s="10">
        <v>89313</v>
      </c>
      <c r="D385" s="10"/>
      <c r="E385" s="27">
        <v>2018</v>
      </c>
      <c r="F385" s="9" t="s">
        <v>836</v>
      </c>
      <c r="G385" s="10">
        <v>82271</v>
      </c>
      <c r="H385" s="7"/>
      <c r="I385" s="2"/>
      <c r="J385" s="7"/>
      <c r="K385" s="3"/>
    </row>
    <row r="386" spans="1:11">
      <c r="A386">
        <v>2019</v>
      </c>
      <c r="B386" s="9" t="s">
        <v>837</v>
      </c>
      <c r="C386" s="10">
        <v>132358</v>
      </c>
      <c r="D386" s="10"/>
      <c r="E386" s="27">
        <v>2018</v>
      </c>
      <c r="F386" s="9" t="s">
        <v>837</v>
      </c>
      <c r="G386" s="10">
        <v>139596</v>
      </c>
      <c r="H386" s="7"/>
      <c r="I386" s="2"/>
      <c r="J386" s="7"/>
      <c r="K386" s="3"/>
    </row>
    <row r="387" spans="1:11">
      <c r="A387">
        <v>2019</v>
      </c>
      <c r="B387" s="9" t="s">
        <v>838</v>
      </c>
      <c r="C387" s="10">
        <v>109334</v>
      </c>
      <c r="D387" s="10"/>
      <c r="E387" s="27">
        <v>2018</v>
      </c>
      <c r="F387" s="9" t="s">
        <v>838</v>
      </c>
      <c r="G387" s="10">
        <v>91095</v>
      </c>
      <c r="H387" s="7"/>
      <c r="I387" s="2"/>
      <c r="J387" s="7"/>
      <c r="K387" s="3"/>
    </row>
    <row r="388" spans="1:11">
      <c r="A388">
        <v>2019</v>
      </c>
      <c r="B388" s="9" t="s">
        <v>839</v>
      </c>
      <c r="C388" s="10">
        <v>11574991</v>
      </c>
      <c r="D388" s="10"/>
      <c r="E388" s="27">
        <v>2018</v>
      </c>
      <c r="F388" s="9" t="s">
        <v>839</v>
      </c>
      <c r="G388" s="10">
        <v>11451846</v>
      </c>
      <c r="H388" s="7"/>
      <c r="I388" s="2"/>
      <c r="J388" s="7"/>
      <c r="K388" s="3"/>
    </row>
    <row r="389" spans="1:11">
      <c r="A389">
        <v>2019</v>
      </c>
      <c r="B389" s="9" t="s">
        <v>840</v>
      </c>
      <c r="E389" s="27">
        <v>2018</v>
      </c>
      <c r="F389" s="9" t="s">
        <v>840</v>
      </c>
      <c r="H389" s="7"/>
      <c r="I389" s="2"/>
      <c r="J389" s="7"/>
      <c r="K389" s="1"/>
    </row>
    <row r="390" spans="1:11">
      <c r="A390">
        <v>2019</v>
      </c>
      <c r="B390" s="9" t="s">
        <v>841</v>
      </c>
      <c r="C390" s="10">
        <v>169323</v>
      </c>
      <c r="D390" s="10"/>
      <c r="E390" s="27">
        <v>2018</v>
      </c>
      <c r="F390" s="9" t="s">
        <v>841</v>
      </c>
      <c r="G390" s="10">
        <v>178227</v>
      </c>
      <c r="H390" s="7"/>
      <c r="I390" s="2"/>
      <c r="J390" s="7"/>
      <c r="K390" s="3"/>
    </row>
    <row r="391" spans="1:11">
      <c r="A391">
        <v>2019</v>
      </c>
      <c r="B391" s="9" t="s">
        <v>842</v>
      </c>
      <c r="C391" s="10">
        <v>70622</v>
      </c>
      <c r="D391" s="10"/>
      <c r="E391" s="27">
        <v>2018</v>
      </c>
      <c r="F391" s="9" t="s">
        <v>842</v>
      </c>
      <c r="G391" s="10">
        <v>63200</v>
      </c>
      <c r="H391" s="7"/>
      <c r="I391" s="2"/>
      <c r="J391" s="7"/>
      <c r="K391" s="3"/>
    </row>
    <row r="392" spans="1:11">
      <c r="A392">
        <v>2019</v>
      </c>
      <c r="B392" s="9" t="s">
        <v>843</v>
      </c>
      <c r="C392" s="10">
        <v>132820</v>
      </c>
      <c r="D392" s="10"/>
      <c r="E392" s="27">
        <v>2018</v>
      </c>
      <c r="F392" s="9" t="s">
        <v>843</v>
      </c>
      <c r="G392" s="10">
        <v>114334</v>
      </c>
      <c r="H392" s="7"/>
      <c r="I392" s="2"/>
      <c r="J392" s="7"/>
      <c r="K392" s="3"/>
    </row>
    <row r="393" spans="1:11">
      <c r="A393">
        <v>2019</v>
      </c>
      <c r="B393" s="9" t="s">
        <v>844</v>
      </c>
      <c r="C393" s="10">
        <v>99034</v>
      </c>
      <c r="D393" s="10"/>
      <c r="E393" s="27">
        <v>2018</v>
      </c>
      <c r="F393" s="9" t="s">
        <v>844</v>
      </c>
      <c r="G393" s="10">
        <v>117607</v>
      </c>
      <c r="H393" s="7"/>
      <c r="I393" s="2"/>
      <c r="J393" s="7"/>
      <c r="K393" s="3"/>
    </row>
    <row r="394" spans="1:11">
      <c r="A394">
        <v>2019</v>
      </c>
      <c r="B394" s="9" t="s">
        <v>845</v>
      </c>
      <c r="C394" s="10">
        <v>352411</v>
      </c>
      <c r="D394" s="10"/>
      <c r="E394" s="27">
        <v>2018</v>
      </c>
      <c r="F394" s="9" t="s">
        <v>845</v>
      </c>
      <c r="G394" s="10">
        <v>343809</v>
      </c>
      <c r="H394" s="7"/>
      <c r="I394" s="2"/>
      <c r="J394" s="7"/>
      <c r="K394" s="3"/>
    </row>
    <row r="395" spans="1:11">
      <c r="A395">
        <v>2019</v>
      </c>
      <c r="B395" s="9" t="s">
        <v>846</v>
      </c>
      <c r="C395" s="10">
        <v>4645400</v>
      </c>
      <c r="D395" s="10"/>
      <c r="E395" s="27">
        <v>2018</v>
      </c>
      <c r="F395" s="9" t="s">
        <v>846</v>
      </c>
      <c r="G395" s="10">
        <v>4563055</v>
      </c>
      <c r="H395" s="7"/>
      <c r="I395" s="2"/>
      <c r="J395" s="7"/>
      <c r="K395" s="3"/>
    </row>
    <row r="396" spans="1:11">
      <c r="A396">
        <v>2019</v>
      </c>
      <c r="B396" s="9" t="s">
        <v>847</v>
      </c>
      <c r="C396" s="10">
        <v>135862</v>
      </c>
      <c r="D396" s="10"/>
      <c r="E396" s="27">
        <v>2018</v>
      </c>
      <c r="F396" s="9" t="s">
        <v>847</v>
      </c>
      <c r="G396" s="10">
        <v>121917</v>
      </c>
      <c r="H396" s="7"/>
      <c r="I396" s="2"/>
      <c r="J396" s="7"/>
      <c r="K396" s="3"/>
    </row>
    <row r="397" spans="1:11">
      <c r="A397">
        <v>2019</v>
      </c>
      <c r="B397" s="9" t="s">
        <v>848</v>
      </c>
      <c r="C397" s="10">
        <v>92355</v>
      </c>
      <c r="D397" s="10"/>
      <c r="E397" s="27">
        <v>2018</v>
      </c>
      <c r="F397" s="9" t="s">
        <v>848</v>
      </c>
      <c r="G397" s="10">
        <v>97684</v>
      </c>
      <c r="H397" s="7"/>
      <c r="I397" s="2"/>
      <c r="J397" s="7"/>
      <c r="K397" s="3"/>
    </row>
    <row r="398" spans="1:11">
      <c r="A398">
        <v>2019</v>
      </c>
      <c r="B398" s="9" t="s">
        <v>849</v>
      </c>
      <c r="C398" s="10">
        <v>35941</v>
      </c>
      <c r="D398" s="10"/>
      <c r="E398" s="27">
        <v>2018</v>
      </c>
      <c r="F398" s="9" t="s">
        <v>849</v>
      </c>
      <c r="G398" s="10">
        <v>35387</v>
      </c>
      <c r="H398" s="7"/>
      <c r="I398" s="2"/>
      <c r="J398" s="7"/>
      <c r="K398" s="3"/>
    </row>
    <row r="399" spans="1:11">
      <c r="A399">
        <v>2019</v>
      </c>
      <c r="B399" s="9" t="s">
        <v>850</v>
      </c>
      <c r="E399" s="27">
        <v>2018</v>
      </c>
      <c r="F399" s="9" t="s">
        <v>850</v>
      </c>
      <c r="H399" s="7"/>
      <c r="I399" s="2"/>
      <c r="J399" s="7"/>
      <c r="K399" s="1"/>
    </row>
    <row r="400" spans="1:11">
      <c r="A400">
        <v>2019</v>
      </c>
      <c r="B400" s="9" t="s">
        <v>851</v>
      </c>
      <c r="E400" s="27">
        <v>2018</v>
      </c>
      <c r="F400" s="9" t="s">
        <v>851</v>
      </c>
      <c r="H400" s="7"/>
      <c r="I400" s="2"/>
      <c r="J400" s="7"/>
      <c r="K400" s="1"/>
    </row>
    <row r="401" spans="1:11">
      <c r="A401">
        <v>2019</v>
      </c>
      <c r="B401" s="9" t="s">
        <v>852</v>
      </c>
      <c r="C401" s="10">
        <v>59540</v>
      </c>
      <c r="D401" s="10"/>
      <c r="E401" s="27">
        <v>2018</v>
      </c>
      <c r="F401" s="9" t="s">
        <v>852</v>
      </c>
      <c r="G401" s="10">
        <v>60478</v>
      </c>
      <c r="H401" s="8"/>
      <c r="I401" s="2"/>
      <c r="J401" s="8"/>
      <c r="K401" s="3"/>
    </row>
    <row r="402" spans="1:11">
      <c r="A402">
        <v>2019</v>
      </c>
      <c r="B402" s="9" t="s">
        <v>853</v>
      </c>
      <c r="C402" s="10">
        <v>97892</v>
      </c>
      <c r="D402" s="10"/>
      <c r="E402" s="27">
        <v>2018</v>
      </c>
      <c r="F402" s="9" t="s">
        <v>853</v>
      </c>
      <c r="G402" s="10">
        <v>90867</v>
      </c>
      <c r="H402" s="7"/>
      <c r="I402" s="2"/>
      <c r="J402" s="7"/>
      <c r="K402" s="1"/>
    </row>
    <row r="403" spans="1:11">
      <c r="A403">
        <v>2019</v>
      </c>
      <c r="B403" s="9" t="s">
        <v>854</v>
      </c>
      <c r="E403" s="27">
        <v>2018</v>
      </c>
      <c r="F403" s="9" t="s">
        <v>854</v>
      </c>
      <c r="H403" s="7"/>
      <c r="I403" s="2"/>
      <c r="J403" s="7"/>
      <c r="K403" s="1"/>
    </row>
    <row r="404" spans="1:11">
      <c r="A404">
        <v>2019</v>
      </c>
      <c r="B404" s="9" t="s">
        <v>855</v>
      </c>
      <c r="C404" s="10">
        <v>1318706</v>
      </c>
      <c r="D404" s="10"/>
      <c r="E404" s="27">
        <v>2018</v>
      </c>
      <c r="F404" s="9" t="s">
        <v>855</v>
      </c>
      <c r="G404" s="10">
        <v>1294305</v>
      </c>
      <c r="H404" s="7"/>
      <c r="I404" s="2"/>
      <c r="J404" s="7"/>
      <c r="K404" s="3"/>
    </row>
    <row r="405" spans="1:11">
      <c r="A405">
        <v>2019</v>
      </c>
      <c r="B405" s="9" t="s">
        <v>856</v>
      </c>
      <c r="C405" s="10">
        <v>956617</v>
      </c>
      <c r="D405" s="10"/>
      <c r="E405" s="27">
        <v>2018</v>
      </c>
      <c r="F405" s="9" t="s">
        <v>856</v>
      </c>
      <c r="G405" s="10">
        <v>935307</v>
      </c>
      <c r="H405" s="7"/>
      <c r="I405" s="2"/>
      <c r="J405" s="7"/>
      <c r="K405" s="3"/>
    </row>
    <row r="406" spans="1:11">
      <c r="A406">
        <v>2019</v>
      </c>
      <c r="B406" s="9" t="s">
        <v>857</v>
      </c>
      <c r="C406" s="10">
        <v>98117</v>
      </c>
      <c r="D406" s="10"/>
      <c r="E406" s="27">
        <v>2018</v>
      </c>
      <c r="F406" s="9" t="s">
        <v>857</v>
      </c>
      <c r="G406" s="10">
        <v>94776</v>
      </c>
      <c r="H406" s="7"/>
      <c r="I406" s="2"/>
      <c r="J406" s="7"/>
      <c r="K406" s="3"/>
    </row>
    <row r="407" spans="1:11">
      <c r="A407">
        <v>2019</v>
      </c>
      <c r="B407" s="9" t="s">
        <v>858</v>
      </c>
      <c r="C407" s="10">
        <v>1558858</v>
      </c>
      <c r="D407" s="10"/>
      <c r="E407" s="27">
        <v>2018</v>
      </c>
      <c r="F407" s="9" t="s">
        <v>858</v>
      </c>
      <c r="G407" s="10">
        <v>1530989</v>
      </c>
      <c r="H407" s="7"/>
      <c r="I407" s="2"/>
      <c r="J407" s="7"/>
      <c r="K407" s="3"/>
    </row>
    <row r="408" spans="1:11">
      <c r="A408">
        <v>2019</v>
      </c>
      <c r="B408" s="9" t="s">
        <v>859</v>
      </c>
      <c r="C408" s="10">
        <v>17328</v>
      </c>
      <c r="D408" s="10"/>
      <c r="E408" s="27">
        <v>2018</v>
      </c>
      <c r="F408" s="9" t="s">
        <v>859</v>
      </c>
      <c r="G408" s="10">
        <v>11728</v>
      </c>
      <c r="H408" s="7"/>
      <c r="I408" s="2"/>
      <c r="J408" s="7"/>
      <c r="K408" s="3"/>
    </row>
    <row r="409" spans="1:11">
      <c r="A409">
        <v>2019</v>
      </c>
      <c r="B409" s="9" t="s">
        <v>860</v>
      </c>
      <c r="C409" s="10">
        <v>1064383</v>
      </c>
      <c r="D409" s="10"/>
      <c r="E409" s="27">
        <v>2018</v>
      </c>
      <c r="F409" s="9" t="s">
        <v>860</v>
      </c>
      <c r="G409" s="10">
        <v>1024659</v>
      </c>
      <c r="H409" s="7"/>
      <c r="I409" s="2"/>
      <c r="J409" s="7"/>
      <c r="K409" s="3"/>
    </row>
    <row r="410" spans="1:11">
      <c r="A410">
        <v>2019</v>
      </c>
      <c r="B410" s="9" t="s">
        <v>188</v>
      </c>
      <c r="C410" s="10">
        <v>54098</v>
      </c>
      <c r="D410" s="10"/>
      <c r="E410" s="27">
        <v>2018</v>
      </c>
      <c r="F410" s="9" t="s">
        <v>188</v>
      </c>
      <c r="G410" s="10">
        <v>52670</v>
      </c>
      <c r="H410" s="7"/>
      <c r="I410" s="2"/>
      <c r="J410" s="7"/>
      <c r="K410" s="3"/>
    </row>
    <row r="411" spans="1:11">
      <c r="A411">
        <v>2019</v>
      </c>
      <c r="B411" s="9" t="s">
        <v>861</v>
      </c>
      <c r="C411" s="10">
        <v>1601632</v>
      </c>
      <c r="D411" s="10"/>
      <c r="E411" s="27">
        <v>2018</v>
      </c>
      <c r="F411" s="9" t="s">
        <v>861</v>
      </c>
      <c r="G411" s="10">
        <v>1618372</v>
      </c>
      <c r="H411" s="7"/>
      <c r="I411" s="2"/>
      <c r="J411" s="7"/>
      <c r="K411" s="3"/>
    </row>
    <row r="412" spans="1:11">
      <c r="A412">
        <v>2019</v>
      </c>
      <c r="B412" s="9" t="s">
        <v>862</v>
      </c>
      <c r="C412" s="10">
        <v>1229286</v>
      </c>
      <c r="D412" s="10"/>
      <c r="E412" s="27">
        <v>2018</v>
      </c>
      <c r="F412" s="9" t="s">
        <v>862</v>
      </c>
      <c r="G412" s="10">
        <v>1225197</v>
      </c>
      <c r="H412" s="7"/>
      <c r="I412" s="2"/>
      <c r="J412" s="7"/>
      <c r="K412" s="3"/>
    </row>
    <row r="413" spans="1:11">
      <c r="A413">
        <v>2019</v>
      </c>
      <c r="B413" s="9" t="s">
        <v>863</v>
      </c>
      <c r="C413" s="10">
        <v>19113</v>
      </c>
      <c r="D413" s="10"/>
      <c r="E413" s="27">
        <v>2018</v>
      </c>
      <c r="F413" s="9" t="s">
        <v>863</v>
      </c>
      <c r="G413" s="10">
        <v>24883</v>
      </c>
      <c r="H413" s="7"/>
      <c r="I413" s="2"/>
      <c r="J413" s="7"/>
      <c r="K413" s="3"/>
    </row>
    <row r="414" spans="1:11">
      <c r="A414">
        <v>2019</v>
      </c>
      <c r="B414" s="9" t="s">
        <v>864</v>
      </c>
      <c r="C414" s="10">
        <v>111148</v>
      </c>
      <c r="D414" s="10"/>
      <c r="E414" s="27">
        <v>2018</v>
      </c>
      <c r="F414" s="9" t="s">
        <v>864</v>
      </c>
      <c r="G414" s="10">
        <v>104481</v>
      </c>
      <c r="H414" s="7"/>
      <c r="I414" s="2"/>
      <c r="J414" s="7"/>
      <c r="K414" s="3"/>
    </row>
    <row r="415" spans="1:11">
      <c r="A415">
        <v>2019</v>
      </c>
      <c r="B415" s="9" t="s">
        <v>865</v>
      </c>
      <c r="C415" s="10">
        <v>58203</v>
      </c>
      <c r="D415" s="10"/>
      <c r="E415" s="27">
        <v>2018</v>
      </c>
      <c r="F415" s="9" t="s">
        <v>865</v>
      </c>
      <c r="G415" s="10">
        <v>53902</v>
      </c>
      <c r="H415" s="7"/>
      <c r="I415" s="2"/>
      <c r="J415" s="7"/>
      <c r="K415" s="3"/>
    </row>
    <row r="416" spans="1:11">
      <c r="A416">
        <v>2019</v>
      </c>
      <c r="B416" s="9" t="s">
        <v>866</v>
      </c>
      <c r="C416" s="10">
        <v>43730</v>
      </c>
      <c r="D416" s="10"/>
      <c r="E416" s="27">
        <v>2018</v>
      </c>
      <c r="F416" s="9" t="s">
        <v>866</v>
      </c>
      <c r="G416" s="10">
        <v>45657</v>
      </c>
      <c r="H416" s="7"/>
      <c r="I416" s="2"/>
      <c r="J416" s="7"/>
      <c r="K416" s="3"/>
    </row>
    <row r="417" spans="1:11">
      <c r="A417">
        <v>2019</v>
      </c>
      <c r="B417" s="9" t="s">
        <v>867</v>
      </c>
      <c r="C417" s="10">
        <v>3820</v>
      </c>
      <c r="D417" s="10"/>
      <c r="E417" s="27">
        <v>2018</v>
      </c>
      <c r="F417" s="9" t="s">
        <v>867</v>
      </c>
      <c r="G417" s="10">
        <v>3691</v>
      </c>
      <c r="H417" s="7"/>
      <c r="I417" s="2"/>
      <c r="J417" s="7"/>
      <c r="K417" s="3"/>
    </row>
    <row r="418" spans="1:11">
      <c r="A418">
        <v>2019</v>
      </c>
      <c r="B418" s="9" t="s">
        <v>868</v>
      </c>
      <c r="C418" s="10">
        <v>30826</v>
      </c>
      <c r="D418" s="10"/>
      <c r="E418" s="27">
        <v>2018</v>
      </c>
      <c r="F418" s="9" t="s">
        <v>868</v>
      </c>
      <c r="G418" s="10">
        <v>29600</v>
      </c>
      <c r="H418" s="7"/>
      <c r="I418" s="2"/>
      <c r="J418" s="7"/>
      <c r="K418" s="3"/>
    </row>
    <row r="419" spans="1:11">
      <c r="A419">
        <v>2019</v>
      </c>
      <c r="B419" s="9" t="s">
        <v>869</v>
      </c>
      <c r="C419" s="10">
        <v>81792705</v>
      </c>
      <c r="D419" s="10"/>
      <c r="E419" s="27">
        <v>2018</v>
      </c>
      <c r="F419" s="9" t="s">
        <v>869</v>
      </c>
      <c r="G419" s="10">
        <v>77854588</v>
      </c>
      <c r="H419" s="7"/>
      <c r="I419" s="2"/>
      <c r="J419" s="7"/>
      <c r="K419" s="3"/>
    </row>
    <row r="420" spans="1:11">
      <c r="A420">
        <v>2019</v>
      </c>
      <c r="B420" s="9" t="s">
        <v>870</v>
      </c>
      <c r="C420" s="10">
        <v>4011</v>
      </c>
      <c r="D420" s="10"/>
      <c r="E420" s="27">
        <v>2018</v>
      </c>
      <c r="F420" s="9" t="s">
        <v>870</v>
      </c>
      <c r="G420" s="10">
        <v>3849</v>
      </c>
      <c r="H420" s="7"/>
      <c r="I420" s="2"/>
      <c r="J420" s="7"/>
      <c r="K420" s="3"/>
    </row>
    <row r="421" spans="1:11">
      <c r="A421">
        <v>2019</v>
      </c>
      <c r="B421" s="9" t="s">
        <v>871</v>
      </c>
      <c r="C421" s="10">
        <v>70164</v>
      </c>
      <c r="D421" s="10"/>
      <c r="E421" s="27">
        <v>2018</v>
      </c>
      <c r="F421" s="9" t="s">
        <v>871</v>
      </c>
      <c r="G421" s="10">
        <v>67261</v>
      </c>
      <c r="H421" s="7"/>
      <c r="I421" s="2"/>
      <c r="J421" s="7"/>
      <c r="K421" s="3"/>
    </row>
    <row r="422" spans="1:11">
      <c r="A422">
        <v>2019</v>
      </c>
      <c r="B422" s="9" t="s">
        <v>872</v>
      </c>
      <c r="C422" s="10">
        <v>51675</v>
      </c>
      <c r="D422" s="10"/>
      <c r="E422" s="27">
        <v>2018</v>
      </c>
      <c r="F422" s="9" t="s">
        <v>872</v>
      </c>
      <c r="G422" s="10">
        <v>49185</v>
      </c>
      <c r="H422" s="7"/>
      <c r="I422" s="2"/>
      <c r="J422" s="7"/>
      <c r="K422" s="3"/>
    </row>
    <row r="423" spans="1:11">
      <c r="A423">
        <v>2019</v>
      </c>
      <c r="B423" s="9" t="s">
        <v>873</v>
      </c>
      <c r="C423" s="10">
        <v>100305</v>
      </c>
      <c r="D423" s="10"/>
      <c r="E423" s="27">
        <v>2018</v>
      </c>
      <c r="F423" s="9" t="s">
        <v>873</v>
      </c>
      <c r="G423" s="10">
        <v>87864</v>
      </c>
      <c r="H423" s="7"/>
      <c r="I423" s="2"/>
      <c r="J423" s="7"/>
      <c r="K423" s="3"/>
    </row>
    <row r="424" spans="1:11">
      <c r="A424">
        <v>2019</v>
      </c>
      <c r="B424" s="9" t="s">
        <v>874</v>
      </c>
      <c r="C424" s="10">
        <v>3575863</v>
      </c>
      <c r="D424" s="10"/>
      <c r="E424" s="27">
        <v>2018</v>
      </c>
      <c r="F424" s="9" t="s">
        <v>874</v>
      </c>
      <c r="G424" s="10">
        <v>3422341</v>
      </c>
      <c r="H424" s="7"/>
      <c r="I424" s="2"/>
      <c r="J424" s="7"/>
      <c r="K424" s="3"/>
    </row>
    <row r="425" spans="1:11">
      <c r="A425">
        <v>2019</v>
      </c>
      <c r="B425" s="9" t="s">
        <v>875</v>
      </c>
      <c r="C425" s="10">
        <v>438754</v>
      </c>
      <c r="D425" s="10"/>
      <c r="E425" s="27">
        <v>2018</v>
      </c>
      <c r="F425" s="9" t="s">
        <v>875</v>
      </c>
      <c r="G425" s="10">
        <v>444291</v>
      </c>
      <c r="H425" s="7"/>
      <c r="I425" s="2"/>
      <c r="J425" s="7"/>
      <c r="K425" s="3"/>
    </row>
    <row r="426" spans="1:11">
      <c r="A426">
        <v>2019</v>
      </c>
      <c r="B426" s="9" t="s">
        <v>876</v>
      </c>
      <c r="C426" s="10">
        <v>9042</v>
      </c>
      <c r="D426" s="10"/>
      <c r="E426" s="27">
        <v>2018</v>
      </c>
      <c r="F426" s="9" t="s">
        <v>876</v>
      </c>
      <c r="G426" s="10">
        <v>8847</v>
      </c>
      <c r="H426" s="7"/>
      <c r="I426" s="2"/>
      <c r="J426" s="7"/>
      <c r="K426" s="3"/>
    </row>
    <row r="427" spans="1:11">
      <c r="A427">
        <v>2019</v>
      </c>
      <c r="B427" s="9" t="s">
        <v>877</v>
      </c>
      <c r="C427" s="10">
        <v>84942</v>
      </c>
      <c r="D427" s="10"/>
      <c r="E427" s="27">
        <v>2018</v>
      </c>
      <c r="F427" s="9" t="s">
        <v>877</v>
      </c>
      <c r="G427" s="10">
        <v>82043</v>
      </c>
      <c r="H427" s="7"/>
      <c r="I427" s="2"/>
      <c r="J427" s="7"/>
      <c r="K427" s="3"/>
    </row>
    <row r="428" spans="1:11">
      <c r="A428">
        <v>2019</v>
      </c>
      <c r="B428" s="9" t="s">
        <v>878</v>
      </c>
      <c r="C428" s="10">
        <v>390330</v>
      </c>
      <c r="D428" s="10"/>
      <c r="E428" s="27">
        <v>2018</v>
      </c>
      <c r="F428" s="9" t="s">
        <v>878</v>
      </c>
      <c r="G428" s="10">
        <v>378160</v>
      </c>
      <c r="H428" s="7"/>
      <c r="I428" s="2"/>
      <c r="J428" s="7"/>
      <c r="K428" s="3"/>
    </row>
    <row r="429" spans="1:11">
      <c r="A429">
        <v>2019</v>
      </c>
      <c r="B429" s="9" t="s">
        <v>879</v>
      </c>
      <c r="C429" s="10">
        <v>728412</v>
      </c>
      <c r="D429" s="10"/>
      <c r="E429" s="27">
        <v>2018</v>
      </c>
      <c r="F429" s="9" t="s">
        <v>879</v>
      </c>
      <c r="G429" s="10">
        <v>710660</v>
      </c>
      <c r="H429" s="7"/>
      <c r="I429" s="2"/>
      <c r="J429" s="7"/>
      <c r="K429" s="3"/>
    </row>
    <row r="430" spans="1:11">
      <c r="A430">
        <v>2019</v>
      </c>
      <c r="B430" s="9" t="s">
        <v>880</v>
      </c>
      <c r="C430" s="10">
        <v>48816</v>
      </c>
      <c r="D430" s="10"/>
      <c r="E430" s="27">
        <v>2018</v>
      </c>
      <c r="F430" s="9" t="s">
        <v>880</v>
      </c>
      <c r="G430" s="10">
        <v>46217</v>
      </c>
      <c r="H430" s="7"/>
      <c r="I430" s="2"/>
      <c r="J430" s="7"/>
      <c r="K430" s="3"/>
    </row>
    <row r="431" spans="1:11">
      <c r="A431">
        <v>2019</v>
      </c>
      <c r="B431" s="9" t="s">
        <v>881</v>
      </c>
      <c r="C431" s="10">
        <v>1368316</v>
      </c>
      <c r="D431" s="10"/>
      <c r="E431" s="27">
        <v>2018</v>
      </c>
      <c r="F431" s="9" t="s">
        <v>881</v>
      </c>
      <c r="G431" s="10">
        <v>1340664</v>
      </c>
      <c r="H431" s="7"/>
      <c r="I431" s="2"/>
      <c r="J431" s="7"/>
      <c r="K431" s="3"/>
    </row>
    <row r="432" spans="1:11">
      <c r="A432">
        <v>2019</v>
      </c>
      <c r="B432" s="9" t="s">
        <v>882</v>
      </c>
      <c r="C432" s="10">
        <v>270591</v>
      </c>
      <c r="D432" s="10"/>
      <c r="E432" s="27">
        <v>2018</v>
      </c>
      <c r="F432" s="9" t="s">
        <v>882</v>
      </c>
      <c r="G432" s="10">
        <v>257906</v>
      </c>
      <c r="H432" s="7"/>
      <c r="I432" s="2"/>
      <c r="J432" s="7"/>
      <c r="K432" s="3"/>
    </row>
    <row r="433" spans="1:11">
      <c r="A433">
        <v>2019</v>
      </c>
      <c r="B433" s="9" t="s">
        <v>883</v>
      </c>
      <c r="C433" s="10">
        <v>828399</v>
      </c>
      <c r="D433" s="10"/>
      <c r="E433" s="27">
        <v>2018</v>
      </c>
      <c r="F433" s="9" t="s">
        <v>883</v>
      </c>
      <c r="G433" s="10">
        <v>792745</v>
      </c>
      <c r="H433" s="7"/>
      <c r="I433" s="2"/>
      <c r="J433" s="7"/>
      <c r="K433" s="3"/>
    </row>
    <row r="434" spans="1:11">
      <c r="A434">
        <v>2019</v>
      </c>
      <c r="B434" s="9" t="s">
        <v>490</v>
      </c>
      <c r="C434" s="9" t="s">
        <v>120</v>
      </c>
      <c r="E434" s="27">
        <v>2018</v>
      </c>
      <c r="F434" s="9" t="s">
        <v>490</v>
      </c>
      <c r="G434" s="9" t="s">
        <v>120</v>
      </c>
      <c r="H434" s="7"/>
      <c r="I434" s="2"/>
      <c r="J434" s="7"/>
      <c r="K434" s="1"/>
    </row>
    <row r="435" spans="1:11">
      <c r="A435">
        <v>2019</v>
      </c>
      <c r="B435" s="9" t="s">
        <v>884</v>
      </c>
      <c r="C435" s="10">
        <v>52925</v>
      </c>
      <c r="D435" s="10"/>
      <c r="E435" s="27">
        <v>2018</v>
      </c>
      <c r="F435" s="9" t="s">
        <v>884</v>
      </c>
      <c r="G435" s="10">
        <v>49318</v>
      </c>
      <c r="H435" s="7"/>
      <c r="I435" s="2"/>
      <c r="J435" s="7"/>
      <c r="K435" s="3"/>
    </row>
    <row r="436" spans="1:11">
      <c r="A436">
        <v>2019</v>
      </c>
      <c r="B436" s="9" t="s">
        <v>885</v>
      </c>
      <c r="C436" s="10">
        <v>226177</v>
      </c>
      <c r="D436" s="10"/>
      <c r="E436" s="27">
        <v>2018</v>
      </c>
      <c r="F436" s="9" t="s">
        <v>885</v>
      </c>
      <c r="G436" s="10">
        <v>220458</v>
      </c>
      <c r="H436" s="7"/>
      <c r="I436" s="2"/>
      <c r="J436" s="7"/>
      <c r="K436" s="3"/>
    </row>
    <row r="437" spans="1:11">
      <c r="A437">
        <v>2019</v>
      </c>
      <c r="B437" s="9" t="s">
        <v>203</v>
      </c>
      <c r="C437" s="10">
        <v>114709</v>
      </c>
      <c r="D437" s="10"/>
      <c r="E437" s="27">
        <v>2018</v>
      </c>
      <c r="F437" s="9" t="s">
        <v>203</v>
      </c>
      <c r="G437" s="10">
        <v>140342</v>
      </c>
      <c r="H437" s="7"/>
      <c r="I437" s="2"/>
      <c r="J437" s="7"/>
      <c r="K437" s="3"/>
    </row>
    <row r="438" spans="1:11">
      <c r="A438">
        <v>2019</v>
      </c>
      <c r="B438" s="9" t="s">
        <v>886</v>
      </c>
      <c r="C438" s="10">
        <v>109273</v>
      </c>
      <c r="D438" s="10"/>
      <c r="E438" s="27">
        <v>2018</v>
      </c>
      <c r="F438" s="9" t="s">
        <v>886</v>
      </c>
      <c r="G438" s="10">
        <v>87666</v>
      </c>
      <c r="H438" s="7"/>
      <c r="I438" s="2"/>
      <c r="J438" s="7"/>
      <c r="K438" s="3"/>
    </row>
    <row r="439" spans="1:11">
      <c r="A439">
        <v>2019</v>
      </c>
      <c r="B439" s="9" t="s">
        <v>887</v>
      </c>
      <c r="C439" s="10">
        <v>354987</v>
      </c>
      <c r="D439" s="10"/>
      <c r="E439" s="27">
        <v>2018</v>
      </c>
      <c r="F439" s="9" t="s">
        <v>887</v>
      </c>
      <c r="G439" s="10">
        <v>369624</v>
      </c>
      <c r="H439" s="7"/>
      <c r="I439" s="2"/>
      <c r="J439" s="7"/>
      <c r="K439" s="3"/>
    </row>
    <row r="440" spans="1:11">
      <c r="A440">
        <v>2019</v>
      </c>
      <c r="B440" s="9" t="s">
        <v>888</v>
      </c>
      <c r="C440" s="10">
        <v>120353</v>
      </c>
      <c r="D440" s="10"/>
      <c r="E440" s="27">
        <v>2018</v>
      </c>
      <c r="F440" s="9" t="s">
        <v>888</v>
      </c>
      <c r="G440" s="10">
        <v>116507</v>
      </c>
      <c r="H440" s="7"/>
      <c r="I440" s="2"/>
      <c r="J440" s="7"/>
      <c r="K440" s="3"/>
    </row>
    <row r="441" spans="1:11">
      <c r="A441">
        <v>2019</v>
      </c>
      <c r="B441" s="9" t="s">
        <v>889</v>
      </c>
      <c r="C441" s="10">
        <v>3073</v>
      </c>
      <c r="D441" s="10"/>
      <c r="E441" s="27">
        <v>2018</v>
      </c>
      <c r="F441" s="9" t="s">
        <v>889</v>
      </c>
      <c r="G441" s="10">
        <v>2950</v>
      </c>
      <c r="H441" s="7"/>
      <c r="I441" s="2"/>
      <c r="J441" s="7"/>
      <c r="K441" s="3"/>
    </row>
    <row r="442" spans="1:11">
      <c r="A442">
        <v>2019</v>
      </c>
      <c r="B442" s="9" t="s">
        <v>890</v>
      </c>
      <c r="C442" s="10">
        <v>290052</v>
      </c>
      <c r="D442" s="10"/>
      <c r="E442" s="27">
        <v>2018</v>
      </c>
      <c r="F442" s="9" t="s">
        <v>890</v>
      </c>
      <c r="G442" s="10">
        <v>288921</v>
      </c>
      <c r="H442" s="7"/>
      <c r="I442" s="2"/>
      <c r="J442" s="7"/>
      <c r="K442" s="3"/>
    </row>
    <row r="443" spans="1:11">
      <c r="A443">
        <v>2019</v>
      </c>
      <c r="B443" s="9" t="s">
        <v>891</v>
      </c>
      <c r="C443" s="10">
        <v>376808</v>
      </c>
      <c r="D443" s="10"/>
      <c r="E443" s="27">
        <v>2018</v>
      </c>
      <c r="F443" s="9" t="s">
        <v>891</v>
      </c>
      <c r="G443" s="10">
        <v>371708</v>
      </c>
      <c r="H443" s="7"/>
      <c r="I443" s="2"/>
      <c r="J443" s="7"/>
      <c r="K443" s="3"/>
    </row>
    <row r="444" spans="1:11">
      <c r="A444">
        <v>2019</v>
      </c>
      <c r="B444" s="9" t="s">
        <v>207</v>
      </c>
      <c r="C444" s="10">
        <v>276508</v>
      </c>
      <c r="D444" s="10"/>
      <c r="E444" s="27">
        <v>2018</v>
      </c>
      <c r="F444" s="9" t="s">
        <v>207</v>
      </c>
      <c r="G444" s="10">
        <v>263181</v>
      </c>
      <c r="H444" s="7"/>
      <c r="I444" s="2"/>
      <c r="J444" s="7"/>
      <c r="K444" s="3"/>
    </row>
    <row r="445" spans="1:11">
      <c r="A445">
        <v>2019</v>
      </c>
      <c r="B445" s="9" t="s">
        <v>892</v>
      </c>
      <c r="C445" s="10">
        <v>4764603</v>
      </c>
      <c r="D445" s="10"/>
      <c r="E445" s="27">
        <v>2018</v>
      </c>
      <c r="F445" s="9" t="s">
        <v>892</v>
      </c>
      <c r="G445" s="10">
        <v>4866804</v>
      </c>
      <c r="H445" s="7"/>
      <c r="I445" s="2"/>
      <c r="J445" s="7"/>
      <c r="K445" s="3"/>
    </row>
    <row r="446" spans="1:11">
      <c r="A446">
        <v>2019</v>
      </c>
      <c r="B446" s="9" t="s">
        <v>893</v>
      </c>
      <c r="C446" s="10">
        <v>56267</v>
      </c>
      <c r="D446" s="10"/>
      <c r="E446" s="27">
        <v>2018</v>
      </c>
      <c r="F446" s="9" t="s">
        <v>893</v>
      </c>
      <c r="G446" s="10">
        <v>59639</v>
      </c>
      <c r="H446" s="7"/>
      <c r="I446" s="2"/>
      <c r="J446" s="7"/>
      <c r="K446" s="3"/>
    </row>
    <row r="447" spans="1:11">
      <c r="A447">
        <v>2019</v>
      </c>
      <c r="B447" s="9" t="s">
        <v>894</v>
      </c>
      <c r="C447" s="10">
        <v>15289</v>
      </c>
      <c r="D447" s="10"/>
      <c r="E447" s="27">
        <v>2018</v>
      </c>
      <c r="F447" s="9" t="s">
        <v>894</v>
      </c>
      <c r="G447" s="10">
        <v>14754</v>
      </c>
      <c r="H447" s="7"/>
      <c r="I447" s="2"/>
      <c r="J447" s="7"/>
      <c r="K447" s="3"/>
    </row>
    <row r="448" spans="1:11">
      <c r="A448">
        <v>2019</v>
      </c>
      <c r="B448" s="9" t="s">
        <v>895</v>
      </c>
      <c r="C448" s="10">
        <v>159881</v>
      </c>
      <c r="D448" s="10"/>
      <c r="E448" s="27">
        <v>2018</v>
      </c>
      <c r="F448" s="9" t="s">
        <v>895</v>
      </c>
      <c r="G448" s="10">
        <v>161244</v>
      </c>
      <c r="H448" s="7"/>
      <c r="I448" s="2"/>
      <c r="J448" s="7"/>
      <c r="K448" s="3"/>
    </row>
    <row r="449" spans="1:11">
      <c r="A449">
        <v>2019</v>
      </c>
      <c r="B449" s="9" t="s">
        <v>896</v>
      </c>
      <c r="C449" s="10">
        <v>16189</v>
      </c>
      <c r="D449" s="10"/>
      <c r="E449" s="27">
        <v>2018</v>
      </c>
      <c r="F449" s="9" t="s">
        <v>896</v>
      </c>
      <c r="G449" s="10">
        <v>13152</v>
      </c>
      <c r="H449" s="7"/>
      <c r="I449" s="2"/>
      <c r="J449" s="7"/>
      <c r="K449" s="3"/>
    </row>
    <row r="450" spans="1:11">
      <c r="A450">
        <v>2019</v>
      </c>
      <c r="B450" s="9" t="s">
        <v>897</v>
      </c>
      <c r="C450" s="10">
        <v>96794</v>
      </c>
      <c r="D450" s="10"/>
      <c r="E450" s="27">
        <v>2018</v>
      </c>
      <c r="F450" s="9" t="s">
        <v>897</v>
      </c>
      <c r="G450" s="10">
        <v>88077</v>
      </c>
      <c r="H450" s="7"/>
      <c r="I450" s="2"/>
      <c r="J450" s="7"/>
      <c r="K450" s="3"/>
    </row>
    <row r="451" spans="1:11">
      <c r="A451">
        <v>2019</v>
      </c>
      <c r="B451" s="9" t="s">
        <v>898</v>
      </c>
      <c r="C451" s="10">
        <v>22075</v>
      </c>
      <c r="D451" s="10"/>
      <c r="E451" s="27">
        <v>2018</v>
      </c>
      <c r="F451" s="9" t="s">
        <v>898</v>
      </c>
      <c r="G451" s="10">
        <v>22585</v>
      </c>
      <c r="H451" s="8"/>
      <c r="I451" s="2"/>
      <c r="J451" s="8"/>
      <c r="K451" s="3"/>
    </row>
    <row r="452" spans="1:11">
      <c r="A452">
        <v>2019</v>
      </c>
      <c r="B452" s="9" t="s">
        <v>899</v>
      </c>
      <c r="C452" s="10">
        <v>16746</v>
      </c>
      <c r="D452" s="10"/>
      <c r="E452" s="27">
        <v>2018</v>
      </c>
      <c r="F452" s="9" t="s">
        <v>899</v>
      </c>
      <c r="G452" s="10">
        <v>16462</v>
      </c>
      <c r="H452" s="7"/>
      <c r="I452" s="2"/>
      <c r="J452" s="7"/>
      <c r="K452" s="1"/>
    </row>
    <row r="453" spans="1:11">
      <c r="A453">
        <v>2019</v>
      </c>
      <c r="B453" s="9" t="s">
        <v>900</v>
      </c>
      <c r="C453" s="10">
        <v>413065</v>
      </c>
      <c r="D453" s="10"/>
      <c r="E453" s="27">
        <v>2018</v>
      </c>
      <c r="F453" s="9" t="s">
        <v>900</v>
      </c>
      <c r="G453" s="10">
        <v>334687</v>
      </c>
      <c r="H453" s="8"/>
      <c r="I453" s="2"/>
      <c r="J453" s="8"/>
      <c r="K453" s="3"/>
    </row>
    <row r="454" spans="1:11">
      <c r="A454">
        <v>2019</v>
      </c>
      <c r="B454" s="9" t="s">
        <v>901</v>
      </c>
      <c r="C454" s="10">
        <v>362193</v>
      </c>
      <c r="D454" s="10"/>
      <c r="E454" s="27">
        <v>2018</v>
      </c>
      <c r="F454" s="9" t="s">
        <v>901</v>
      </c>
      <c r="G454" s="10">
        <v>311942</v>
      </c>
      <c r="H454" s="8"/>
      <c r="I454" s="2"/>
      <c r="J454" s="8"/>
      <c r="K454" s="3"/>
    </row>
    <row r="455" spans="1:11">
      <c r="A455">
        <v>2019</v>
      </c>
      <c r="B455" s="9" t="s">
        <v>902</v>
      </c>
      <c r="C455" s="10">
        <v>482153</v>
      </c>
      <c r="D455" s="10"/>
      <c r="E455" s="27">
        <v>2018</v>
      </c>
      <c r="F455" s="9" t="s">
        <v>902</v>
      </c>
      <c r="G455" s="10">
        <v>439167</v>
      </c>
      <c r="H455" s="8"/>
      <c r="I455" s="2"/>
      <c r="J455" s="8"/>
      <c r="K455" s="3"/>
    </row>
    <row r="456" spans="1:11">
      <c r="A456">
        <v>2019</v>
      </c>
      <c r="B456" s="9" t="s">
        <v>903</v>
      </c>
      <c r="C456" s="10">
        <v>182087</v>
      </c>
      <c r="D456" s="10"/>
      <c r="E456" s="27">
        <v>2018</v>
      </c>
      <c r="F456" s="9" t="s">
        <v>903</v>
      </c>
      <c r="G456" s="10">
        <v>155500</v>
      </c>
      <c r="H456" s="8"/>
      <c r="I456" s="2"/>
      <c r="J456" s="8"/>
      <c r="K456" s="3"/>
    </row>
    <row r="457" spans="1:11">
      <c r="A457">
        <v>2019</v>
      </c>
      <c r="B457" s="9" t="s">
        <v>904</v>
      </c>
      <c r="C457" s="10">
        <v>126023</v>
      </c>
      <c r="D457" s="10"/>
      <c r="E457" s="27">
        <v>2018</v>
      </c>
      <c r="F457" s="9" t="s">
        <v>904</v>
      </c>
      <c r="G457" s="10">
        <v>133166</v>
      </c>
      <c r="H457" s="8"/>
      <c r="I457" s="2"/>
      <c r="J457" s="8"/>
      <c r="K457" s="3"/>
    </row>
    <row r="458" spans="1:11">
      <c r="A458">
        <v>2019</v>
      </c>
      <c r="B458" s="9" t="s">
        <v>402</v>
      </c>
      <c r="C458" s="10">
        <v>12836</v>
      </c>
      <c r="D458" s="10"/>
      <c r="E458" s="27">
        <v>2018</v>
      </c>
      <c r="F458" s="9" t="s">
        <v>402</v>
      </c>
      <c r="G458" s="10">
        <v>12490</v>
      </c>
      <c r="H458" s="8"/>
      <c r="I458" s="2"/>
      <c r="J458" s="8"/>
      <c r="K458" s="3"/>
    </row>
    <row r="459" spans="1:11">
      <c r="A459">
        <v>2019</v>
      </c>
      <c r="B459" s="9" t="s">
        <v>905</v>
      </c>
      <c r="C459" s="10">
        <v>12513</v>
      </c>
      <c r="D459" s="10"/>
      <c r="E459" s="27">
        <v>2018</v>
      </c>
      <c r="F459" s="9" t="s">
        <v>905</v>
      </c>
      <c r="G459" s="10">
        <v>12513</v>
      </c>
      <c r="H459" s="8"/>
      <c r="I459" s="2"/>
      <c r="J459" s="8"/>
      <c r="K459" s="3"/>
    </row>
    <row r="460" spans="1:11">
      <c r="A460">
        <v>2019</v>
      </c>
      <c r="B460" s="9" t="s">
        <v>906</v>
      </c>
      <c r="C460" s="10">
        <v>95490</v>
      </c>
      <c r="D460" s="10"/>
      <c r="E460" s="27">
        <v>2018</v>
      </c>
      <c r="F460" s="9" t="s">
        <v>906</v>
      </c>
      <c r="G460" s="10">
        <v>95167</v>
      </c>
      <c r="H460" s="8"/>
      <c r="I460" s="2"/>
      <c r="J460" s="8"/>
      <c r="K460" s="3"/>
    </row>
    <row r="461" spans="1:11">
      <c r="A461">
        <v>2019</v>
      </c>
      <c r="B461" s="9" t="s">
        <v>907</v>
      </c>
      <c r="C461" s="10">
        <v>43641</v>
      </c>
      <c r="D461" s="10"/>
      <c r="E461" s="27">
        <v>2018</v>
      </c>
      <c r="F461" s="9" t="s">
        <v>907</v>
      </c>
      <c r="G461" s="10">
        <v>45453</v>
      </c>
      <c r="H461" s="8"/>
      <c r="I461" s="2"/>
      <c r="J461" s="8"/>
      <c r="K461" s="3"/>
    </row>
    <row r="462" spans="1:11">
      <c r="A462">
        <v>2019</v>
      </c>
      <c r="B462" s="9" t="s">
        <v>908</v>
      </c>
      <c r="C462" s="10">
        <v>50405</v>
      </c>
      <c r="D462" s="10"/>
      <c r="E462" s="27">
        <v>2018</v>
      </c>
      <c r="F462" s="9" t="s">
        <v>908</v>
      </c>
      <c r="G462" s="10">
        <v>48909</v>
      </c>
      <c r="H462" s="8"/>
      <c r="I462" s="2"/>
      <c r="J462" s="8"/>
      <c r="K462" s="3"/>
    </row>
    <row r="463" spans="1:11">
      <c r="A463">
        <v>2019</v>
      </c>
      <c r="B463" s="9" t="s">
        <v>405</v>
      </c>
      <c r="C463" s="10">
        <v>37001</v>
      </c>
      <c r="D463" s="10"/>
      <c r="E463" s="27">
        <v>2018</v>
      </c>
      <c r="F463" s="9" t="s">
        <v>405</v>
      </c>
      <c r="G463" s="10">
        <v>38424</v>
      </c>
      <c r="H463" s="8"/>
      <c r="I463" s="2"/>
      <c r="J463" s="8"/>
      <c r="K463" s="3"/>
    </row>
    <row r="464" spans="1:11">
      <c r="A464">
        <v>2019</v>
      </c>
      <c r="B464" s="9" t="s">
        <v>909</v>
      </c>
      <c r="C464" s="10">
        <v>192716</v>
      </c>
      <c r="D464" s="10"/>
      <c r="E464" s="27">
        <v>2018</v>
      </c>
      <c r="F464" s="9" t="s">
        <v>909</v>
      </c>
      <c r="G464" s="10">
        <v>181813</v>
      </c>
      <c r="H464" s="8"/>
      <c r="I464" s="2"/>
      <c r="J464" s="8"/>
      <c r="K464" s="3"/>
    </row>
    <row r="465" spans="1:11">
      <c r="A465">
        <v>2019</v>
      </c>
      <c r="B465" s="9" t="s">
        <v>910</v>
      </c>
      <c r="C465" s="10">
        <v>60670</v>
      </c>
      <c r="D465" s="10"/>
      <c r="E465" s="27">
        <v>2018</v>
      </c>
      <c r="F465" s="9" t="s">
        <v>910</v>
      </c>
      <c r="G465" s="10">
        <v>63058</v>
      </c>
      <c r="H465" s="8"/>
      <c r="I465" s="2"/>
      <c r="J465" s="8"/>
      <c r="K465" s="3"/>
    </row>
    <row r="466" spans="1:11">
      <c r="A466">
        <v>2019</v>
      </c>
      <c r="B466" s="9" t="s">
        <v>911</v>
      </c>
      <c r="C466" s="10">
        <v>294703</v>
      </c>
      <c r="D466" s="10"/>
      <c r="E466" s="27">
        <v>2018</v>
      </c>
      <c r="F466" s="9" t="s">
        <v>911</v>
      </c>
      <c r="G466" s="10">
        <v>286024</v>
      </c>
      <c r="H466" s="8"/>
      <c r="I466" s="2"/>
      <c r="J466" s="8"/>
      <c r="K466" s="3"/>
    </row>
    <row r="467" spans="1:11">
      <c r="A467">
        <v>2019</v>
      </c>
      <c r="B467" s="9" t="s">
        <v>912</v>
      </c>
      <c r="C467" s="10">
        <v>789878</v>
      </c>
      <c r="D467" s="10"/>
      <c r="E467" s="27">
        <v>2018</v>
      </c>
      <c r="F467" s="9" t="s">
        <v>912</v>
      </c>
      <c r="G467" s="10">
        <v>828656</v>
      </c>
      <c r="H467" s="8"/>
      <c r="I467" s="2"/>
      <c r="J467" s="8"/>
      <c r="K467" s="3"/>
    </row>
    <row r="468" spans="1:11">
      <c r="A468">
        <v>2019</v>
      </c>
      <c r="B468" s="9" t="s">
        <v>913</v>
      </c>
      <c r="C468" s="10">
        <v>33939</v>
      </c>
      <c r="D468" s="10"/>
      <c r="E468" s="27">
        <v>2018</v>
      </c>
      <c r="F468" s="9" t="s">
        <v>913</v>
      </c>
      <c r="G468" s="10">
        <v>30492</v>
      </c>
      <c r="H468" s="8"/>
      <c r="I468" s="2"/>
      <c r="J468" s="8"/>
      <c r="K468" s="3"/>
    </row>
    <row r="469" spans="1:11">
      <c r="A469">
        <v>2019</v>
      </c>
      <c r="B469" s="9" t="s">
        <v>408</v>
      </c>
      <c r="C469" s="10">
        <v>11759</v>
      </c>
      <c r="D469" s="10"/>
      <c r="E469" s="27">
        <v>2018</v>
      </c>
      <c r="F469" s="9" t="s">
        <v>408</v>
      </c>
      <c r="G469" s="10">
        <v>11425</v>
      </c>
      <c r="H469" s="8"/>
      <c r="I469" s="2"/>
      <c r="J469" s="8"/>
      <c r="K469" s="3"/>
    </row>
    <row r="470" spans="1:11">
      <c r="A470">
        <v>2019</v>
      </c>
      <c r="B470" s="9" t="s">
        <v>914</v>
      </c>
      <c r="C470" s="10">
        <v>81348</v>
      </c>
      <c r="D470" s="10"/>
      <c r="E470" s="27">
        <v>2018</v>
      </c>
      <c r="F470" s="9" t="s">
        <v>914</v>
      </c>
      <c r="G470" s="10">
        <v>80793</v>
      </c>
      <c r="H470" s="8"/>
      <c r="I470" s="2"/>
      <c r="J470" s="8"/>
      <c r="K470" s="3"/>
    </row>
    <row r="471" spans="1:11">
      <c r="A471">
        <v>2019</v>
      </c>
      <c r="B471" s="9" t="s">
        <v>915</v>
      </c>
      <c r="C471" s="10">
        <v>22425</v>
      </c>
      <c r="D471" s="10"/>
      <c r="E471" s="27">
        <v>2018</v>
      </c>
      <c r="F471" s="9" t="s">
        <v>915</v>
      </c>
      <c r="G471" s="10">
        <v>21663</v>
      </c>
      <c r="H471" s="8"/>
      <c r="I471" s="2"/>
      <c r="J471" s="8"/>
      <c r="K471" s="3"/>
    </row>
    <row r="472" spans="1:11">
      <c r="A472">
        <v>2019</v>
      </c>
      <c r="B472" s="9" t="s">
        <v>916</v>
      </c>
      <c r="C472" s="10">
        <v>142141</v>
      </c>
      <c r="D472" s="10"/>
      <c r="E472" s="27">
        <v>2018</v>
      </c>
      <c r="F472" s="9" t="s">
        <v>916</v>
      </c>
      <c r="G472" s="10">
        <v>135495</v>
      </c>
      <c r="H472" s="8"/>
      <c r="I472" s="2"/>
      <c r="J472" s="8"/>
      <c r="K472" s="3"/>
    </row>
    <row r="473" spans="1:11">
      <c r="A473">
        <v>2019</v>
      </c>
      <c r="B473" s="9" t="s">
        <v>917</v>
      </c>
      <c r="C473" s="10">
        <v>1389146</v>
      </c>
      <c r="D473" s="10"/>
      <c r="E473" s="27">
        <v>2018</v>
      </c>
      <c r="F473" s="9" t="s">
        <v>917</v>
      </c>
      <c r="G473" s="10">
        <v>1404204</v>
      </c>
      <c r="H473" s="8"/>
      <c r="I473" s="2"/>
      <c r="J473" s="8"/>
      <c r="K473" s="3"/>
    </row>
    <row r="474" spans="1:11">
      <c r="A474">
        <v>2019</v>
      </c>
      <c r="B474" s="9" t="s">
        <v>918</v>
      </c>
      <c r="C474" s="10">
        <v>150695</v>
      </c>
      <c r="D474" s="10"/>
      <c r="E474" s="27">
        <v>2018</v>
      </c>
      <c r="F474" s="9" t="s">
        <v>918</v>
      </c>
      <c r="G474" s="10">
        <v>134113</v>
      </c>
      <c r="H474" s="8"/>
      <c r="I474" s="2"/>
      <c r="J474" s="8"/>
      <c r="K474" s="3"/>
    </row>
    <row r="475" spans="1:11">
      <c r="A475">
        <v>2019</v>
      </c>
      <c r="B475" s="9" t="s">
        <v>919</v>
      </c>
      <c r="C475" s="10">
        <v>43811</v>
      </c>
      <c r="D475" s="10"/>
      <c r="E475" s="27">
        <v>2018</v>
      </c>
      <c r="F475" s="9" t="s">
        <v>919</v>
      </c>
      <c r="G475" s="10">
        <v>44084</v>
      </c>
      <c r="H475" s="8"/>
      <c r="I475" s="2"/>
      <c r="J475" s="8"/>
      <c r="K475" s="3"/>
    </row>
    <row r="476" spans="1:11">
      <c r="A476">
        <v>2019</v>
      </c>
      <c r="B476" s="9" t="s">
        <v>920</v>
      </c>
      <c r="C476" s="10">
        <v>121018</v>
      </c>
      <c r="D476" s="10"/>
      <c r="E476" s="27">
        <v>2018</v>
      </c>
      <c r="F476" s="9" t="s">
        <v>920</v>
      </c>
      <c r="G476" s="10">
        <v>117553</v>
      </c>
      <c r="H476" s="8"/>
      <c r="I476" s="2"/>
      <c r="J476" s="8"/>
      <c r="K476" s="3"/>
    </row>
    <row r="477" spans="1:11">
      <c r="A477">
        <v>2019</v>
      </c>
      <c r="B477" s="9" t="s">
        <v>921</v>
      </c>
      <c r="C477" s="10">
        <v>775048</v>
      </c>
      <c r="D477" s="10"/>
      <c r="E477" s="27">
        <v>2018</v>
      </c>
      <c r="F477" s="9" t="s">
        <v>921</v>
      </c>
      <c r="G477" s="10">
        <v>732472</v>
      </c>
      <c r="H477" s="8"/>
      <c r="I477" s="2"/>
      <c r="J477" s="8"/>
      <c r="K477" s="3"/>
    </row>
    <row r="478" spans="1:11">
      <c r="A478">
        <v>2019</v>
      </c>
      <c r="B478" s="9" t="s">
        <v>922</v>
      </c>
      <c r="C478" s="10">
        <v>161385</v>
      </c>
      <c r="D478" s="10"/>
      <c r="E478" s="27">
        <v>2018</v>
      </c>
      <c r="F478" s="9" t="s">
        <v>922</v>
      </c>
      <c r="G478" s="10">
        <v>173281</v>
      </c>
      <c r="H478" s="8"/>
      <c r="I478" s="2"/>
      <c r="J478" s="8"/>
      <c r="K478" s="3"/>
    </row>
    <row r="479" spans="1:11">
      <c r="A479">
        <v>2019</v>
      </c>
      <c r="B479" s="9" t="s">
        <v>923</v>
      </c>
      <c r="C479" s="10">
        <v>444411</v>
      </c>
      <c r="D479" s="10"/>
      <c r="E479" s="27">
        <v>2018</v>
      </c>
      <c r="F479" s="9" t="s">
        <v>923</v>
      </c>
      <c r="G479" s="10">
        <v>423673</v>
      </c>
      <c r="H479" s="8"/>
      <c r="I479" s="2"/>
      <c r="J479" s="8"/>
      <c r="K479" s="3"/>
    </row>
    <row r="480" spans="1:11">
      <c r="A480">
        <v>2019</v>
      </c>
      <c r="B480" s="9" t="s">
        <v>924</v>
      </c>
      <c r="C480" s="10">
        <v>1280494</v>
      </c>
      <c r="D480" s="10"/>
      <c r="E480" s="27">
        <v>2018</v>
      </c>
      <c r="F480" s="9" t="s">
        <v>924</v>
      </c>
      <c r="G480" s="10">
        <v>1286117</v>
      </c>
      <c r="H480" s="8"/>
      <c r="I480" s="2"/>
      <c r="J480" s="8"/>
      <c r="K480" s="3"/>
    </row>
    <row r="481" spans="1:11">
      <c r="A481">
        <v>2019</v>
      </c>
      <c r="B481" s="9" t="s">
        <v>925</v>
      </c>
      <c r="C481" s="10">
        <v>3313157</v>
      </c>
      <c r="D481" s="10"/>
      <c r="E481" s="27">
        <v>2018</v>
      </c>
      <c r="F481" s="9" t="s">
        <v>925</v>
      </c>
      <c r="G481" s="10">
        <v>3165098</v>
      </c>
      <c r="H481" s="8"/>
      <c r="I481" s="2"/>
      <c r="J481" s="8"/>
      <c r="K481" s="3"/>
    </row>
    <row r="482" spans="1:11">
      <c r="A482">
        <v>2019</v>
      </c>
      <c r="B482" s="9" t="s">
        <v>926</v>
      </c>
      <c r="C482" s="10">
        <v>1710645</v>
      </c>
      <c r="D482" s="10"/>
      <c r="E482" s="27">
        <v>2018</v>
      </c>
      <c r="F482" s="9" t="s">
        <v>926</v>
      </c>
      <c r="G482" s="10">
        <v>1635650</v>
      </c>
      <c r="H482" s="8"/>
      <c r="I482" s="2"/>
      <c r="J482" s="8"/>
      <c r="K482" s="3"/>
    </row>
    <row r="483" spans="1:11">
      <c r="A483">
        <v>2019</v>
      </c>
      <c r="B483" s="9" t="s">
        <v>927</v>
      </c>
      <c r="C483" s="10">
        <v>1598289</v>
      </c>
      <c r="D483" s="10"/>
      <c r="E483" s="27">
        <v>2018</v>
      </c>
      <c r="F483" s="9" t="s">
        <v>927</v>
      </c>
      <c r="G483" s="10">
        <v>1607399</v>
      </c>
      <c r="H483" s="8"/>
      <c r="I483" s="2"/>
      <c r="J483" s="8"/>
      <c r="K483" s="3"/>
    </row>
    <row r="484" spans="1:11">
      <c r="A484">
        <v>2019</v>
      </c>
      <c r="B484" s="9" t="s">
        <v>928</v>
      </c>
      <c r="C484" s="10">
        <v>865416</v>
      </c>
      <c r="D484" s="10"/>
      <c r="E484" s="27">
        <v>2018</v>
      </c>
      <c r="F484" s="9" t="s">
        <v>928</v>
      </c>
      <c r="G484" s="10">
        <v>826191</v>
      </c>
      <c r="H484" s="8"/>
      <c r="I484" s="2"/>
      <c r="J484" s="8"/>
      <c r="K484" s="3"/>
    </row>
    <row r="485" spans="1:11">
      <c r="A485">
        <v>2019</v>
      </c>
      <c r="B485" s="9" t="s">
        <v>929</v>
      </c>
      <c r="C485" s="10">
        <v>140919</v>
      </c>
      <c r="D485" s="10"/>
      <c r="E485" s="27">
        <v>2018</v>
      </c>
      <c r="F485" s="9" t="s">
        <v>929</v>
      </c>
      <c r="G485" s="10">
        <v>129541</v>
      </c>
      <c r="H485" s="8"/>
      <c r="I485" s="2"/>
      <c r="J485" s="8"/>
      <c r="K485" s="3"/>
    </row>
    <row r="486" spans="1:11">
      <c r="A486">
        <v>2019</v>
      </c>
      <c r="B486" s="9" t="s">
        <v>417</v>
      </c>
      <c r="C486" s="10">
        <v>51044</v>
      </c>
      <c r="D486" s="10"/>
      <c r="E486" s="27">
        <v>2018</v>
      </c>
      <c r="F486" s="9" t="s">
        <v>417</v>
      </c>
      <c r="G486" s="10">
        <v>44180</v>
      </c>
      <c r="H486" s="8"/>
      <c r="I486" s="2"/>
      <c r="J486" s="8"/>
      <c r="K486" s="3"/>
    </row>
    <row r="487" spans="1:11">
      <c r="A487">
        <v>2019</v>
      </c>
      <c r="B487" s="9" t="s">
        <v>418</v>
      </c>
      <c r="C487" s="10">
        <v>37969</v>
      </c>
      <c r="D487" s="10"/>
      <c r="E487" s="27">
        <v>2018</v>
      </c>
      <c r="F487" s="9" t="s">
        <v>418</v>
      </c>
      <c r="G487" s="10">
        <v>42394</v>
      </c>
      <c r="H487" s="14"/>
      <c r="I487" s="2"/>
      <c r="J487" s="14"/>
      <c r="K487" s="3"/>
    </row>
    <row r="489" spans="1:11">
      <c r="B489" s="9" t="s">
        <v>932</v>
      </c>
      <c r="C489" s="18">
        <f>SUM(C2:C487)</f>
        <v>435181615</v>
      </c>
      <c r="D489" s="18"/>
      <c r="E489" s="18"/>
      <c r="F489" s="18"/>
      <c r="G489" s="10">
        <f>SUM(G2:G487)</f>
        <v>422657698</v>
      </c>
    </row>
    <row r="491" spans="1:11">
      <c r="B491" s="9" t="s">
        <v>931</v>
      </c>
      <c r="C491" s="10">
        <v>435181615</v>
      </c>
      <c r="D491" s="10"/>
      <c r="E491" s="10"/>
      <c r="F491" s="10"/>
      <c r="G491" s="10">
        <v>422657698</v>
      </c>
    </row>
    <row r="493" spans="1:11">
      <c r="B493" s="19" t="s">
        <v>930</v>
      </c>
      <c r="C493" s="20">
        <f>C489-C491</f>
        <v>0</v>
      </c>
      <c r="D493" s="20"/>
      <c r="E493" s="20"/>
      <c r="F493" s="20"/>
      <c r="G493" s="20">
        <f>G489-G491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2E8A8-F738-B243-92E4-D4E75EAB8E80}">
  <sheetPr>
    <tabColor rgb="FFFFFF00"/>
  </sheetPr>
  <dimension ref="A1:K491"/>
  <sheetViews>
    <sheetView workbookViewId="0">
      <selection activeCell="E2" sqref="E2:G485"/>
    </sheetView>
  </sheetViews>
  <sheetFormatPr baseColWidth="10" defaultRowHeight="16"/>
  <cols>
    <col min="2" max="2" width="29.1640625" style="9" bestFit="1" customWidth="1"/>
    <col min="3" max="3" width="18.83203125" style="9" bestFit="1" customWidth="1"/>
    <col min="4" max="4" width="3.1640625" style="9" customWidth="1"/>
    <col min="5" max="5" width="18.83203125" style="9" customWidth="1"/>
    <col min="6" max="6" width="29.1640625" style="9" bestFit="1" customWidth="1"/>
    <col min="7" max="7" width="18.83203125" style="9" bestFit="1" customWidth="1"/>
  </cols>
  <sheetData>
    <row r="1" spans="1:9">
      <c r="A1" t="s">
        <v>1421</v>
      </c>
      <c r="B1" s="9" t="s">
        <v>419</v>
      </c>
      <c r="C1" s="9" t="s">
        <v>1422</v>
      </c>
      <c r="E1" t="s">
        <v>1421</v>
      </c>
      <c r="F1" s="9" t="s">
        <v>419</v>
      </c>
      <c r="G1" s="9" t="s">
        <v>1422</v>
      </c>
    </row>
    <row r="2" spans="1:9">
      <c r="A2">
        <v>2017</v>
      </c>
      <c r="B2" s="9" t="s">
        <v>492</v>
      </c>
      <c r="C2" s="10">
        <v>4484</v>
      </c>
      <c r="D2" s="10"/>
      <c r="E2" s="27">
        <v>2016</v>
      </c>
      <c r="F2" s="9" t="s">
        <v>492</v>
      </c>
      <c r="G2" s="10">
        <v>4528</v>
      </c>
      <c r="H2" s="2"/>
      <c r="I2" s="1"/>
    </row>
    <row r="3" spans="1:9">
      <c r="A3">
        <v>2017</v>
      </c>
      <c r="B3" s="9" t="s">
        <v>493</v>
      </c>
      <c r="C3" s="10">
        <v>42952</v>
      </c>
      <c r="D3" s="10"/>
      <c r="E3" s="27">
        <v>2016</v>
      </c>
      <c r="F3" s="9" t="s">
        <v>493</v>
      </c>
      <c r="G3" s="10">
        <v>42440</v>
      </c>
      <c r="H3" s="2"/>
      <c r="I3" s="3"/>
    </row>
    <row r="4" spans="1:9">
      <c r="A4">
        <v>2017</v>
      </c>
      <c r="B4" s="9" t="s">
        <v>494</v>
      </c>
      <c r="C4" s="10">
        <v>234685</v>
      </c>
      <c r="D4" s="10"/>
      <c r="E4" s="27">
        <v>2016</v>
      </c>
      <c r="F4" s="9" t="s">
        <v>494</v>
      </c>
      <c r="G4" s="10">
        <v>207076</v>
      </c>
      <c r="H4" s="2"/>
      <c r="I4" s="3"/>
    </row>
    <row r="5" spans="1:9">
      <c r="A5">
        <v>2017</v>
      </c>
      <c r="B5" s="9" t="s">
        <v>495</v>
      </c>
      <c r="C5" s="10">
        <v>308891</v>
      </c>
      <c r="D5" s="10"/>
      <c r="E5" s="27">
        <v>2016</v>
      </c>
      <c r="F5" s="9" t="s">
        <v>495</v>
      </c>
      <c r="G5" s="10">
        <v>318434</v>
      </c>
      <c r="H5" s="2"/>
      <c r="I5" s="3"/>
    </row>
    <row r="6" spans="1:9">
      <c r="A6">
        <v>2017</v>
      </c>
      <c r="B6" s="9" t="s">
        <v>420</v>
      </c>
      <c r="C6" s="10">
        <v>19632</v>
      </c>
      <c r="D6" s="10"/>
      <c r="E6" s="27">
        <v>2016</v>
      </c>
      <c r="F6" s="9" t="s">
        <v>420</v>
      </c>
      <c r="G6" s="10">
        <v>42629</v>
      </c>
      <c r="H6" s="2"/>
      <c r="I6" s="3"/>
    </row>
    <row r="7" spans="1:9">
      <c r="A7">
        <v>2017</v>
      </c>
      <c r="B7" s="9" t="s">
        <v>496</v>
      </c>
      <c r="C7" s="10">
        <v>17349</v>
      </c>
      <c r="D7" s="10"/>
      <c r="E7" s="27">
        <v>2016</v>
      </c>
      <c r="F7" s="9" t="s">
        <v>496</v>
      </c>
      <c r="G7" s="10">
        <v>14318</v>
      </c>
      <c r="H7" s="2"/>
      <c r="I7" s="3"/>
    </row>
    <row r="8" spans="1:9">
      <c r="A8">
        <v>2017</v>
      </c>
      <c r="B8" s="9" t="s">
        <v>497</v>
      </c>
      <c r="C8" s="10">
        <v>385599</v>
      </c>
      <c r="D8" s="10"/>
      <c r="E8" s="27">
        <v>2016</v>
      </c>
      <c r="F8" s="9" t="s">
        <v>497</v>
      </c>
      <c r="G8" s="10">
        <v>408396</v>
      </c>
      <c r="H8" s="2"/>
      <c r="I8" s="3"/>
    </row>
    <row r="9" spans="1:9">
      <c r="A9">
        <v>2017</v>
      </c>
      <c r="B9" s="9" t="s">
        <v>498</v>
      </c>
      <c r="C9" s="10">
        <v>550245</v>
      </c>
      <c r="D9" s="10"/>
      <c r="E9" s="27">
        <v>2016</v>
      </c>
      <c r="F9" s="9" t="s">
        <v>498</v>
      </c>
      <c r="G9" s="10">
        <v>536840</v>
      </c>
      <c r="H9" s="2"/>
      <c r="I9" s="3"/>
    </row>
    <row r="10" spans="1:9">
      <c r="A10">
        <v>2017</v>
      </c>
      <c r="B10" s="9" t="s">
        <v>499</v>
      </c>
      <c r="C10" s="10">
        <v>336060</v>
      </c>
      <c r="D10" s="10"/>
      <c r="E10" s="27">
        <v>2016</v>
      </c>
      <c r="F10" s="9" t="s">
        <v>499</v>
      </c>
      <c r="G10" s="10">
        <v>318016</v>
      </c>
      <c r="H10" s="2"/>
      <c r="I10" s="3"/>
    </row>
    <row r="11" spans="1:9">
      <c r="A11">
        <v>2017</v>
      </c>
      <c r="B11" s="9" t="s">
        <v>500</v>
      </c>
      <c r="C11" s="10">
        <v>1464946</v>
      </c>
      <c r="D11" s="10"/>
      <c r="E11" s="27">
        <v>2016</v>
      </c>
      <c r="F11" s="9" t="s">
        <v>500</v>
      </c>
      <c r="G11" s="10">
        <v>1467727</v>
      </c>
      <c r="H11" s="2"/>
      <c r="I11" s="3"/>
    </row>
    <row r="12" spans="1:9">
      <c r="A12">
        <v>2017</v>
      </c>
      <c r="B12" s="9" t="s">
        <v>501</v>
      </c>
      <c r="C12" s="10">
        <v>13500</v>
      </c>
      <c r="D12" s="10"/>
      <c r="E12" s="27">
        <v>2016</v>
      </c>
      <c r="F12" s="9" t="s">
        <v>501</v>
      </c>
      <c r="G12" s="10">
        <v>12592</v>
      </c>
      <c r="H12" s="2"/>
      <c r="I12" s="3"/>
    </row>
    <row r="13" spans="1:9">
      <c r="A13">
        <v>2017</v>
      </c>
      <c r="B13" s="9" t="s">
        <v>502</v>
      </c>
      <c r="C13" s="10">
        <v>187775</v>
      </c>
      <c r="D13" s="10"/>
      <c r="E13" s="27">
        <v>2016</v>
      </c>
      <c r="F13" s="9" t="s">
        <v>502</v>
      </c>
      <c r="G13" s="10">
        <v>187415</v>
      </c>
      <c r="H13" s="2"/>
      <c r="I13" s="3"/>
    </row>
    <row r="14" spans="1:9">
      <c r="A14">
        <v>2017</v>
      </c>
      <c r="B14" s="9" t="s">
        <v>4</v>
      </c>
      <c r="C14" s="10">
        <v>62141</v>
      </c>
      <c r="D14" s="10"/>
      <c r="E14" s="27">
        <v>2016</v>
      </c>
      <c r="F14" s="9" t="s">
        <v>4</v>
      </c>
      <c r="G14" s="10">
        <v>62257</v>
      </c>
      <c r="H14" s="2"/>
      <c r="I14" s="3"/>
    </row>
    <row r="15" spans="1:9">
      <c r="A15">
        <v>2017</v>
      </c>
      <c r="B15" s="9" t="s">
        <v>503</v>
      </c>
      <c r="C15" s="10">
        <v>152226</v>
      </c>
      <c r="D15" s="10"/>
      <c r="E15" s="27">
        <v>2016</v>
      </c>
      <c r="F15" s="9" t="s">
        <v>503</v>
      </c>
      <c r="G15" s="10">
        <v>149705</v>
      </c>
      <c r="H15" s="2"/>
      <c r="I15" s="3"/>
    </row>
    <row r="16" spans="1:9">
      <c r="A16">
        <v>2017</v>
      </c>
      <c r="B16" s="9" t="s">
        <v>504</v>
      </c>
      <c r="C16" s="10">
        <v>103964</v>
      </c>
      <c r="D16" s="10"/>
      <c r="E16" s="27">
        <v>2016</v>
      </c>
      <c r="F16" s="9" t="s">
        <v>504</v>
      </c>
      <c r="G16" s="10">
        <v>100746</v>
      </c>
      <c r="H16" s="2"/>
      <c r="I16" s="3"/>
    </row>
    <row r="17" spans="1:9">
      <c r="A17">
        <v>2017</v>
      </c>
      <c r="B17" s="9" t="s">
        <v>421</v>
      </c>
      <c r="C17" s="10">
        <v>30761</v>
      </c>
      <c r="D17" s="10"/>
      <c r="E17" s="27">
        <v>2016</v>
      </c>
      <c r="F17" s="9" t="s">
        <v>421</v>
      </c>
      <c r="G17" s="10">
        <v>29151</v>
      </c>
      <c r="H17" s="2"/>
      <c r="I17" s="3"/>
    </row>
    <row r="18" spans="1:9">
      <c r="A18">
        <v>2017</v>
      </c>
      <c r="B18" s="9" t="s">
        <v>505</v>
      </c>
      <c r="C18" s="10">
        <v>178164</v>
      </c>
      <c r="D18" s="10"/>
      <c r="E18" s="27">
        <v>2016</v>
      </c>
      <c r="F18" s="9" t="s">
        <v>505</v>
      </c>
      <c r="G18" s="10">
        <v>167612</v>
      </c>
      <c r="H18" s="2"/>
      <c r="I18" s="3"/>
    </row>
    <row r="19" spans="1:9">
      <c r="A19">
        <v>2017</v>
      </c>
      <c r="B19" s="9" t="s">
        <v>506</v>
      </c>
      <c r="C19" s="10">
        <v>142802</v>
      </c>
      <c r="D19" s="10"/>
      <c r="E19" s="27">
        <v>2016</v>
      </c>
      <c r="F19" s="9" t="s">
        <v>506</v>
      </c>
      <c r="G19" s="10">
        <v>140941</v>
      </c>
      <c r="H19" s="2"/>
      <c r="I19" s="3"/>
    </row>
    <row r="20" spans="1:9">
      <c r="A20">
        <v>2017</v>
      </c>
      <c r="B20" s="9" t="s">
        <v>507</v>
      </c>
      <c r="C20" s="10">
        <v>200581</v>
      </c>
      <c r="D20" s="10"/>
      <c r="E20" s="27">
        <v>2016</v>
      </c>
      <c r="F20" s="9" t="s">
        <v>507</v>
      </c>
      <c r="G20" s="10">
        <v>212988</v>
      </c>
      <c r="H20" s="2"/>
      <c r="I20" s="3"/>
    </row>
    <row r="21" spans="1:9">
      <c r="A21">
        <v>2017</v>
      </c>
      <c r="B21" s="9" t="s">
        <v>508</v>
      </c>
      <c r="C21" s="10">
        <v>448436</v>
      </c>
      <c r="D21" s="10"/>
      <c r="E21" s="27">
        <v>2016</v>
      </c>
      <c r="F21" s="9" t="s">
        <v>508</v>
      </c>
      <c r="G21" s="10">
        <v>434015</v>
      </c>
      <c r="H21" s="2"/>
      <c r="I21" s="3"/>
    </row>
    <row r="22" spans="1:9">
      <c r="A22">
        <v>2017</v>
      </c>
      <c r="B22" s="9" t="s">
        <v>422</v>
      </c>
      <c r="C22" s="10">
        <v>13171</v>
      </c>
      <c r="D22" s="10"/>
      <c r="E22" s="27">
        <v>2016</v>
      </c>
      <c r="F22" s="9" t="s">
        <v>422</v>
      </c>
      <c r="G22" s="10">
        <v>12965</v>
      </c>
      <c r="H22" s="2"/>
      <c r="I22" s="3"/>
    </row>
    <row r="23" spans="1:9">
      <c r="A23">
        <v>2017</v>
      </c>
      <c r="B23" s="9" t="s">
        <v>509</v>
      </c>
      <c r="C23" s="10">
        <v>172129</v>
      </c>
      <c r="D23" s="10"/>
      <c r="E23" s="27">
        <v>2016</v>
      </c>
      <c r="F23" s="9" t="s">
        <v>509</v>
      </c>
      <c r="G23" s="10">
        <v>166447</v>
      </c>
      <c r="H23" s="2"/>
      <c r="I23" s="3"/>
    </row>
    <row r="24" spans="1:9">
      <c r="A24">
        <v>2017</v>
      </c>
      <c r="B24" s="9" t="s">
        <v>510</v>
      </c>
      <c r="C24" s="10">
        <v>452795</v>
      </c>
      <c r="D24" s="10"/>
      <c r="E24" s="27">
        <v>2016</v>
      </c>
      <c r="F24" s="9" t="s">
        <v>510</v>
      </c>
      <c r="G24" s="10">
        <v>463423</v>
      </c>
      <c r="H24" s="2"/>
      <c r="I24" s="3"/>
    </row>
    <row r="25" spans="1:9">
      <c r="A25">
        <v>2017</v>
      </c>
      <c r="B25" s="9" t="s">
        <v>511</v>
      </c>
      <c r="C25" s="10">
        <v>314328</v>
      </c>
      <c r="D25" s="10"/>
      <c r="E25" s="27">
        <v>2016</v>
      </c>
      <c r="F25" s="9" t="s">
        <v>511</v>
      </c>
      <c r="G25" s="10">
        <v>303788</v>
      </c>
      <c r="H25" s="2"/>
      <c r="I25" s="3"/>
    </row>
    <row r="26" spans="1:9">
      <c r="A26">
        <v>2017</v>
      </c>
      <c r="B26" s="9" t="s">
        <v>512</v>
      </c>
      <c r="C26" s="10">
        <v>901065</v>
      </c>
      <c r="D26" s="10"/>
      <c r="E26" s="27">
        <v>2016</v>
      </c>
      <c r="F26" s="9" t="s">
        <v>512</v>
      </c>
      <c r="G26" s="10">
        <v>838784</v>
      </c>
      <c r="H26" s="2"/>
      <c r="I26" s="3"/>
    </row>
    <row r="27" spans="1:9">
      <c r="A27">
        <v>2017</v>
      </c>
      <c r="B27" s="9" t="s">
        <v>513</v>
      </c>
      <c r="C27" s="10">
        <v>51947</v>
      </c>
      <c r="D27" s="10"/>
      <c r="E27" s="27">
        <v>2016</v>
      </c>
      <c r="F27" s="9" t="s">
        <v>513</v>
      </c>
      <c r="G27" s="10">
        <v>35114</v>
      </c>
      <c r="H27" s="2"/>
      <c r="I27" s="3"/>
    </row>
    <row r="28" spans="1:9">
      <c r="A28">
        <v>2017</v>
      </c>
      <c r="B28" s="9" t="s">
        <v>514</v>
      </c>
      <c r="C28" s="10">
        <v>296602</v>
      </c>
      <c r="D28" s="10"/>
      <c r="E28" s="27">
        <v>2016</v>
      </c>
      <c r="F28" s="9" t="s">
        <v>514</v>
      </c>
      <c r="G28" s="10">
        <v>313225</v>
      </c>
      <c r="H28" s="2"/>
      <c r="I28" s="3"/>
    </row>
    <row r="29" spans="1:9">
      <c r="A29">
        <v>2017</v>
      </c>
      <c r="B29" s="9" t="s">
        <v>515</v>
      </c>
      <c r="C29" s="10">
        <v>62850</v>
      </c>
      <c r="D29" s="10"/>
      <c r="E29" s="27">
        <v>2016</v>
      </c>
      <c r="F29" s="9" t="s">
        <v>515</v>
      </c>
      <c r="G29" s="10">
        <v>61875</v>
      </c>
      <c r="H29" s="2"/>
      <c r="I29" s="3"/>
    </row>
    <row r="30" spans="1:9">
      <c r="A30">
        <v>2017</v>
      </c>
      <c r="B30" s="9" t="s">
        <v>11</v>
      </c>
      <c r="C30" s="10">
        <v>40554</v>
      </c>
      <c r="D30" s="10"/>
      <c r="E30" s="27">
        <v>2016</v>
      </c>
      <c r="F30" s="9" t="s">
        <v>11</v>
      </c>
      <c r="G30" s="10">
        <v>39879</v>
      </c>
      <c r="H30" s="2"/>
      <c r="I30" s="3"/>
    </row>
    <row r="31" spans="1:9">
      <c r="A31">
        <v>2017</v>
      </c>
      <c r="B31" s="9" t="s">
        <v>516</v>
      </c>
      <c r="C31" s="10">
        <v>1656188</v>
      </c>
      <c r="D31" s="10"/>
      <c r="E31" s="27">
        <v>2016</v>
      </c>
      <c r="F31" s="9" t="s">
        <v>516</v>
      </c>
      <c r="G31" s="10">
        <v>1515039</v>
      </c>
      <c r="H31" s="2"/>
      <c r="I31" s="3"/>
    </row>
    <row r="32" spans="1:9">
      <c r="A32">
        <v>2017</v>
      </c>
      <c r="B32" s="9" t="s">
        <v>517</v>
      </c>
      <c r="C32" s="10">
        <v>3473104</v>
      </c>
      <c r="D32" s="10"/>
      <c r="E32" s="27">
        <v>2016</v>
      </c>
      <c r="F32" s="9" t="s">
        <v>517</v>
      </c>
      <c r="G32" s="10">
        <v>3386873</v>
      </c>
      <c r="H32" s="2"/>
      <c r="I32" s="3"/>
    </row>
    <row r="33" spans="1:9">
      <c r="A33">
        <v>2017</v>
      </c>
      <c r="B33" s="9" t="s">
        <v>518</v>
      </c>
      <c r="C33" s="10">
        <v>1086760</v>
      </c>
      <c r="D33" s="10"/>
      <c r="E33" s="27">
        <v>2016</v>
      </c>
      <c r="F33" s="9" t="s">
        <v>518</v>
      </c>
      <c r="G33" s="10">
        <v>1044701</v>
      </c>
      <c r="H33" s="2"/>
      <c r="I33" s="3"/>
    </row>
    <row r="34" spans="1:9">
      <c r="A34">
        <v>2017</v>
      </c>
      <c r="B34" s="9" t="s">
        <v>14</v>
      </c>
      <c r="C34" s="10">
        <v>5951</v>
      </c>
      <c r="D34" s="10"/>
      <c r="E34" s="27">
        <v>2016</v>
      </c>
      <c r="F34" s="9" t="s">
        <v>14</v>
      </c>
      <c r="G34" s="10">
        <v>5951</v>
      </c>
      <c r="H34" s="2"/>
      <c r="I34" s="3"/>
    </row>
    <row r="35" spans="1:9">
      <c r="A35">
        <v>2017</v>
      </c>
      <c r="B35" s="9" t="s">
        <v>519</v>
      </c>
      <c r="C35" s="10">
        <v>543230</v>
      </c>
      <c r="D35" s="10"/>
      <c r="E35" s="27">
        <v>2016</v>
      </c>
      <c r="F35" s="9" t="s">
        <v>519</v>
      </c>
      <c r="G35" s="10">
        <v>541375</v>
      </c>
      <c r="H35" s="2"/>
      <c r="I35" s="3"/>
    </row>
    <row r="36" spans="1:9">
      <c r="A36">
        <v>2017</v>
      </c>
      <c r="B36" s="9" t="s">
        <v>520</v>
      </c>
      <c r="C36" s="10">
        <v>58561</v>
      </c>
      <c r="D36" s="10"/>
      <c r="E36" s="27">
        <v>2016</v>
      </c>
      <c r="F36" s="9" t="s">
        <v>520</v>
      </c>
      <c r="G36" s="10">
        <v>59296</v>
      </c>
      <c r="H36" s="2"/>
      <c r="I36" s="3"/>
    </row>
    <row r="37" spans="1:9">
      <c r="A37">
        <v>2017</v>
      </c>
      <c r="B37" s="9" t="s">
        <v>423</v>
      </c>
      <c r="C37" s="10">
        <v>1025920</v>
      </c>
      <c r="D37" s="10"/>
      <c r="E37" s="27">
        <v>2016</v>
      </c>
      <c r="F37" s="9" t="s">
        <v>423</v>
      </c>
      <c r="G37" s="10">
        <v>1018008</v>
      </c>
      <c r="H37" s="2"/>
      <c r="I37" s="3"/>
    </row>
    <row r="38" spans="1:9">
      <c r="A38">
        <v>2017</v>
      </c>
      <c r="B38" s="9" t="s">
        <v>521</v>
      </c>
      <c r="C38" s="10">
        <v>27467</v>
      </c>
      <c r="D38" s="10"/>
      <c r="E38" s="27">
        <v>2016</v>
      </c>
      <c r="F38" s="9" t="s">
        <v>521</v>
      </c>
      <c r="G38" s="10">
        <v>26567</v>
      </c>
      <c r="H38" s="2"/>
      <c r="I38" s="3"/>
    </row>
    <row r="39" spans="1:9">
      <c r="A39">
        <v>2017</v>
      </c>
      <c r="B39" s="9" t="s">
        <v>522</v>
      </c>
      <c r="C39" s="10">
        <v>69932</v>
      </c>
      <c r="D39" s="10"/>
      <c r="E39" s="27">
        <v>2016</v>
      </c>
      <c r="F39" s="9" t="s">
        <v>522</v>
      </c>
      <c r="G39" s="10">
        <v>78297</v>
      </c>
      <c r="H39" s="2"/>
      <c r="I39" s="3"/>
    </row>
    <row r="40" spans="1:9">
      <c r="A40">
        <v>2017</v>
      </c>
      <c r="B40" s="9" t="s">
        <v>523</v>
      </c>
      <c r="C40" s="10">
        <v>108273</v>
      </c>
      <c r="D40" s="10"/>
      <c r="E40" s="27">
        <v>2016</v>
      </c>
      <c r="F40" s="9" t="s">
        <v>523</v>
      </c>
      <c r="G40" s="10">
        <v>113777</v>
      </c>
      <c r="H40" s="2"/>
      <c r="I40" s="3"/>
    </row>
    <row r="41" spans="1:9">
      <c r="A41">
        <v>2017</v>
      </c>
      <c r="B41" s="9" t="s">
        <v>524</v>
      </c>
      <c r="C41" s="10">
        <v>186703</v>
      </c>
      <c r="D41" s="10"/>
      <c r="E41" s="27">
        <v>2016</v>
      </c>
      <c r="F41" s="9" t="s">
        <v>524</v>
      </c>
      <c r="G41" s="10">
        <v>185253</v>
      </c>
      <c r="H41" s="2"/>
      <c r="I41" s="3"/>
    </row>
    <row r="42" spans="1:9">
      <c r="A42">
        <v>2017</v>
      </c>
      <c r="B42" s="9" t="s">
        <v>525</v>
      </c>
      <c r="C42" s="10">
        <v>160092</v>
      </c>
      <c r="D42" s="10"/>
      <c r="E42" s="27">
        <v>2016</v>
      </c>
      <c r="F42" s="9" t="s">
        <v>525</v>
      </c>
      <c r="G42" s="10">
        <v>134537</v>
      </c>
      <c r="H42" s="2"/>
      <c r="I42" s="3"/>
    </row>
    <row r="43" spans="1:9">
      <c r="A43">
        <v>2017</v>
      </c>
      <c r="B43" s="9" t="s">
        <v>526</v>
      </c>
      <c r="C43" s="10">
        <v>469451</v>
      </c>
      <c r="D43" s="10"/>
      <c r="E43" s="27">
        <v>2016</v>
      </c>
      <c r="F43" s="9" t="s">
        <v>526</v>
      </c>
      <c r="G43" s="10">
        <v>466401</v>
      </c>
      <c r="H43" s="2"/>
      <c r="I43" s="3"/>
    </row>
    <row r="44" spans="1:9">
      <c r="A44">
        <v>2017</v>
      </c>
      <c r="B44" s="9" t="s">
        <v>527</v>
      </c>
      <c r="C44" s="10">
        <v>1668380</v>
      </c>
      <c r="D44" s="10"/>
      <c r="E44" s="27">
        <v>2016</v>
      </c>
      <c r="F44" s="9" t="s">
        <v>527</v>
      </c>
      <c r="G44" s="10">
        <v>1624519</v>
      </c>
      <c r="H44" s="2"/>
      <c r="I44" s="3"/>
    </row>
    <row r="45" spans="1:9">
      <c r="A45">
        <v>2017</v>
      </c>
      <c r="B45" s="9" t="s">
        <v>528</v>
      </c>
      <c r="C45" s="10">
        <v>40916</v>
      </c>
      <c r="D45" s="10"/>
      <c r="E45" s="27">
        <v>2016</v>
      </c>
      <c r="F45" s="9" t="s">
        <v>528</v>
      </c>
      <c r="G45" s="10">
        <v>37737</v>
      </c>
      <c r="H45" s="2"/>
      <c r="I45" s="3"/>
    </row>
    <row r="46" spans="1:9">
      <c r="A46">
        <v>2017</v>
      </c>
      <c r="B46" s="9" t="s">
        <v>529</v>
      </c>
      <c r="C46" s="10">
        <v>147346</v>
      </c>
      <c r="D46" s="10"/>
      <c r="E46" s="27">
        <v>2016</v>
      </c>
      <c r="F46" s="9" t="s">
        <v>529</v>
      </c>
      <c r="G46" s="10">
        <v>139580</v>
      </c>
      <c r="H46" s="2"/>
      <c r="I46" s="3"/>
    </row>
    <row r="47" spans="1:9">
      <c r="A47">
        <v>2017</v>
      </c>
      <c r="B47" s="9" t="s">
        <v>530</v>
      </c>
      <c r="C47" s="10">
        <v>251579</v>
      </c>
      <c r="D47" s="10"/>
      <c r="E47" s="27">
        <v>2016</v>
      </c>
      <c r="F47" s="9" t="s">
        <v>530</v>
      </c>
      <c r="G47" s="10">
        <v>248273</v>
      </c>
      <c r="H47" s="2"/>
      <c r="I47" s="3"/>
    </row>
    <row r="48" spans="1:9">
      <c r="A48">
        <v>2017</v>
      </c>
      <c r="B48" s="9" t="s">
        <v>531</v>
      </c>
      <c r="C48" s="9">
        <v>0</v>
      </c>
      <c r="E48" s="27">
        <v>2016</v>
      </c>
      <c r="F48" s="9" t="s">
        <v>531</v>
      </c>
      <c r="H48" s="2"/>
      <c r="I48" s="1"/>
    </row>
    <row r="49" spans="1:9">
      <c r="A49">
        <v>2017</v>
      </c>
      <c r="B49" s="9" t="s">
        <v>532</v>
      </c>
      <c r="C49" s="10">
        <v>306943</v>
      </c>
      <c r="D49" s="10"/>
      <c r="E49" s="27">
        <v>2016</v>
      </c>
      <c r="F49" s="9" t="s">
        <v>532</v>
      </c>
      <c r="G49" s="10">
        <v>312518</v>
      </c>
      <c r="H49" s="2"/>
      <c r="I49" s="3"/>
    </row>
    <row r="50" spans="1:9">
      <c r="A50">
        <v>2017</v>
      </c>
      <c r="B50" s="9" t="s">
        <v>533</v>
      </c>
      <c r="C50" s="10">
        <v>213878</v>
      </c>
      <c r="D50" s="10"/>
      <c r="E50" s="27">
        <v>2016</v>
      </c>
      <c r="F50" s="9" t="s">
        <v>533</v>
      </c>
      <c r="G50" s="10">
        <v>188256</v>
      </c>
      <c r="H50" s="2"/>
      <c r="I50" s="3"/>
    </row>
    <row r="51" spans="1:9">
      <c r="A51">
        <v>2017</v>
      </c>
      <c r="B51" s="9" t="s">
        <v>534</v>
      </c>
      <c r="C51" s="10">
        <v>9365</v>
      </c>
      <c r="D51" s="10"/>
      <c r="E51" s="27">
        <v>2016</v>
      </c>
      <c r="F51" s="9" t="s">
        <v>534</v>
      </c>
      <c r="G51" s="10">
        <v>6475</v>
      </c>
      <c r="H51" s="2"/>
      <c r="I51" s="3"/>
    </row>
    <row r="52" spans="1:9">
      <c r="A52">
        <v>2017</v>
      </c>
      <c r="B52" s="9" t="s">
        <v>535</v>
      </c>
      <c r="C52" s="10">
        <v>466463</v>
      </c>
      <c r="D52" s="10"/>
      <c r="E52" s="27">
        <v>2016</v>
      </c>
      <c r="F52" s="9" t="s">
        <v>535</v>
      </c>
      <c r="G52" s="10">
        <v>448251</v>
      </c>
      <c r="H52" s="2"/>
      <c r="I52" s="1"/>
    </row>
    <row r="53" spans="1:9">
      <c r="A53">
        <v>2017</v>
      </c>
      <c r="B53" s="9" t="s">
        <v>933</v>
      </c>
      <c r="C53" s="10">
        <v>119923</v>
      </c>
      <c r="D53" s="10"/>
      <c r="E53" s="27">
        <v>2016</v>
      </c>
      <c r="F53" s="9" t="s">
        <v>933</v>
      </c>
      <c r="G53" s="10">
        <v>107119</v>
      </c>
      <c r="H53" s="2"/>
      <c r="I53" s="3"/>
    </row>
    <row r="54" spans="1:9">
      <c r="A54">
        <v>2017</v>
      </c>
      <c r="B54" s="9" t="s">
        <v>537</v>
      </c>
      <c r="C54" s="10">
        <v>328072</v>
      </c>
      <c r="D54" s="10"/>
      <c r="E54" s="27">
        <v>2016</v>
      </c>
      <c r="F54" s="9" t="s">
        <v>537</v>
      </c>
      <c r="G54" s="10">
        <v>338384</v>
      </c>
      <c r="H54" s="2"/>
      <c r="I54" s="3"/>
    </row>
    <row r="55" spans="1:9">
      <c r="A55">
        <v>2017</v>
      </c>
      <c r="B55" s="9" t="s">
        <v>424</v>
      </c>
      <c r="C55" s="10">
        <v>57171</v>
      </c>
      <c r="D55" s="10"/>
      <c r="E55" s="27">
        <v>2016</v>
      </c>
      <c r="F55" s="9" t="s">
        <v>424</v>
      </c>
      <c r="G55" s="10">
        <v>40123</v>
      </c>
      <c r="H55" s="2"/>
      <c r="I55" s="3"/>
    </row>
    <row r="56" spans="1:9">
      <c r="A56">
        <v>2017</v>
      </c>
      <c r="B56" s="9" t="s">
        <v>538</v>
      </c>
      <c r="C56" s="10">
        <v>154276</v>
      </c>
      <c r="D56" s="10"/>
      <c r="E56" s="27">
        <v>2016</v>
      </c>
      <c r="F56" s="9" t="s">
        <v>538</v>
      </c>
      <c r="G56" s="10">
        <v>147461</v>
      </c>
      <c r="H56" s="2"/>
      <c r="I56" s="3"/>
    </row>
    <row r="57" spans="1:9">
      <c r="A57">
        <v>2017</v>
      </c>
      <c r="B57" s="9" t="s">
        <v>539</v>
      </c>
      <c r="C57" s="10">
        <v>90478</v>
      </c>
      <c r="D57" s="10"/>
      <c r="E57" s="27">
        <v>2016</v>
      </c>
      <c r="F57" s="9" t="s">
        <v>539</v>
      </c>
      <c r="G57" s="10">
        <v>88790</v>
      </c>
      <c r="H57" s="2"/>
      <c r="I57" s="3"/>
    </row>
    <row r="58" spans="1:9">
      <c r="A58">
        <v>2017</v>
      </c>
      <c r="B58" s="9" t="s">
        <v>540</v>
      </c>
      <c r="C58" s="10">
        <v>283200</v>
      </c>
      <c r="D58" s="10"/>
      <c r="E58" s="27">
        <v>2016</v>
      </c>
      <c r="F58" s="9" t="s">
        <v>540</v>
      </c>
      <c r="G58" s="10">
        <v>283800</v>
      </c>
      <c r="H58" s="2"/>
      <c r="I58" s="3"/>
    </row>
    <row r="59" spans="1:9">
      <c r="A59">
        <v>2017</v>
      </c>
      <c r="B59" s="9" t="s">
        <v>541</v>
      </c>
      <c r="C59" s="10">
        <v>65277</v>
      </c>
      <c r="D59" s="10"/>
      <c r="E59" s="27">
        <v>2016</v>
      </c>
      <c r="F59" s="9" t="s">
        <v>541</v>
      </c>
      <c r="G59" s="10">
        <v>54050</v>
      </c>
      <c r="H59" s="2"/>
      <c r="I59" s="3"/>
    </row>
    <row r="60" spans="1:9">
      <c r="A60">
        <v>2017</v>
      </c>
      <c r="B60" s="9" t="s">
        <v>542</v>
      </c>
      <c r="C60" s="10">
        <v>101054</v>
      </c>
      <c r="D60" s="10"/>
      <c r="E60" s="27">
        <v>2016</v>
      </c>
      <c r="F60" s="9" t="s">
        <v>542</v>
      </c>
      <c r="G60" s="10">
        <v>96669</v>
      </c>
      <c r="H60" s="2"/>
      <c r="I60" s="3"/>
    </row>
    <row r="61" spans="1:9">
      <c r="A61">
        <v>2017</v>
      </c>
      <c r="B61" s="9" t="s">
        <v>543</v>
      </c>
      <c r="C61" s="10">
        <v>1174965</v>
      </c>
      <c r="D61" s="10"/>
      <c r="E61" s="27">
        <v>2016</v>
      </c>
      <c r="F61" s="9" t="s">
        <v>543</v>
      </c>
      <c r="G61" s="10">
        <v>1057195</v>
      </c>
      <c r="H61" s="2"/>
      <c r="I61" s="3"/>
    </row>
    <row r="62" spans="1:9">
      <c r="A62">
        <v>2017</v>
      </c>
      <c r="B62" s="9" t="s">
        <v>25</v>
      </c>
      <c r="C62" s="10">
        <v>13755</v>
      </c>
      <c r="D62" s="10"/>
      <c r="E62" s="27">
        <v>2016</v>
      </c>
      <c r="F62" s="9" t="s">
        <v>25</v>
      </c>
      <c r="H62" s="2"/>
      <c r="I62" s="1"/>
    </row>
    <row r="63" spans="1:9">
      <c r="A63">
        <v>2017</v>
      </c>
      <c r="B63" s="9" t="s">
        <v>544</v>
      </c>
      <c r="C63" s="10">
        <v>50019</v>
      </c>
      <c r="D63" s="10"/>
      <c r="E63" s="27">
        <v>2016</v>
      </c>
      <c r="F63" s="9" t="s">
        <v>544</v>
      </c>
      <c r="G63" s="10">
        <v>48800</v>
      </c>
      <c r="H63" s="2"/>
      <c r="I63" s="3"/>
    </row>
    <row r="64" spans="1:9">
      <c r="A64">
        <v>2017</v>
      </c>
      <c r="B64" s="9" t="s">
        <v>545</v>
      </c>
      <c r="C64" s="10">
        <v>19331</v>
      </c>
      <c r="D64" s="10"/>
      <c r="E64" s="27">
        <v>2016</v>
      </c>
      <c r="F64" s="9" t="s">
        <v>545</v>
      </c>
      <c r="G64" s="10">
        <v>15633</v>
      </c>
      <c r="H64" s="2"/>
      <c r="I64" s="3"/>
    </row>
    <row r="65" spans="1:9">
      <c r="A65">
        <v>2017</v>
      </c>
      <c r="B65" s="9" t="s">
        <v>546</v>
      </c>
      <c r="C65" s="10">
        <v>159025</v>
      </c>
      <c r="D65" s="10"/>
      <c r="E65" s="27">
        <v>2016</v>
      </c>
      <c r="F65" s="9" t="s">
        <v>546</v>
      </c>
      <c r="G65" s="10">
        <v>135404</v>
      </c>
      <c r="H65" s="2"/>
      <c r="I65" s="3"/>
    </row>
    <row r="66" spans="1:9">
      <c r="A66">
        <v>2017</v>
      </c>
      <c r="B66" s="9" t="s">
        <v>547</v>
      </c>
      <c r="C66" s="10">
        <v>1823297</v>
      </c>
      <c r="D66" s="10"/>
      <c r="E66" s="27">
        <v>2016</v>
      </c>
      <c r="F66" s="9" t="s">
        <v>547</v>
      </c>
      <c r="G66" s="10">
        <v>1780113</v>
      </c>
      <c r="H66" s="2"/>
      <c r="I66" s="3"/>
    </row>
    <row r="67" spans="1:9">
      <c r="A67">
        <v>2017</v>
      </c>
      <c r="B67" s="9" t="s">
        <v>548</v>
      </c>
      <c r="C67" s="10">
        <v>179631</v>
      </c>
      <c r="D67" s="10"/>
      <c r="E67" s="27">
        <v>2016</v>
      </c>
      <c r="F67" s="9" t="s">
        <v>548</v>
      </c>
      <c r="G67" s="10">
        <v>165260</v>
      </c>
      <c r="H67" s="2"/>
      <c r="I67" s="3"/>
    </row>
    <row r="68" spans="1:9">
      <c r="A68">
        <v>2017</v>
      </c>
      <c r="B68" s="9" t="s">
        <v>549</v>
      </c>
      <c r="C68" s="10">
        <v>403597</v>
      </c>
      <c r="D68" s="10"/>
      <c r="E68" s="27">
        <v>2016</v>
      </c>
      <c r="F68" s="9" t="s">
        <v>549</v>
      </c>
      <c r="G68" s="10">
        <v>386956</v>
      </c>
      <c r="H68" s="2"/>
      <c r="I68" s="3"/>
    </row>
    <row r="69" spans="1:9">
      <c r="A69">
        <v>2017</v>
      </c>
      <c r="B69" s="9" t="s">
        <v>550</v>
      </c>
      <c r="C69" s="10">
        <v>126971</v>
      </c>
      <c r="D69" s="10"/>
      <c r="E69" s="27">
        <v>2016</v>
      </c>
      <c r="F69" s="9" t="s">
        <v>550</v>
      </c>
      <c r="G69" s="10">
        <v>125610</v>
      </c>
      <c r="H69" s="2"/>
      <c r="I69" s="3"/>
    </row>
    <row r="70" spans="1:9">
      <c r="A70">
        <v>2017</v>
      </c>
      <c r="B70" s="9" t="s">
        <v>551</v>
      </c>
      <c r="C70" s="10">
        <v>235678</v>
      </c>
      <c r="D70" s="10"/>
      <c r="E70" s="27">
        <v>2016</v>
      </c>
      <c r="F70" s="9" t="s">
        <v>551</v>
      </c>
      <c r="G70" s="10">
        <v>226953</v>
      </c>
      <c r="H70" s="2"/>
      <c r="I70" s="3"/>
    </row>
    <row r="71" spans="1:9">
      <c r="A71">
        <v>2017</v>
      </c>
      <c r="B71" s="9" t="s">
        <v>552</v>
      </c>
      <c r="C71" s="10">
        <v>88266</v>
      </c>
      <c r="D71" s="10"/>
      <c r="E71" s="27">
        <v>2016</v>
      </c>
      <c r="F71" s="9" t="s">
        <v>552</v>
      </c>
      <c r="G71" s="10">
        <v>72074</v>
      </c>
      <c r="H71" s="2"/>
      <c r="I71" s="3"/>
    </row>
    <row r="72" spans="1:9">
      <c r="A72">
        <v>2017</v>
      </c>
      <c r="B72" s="9" t="s">
        <v>553</v>
      </c>
      <c r="C72" s="10">
        <v>230158</v>
      </c>
      <c r="D72" s="10"/>
      <c r="E72" s="27">
        <v>2016</v>
      </c>
      <c r="F72" s="9" t="s">
        <v>553</v>
      </c>
      <c r="G72" s="10">
        <v>230692</v>
      </c>
      <c r="H72" s="2"/>
      <c r="I72" s="3"/>
    </row>
    <row r="73" spans="1:9">
      <c r="A73">
        <v>2017</v>
      </c>
      <c r="B73" s="9" t="s">
        <v>554</v>
      </c>
      <c r="C73" s="10">
        <v>1033810</v>
      </c>
      <c r="D73" s="10"/>
      <c r="E73" s="27">
        <v>2016</v>
      </c>
      <c r="F73" s="9" t="s">
        <v>554</v>
      </c>
      <c r="G73" s="10">
        <v>1015464</v>
      </c>
      <c r="H73" s="2"/>
      <c r="I73" s="3"/>
    </row>
    <row r="74" spans="1:9">
      <c r="A74">
        <v>2017</v>
      </c>
      <c r="B74" s="9" t="s">
        <v>555</v>
      </c>
      <c r="C74" s="10">
        <v>1583670</v>
      </c>
      <c r="D74" s="10"/>
      <c r="E74" s="27">
        <v>2016</v>
      </c>
      <c r="F74" s="9" t="s">
        <v>555</v>
      </c>
      <c r="G74" s="10">
        <v>1575144</v>
      </c>
      <c r="H74" s="2"/>
      <c r="I74" s="3"/>
    </row>
    <row r="75" spans="1:9">
      <c r="A75">
        <v>2017</v>
      </c>
      <c r="B75" s="9" t="s">
        <v>556</v>
      </c>
      <c r="C75" s="10">
        <v>4179</v>
      </c>
      <c r="D75" s="10"/>
      <c r="E75" s="27">
        <v>2016</v>
      </c>
      <c r="F75" s="9" t="s">
        <v>556</v>
      </c>
      <c r="G75" s="10">
        <v>4205</v>
      </c>
      <c r="H75" s="2"/>
      <c r="I75" s="3"/>
    </row>
    <row r="76" spans="1:9">
      <c r="A76">
        <v>2017</v>
      </c>
      <c r="B76" s="9" t="s">
        <v>934</v>
      </c>
      <c r="C76" s="10">
        <v>24429</v>
      </c>
      <c r="D76" s="10"/>
      <c r="E76" s="27">
        <v>2016</v>
      </c>
      <c r="F76" s="9" t="s">
        <v>934</v>
      </c>
      <c r="G76" s="10">
        <v>21208</v>
      </c>
      <c r="H76" s="2"/>
      <c r="I76" s="3"/>
    </row>
    <row r="77" spans="1:9">
      <c r="A77">
        <v>2017</v>
      </c>
      <c r="B77" s="9" t="s">
        <v>558</v>
      </c>
      <c r="C77" s="10">
        <v>124419</v>
      </c>
      <c r="D77" s="10"/>
      <c r="E77" s="27">
        <v>2016</v>
      </c>
      <c r="F77" s="9" t="s">
        <v>558</v>
      </c>
      <c r="G77" s="10">
        <v>121017</v>
      </c>
      <c r="H77" s="2"/>
      <c r="I77" s="3"/>
    </row>
    <row r="78" spans="1:9">
      <c r="A78">
        <v>2017</v>
      </c>
      <c r="B78" s="9" t="s">
        <v>559</v>
      </c>
      <c r="C78" s="10">
        <v>281305</v>
      </c>
      <c r="D78" s="10"/>
      <c r="E78" s="27">
        <v>2016</v>
      </c>
      <c r="F78" s="9" t="s">
        <v>559</v>
      </c>
      <c r="G78" s="10">
        <v>282568</v>
      </c>
      <c r="H78" s="2"/>
      <c r="I78" s="3"/>
    </row>
    <row r="79" spans="1:9">
      <c r="A79">
        <v>2017</v>
      </c>
      <c r="B79" s="9" t="s">
        <v>560</v>
      </c>
      <c r="C79" s="10">
        <v>4689352</v>
      </c>
      <c r="D79" s="10"/>
      <c r="E79" s="27">
        <v>2016</v>
      </c>
      <c r="F79" s="9" t="s">
        <v>560</v>
      </c>
      <c r="G79" s="10">
        <v>4862732</v>
      </c>
      <c r="H79" s="2"/>
      <c r="I79" s="3"/>
    </row>
    <row r="80" spans="1:9">
      <c r="A80">
        <v>2017</v>
      </c>
      <c r="B80" s="9" t="s">
        <v>561</v>
      </c>
      <c r="C80" s="10">
        <v>5133632</v>
      </c>
      <c r="D80" s="10"/>
      <c r="E80" s="27">
        <v>2016</v>
      </c>
      <c r="F80" s="9" t="s">
        <v>561</v>
      </c>
      <c r="G80" s="10">
        <v>4872434</v>
      </c>
      <c r="H80" s="2"/>
      <c r="I80" s="3"/>
    </row>
    <row r="81" spans="1:9">
      <c r="A81">
        <v>2017</v>
      </c>
      <c r="B81" s="9" t="s">
        <v>425</v>
      </c>
      <c r="C81" s="9">
        <v>0</v>
      </c>
      <c r="E81" s="27">
        <v>2016</v>
      </c>
      <c r="F81" s="9" t="s">
        <v>425</v>
      </c>
      <c r="G81" s="10">
        <v>8221</v>
      </c>
      <c r="H81" s="2"/>
      <c r="I81" s="3"/>
    </row>
    <row r="82" spans="1:9">
      <c r="A82">
        <v>2017</v>
      </c>
      <c r="B82" s="9" t="s">
        <v>562</v>
      </c>
      <c r="C82" s="10">
        <v>4504606</v>
      </c>
      <c r="D82" s="10"/>
      <c r="E82" s="27">
        <v>2016</v>
      </c>
      <c r="F82" s="9" t="s">
        <v>562</v>
      </c>
      <c r="G82" s="10">
        <v>4399148</v>
      </c>
      <c r="H82" s="2"/>
      <c r="I82" s="3"/>
    </row>
    <row r="83" spans="1:9">
      <c r="A83">
        <v>2017</v>
      </c>
      <c r="B83" s="9" t="s">
        <v>563</v>
      </c>
      <c r="C83" s="10">
        <v>2488683</v>
      </c>
      <c r="D83" s="10"/>
      <c r="E83" s="27">
        <v>2016</v>
      </c>
      <c r="F83" s="9" t="s">
        <v>563</v>
      </c>
      <c r="G83" s="10">
        <v>2495340</v>
      </c>
      <c r="H83" s="2"/>
      <c r="I83" s="3"/>
    </row>
    <row r="84" spans="1:9">
      <c r="A84">
        <v>2017</v>
      </c>
      <c r="B84" s="9" t="s">
        <v>564</v>
      </c>
      <c r="C84" s="10">
        <v>710927</v>
      </c>
      <c r="D84" s="10"/>
      <c r="E84" s="27">
        <v>2016</v>
      </c>
      <c r="F84" s="9" t="s">
        <v>564</v>
      </c>
      <c r="G84" s="10">
        <v>675337</v>
      </c>
      <c r="H84" s="2"/>
      <c r="I84" s="3"/>
    </row>
    <row r="85" spans="1:9">
      <c r="A85">
        <v>2017</v>
      </c>
      <c r="B85" s="9" t="s">
        <v>565</v>
      </c>
      <c r="C85" s="10">
        <v>1621037</v>
      </c>
      <c r="D85" s="10"/>
      <c r="E85" s="27">
        <v>2016</v>
      </c>
      <c r="F85" s="9" t="s">
        <v>565</v>
      </c>
      <c r="G85" s="10">
        <v>1565476</v>
      </c>
      <c r="H85" s="2"/>
      <c r="I85" s="3"/>
    </row>
    <row r="86" spans="1:9">
      <c r="A86">
        <v>2017</v>
      </c>
      <c r="B86" s="9" t="s">
        <v>51</v>
      </c>
      <c r="C86" s="10">
        <v>117198</v>
      </c>
      <c r="D86" s="10"/>
      <c r="E86" s="27">
        <v>2016</v>
      </c>
      <c r="F86" s="9" t="s">
        <v>51</v>
      </c>
      <c r="G86" s="10">
        <v>114596</v>
      </c>
      <c r="H86" s="2"/>
      <c r="I86" s="3"/>
    </row>
    <row r="87" spans="1:9">
      <c r="A87">
        <v>2017</v>
      </c>
      <c r="B87" s="9" t="s">
        <v>52</v>
      </c>
      <c r="C87" s="10">
        <v>2451</v>
      </c>
      <c r="D87" s="10"/>
      <c r="E87" s="27">
        <v>2016</v>
      </c>
      <c r="F87" s="9" t="s">
        <v>52</v>
      </c>
      <c r="H87" s="2"/>
      <c r="I87" s="1"/>
    </row>
    <row r="88" spans="1:9">
      <c r="A88">
        <v>2017</v>
      </c>
      <c r="B88" s="9" t="s">
        <v>566</v>
      </c>
      <c r="C88" s="10">
        <v>742805</v>
      </c>
      <c r="D88" s="10"/>
      <c r="E88" s="27">
        <v>2016</v>
      </c>
      <c r="F88" s="9" t="s">
        <v>566</v>
      </c>
      <c r="G88" s="10">
        <v>713742</v>
      </c>
      <c r="H88" s="2"/>
      <c r="I88" s="3"/>
    </row>
    <row r="89" spans="1:9">
      <c r="A89">
        <v>2017</v>
      </c>
      <c r="B89" s="9" t="s">
        <v>567</v>
      </c>
      <c r="C89" s="10">
        <v>303617</v>
      </c>
      <c r="D89" s="10"/>
      <c r="E89" s="27">
        <v>2016</v>
      </c>
      <c r="F89" s="9" t="s">
        <v>567</v>
      </c>
      <c r="G89" s="10">
        <v>291285</v>
      </c>
      <c r="H89" s="2"/>
      <c r="I89" s="3"/>
    </row>
    <row r="90" spans="1:9">
      <c r="A90">
        <v>2017</v>
      </c>
      <c r="B90" s="9" t="s">
        <v>568</v>
      </c>
      <c r="C90" s="10">
        <v>21501</v>
      </c>
      <c r="D90" s="10"/>
      <c r="E90" s="27">
        <v>2016</v>
      </c>
      <c r="F90" s="9" t="s">
        <v>568</v>
      </c>
      <c r="G90" s="10">
        <v>18041</v>
      </c>
      <c r="H90" s="2"/>
      <c r="I90" s="3"/>
    </row>
    <row r="91" spans="1:9">
      <c r="A91">
        <v>2017</v>
      </c>
      <c r="B91" s="9" t="s">
        <v>569</v>
      </c>
      <c r="C91" s="10">
        <v>96881</v>
      </c>
      <c r="D91" s="10"/>
      <c r="E91" s="27">
        <v>2016</v>
      </c>
      <c r="F91" s="9" t="s">
        <v>569</v>
      </c>
      <c r="G91" s="21">
        <v>87996</v>
      </c>
      <c r="H91" s="2"/>
      <c r="I91" s="3"/>
    </row>
    <row r="92" spans="1:9">
      <c r="A92">
        <v>2017</v>
      </c>
      <c r="B92" s="9" t="s">
        <v>570</v>
      </c>
      <c r="C92" s="10">
        <v>16418</v>
      </c>
      <c r="D92" s="10"/>
      <c r="E92" s="27">
        <v>2016</v>
      </c>
      <c r="F92" s="9" t="s">
        <v>570</v>
      </c>
      <c r="G92" s="10">
        <v>15972</v>
      </c>
      <c r="H92" s="2"/>
      <c r="I92" s="3"/>
    </row>
    <row r="93" spans="1:9">
      <c r="A93">
        <v>2017</v>
      </c>
      <c r="B93" s="9" t="s">
        <v>572</v>
      </c>
      <c r="C93" s="10">
        <v>63466</v>
      </c>
      <c r="D93" s="10"/>
      <c r="E93" s="27">
        <v>2016</v>
      </c>
      <c r="F93" s="9" t="s">
        <v>572</v>
      </c>
      <c r="G93" s="10">
        <v>72993</v>
      </c>
      <c r="H93" s="2"/>
      <c r="I93" s="3"/>
    </row>
    <row r="94" spans="1:9">
      <c r="A94">
        <v>2017</v>
      </c>
      <c r="B94" s="9" t="s">
        <v>573</v>
      </c>
      <c r="C94" s="10">
        <v>166054</v>
      </c>
      <c r="D94" s="10"/>
      <c r="E94" s="27">
        <v>2016</v>
      </c>
      <c r="F94" s="9" t="s">
        <v>573</v>
      </c>
      <c r="G94" s="10">
        <v>158451</v>
      </c>
      <c r="H94" s="2"/>
      <c r="I94" s="3"/>
    </row>
    <row r="95" spans="1:9">
      <c r="A95">
        <v>2017</v>
      </c>
      <c r="B95" s="9" t="s">
        <v>574</v>
      </c>
      <c r="C95" s="10">
        <v>458816</v>
      </c>
      <c r="D95" s="10"/>
      <c r="E95" s="27">
        <v>2016</v>
      </c>
      <c r="F95" s="9" t="s">
        <v>574</v>
      </c>
      <c r="G95" s="10">
        <v>438228</v>
      </c>
      <c r="H95" s="2"/>
      <c r="I95" s="3"/>
    </row>
    <row r="96" spans="1:9">
      <c r="A96">
        <v>2017</v>
      </c>
      <c r="B96" s="9" t="s">
        <v>575</v>
      </c>
      <c r="C96" s="10">
        <v>31138</v>
      </c>
      <c r="D96" s="10"/>
      <c r="E96" s="27">
        <v>2016</v>
      </c>
      <c r="F96" s="9" t="s">
        <v>575</v>
      </c>
      <c r="G96" s="10">
        <v>29957</v>
      </c>
      <c r="H96" s="2"/>
      <c r="I96" s="3"/>
    </row>
    <row r="97" spans="1:11">
      <c r="A97">
        <v>2017</v>
      </c>
      <c r="B97" s="9" t="s">
        <v>576</v>
      </c>
      <c r="C97" s="10">
        <v>3199399</v>
      </c>
      <c r="D97" s="10"/>
      <c r="E97" s="27">
        <v>2016</v>
      </c>
      <c r="F97" s="9" t="s">
        <v>576</v>
      </c>
      <c r="G97" s="10">
        <v>3083813</v>
      </c>
      <c r="H97" s="2"/>
      <c r="I97" s="3"/>
    </row>
    <row r="98" spans="1:11">
      <c r="A98">
        <v>2017</v>
      </c>
      <c r="B98" s="9" t="s">
        <v>577</v>
      </c>
      <c r="C98" s="10">
        <v>8352</v>
      </c>
      <c r="D98" s="10"/>
      <c r="E98" s="27">
        <v>2016</v>
      </c>
      <c r="F98" s="9" t="s">
        <v>577</v>
      </c>
      <c r="G98" s="10">
        <v>8280</v>
      </c>
      <c r="H98" s="2"/>
      <c r="I98" s="3"/>
    </row>
    <row r="99" spans="1:11">
      <c r="A99">
        <v>2017</v>
      </c>
      <c r="B99" s="9" t="s">
        <v>578</v>
      </c>
      <c r="C99" s="10">
        <v>1485</v>
      </c>
      <c r="D99" s="10"/>
      <c r="E99" s="27">
        <v>2016</v>
      </c>
      <c r="F99" s="9" t="s">
        <v>578</v>
      </c>
      <c r="G99" s="10">
        <v>4118</v>
      </c>
      <c r="H99" s="2"/>
      <c r="I99" s="3"/>
    </row>
    <row r="100" spans="1:11">
      <c r="A100">
        <v>2017</v>
      </c>
      <c r="B100" s="9" t="s">
        <v>579</v>
      </c>
      <c r="C100" s="10">
        <v>5704762</v>
      </c>
      <c r="D100" s="10"/>
      <c r="E100" s="27">
        <v>2016</v>
      </c>
      <c r="F100" s="9" t="s">
        <v>579</v>
      </c>
      <c r="G100" s="10">
        <v>5543143</v>
      </c>
      <c r="H100" s="2"/>
      <c r="I100" s="3"/>
    </row>
    <row r="101" spans="1:11">
      <c r="A101">
        <v>2017</v>
      </c>
      <c r="B101" s="9" t="s">
        <v>61</v>
      </c>
      <c r="C101" s="10">
        <v>133558</v>
      </c>
      <c r="D101" s="10"/>
      <c r="E101" s="27">
        <v>2016</v>
      </c>
      <c r="F101" s="9" t="s">
        <v>61</v>
      </c>
      <c r="G101" s="10">
        <v>130553</v>
      </c>
      <c r="H101" s="2"/>
      <c r="I101" s="3"/>
    </row>
    <row r="102" spans="1:11">
      <c r="A102">
        <v>2017</v>
      </c>
      <c r="B102" s="9" t="s">
        <v>580</v>
      </c>
      <c r="C102" s="10">
        <v>805333</v>
      </c>
      <c r="D102" s="10"/>
      <c r="E102" s="27">
        <v>2016</v>
      </c>
      <c r="F102" s="9" t="s">
        <v>580</v>
      </c>
      <c r="G102" s="10">
        <v>795370</v>
      </c>
      <c r="H102" s="7"/>
      <c r="I102" s="2"/>
      <c r="J102" s="7"/>
      <c r="K102" s="1"/>
    </row>
    <row r="103" spans="1:11">
      <c r="A103">
        <v>2017</v>
      </c>
      <c r="B103" s="9" t="s">
        <v>581</v>
      </c>
      <c r="C103" s="10">
        <v>76922</v>
      </c>
      <c r="D103" s="10"/>
      <c r="E103" s="27">
        <v>2016</v>
      </c>
      <c r="F103" s="9" t="s">
        <v>581</v>
      </c>
      <c r="G103" s="10">
        <v>78135</v>
      </c>
      <c r="H103" s="7"/>
      <c r="I103" s="2"/>
      <c r="J103" s="7"/>
      <c r="K103" s="3"/>
    </row>
    <row r="104" spans="1:11">
      <c r="A104">
        <v>2017</v>
      </c>
      <c r="B104" s="9" t="s">
        <v>582</v>
      </c>
      <c r="C104" s="10">
        <v>82773</v>
      </c>
      <c r="D104" s="10"/>
      <c r="E104" s="27">
        <v>2016</v>
      </c>
      <c r="F104" s="9" t="s">
        <v>582</v>
      </c>
      <c r="G104" s="10">
        <v>79636</v>
      </c>
      <c r="H104" s="7"/>
      <c r="I104" s="2"/>
      <c r="J104" s="7"/>
      <c r="K104" s="3"/>
    </row>
    <row r="105" spans="1:11">
      <c r="A105">
        <v>2017</v>
      </c>
      <c r="B105" s="9" t="s">
        <v>583</v>
      </c>
      <c r="C105" s="10">
        <v>143783</v>
      </c>
      <c r="D105" s="10"/>
      <c r="E105" s="27">
        <v>2016</v>
      </c>
      <c r="F105" s="9" t="s">
        <v>583</v>
      </c>
      <c r="G105" s="10">
        <v>130744</v>
      </c>
      <c r="H105" s="7"/>
      <c r="I105" s="2"/>
      <c r="J105" s="7"/>
      <c r="K105" s="3"/>
    </row>
    <row r="106" spans="1:11">
      <c r="A106">
        <v>2017</v>
      </c>
      <c r="B106" s="9" t="s">
        <v>584</v>
      </c>
      <c r="C106" s="10">
        <v>1145684</v>
      </c>
      <c r="D106" s="10"/>
      <c r="E106" s="27">
        <v>2016</v>
      </c>
      <c r="F106" s="9" t="s">
        <v>584</v>
      </c>
      <c r="G106" s="10">
        <v>1123932</v>
      </c>
      <c r="H106" s="7"/>
      <c r="I106" s="2"/>
      <c r="J106" s="7"/>
      <c r="K106" s="3"/>
    </row>
    <row r="107" spans="1:11">
      <c r="A107">
        <v>2017</v>
      </c>
      <c r="B107" s="9" t="s">
        <v>585</v>
      </c>
      <c r="C107" s="10">
        <v>91336</v>
      </c>
      <c r="D107" s="10"/>
      <c r="E107" s="27">
        <v>2016</v>
      </c>
      <c r="F107" s="9" t="s">
        <v>585</v>
      </c>
      <c r="G107" s="10">
        <v>78961</v>
      </c>
      <c r="H107" s="7"/>
      <c r="I107" s="2"/>
      <c r="J107" s="7"/>
      <c r="K107" s="3"/>
    </row>
    <row r="108" spans="1:11">
      <c r="A108">
        <v>2017</v>
      </c>
      <c r="B108" s="9" t="s">
        <v>586</v>
      </c>
      <c r="C108" s="10">
        <v>148204</v>
      </c>
      <c r="D108" s="10"/>
      <c r="E108" s="27">
        <v>2016</v>
      </c>
      <c r="F108" s="9" t="s">
        <v>586</v>
      </c>
      <c r="G108" s="10">
        <v>133007</v>
      </c>
      <c r="H108" s="7"/>
      <c r="I108" s="2"/>
      <c r="J108" s="7"/>
      <c r="K108" s="3"/>
    </row>
    <row r="109" spans="1:11">
      <c r="A109">
        <v>2017</v>
      </c>
      <c r="B109" s="9" t="s">
        <v>587</v>
      </c>
      <c r="C109" s="10">
        <v>29322</v>
      </c>
      <c r="D109" s="10"/>
      <c r="E109" s="27">
        <v>2016</v>
      </c>
      <c r="F109" s="9" t="s">
        <v>587</v>
      </c>
      <c r="G109" s="10">
        <v>29724</v>
      </c>
      <c r="H109" s="7"/>
      <c r="I109" s="2"/>
      <c r="J109" s="7"/>
      <c r="K109" s="3"/>
    </row>
    <row r="110" spans="1:11">
      <c r="A110">
        <v>2017</v>
      </c>
      <c r="B110" s="9" t="s">
        <v>588</v>
      </c>
      <c r="C110" s="10">
        <v>264046</v>
      </c>
      <c r="D110" s="10"/>
      <c r="E110" s="27">
        <v>2016</v>
      </c>
      <c r="F110" s="9" t="s">
        <v>588</v>
      </c>
      <c r="G110" s="10">
        <v>228333</v>
      </c>
      <c r="H110" s="7"/>
      <c r="I110" s="2"/>
      <c r="J110" s="7"/>
      <c r="K110" s="3"/>
    </row>
    <row r="111" spans="1:11">
      <c r="A111">
        <v>2017</v>
      </c>
      <c r="B111" s="9" t="s">
        <v>589</v>
      </c>
      <c r="C111" s="10">
        <v>420169</v>
      </c>
      <c r="D111" s="10"/>
      <c r="E111" s="27">
        <v>2016</v>
      </c>
      <c r="F111" s="9" t="s">
        <v>589</v>
      </c>
      <c r="G111" s="10">
        <v>382403</v>
      </c>
      <c r="H111" s="7"/>
      <c r="I111" s="2"/>
      <c r="J111" s="7"/>
      <c r="K111" s="3"/>
    </row>
    <row r="112" spans="1:11">
      <c r="A112">
        <v>2017</v>
      </c>
      <c r="B112" s="9" t="s">
        <v>590</v>
      </c>
      <c r="C112" s="10">
        <v>946234</v>
      </c>
      <c r="D112" s="10"/>
      <c r="E112" s="27">
        <v>2016</v>
      </c>
      <c r="F112" s="9" t="s">
        <v>590</v>
      </c>
      <c r="G112" s="10">
        <v>912083</v>
      </c>
      <c r="H112" s="7"/>
      <c r="I112" s="2"/>
      <c r="J112" s="7"/>
      <c r="K112" s="3"/>
    </row>
    <row r="113" spans="1:11">
      <c r="A113">
        <v>2017</v>
      </c>
      <c r="B113" s="9" t="s">
        <v>591</v>
      </c>
      <c r="C113" s="10">
        <v>192395</v>
      </c>
      <c r="D113" s="10"/>
      <c r="E113" s="27">
        <v>2016</v>
      </c>
      <c r="F113" s="9" t="s">
        <v>591</v>
      </c>
      <c r="G113" s="10">
        <v>192772</v>
      </c>
      <c r="H113" s="7"/>
      <c r="I113" s="2"/>
      <c r="J113" s="7"/>
      <c r="K113" s="3"/>
    </row>
    <row r="114" spans="1:11">
      <c r="A114">
        <v>2017</v>
      </c>
      <c r="B114" s="9" t="s">
        <v>592</v>
      </c>
      <c r="C114" s="10">
        <v>323364</v>
      </c>
      <c r="D114" s="10"/>
      <c r="E114" s="27">
        <v>2016</v>
      </c>
      <c r="F114" s="9" t="s">
        <v>592</v>
      </c>
      <c r="G114" s="10">
        <v>317174</v>
      </c>
      <c r="H114" s="7"/>
      <c r="I114" s="2"/>
      <c r="J114" s="7"/>
      <c r="K114" s="3"/>
    </row>
    <row r="115" spans="1:11">
      <c r="A115">
        <v>2017</v>
      </c>
      <c r="B115" s="9" t="s">
        <v>593</v>
      </c>
      <c r="C115" s="10">
        <v>19942</v>
      </c>
      <c r="D115" s="10"/>
      <c r="E115" s="27">
        <v>2016</v>
      </c>
      <c r="F115" s="9" t="s">
        <v>593</v>
      </c>
      <c r="G115" s="10">
        <v>23022</v>
      </c>
      <c r="H115" s="7"/>
      <c r="I115" s="2"/>
      <c r="J115" s="7"/>
      <c r="K115" s="3"/>
    </row>
    <row r="116" spans="1:11">
      <c r="A116">
        <v>2017</v>
      </c>
      <c r="B116" s="9" t="s">
        <v>594</v>
      </c>
      <c r="C116" s="10">
        <v>1406735</v>
      </c>
      <c r="D116" s="10"/>
      <c r="E116" s="27">
        <v>2016</v>
      </c>
      <c r="F116" s="9" t="s">
        <v>594</v>
      </c>
      <c r="G116" s="10">
        <v>1409193</v>
      </c>
      <c r="H116" s="7"/>
      <c r="I116" s="2"/>
      <c r="J116" s="7"/>
      <c r="K116" s="3"/>
    </row>
    <row r="117" spans="1:11">
      <c r="A117">
        <v>2017</v>
      </c>
      <c r="B117" s="9" t="s">
        <v>595</v>
      </c>
      <c r="C117" s="10">
        <v>3079212</v>
      </c>
      <c r="D117" s="10"/>
      <c r="E117" s="27">
        <v>2016</v>
      </c>
      <c r="F117" s="9" t="s">
        <v>595</v>
      </c>
      <c r="G117" s="10">
        <v>3025692</v>
      </c>
      <c r="H117" s="7"/>
      <c r="I117" s="2"/>
      <c r="J117" s="7"/>
      <c r="K117" s="3"/>
    </row>
    <row r="118" spans="1:11">
      <c r="A118">
        <v>2017</v>
      </c>
      <c r="B118" s="9" t="s">
        <v>596</v>
      </c>
      <c r="C118" s="10">
        <v>1151629</v>
      </c>
      <c r="D118" s="10"/>
      <c r="E118" s="27">
        <v>2016</v>
      </c>
      <c r="F118" s="9" t="s">
        <v>596</v>
      </c>
      <c r="G118" s="10">
        <v>1105403</v>
      </c>
      <c r="H118" s="7"/>
      <c r="I118" s="2"/>
      <c r="J118" s="7"/>
      <c r="K118" s="3"/>
    </row>
    <row r="119" spans="1:11">
      <c r="A119">
        <v>2017</v>
      </c>
      <c r="B119" s="9" t="s">
        <v>597</v>
      </c>
      <c r="C119" s="10">
        <v>1632426</v>
      </c>
      <c r="D119" s="10"/>
      <c r="E119" s="27">
        <v>2016</v>
      </c>
      <c r="F119" s="9" t="s">
        <v>597</v>
      </c>
      <c r="G119" s="10">
        <v>1592139</v>
      </c>
      <c r="H119" s="7"/>
      <c r="I119" s="2"/>
      <c r="J119" s="7"/>
      <c r="K119" s="3"/>
    </row>
    <row r="120" spans="1:11">
      <c r="A120">
        <v>2017</v>
      </c>
      <c r="B120" s="9" t="s">
        <v>598</v>
      </c>
      <c r="C120" s="10">
        <v>176657</v>
      </c>
      <c r="D120" s="10"/>
      <c r="E120" s="27">
        <v>2016</v>
      </c>
      <c r="F120" s="9" t="s">
        <v>598</v>
      </c>
      <c r="G120" s="10">
        <v>170197</v>
      </c>
      <c r="H120" s="7"/>
      <c r="I120" s="2"/>
      <c r="J120" s="7"/>
      <c r="K120" s="3"/>
    </row>
    <row r="121" spans="1:11">
      <c r="A121">
        <v>2017</v>
      </c>
      <c r="B121" s="9" t="s">
        <v>599</v>
      </c>
      <c r="C121" s="10">
        <v>888320</v>
      </c>
      <c r="D121" s="10"/>
      <c r="E121" s="27">
        <v>2016</v>
      </c>
      <c r="F121" s="9" t="s">
        <v>599</v>
      </c>
      <c r="G121" s="10">
        <v>856212</v>
      </c>
      <c r="H121" s="7"/>
      <c r="I121" s="2"/>
      <c r="J121" s="7"/>
      <c r="K121" s="3"/>
    </row>
    <row r="122" spans="1:11">
      <c r="A122">
        <v>2017</v>
      </c>
      <c r="B122" s="9" t="s">
        <v>600</v>
      </c>
      <c r="C122" s="10">
        <v>67841</v>
      </c>
      <c r="D122" s="10"/>
      <c r="E122" s="27">
        <v>2016</v>
      </c>
      <c r="F122" s="9" t="s">
        <v>600</v>
      </c>
      <c r="G122" s="10">
        <v>68912</v>
      </c>
      <c r="H122" s="7"/>
      <c r="I122" s="2"/>
      <c r="J122" s="7"/>
      <c r="K122" s="3"/>
    </row>
    <row r="123" spans="1:11">
      <c r="A123">
        <v>2017</v>
      </c>
      <c r="B123" s="9" t="s">
        <v>601</v>
      </c>
      <c r="C123" s="10">
        <v>26921</v>
      </c>
      <c r="D123" s="10"/>
      <c r="E123" s="27">
        <v>2016</v>
      </c>
      <c r="F123" s="9" t="s">
        <v>601</v>
      </c>
      <c r="G123" s="10">
        <v>20626</v>
      </c>
      <c r="H123" s="7"/>
      <c r="I123" s="2"/>
      <c r="J123" s="7"/>
      <c r="K123" s="3"/>
    </row>
    <row r="124" spans="1:11">
      <c r="A124">
        <v>2017</v>
      </c>
      <c r="B124" s="9" t="s">
        <v>602</v>
      </c>
      <c r="C124" s="10">
        <v>49113</v>
      </c>
      <c r="D124" s="10"/>
      <c r="E124" s="27">
        <v>2016</v>
      </c>
      <c r="F124" s="9" t="s">
        <v>602</v>
      </c>
      <c r="G124" s="10">
        <v>43446</v>
      </c>
      <c r="H124" s="7"/>
      <c r="I124" s="2"/>
      <c r="J124" s="7"/>
      <c r="K124" s="3"/>
    </row>
    <row r="125" spans="1:11">
      <c r="A125">
        <v>2017</v>
      </c>
      <c r="B125" s="9" t="s">
        <v>603</v>
      </c>
      <c r="C125" s="10">
        <v>797994</v>
      </c>
      <c r="D125" s="10"/>
      <c r="E125" s="27">
        <v>2016</v>
      </c>
      <c r="F125" s="9" t="s">
        <v>603</v>
      </c>
      <c r="G125" s="10">
        <v>767305</v>
      </c>
      <c r="H125" s="7"/>
      <c r="I125" s="2"/>
      <c r="J125" s="7"/>
      <c r="K125" s="3"/>
    </row>
    <row r="126" spans="1:11">
      <c r="A126">
        <v>2017</v>
      </c>
      <c r="B126" s="9" t="s">
        <v>604</v>
      </c>
      <c r="C126" s="10">
        <v>738901</v>
      </c>
      <c r="D126" s="10"/>
      <c r="E126" s="27">
        <v>2016</v>
      </c>
      <c r="F126" s="9" t="s">
        <v>604</v>
      </c>
      <c r="G126" s="10">
        <v>760073</v>
      </c>
      <c r="H126" s="7"/>
      <c r="I126" s="2"/>
      <c r="J126" s="7"/>
      <c r="K126" s="3"/>
    </row>
    <row r="127" spans="1:11">
      <c r="A127">
        <v>2017</v>
      </c>
      <c r="B127" s="9" t="s">
        <v>605</v>
      </c>
      <c r="C127" s="10">
        <v>33423</v>
      </c>
      <c r="D127" s="10"/>
      <c r="E127" s="27">
        <v>2016</v>
      </c>
      <c r="F127" s="9" t="s">
        <v>605</v>
      </c>
      <c r="G127" s="10">
        <v>35781</v>
      </c>
      <c r="H127" s="7"/>
      <c r="I127" s="2"/>
      <c r="J127" s="7"/>
      <c r="K127" s="3"/>
    </row>
    <row r="128" spans="1:11">
      <c r="A128">
        <v>2017</v>
      </c>
      <c r="B128" s="9" t="s">
        <v>606</v>
      </c>
      <c r="C128" s="10">
        <v>81474</v>
      </c>
      <c r="D128" s="10"/>
      <c r="E128" s="27">
        <v>2016</v>
      </c>
      <c r="F128" s="9" t="s">
        <v>606</v>
      </c>
      <c r="G128" s="10">
        <v>78257</v>
      </c>
      <c r="H128" s="7"/>
      <c r="I128" s="2"/>
      <c r="J128" s="7"/>
      <c r="K128" s="3"/>
    </row>
    <row r="129" spans="1:11">
      <c r="A129">
        <v>2017</v>
      </c>
      <c r="B129" s="9" t="s">
        <v>426</v>
      </c>
      <c r="C129" s="10">
        <v>54062</v>
      </c>
      <c r="D129" s="10"/>
      <c r="E129" s="27">
        <v>2016</v>
      </c>
      <c r="F129" s="9" t="s">
        <v>426</v>
      </c>
      <c r="G129" s="10">
        <v>48888</v>
      </c>
      <c r="H129" s="7"/>
      <c r="I129" s="2"/>
      <c r="J129" s="7"/>
      <c r="K129" s="3"/>
    </row>
    <row r="130" spans="1:11">
      <c r="A130">
        <v>2017</v>
      </c>
      <c r="B130" s="9" t="s">
        <v>607</v>
      </c>
      <c r="C130" s="10">
        <v>376440</v>
      </c>
      <c r="D130" s="10"/>
      <c r="E130" s="27">
        <v>2016</v>
      </c>
      <c r="F130" s="9" t="s">
        <v>607</v>
      </c>
      <c r="G130" s="10">
        <v>360089</v>
      </c>
      <c r="H130" s="7"/>
      <c r="I130" s="2"/>
      <c r="J130" s="7"/>
      <c r="K130" s="3"/>
    </row>
    <row r="131" spans="1:11">
      <c r="A131">
        <v>2017</v>
      </c>
      <c r="B131" s="9" t="s">
        <v>608</v>
      </c>
      <c r="C131" s="10">
        <v>770168</v>
      </c>
      <c r="D131" s="10"/>
      <c r="E131" s="27">
        <v>2016</v>
      </c>
      <c r="F131" s="9" t="s">
        <v>608</v>
      </c>
      <c r="G131" s="10">
        <v>738428</v>
      </c>
      <c r="H131" s="7"/>
      <c r="I131" s="2"/>
      <c r="J131" s="7"/>
      <c r="K131" s="3"/>
    </row>
    <row r="132" spans="1:11">
      <c r="A132">
        <v>2017</v>
      </c>
      <c r="B132" s="9" t="s">
        <v>609</v>
      </c>
      <c r="C132" s="10">
        <v>1372109</v>
      </c>
      <c r="D132" s="10"/>
      <c r="E132" s="27">
        <v>2016</v>
      </c>
      <c r="F132" s="9" t="s">
        <v>609</v>
      </c>
      <c r="G132" s="10">
        <v>1369178</v>
      </c>
      <c r="H132" s="7"/>
      <c r="I132" s="2"/>
      <c r="J132" s="7"/>
      <c r="K132" s="3"/>
    </row>
    <row r="133" spans="1:11">
      <c r="A133">
        <v>2017</v>
      </c>
      <c r="B133" s="9" t="s">
        <v>610</v>
      </c>
      <c r="C133" s="10">
        <v>175018</v>
      </c>
      <c r="D133" s="10"/>
      <c r="E133" s="27">
        <v>2016</v>
      </c>
      <c r="F133" s="9" t="s">
        <v>610</v>
      </c>
      <c r="G133" s="10">
        <v>169272</v>
      </c>
      <c r="H133" s="7"/>
      <c r="I133" s="2"/>
      <c r="J133" s="7"/>
      <c r="K133" s="3"/>
    </row>
    <row r="134" spans="1:11">
      <c r="A134">
        <v>2017</v>
      </c>
      <c r="B134" s="9" t="s">
        <v>611</v>
      </c>
      <c r="C134" s="10">
        <v>417107</v>
      </c>
      <c r="D134" s="10"/>
      <c r="E134" s="27">
        <v>2016</v>
      </c>
      <c r="F134" s="9" t="s">
        <v>611</v>
      </c>
      <c r="G134" s="10">
        <v>379660</v>
      </c>
      <c r="H134" s="7"/>
      <c r="I134" s="2"/>
      <c r="J134" s="7"/>
      <c r="K134" s="3"/>
    </row>
    <row r="135" spans="1:11">
      <c r="A135">
        <v>2017</v>
      </c>
      <c r="B135" s="9" t="s">
        <v>612</v>
      </c>
      <c r="C135" s="10">
        <v>1223362</v>
      </c>
      <c r="D135" s="10"/>
      <c r="E135" s="27">
        <v>2016</v>
      </c>
      <c r="F135" s="9" t="s">
        <v>612</v>
      </c>
      <c r="G135" s="10">
        <v>1222159</v>
      </c>
      <c r="H135" s="7"/>
      <c r="I135" s="2"/>
      <c r="J135" s="7"/>
      <c r="K135" s="3"/>
    </row>
    <row r="136" spans="1:11">
      <c r="A136">
        <v>2017</v>
      </c>
      <c r="B136" s="9" t="s">
        <v>613</v>
      </c>
      <c r="C136" s="10">
        <v>2187207</v>
      </c>
      <c r="D136" s="10"/>
      <c r="E136" s="27">
        <v>2016</v>
      </c>
      <c r="F136" s="9" t="s">
        <v>613</v>
      </c>
      <c r="G136" s="10">
        <v>2146324</v>
      </c>
      <c r="H136" s="7"/>
      <c r="I136" s="2"/>
      <c r="J136" s="7"/>
      <c r="K136" s="3"/>
    </row>
    <row r="137" spans="1:11">
      <c r="A137">
        <v>2017</v>
      </c>
      <c r="B137" s="9" t="s">
        <v>614</v>
      </c>
      <c r="C137" s="10">
        <v>12627</v>
      </c>
      <c r="D137" s="10"/>
      <c r="E137" s="27">
        <v>2016</v>
      </c>
      <c r="F137" s="9" t="s">
        <v>614</v>
      </c>
      <c r="G137" s="10">
        <v>12495</v>
      </c>
      <c r="H137" s="7"/>
      <c r="I137" s="2"/>
      <c r="J137" s="7"/>
      <c r="K137" s="3"/>
    </row>
    <row r="138" spans="1:11">
      <c r="A138">
        <v>2017</v>
      </c>
      <c r="B138" s="9" t="s">
        <v>615</v>
      </c>
      <c r="C138" s="10">
        <v>265133</v>
      </c>
      <c r="D138" s="10"/>
      <c r="E138" s="27">
        <v>2016</v>
      </c>
      <c r="F138" s="9" t="s">
        <v>615</v>
      </c>
      <c r="G138" s="10">
        <v>260616</v>
      </c>
      <c r="H138" s="7"/>
      <c r="I138" s="2"/>
      <c r="J138" s="7"/>
      <c r="K138" s="3"/>
    </row>
    <row r="139" spans="1:11">
      <c r="A139">
        <v>2017</v>
      </c>
      <c r="B139" s="9" t="s">
        <v>616</v>
      </c>
      <c r="C139" s="10">
        <v>12096</v>
      </c>
      <c r="D139" s="10"/>
      <c r="E139" s="27">
        <v>2016</v>
      </c>
      <c r="F139" s="9" t="s">
        <v>616</v>
      </c>
      <c r="G139" s="10">
        <v>11216</v>
      </c>
      <c r="H139" s="7"/>
      <c r="I139" s="2"/>
      <c r="J139" s="7"/>
      <c r="K139" s="3"/>
    </row>
    <row r="140" spans="1:11">
      <c r="A140">
        <v>2017</v>
      </c>
      <c r="B140" s="9" t="s">
        <v>617</v>
      </c>
      <c r="C140" s="9">
        <v>0</v>
      </c>
      <c r="E140" s="27">
        <v>2016</v>
      </c>
      <c r="F140" s="9" t="s">
        <v>617</v>
      </c>
      <c r="H140" s="7"/>
      <c r="I140" s="2"/>
      <c r="J140" s="7"/>
      <c r="K140" s="1"/>
    </row>
    <row r="141" spans="1:11">
      <c r="A141">
        <v>2017</v>
      </c>
      <c r="B141" s="9" t="s">
        <v>618</v>
      </c>
      <c r="C141" s="10">
        <v>2561383</v>
      </c>
      <c r="D141" s="10"/>
      <c r="E141" s="27">
        <v>2016</v>
      </c>
      <c r="F141" s="9" t="s">
        <v>618</v>
      </c>
      <c r="G141" s="21">
        <v>2500008</v>
      </c>
      <c r="H141" s="7"/>
      <c r="I141" s="2"/>
      <c r="J141" s="7"/>
      <c r="K141" s="3"/>
    </row>
    <row r="142" spans="1:11">
      <c r="A142">
        <v>2017</v>
      </c>
      <c r="B142" s="9" t="s">
        <v>619</v>
      </c>
      <c r="C142" s="10">
        <v>20847</v>
      </c>
      <c r="D142" s="10"/>
      <c r="E142" s="27">
        <v>2016</v>
      </c>
      <c r="F142" s="9" t="s">
        <v>619</v>
      </c>
      <c r="G142" s="10">
        <v>11141</v>
      </c>
      <c r="H142" s="7"/>
      <c r="I142" s="2"/>
      <c r="J142" s="7"/>
      <c r="K142" s="3"/>
    </row>
    <row r="143" spans="1:11">
      <c r="A143">
        <v>2017</v>
      </c>
      <c r="B143" s="9" t="s">
        <v>620</v>
      </c>
      <c r="C143" s="10">
        <v>1911928</v>
      </c>
      <c r="D143" s="10"/>
      <c r="E143" s="27">
        <v>2016</v>
      </c>
      <c r="F143" s="9" t="s">
        <v>620</v>
      </c>
      <c r="G143" s="10">
        <v>1912807</v>
      </c>
      <c r="H143" s="7"/>
      <c r="I143" s="2"/>
      <c r="J143" s="7"/>
      <c r="K143" s="3"/>
    </row>
    <row r="144" spans="1:11">
      <c r="A144">
        <v>2017</v>
      </c>
      <c r="B144" s="9" t="s">
        <v>621</v>
      </c>
      <c r="C144" s="10">
        <v>107904</v>
      </c>
      <c r="D144" s="10"/>
      <c r="E144" s="27">
        <v>2016</v>
      </c>
      <c r="F144" s="9" t="s">
        <v>621</v>
      </c>
      <c r="G144" s="10">
        <v>96963</v>
      </c>
      <c r="H144" s="7"/>
      <c r="I144" s="2"/>
      <c r="J144" s="7"/>
      <c r="K144" s="3"/>
    </row>
    <row r="145" spans="1:11">
      <c r="A145">
        <v>2017</v>
      </c>
      <c r="B145" s="9" t="s">
        <v>622</v>
      </c>
      <c r="C145" s="10">
        <v>246501</v>
      </c>
      <c r="D145" s="10"/>
      <c r="E145" s="27">
        <v>2016</v>
      </c>
      <c r="F145" s="9" t="s">
        <v>622</v>
      </c>
      <c r="G145" s="10">
        <v>233422</v>
      </c>
      <c r="H145" s="7"/>
      <c r="I145" s="2"/>
      <c r="J145" s="7"/>
      <c r="K145" s="3"/>
    </row>
    <row r="146" spans="1:11">
      <c r="A146">
        <v>2017</v>
      </c>
      <c r="B146" s="9" t="s">
        <v>623</v>
      </c>
      <c r="C146" s="10">
        <v>83289</v>
      </c>
      <c r="D146" s="10"/>
      <c r="E146" s="27">
        <v>2016</v>
      </c>
      <c r="F146" s="9" t="s">
        <v>623</v>
      </c>
      <c r="G146" s="10">
        <v>78847</v>
      </c>
      <c r="H146" s="7"/>
      <c r="I146" s="2"/>
      <c r="J146" s="7"/>
      <c r="K146" s="3"/>
    </row>
    <row r="147" spans="1:11">
      <c r="A147">
        <v>2017</v>
      </c>
      <c r="B147" s="9" t="s">
        <v>624</v>
      </c>
      <c r="C147" s="10">
        <v>85884</v>
      </c>
      <c r="D147" s="10"/>
      <c r="E147" s="27">
        <v>2016</v>
      </c>
      <c r="F147" s="9" t="s">
        <v>624</v>
      </c>
      <c r="G147" s="10">
        <v>73226</v>
      </c>
      <c r="H147" s="7"/>
      <c r="I147" s="2"/>
      <c r="J147" s="7"/>
      <c r="K147" s="3"/>
    </row>
    <row r="148" spans="1:11">
      <c r="A148">
        <v>2017</v>
      </c>
      <c r="B148" s="9" t="s">
        <v>935</v>
      </c>
      <c r="C148" s="10">
        <v>179198</v>
      </c>
      <c r="D148" s="10"/>
      <c r="E148" s="27">
        <v>2016</v>
      </c>
      <c r="F148" s="9" t="s">
        <v>935</v>
      </c>
      <c r="G148" s="10">
        <v>184511</v>
      </c>
      <c r="H148" s="7"/>
      <c r="I148" s="2"/>
      <c r="J148" s="7"/>
      <c r="K148" s="3"/>
    </row>
    <row r="149" spans="1:11">
      <c r="A149">
        <v>2017</v>
      </c>
      <c r="B149" s="9" t="s">
        <v>626</v>
      </c>
      <c r="C149" s="10">
        <v>318228</v>
      </c>
      <c r="D149" s="10"/>
      <c r="E149" s="27">
        <v>2016</v>
      </c>
      <c r="F149" s="9" t="s">
        <v>626</v>
      </c>
      <c r="G149" s="10">
        <v>308717</v>
      </c>
      <c r="H149" s="7"/>
      <c r="I149" s="2"/>
      <c r="J149" s="7"/>
      <c r="K149" s="3"/>
    </row>
    <row r="150" spans="1:11">
      <c r="A150">
        <v>2017</v>
      </c>
      <c r="B150" s="9" t="s">
        <v>627</v>
      </c>
      <c r="C150" s="10">
        <v>105694</v>
      </c>
      <c r="D150" s="10"/>
      <c r="E150" s="27">
        <v>2016</v>
      </c>
      <c r="F150" s="9" t="s">
        <v>627</v>
      </c>
      <c r="G150" s="10">
        <v>94861</v>
      </c>
      <c r="H150" s="7"/>
      <c r="I150" s="2"/>
      <c r="J150" s="7"/>
      <c r="K150" s="3"/>
    </row>
    <row r="151" spans="1:11">
      <c r="A151">
        <v>2017</v>
      </c>
      <c r="B151" s="9" t="s">
        <v>628</v>
      </c>
      <c r="C151" s="10">
        <v>21747</v>
      </c>
      <c r="D151" s="10"/>
      <c r="E151" s="27">
        <v>2016</v>
      </c>
      <c r="F151" s="9" t="s">
        <v>628</v>
      </c>
      <c r="G151" s="10">
        <v>16532</v>
      </c>
      <c r="H151" s="8"/>
      <c r="I151" s="2"/>
      <c r="J151" s="8"/>
      <c r="K151" s="3"/>
    </row>
    <row r="152" spans="1:11">
      <c r="A152">
        <v>2017</v>
      </c>
      <c r="B152" s="9" t="s">
        <v>629</v>
      </c>
      <c r="C152" s="10">
        <v>363969</v>
      </c>
      <c r="D152" s="10"/>
      <c r="E152" s="27">
        <v>2016</v>
      </c>
      <c r="F152" s="9" t="s">
        <v>629</v>
      </c>
      <c r="G152" s="10">
        <v>352488</v>
      </c>
      <c r="H152" s="7"/>
      <c r="I152" s="2"/>
      <c r="J152" s="7"/>
      <c r="K152" s="1"/>
    </row>
    <row r="153" spans="1:11">
      <c r="A153">
        <v>2017</v>
      </c>
      <c r="B153" s="9" t="s">
        <v>630</v>
      </c>
      <c r="C153" s="10">
        <v>278677</v>
      </c>
      <c r="D153" s="10"/>
      <c r="E153" s="27">
        <v>2016</v>
      </c>
      <c r="F153" s="9" t="s">
        <v>630</v>
      </c>
      <c r="G153" s="10">
        <v>269156</v>
      </c>
      <c r="H153" s="7"/>
      <c r="I153" s="2"/>
      <c r="J153" s="7"/>
      <c r="K153" s="3"/>
    </row>
    <row r="154" spans="1:11">
      <c r="A154">
        <v>2017</v>
      </c>
      <c r="B154" s="9" t="s">
        <v>631</v>
      </c>
      <c r="C154" s="10">
        <v>984649</v>
      </c>
      <c r="D154" s="10"/>
      <c r="E154" s="27">
        <v>2016</v>
      </c>
      <c r="F154" s="9" t="s">
        <v>631</v>
      </c>
      <c r="G154" s="10">
        <v>977937</v>
      </c>
      <c r="H154" s="7"/>
      <c r="I154" s="2"/>
      <c r="J154" s="7"/>
      <c r="K154" s="3"/>
    </row>
    <row r="155" spans="1:11">
      <c r="A155">
        <v>2017</v>
      </c>
      <c r="B155" s="9" t="s">
        <v>632</v>
      </c>
      <c r="C155" s="10">
        <v>1934036</v>
      </c>
      <c r="D155" s="10"/>
      <c r="E155" s="27">
        <v>2016</v>
      </c>
      <c r="F155" s="9" t="s">
        <v>632</v>
      </c>
      <c r="G155" s="10">
        <v>1921762</v>
      </c>
      <c r="H155" s="7"/>
      <c r="I155" s="2"/>
      <c r="J155" s="7"/>
      <c r="K155" s="3"/>
    </row>
    <row r="156" spans="1:11">
      <c r="A156">
        <v>2017</v>
      </c>
      <c r="B156" s="9" t="s">
        <v>633</v>
      </c>
      <c r="C156" s="10">
        <v>98928</v>
      </c>
      <c r="D156" s="10"/>
      <c r="E156" s="27">
        <v>2016</v>
      </c>
      <c r="F156" s="9" t="s">
        <v>633</v>
      </c>
      <c r="G156" s="10">
        <v>83923</v>
      </c>
      <c r="H156" s="7"/>
      <c r="I156" s="2"/>
      <c r="J156" s="7"/>
      <c r="K156" s="3"/>
    </row>
    <row r="157" spans="1:11">
      <c r="A157">
        <v>2017</v>
      </c>
      <c r="B157" s="9" t="s">
        <v>634</v>
      </c>
      <c r="C157" s="10">
        <v>327937</v>
      </c>
      <c r="D157" s="10"/>
      <c r="E157" s="27">
        <v>2016</v>
      </c>
      <c r="F157" s="9" t="s">
        <v>634</v>
      </c>
      <c r="G157" s="10">
        <v>331554</v>
      </c>
      <c r="H157" s="7"/>
      <c r="I157" s="2"/>
      <c r="J157" s="7"/>
      <c r="K157" s="3"/>
    </row>
    <row r="158" spans="1:11">
      <c r="A158">
        <v>2017</v>
      </c>
      <c r="B158" s="9" t="s">
        <v>635</v>
      </c>
      <c r="C158" s="10">
        <v>1239390</v>
      </c>
      <c r="D158" s="10"/>
      <c r="E158" s="27">
        <v>2016</v>
      </c>
      <c r="F158" s="9" t="s">
        <v>635</v>
      </c>
      <c r="G158" s="10">
        <v>1252591</v>
      </c>
      <c r="H158" s="7"/>
      <c r="I158" s="2"/>
      <c r="J158" s="7"/>
      <c r="K158" s="3"/>
    </row>
    <row r="159" spans="1:11">
      <c r="A159">
        <v>2017</v>
      </c>
      <c r="B159" s="9" t="s">
        <v>636</v>
      </c>
      <c r="C159" s="10">
        <v>40441</v>
      </c>
      <c r="D159" s="10"/>
      <c r="E159" s="27">
        <v>2016</v>
      </c>
      <c r="F159" s="9" t="s">
        <v>636</v>
      </c>
      <c r="G159" s="10">
        <v>34332</v>
      </c>
      <c r="H159" s="7"/>
      <c r="I159" s="2"/>
      <c r="J159" s="7"/>
      <c r="K159" s="3"/>
    </row>
    <row r="160" spans="1:11">
      <c r="A160">
        <v>2017</v>
      </c>
      <c r="B160" s="9" t="s">
        <v>637</v>
      </c>
      <c r="C160" s="10">
        <v>1363402</v>
      </c>
      <c r="D160" s="10"/>
      <c r="E160" s="27">
        <v>2016</v>
      </c>
      <c r="F160" s="9" t="s">
        <v>637</v>
      </c>
      <c r="G160" s="10">
        <v>1276679</v>
      </c>
      <c r="H160" s="7"/>
      <c r="I160" s="2"/>
      <c r="J160" s="7"/>
      <c r="K160" s="3"/>
    </row>
    <row r="161" spans="1:11">
      <c r="A161">
        <v>2017</v>
      </c>
      <c r="B161" s="9" t="s">
        <v>638</v>
      </c>
      <c r="C161" s="10">
        <v>569025</v>
      </c>
      <c r="D161" s="10"/>
      <c r="E161" s="27">
        <v>2016</v>
      </c>
      <c r="F161" s="9" t="s">
        <v>638</v>
      </c>
      <c r="G161" s="10">
        <v>567390</v>
      </c>
      <c r="H161" s="7"/>
      <c r="I161" s="2"/>
      <c r="J161" s="7"/>
      <c r="K161" s="3"/>
    </row>
    <row r="162" spans="1:11">
      <c r="A162">
        <v>2017</v>
      </c>
      <c r="B162" s="9" t="s">
        <v>639</v>
      </c>
      <c r="C162" s="10">
        <v>13453</v>
      </c>
      <c r="D162" s="10"/>
      <c r="E162" s="27">
        <v>2016</v>
      </c>
      <c r="F162" s="9" t="s">
        <v>639</v>
      </c>
      <c r="G162" s="10">
        <v>12542</v>
      </c>
      <c r="H162" s="7"/>
      <c r="I162" s="2"/>
      <c r="J162" s="7"/>
      <c r="K162" s="3"/>
    </row>
    <row r="163" spans="1:11">
      <c r="A163">
        <v>2017</v>
      </c>
      <c r="B163" s="9" t="s">
        <v>640</v>
      </c>
      <c r="C163" s="10">
        <v>63708</v>
      </c>
      <c r="D163" s="10"/>
      <c r="E163" s="27">
        <v>2016</v>
      </c>
      <c r="F163" s="9" t="s">
        <v>640</v>
      </c>
      <c r="G163" s="10">
        <v>57564</v>
      </c>
      <c r="H163" s="7"/>
      <c r="I163" s="2"/>
      <c r="J163" s="7"/>
      <c r="K163" s="3"/>
    </row>
    <row r="164" spans="1:11">
      <c r="A164">
        <v>2017</v>
      </c>
      <c r="B164" s="9" t="s">
        <v>641</v>
      </c>
      <c r="C164" s="10">
        <v>154625</v>
      </c>
      <c r="D164" s="10"/>
      <c r="E164" s="27">
        <v>2016</v>
      </c>
      <c r="F164" s="9" t="s">
        <v>641</v>
      </c>
      <c r="G164" s="10">
        <v>148485</v>
      </c>
      <c r="H164" s="7"/>
      <c r="I164" s="2"/>
      <c r="J164" s="7"/>
      <c r="K164" s="3"/>
    </row>
    <row r="165" spans="1:11">
      <c r="A165">
        <v>2017</v>
      </c>
      <c r="B165" s="9" t="s">
        <v>642</v>
      </c>
      <c r="C165" s="10">
        <v>685373</v>
      </c>
      <c r="D165" s="10"/>
      <c r="E165" s="27">
        <v>2016</v>
      </c>
      <c r="F165" s="9" t="s">
        <v>642</v>
      </c>
      <c r="G165" s="10">
        <v>719867</v>
      </c>
      <c r="H165" s="7"/>
      <c r="I165" s="2"/>
      <c r="J165" s="7"/>
      <c r="K165" s="3"/>
    </row>
    <row r="166" spans="1:11">
      <c r="A166">
        <v>2017</v>
      </c>
      <c r="B166" s="9" t="s">
        <v>643</v>
      </c>
      <c r="C166" s="10">
        <v>20008</v>
      </c>
      <c r="D166" s="10"/>
      <c r="E166" s="27">
        <v>2016</v>
      </c>
      <c r="F166" s="9" t="s">
        <v>643</v>
      </c>
      <c r="G166" s="10">
        <v>20170</v>
      </c>
      <c r="H166" s="7"/>
      <c r="I166" s="2"/>
      <c r="J166" s="7"/>
      <c r="K166" s="3"/>
    </row>
    <row r="167" spans="1:11">
      <c r="A167">
        <v>2017</v>
      </c>
      <c r="B167" s="9" t="s">
        <v>644</v>
      </c>
      <c r="C167" s="10">
        <v>258708</v>
      </c>
      <c r="D167" s="10"/>
      <c r="E167" s="27">
        <v>2016</v>
      </c>
      <c r="F167" s="9" t="s">
        <v>644</v>
      </c>
      <c r="G167" s="10">
        <v>251599</v>
      </c>
      <c r="H167" s="7"/>
      <c r="I167" s="2"/>
      <c r="J167" s="7"/>
      <c r="K167" s="3"/>
    </row>
    <row r="168" spans="1:11">
      <c r="A168">
        <v>2017</v>
      </c>
      <c r="B168" s="9" t="s">
        <v>645</v>
      </c>
      <c r="C168" s="10">
        <v>406015</v>
      </c>
      <c r="D168" s="10"/>
      <c r="E168" s="27">
        <v>2016</v>
      </c>
      <c r="F168" s="9" t="s">
        <v>645</v>
      </c>
      <c r="G168" s="10">
        <v>398175</v>
      </c>
      <c r="H168" s="7"/>
      <c r="I168" s="2"/>
      <c r="J168" s="7"/>
      <c r="K168" s="3"/>
    </row>
    <row r="169" spans="1:11">
      <c r="A169">
        <v>2017</v>
      </c>
      <c r="B169" s="9" t="s">
        <v>646</v>
      </c>
      <c r="C169" s="10">
        <v>39248</v>
      </c>
      <c r="D169" s="10"/>
      <c r="E169" s="27">
        <v>2016</v>
      </c>
      <c r="F169" s="9" t="s">
        <v>646</v>
      </c>
      <c r="G169" s="21">
        <v>43535</v>
      </c>
      <c r="H169" s="7"/>
      <c r="I169" s="2"/>
      <c r="J169" s="7"/>
      <c r="K169" s="3"/>
    </row>
    <row r="170" spans="1:11">
      <c r="A170">
        <v>2017</v>
      </c>
      <c r="B170" s="9" t="s">
        <v>647</v>
      </c>
      <c r="C170" s="10">
        <v>1130656</v>
      </c>
      <c r="D170" s="10"/>
      <c r="E170" s="27">
        <v>2016</v>
      </c>
      <c r="F170" s="9" t="s">
        <v>647</v>
      </c>
      <c r="G170" s="10">
        <v>1100686</v>
      </c>
      <c r="H170" s="7"/>
      <c r="I170" s="2"/>
      <c r="J170" s="7"/>
      <c r="K170" s="3"/>
    </row>
    <row r="171" spans="1:11">
      <c r="A171">
        <v>2017</v>
      </c>
      <c r="B171" s="9" t="s">
        <v>648</v>
      </c>
      <c r="C171" s="10">
        <v>260913</v>
      </c>
      <c r="D171" s="10"/>
      <c r="E171" s="27">
        <v>2016</v>
      </c>
      <c r="F171" s="9" t="s">
        <v>648</v>
      </c>
      <c r="G171" s="10">
        <v>244795</v>
      </c>
      <c r="H171" s="7"/>
      <c r="I171" s="2"/>
      <c r="J171" s="7"/>
      <c r="K171" s="3"/>
    </row>
    <row r="172" spans="1:11">
      <c r="A172">
        <v>2017</v>
      </c>
      <c r="B172" s="9" t="s">
        <v>649</v>
      </c>
      <c r="C172" s="10">
        <v>3668916</v>
      </c>
      <c r="D172" s="10"/>
      <c r="E172" s="27">
        <v>2016</v>
      </c>
      <c r="F172" s="9" t="s">
        <v>649</v>
      </c>
      <c r="G172" s="10">
        <v>3678917</v>
      </c>
      <c r="H172" s="7"/>
      <c r="I172" s="2"/>
      <c r="J172" s="7"/>
      <c r="K172" s="3"/>
    </row>
    <row r="173" spans="1:11">
      <c r="A173">
        <v>2017</v>
      </c>
      <c r="B173" s="9" t="s">
        <v>650</v>
      </c>
      <c r="C173" s="10">
        <v>178215</v>
      </c>
      <c r="D173" s="10"/>
      <c r="E173" s="27">
        <v>2016</v>
      </c>
      <c r="F173" s="9" t="s">
        <v>650</v>
      </c>
      <c r="G173" s="10">
        <v>171985</v>
      </c>
      <c r="H173" s="7"/>
      <c r="I173" s="2"/>
      <c r="J173" s="7"/>
      <c r="K173" s="3"/>
    </row>
    <row r="174" spans="1:11">
      <c r="A174">
        <v>2017</v>
      </c>
      <c r="B174" s="9" t="s">
        <v>651</v>
      </c>
      <c r="C174" s="10">
        <v>565340</v>
      </c>
      <c r="D174" s="10"/>
      <c r="E174" s="27">
        <v>2016</v>
      </c>
      <c r="F174" s="9" t="s">
        <v>651</v>
      </c>
      <c r="G174" s="10">
        <v>531970</v>
      </c>
      <c r="H174" s="7"/>
      <c r="I174" s="2"/>
      <c r="J174" s="7"/>
      <c r="K174" s="3"/>
    </row>
    <row r="175" spans="1:11">
      <c r="A175">
        <v>2017</v>
      </c>
      <c r="B175" s="9" t="s">
        <v>652</v>
      </c>
      <c r="C175" s="10">
        <v>114185</v>
      </c>
      <c r="D175" s="10"/>
      <c r="E175" s="27">
        <v>2016</v>
      </c>
      <c r="F175" s="9" t="s">
        <v>652</v>
      </c>
      <c r="G175" s="10">
        <v>114230</v>
      </c>
      <c r="H175" s="7"/>
      <c r="I175" s="2"/>
      <c r="J175" s="7"/>
      <c r="K175" s="3"/>
    </row>
    <row r="176" spans="1:11">
      <c r="A176">
        <v>2017</v>
      </c>
      <c r="B176" s="9" t="s">
        <v>653</v>
      </c>
      <c r="C176" s="10">
        <v>206455</v>
      </c>
      <c r="D176" s="10"/>
      <c r="E176" s="27">
        <v>2016</v>
      </c>
      <c r="F176" s="9" t="s">
        <v>653</v>
      </c>
      <c r="G176" s="10">
        <v>203467</v>
      </c>
      <c r="H176" s="7"/>
      <c r="I176" s="2"/>
      <c r="J176" s="7"/>
      <c r="K176" s="3"/>
    </row>
    <row r="177" spans="1:11">
      <c r="A177">
        <v>2017</v>
      </c>
      <c r="B177" s="9" t="s">
        <v>654</v>
      </c>
      <c r="C177" s="10">
        <v>570697</v>
      </c>
      <c r="D177" s="10"/>
      <c r="E177" s="27">
        <v>2016</v>
      </c>
      <c r="F177" s="9" t="s">
        <v>654</v>
      </c>
      <c r="G177" s="10">
        <v>575771</v>
      </c>
      <c r="H177" s="7"/>
      <c r="I177" s="2"/>
      <c r="J177" s="7"/>
      <c r="K177" s="3"/>
    </row>
    <row r="178" spans="1:11">
      <c r="A178">
        <v>2017</v>
      </c>
      <c r="B178" s="9" t="s">
        <v>655</v>
      </c>
      <c r="C178" s="10">
        <v>661757</v>
      </c>
      <c r="D178" s="10"/>
      <c r="E178" s="27">
        <v>2016</v>
      </c>
      <c r="F178" s="9" t="s">
        <v>655</v>
      </c>
      <c r="G178" s="10">
        <v>628394</v>
      </c>
      <c r="H178" s="7"/>
      <c r="I178" s="2"/>
      <c r="J178" s="7"/>
      <c r="K178" s="3"/>
    </row>
    <row r="179" spans="1:11">
      <c r="A179">
        <v>2017</v>
      </c>
      <c r="B179" s="9" t="s">
        <v>656</v>
      </c>
      <c r="C179" s="10">
        <v>1107580</v>
      </c>
      <c r="D179" s="10"/>
      <c r="E179" s="27">
        <v>2016</v>
      </c>
      <c r="F179" s="9" t="s">
        <v>656</v>
      </c>
      <c r="G179" s="10">
        <v>1080148</v>
      </c>
      <c r="H179" s="7"/>
      <c r="I179" s="2"/>
      <c r="J179" s="7"/>
      <c r="K179" s="3"/>
    </row>
    <row r="180" spans="1:11">
      <c r="A180">
        <v>2017</v>
      </c>
      <c r="B180" s="9" t="s">
        <v>657</v>
      </c>
      <c r="C180" s="10">
        <v>1154486</v>
      </c>
      <c r="D180" s="10"/>
      <c r="E180" s="27">
        <v>2016</v>
      </c>
      <c r="F180" s="9" t="s">
        <v>657</v>
      </c>
      <c r="G180" s="10">
        <v>1172886</v>
      </c>
      <c r="H180" s="7"/>
      <c r="I180" s="2"/>
      <c r="J180" s="7"/>
      <c r="K180" s="3"/>
    </row>
    <row r="181" spans="1:11">
      <c r="A181">
        <v>2017</v>
      </c>
      <c r="B181" s="9" t="s">
        <v>658</v>
      </c>
      <c r="C181" s="10">
        <v>32726</v>
      </c>
      <c r="D181" s="10"/>
      <c r="E181" s="27">
        <v>2016</v>
      </c>
      <c r="F181" s="9" t="s">
        <v>658</v>
      </c>
      <c r="G181" s="10">
        <v>30769</v>
      </c>
      <c r="H181" s="7"/>
      <c r="I181" s="2"/>
      <c r="J181" s="7"/>
      <c r="K181" s="3"/>
    </row>
    <row r="182" spans="1:11">
      <c r="A182">
        <v>2017</v>
      </c>
      <c r="B182" s="9" t="s">
        <v>659</v>
      </c>
      <c r="C182" s="10">
        <v>1049064</v>
      </c>
      <c r="D182" s="10"/>
      <c r="E182" s="27">
        <v>2016</v>
      </c>
      <c r="F182" s="9" t="s">
        <v>659</v>
      </c>
      <c r="G182" s="10">
        <v>1054406</v>
      </c>
      <c r="H182" s="7"/>
      <c r="I182" s="2"/>
      <c r="J182" s="7"/>
      <c r="K182" s="3"/>
    </row>
    <row r="183" spans="1:11">
      <c r="A183">
        <v>2017</v>
      </c>
      <c r="B183" s="9" t="s">
        <v>436</v>
      </c>
      <c r="C183" s="10">
        <v>34822</v>
      </c>
      <c r="D183" s="10"/>
      <c r="E183" s="27">
        <v>2016</v>
      </c>
      <c r="F183" s="9" t="s">
        <v>436</v>
      </c>
      <c r="G183" s="10">
        <v>33900</v>
      </c>
      <c r="H183" s="7"/>
      <c r="I183" s="2"/>
      <c r="J183" s="7"/>
      <c r="K183" s="3"/>
    </row>
    <row r="184" spans="1:11">
      <c r="A184">
        <v>2017</v>
      </c>
      <c r="B184" s="9" t="s">
        <v>660</v>
      </c>
      <c r="C184" s="10">
        <v>31600</v>
      </c>
      <c r="D184" s="10"/>
      <c r="E184" s="27">
        <v>2016</v>
      </c>
      <c r="F184" s="9" t="s">
        <v>660</v>
      </c>
      <c r="G184" s="10">
        <v>22597</v>
      </c>
      <c r="H184" s="7"/>
      <c r="I184" s="2"/>
      <c r="J184" s="7"/>
      <c r="K184" s="3"/>
    </row>
    <row r="185" spans="1:11">
      <c r="A185">
        <v>2017</v>
      </c>
      <c r="B185" s="9" t="s">
        <v>661</v>
      </c>
      <c r="C185" s="10">
        <v>326464</v>
      </c>
      <c r="D185" s="10"/>
      <c r="E185" s="27">
        <v>2016</v>
      </c>
      <c r="F185" s="9" t="s">
        <v>661</v>
      </c>
      <c r="G185" s="10">
        <v>340458</v>
      </c>
      <c r="H185" s="7"/>
      <c r="I185" s="2"/>
      <c r="J185" s="7"/>
      <c r="K185" s="3"/>
    </row>
    <row r="186" spans="1:11">
      <c r="A186">
        <v>2017</v>
      </c>
      <c r="B186" s="9" t="s">
        <v>662</v>
      </c>
      <c r="C186" s="10">
        <v>1003634</v>
      </c>
      <c r="D186" s="10"/>
      <c r="E186" s="27">
        <v>2016</v>
      </c>
      <c r="F186" s="9" t="s">
        <v>662</v>
      </c>
      <c r="G186" s="10">
        <v>1033806</v>
      </c>
      <c r="H186" s="7"/>
      <c r="I186" s="2"/>
      <c r="J186" s="7"/>
      <c r="K186" s="3"/>
    </row>
    <row r="187" spans="1:11">
      <c r="A187">
        <v>2017</v>
      </c>
      <c r="B187" s="9" t="s">
        <v>663</v>
      </c>
      <c r="C187" s="10">
        <v>2116407</v>
      </c>
      <c r="D187" s="10"/>
      <c r="E187" s="27">
        <v>2016</v>
      </c>
      <c r="F187" s="9" t="s">
        <v>663</v>
      </c>
      <c r="G187" s="10">
        <v>2022094</v>
      </c>
      <c r="H187" s="7"/>
      <c r="I187" s="2"/>
      <c r="J187" s="7"/>
      <c r="K187" s="3"/>
    </row>
    <row r="188" spans="1:11">
      <c r="A188">
        <v>2017</v>
      </c>
      <c r="B188" s="9" t="s">
        <v>664</v>
      </c>
      <c r="C188" s="10">
        <v>2720074</v>
      </c>
      <c r="D188" s="10"/>
      <c r="E188" s="27">
        <v>2016</v>
      </c>
      <c r="F188" s="9" t="s">
        <v>664</v>
      </c>
      <c r="G188" s="10">
        <v>2670481</v>
      </c>
      <c r="H188" s="7"/>
      <c r="I188" s="2"/>
      <c r="J188" s="7"/>
      <c r="K188" s="3"/>
    </row>
    <row r="189" spans="1:11">
      <c r="A189">
        <v>2017</v>
      </c>
      <c r="B189" s="9" t="s">
        <v>665</v>
      </c>
      <c r="C189" s="10">
        <v>1364069</v>
      </c>
      <c r="D189" s="10"/>
      <c r="E189" s="27">
        <v>2016</v>
      </c>
      <c r="F189" s="9" t="s">
        <v>665</v>
      </c>
      <c r="G189" s="10">
        <v>1294047</v>
      </c>
      <c r="H189" s="7"/>
      <c r="I189" s="2"/>
      <c r="J189" s="7"/>
      <c r="K189" s="3"/>
    </row>
    <row r="190" spans="1:11">
      <c r="A190">
        <v>2017</v>
      </c>
      <c r="B190" s="9" t="s">
        <v>666</v>
      </c>
      <c r="C190" s="10">
        <v>58675</v>
      </c>
      <c r="D190" s="10"/>
      <c r="E190" s="27">
        <v>2016</v>
      </c>
      <c r="F190" s="9" t="s">
        <v>666</v>
      </c>
      <c r="G190" s="10">
        <v>63986</v>
      </c>
      <c r="H190" s="7"/>
      <c r="I190" s="2"/>
      <c r="J190" s="7"/>
      <c r="K190" s="3"/>
    </row>
    <row r="191" spans="1:11">
      <c r="A191">
        <v>2017</v>
      </c>
      <c r="B191" s="9" t="s">
        <v>667</v>
      </c>
      <c r="C191" s="10">
        <v>59744</v>
      </c>
      <c r="D191" s="10"/>
      <c r="E191" s="27">
        <v>2016</v>
      </c>
      <c r="F191" s="9" t="s">
        <v>667</v>
      </c>
      <c r="G191" s="10">
        <v>55820</v>
      </c>
      <c r="H191" s="7"/>
      <c r="I191" s="2"/>
      <c r="J191" s="7"/>
      <c r="K191" s="3"/>
    </row>
    <row r="192" spans="1:11">
      <c r="A192">
        <v>2017</v>
      </c>
      <c r="B192" s="9" t="s">
        <v>668</v>
      </c>
      <c r="C192" s="10">
        <v>380045</v>
      </c>
      <c r="D192" s="10"/>
      <c r="E192" s="27">
        <v>2016</v>
      </c>
      <c r="F192" s="9" t="s">
        <v>668</v>
      </c>
      <c r="G192" s="10">
        <v>384550</v>
      </c>
      <c r="H192" s="7"/>
      <c r="I192" s="2"/>
      <c r="J192" s="7"/>
      <c r="K192" s="3"/>
    </row>
    <row r="193" spans="1:11">
      <c r="A193">
        <v>2017</v>
      </c>
      <c r="B193" s="9" t="s">
        <v>669</v>
      </c>
      <c r="C193" s="10">
        <v>1406037</v>
      </c>
      <c r="D193" s="10"/>
      <c r="E193" s="27">
        <v>2016</v>
      </c>
      <c r="F193" s="9" t="s">
        <v>669</v>
      </c>
      <c r="G193" s="10">
        <v>1351060</v>
      </c>
      <c r="H193" s="7"/>
      <c r="I193" s="2"/>
      <c r="J193" s="7"/>
      <c r="K193" s="3"/>
    </row>
    <row r="194" spans="1:11">
      <c r="A194">
        <v>2017</v>
      </c>
      <c r="B194" s="9" t="s">
        <v>670</v>
      </c>
      <c r="C194" s="10">
        <v>10997</v>
      </c>
      <c r="D194" s="10"/>
      <c r="E194" s="27">
        <v>2016</v>
      </c>
      <c r="F194" s="9" t="s">
        <v>670</v>
      </c>
      <c r="G194" s="10">
        <v>10264</v>
      </c>
      <c r="H194" s="7"/>
      <c r="I194" s="2"/>
      <c r="J194" s="7"/>
      <c r="K194" s="3"/>
    </row>
    <row r="195" spans="1:11">
      <c r="A195">
        <v>2017</v>
      </c>
      <c r="B195" s="9" t="s">
        <v>671</v>
      </c>
      <c r="C195" s="10">
        <v>747571</v>
      </c>
      <c r="D195" s="10"/>
      <c r="E195" s="27">
        <v>2016</v>
      </c>
      <c r="F195" s="9" t="s">
        <v>671</v>
      </c>
      <c r="G195" s="10">
        <v>754672</v>
      </c>
      <c r="H195" s="7"/>
      <c r="I195" s="2"/>
      <c r="J195" s="7"/>
      <c r="K195" s="3"/>
    </row>
    <row r="196" spans="1:11">
      <c r="A196">
        <v>2017</v>
      </c>
      <c r="B196" s="9" t="s">
        <v>672</v>
      </c>
      <c r="C196" s="10">
        <v>1976562</v>
      </c>
      <c r="D196" s="10"/>
      <c r="E196" s="27">
        <v>2016</v>
      </c>
      <c r="F196" s="9" t="s">
        <v>672</v>
      </c>
      <c r="G196" s="10">
        <v>1939660</v>
      </c>
      <c r="H196" s="7"/>
      <c r="I196" s="2"/>
      <c r="J196" s="7"/>
      <c r="K196" s="3"/>
    </row>
    <row r="197" spans="1:11">
      <c r="A197">
        <v>2017</v>
      </c>
      <c r="B197" s="9" t="s">
        <v>673</v>
      </c>
      <c r="C197" s="10">
        <v>2752386</v>
      </c>
      <c r="D197" s="10"/>
      <c r="E197" s="27">
        <v>2016</v>
      </c>
      <c r="F197" s="9" t="s">
        <v>673</v>
      </c>
      <c r="G197" s="10">
        <v>2748377</v>
      </c>
      <c r="H197" s="7"/>
      <c r="I197" s="2"/>
      <c r="J197" s="7"/>
      <c r="K197" s="3"/>
    </row>
    <row r="198" spans="1:11">
      <c r="A198">
        <v>2017</v>
      </c>
      <c r="B198" s="9" t="s">
        <v>674</v>
      </c>
      <c r="C198" s="10">
        <v>3137062</v>
      </c>
      <c r="D198" s="10"/>
      <c r="E198" s="27">
        <v>2016</v>
      </c>
      <c r="F198" s="9" t="s">
        <v>674</v>
      </c>
      <c r="G198" s="10">
        <v>3237453</v>
      </c>
      <c r="H198" s="7"/>
      <c r="I198" s="2"/>
      <c r="J198" s="7"/>
      <c r="K198" s="3"/>
    </row>
    <row r="199" spans="1:11">
      <c r="A199">
        <v>2017</v>
      </c>
      <c r="B199" s="9" t="s">
        <v>675</v>
      </c>
      <c r="C199" s="10">
        <v>51327</v>
      </c>
      <c r="D199" s="10"/>
      <c r="E199" s="27">
        <v>2016</v>
      </c>
      <c r="F199" s="9" t="s">
        <v>675</v>
      </c>
      <c r="G199" s="10">
        <v>50963</v>
      </c>
      <c r="H199" s="7"/>
      <c r="I199" s="2"/>
      <c r="J199" s="7"/>
      <c r="K199" s="3"/>
    </row>
    <row r="200" spans="1:11">
      <c r="A200">
        <v>2017</v>
      </c>
      <c r="B200" s="9" t="s">
        <v>676</v>
      </c>
      <c r="C200" s="10">
        <v>135523</v>
      </c>
      <c r="D200" s="10"/>
      <c r="E200" s="27">
        <v>2016</v>
      </c>
      <c r="F200" s="9" t="s">
        <v>676</v>
      </c>
      <c r="G200" s="10">
        <v>130535</v>
      </c>
      <c r="H200" s="7"/>
      <c r="I200" s="2"/>
      <c r="J200" s="7"/>
      <c r="K200" s="3"/>
    </row>
    <row r="201" spans="1:11">
      <c r="A201">
        <v>2017</v>
      </c>
      <c r="B201" s="9" t="s">
        <v>677</v>
      </c>
      <c r="C201" s="10">
        <v>247897</v>
      </c>
      <c r="D201" s="10"/>
      <c r="E201" s="27">
        <v>2016</v>
      </c>
      <c r="F201" s="9" t="s">
        <v>677</v>
      </c>
      <c r="G201" s="10">
        <v>258486</v>
      </c>
      <c r="H201" s="8"/>
      <c r="I201" s="2"/>
      <c r="J201" s="8"/>
      <c r="K201" s="3"/>
    </row>
    <row r="202" spans="1:11">
      <c r="A202">
        <v>2017</v>
      </c>
      <c r="B202" s="9" t="s">
        <v>678</v>
      </c>
      <c r="C202" s="10">
        <v>1851539</v>
      </c>
      <c r="D202" s="10"/>
      <c r="E202" s="27">
        <v>2016</v>
      </c>
      <c r="F202" s="9" t="s">
        <v>678</v>
      </c>
      <c r="G202" s="10">
        <v>1812269</v>
      </c>
      <c r="H202" s="7"/>
      <c r="I202" s="2"/>
      <c r="J202" s="7"/>
      <c r="K202" s="1"/>
    </row>
    <row r="203" spans="1:11">
      <c r="A203">
        <v>2017</v>
      </c>
      <c r="B203" s="9" t="s">
        <v>447</v>
      </c>
      <c r="C203" s="10">
        <v>104755</v>
      </c>
      <c r="D203" s="10"/>
      <c r="E203" s="27">
        <v>2016</v>
      </c>
      <c r="F203" s="9" t="s">
        <v>447</v>
      </c>
      <c r="G203" s="10">
        <v>99095</v>
      </c>
      <c r="H203" s="8"/>
      <c r="I203" s="2"/>
      <c r="J203" s="8"/>
      <c r="K203" s="3"/>
    </row>
    <row r="204" spans="1:11">
      <c r="A204">
        <v>2017</v>
      </c>
      <c r="B204" s="9" t="s">
        <v>679</v>
      </c>
      <c r="C204" s="10">
        <v>1967473</v>
      </c>
      <c r="D204" s="10"/>
      <c r="E204" s="27">
        <v>2016</v>
      </c>
      <c r="F204" s="9" t="s">
        <v>679</v>
      </c>
      <c r="G204" s="10">
        <v>2078461</v>
      </c>
      <c r="H204" s="8"/>
      <c r="I204" s="2"/>
      <c r="J204" s="8"/>
      <c r="K204" s="3"/>
    </row>
    <row r="205" spans="1:11">
      <c r="A205">
        <v>2017</v>
      </c>
      <c r="B205" s="9" t="s">
        <v>680</v>
      </c>
      <c r="C205" s="10">
        <v>100755</v>
      </c>
      <c r="D205" s="10"/>
      <c r="E205" s="27">
        <v>2016</v>
      </c>
      <c r="F205" s="9" t="s">
        <v>680</v>
      </c>
      <c r="G205" s="10">
        <v>92327</v>
      </c>
      <c r="H205" s="8"/>
      <c r="I205" s="2"/>
      <c r="J205" s="8"/>
      <c r="K205" s="3"/>
    </row>
    <row r="206" spans="1:11">
      <c r="A206">
        <v>2017</v>
      </c>
      <c r="B206" s="9" t="s">
        <v>681</v>
      </c>
      <c r="C206" s="10">
        <v>141803</v>
      </c>
      <c r="D206" s="10"/>
      <c r="E206" s="27">
        <v>2016</v>
      </c>
      <c r="F206" s="9" t="s">
        <v>681</v>
      </c>
      <c r="G206" s="10">
        <v>136018</v>
      </c>
      <c r="H206" s="8"/>
      <c r="I206" s="2"/>
      <c r="J206" s="8"/>
      <c r="K206" s="3"/>
    </row>
    <row r="207" spans="1:11">
      <c r="A207">
        <v>2017</v>
      </c>
      <c r="B207" s="9" t="s">
        <v>451</v>
      </c>
      <c r="C207" s="10">
        <v>69290</v>
      </c>
      <c r="D207" s="10"/>
      <c r="E207" s="27">
        <v>2016</v>
      </c>
      <c r="F207" s="9" t="s">
        <v>451</v>
      </c>
      <c r="G207" s="10">
        <v>65972</v>
      </c>
      <c r="H207" s="8"/>
      <c r="I207" s="2"/>
      <c r="J207" s="8"/>
      <c r="K207" s="3"/>
    </row>
    <row r="208" spans="1:11">
      <c r="A208">
        <v>2017</v>
      </c>
      <c r="B208" s="9" t="s">
        <v>452</v>
      </c>
      <c r="C208" s="10">
        <v>21066</v>
      </c>
      <c r="D208" s="10"/>
      <c r="E208" s="27">
        <v>2016</v>
      </c>
      <c r="F208" s="9" t="s">
        <v>452</v>
      </c>
      <c r="G208" s="10">
        <v>25866</v>
      </c>
      <c r="H208" s="8"/>
      <c r="I208" s="2"/>
      <c r="J208" s="8"/>
      <c r="K208" s="3"/>
    </row>
    <row r="209" spans="1:11">
      <c r="A209">
        <v>2017</v>
      </c>
      <c r="B209" s="9" t="s">
        <v>682</v>
      </c>
      <c r="C209" s="10">
        <v>217446</v>
      </c>
      <c r="D209" s="10"/>
      <c r="E209" s="27">
        <v>2016</v>
      </c>
      <c r="F209" s="9" t="s">
        <v>682</v>
      </c>
      <c r="G209" s="10">
        <v>210369</v>
      </c>
      <c r="H209" s="8"/>
      <c r="I209" s="2"/>
      <c r="J209" s="8"/>
      <c r="K209" s="3"/>
    </row>
    <row r="210" spans="1:11">
      <c r="A210">
        <v>2017</v>
      </c>
      <c r="B210" s="9" t="s">
        <v>683</v>
      </c>
      <c r="C210" s="10">
        <v>8006</v>
      </c>
      <c r="D210" s="10"/>
      <c r="E210" s="27">
        <v>2016</v>
      </c>
      <c r="F210" s="9" t="s">
        <v>683</v>
      </c>
      <c r="G210" s="10">
        <v>6651</v>
      </c>
      <c r="H210" s="8"/>
      <c r="I210" s="2"/>
      <c r="J210" s="8"/>
      <c r="K210" s="3"/>
    </row>
    <row r="211" spans="1:11">
      <c r="A211">
        <v>2017</v>
      </c>
      <c r="B211" s="9" t="s">
        <v>455</v>
      </c>
      <c r="C211" s="10">
        <v>5056</v>
      </c>
      <c r="D211" s="10"/>
      <c r="E211" s="27">
        <v>2016</v>
      </c>
      <c r="F211" s="9" t="s">
        <v>455</v>
      </c>
      <c r="G211" s="10">
        <v>11215</v>
      </c>
      <c r="H211" s="8"/>
      <c r="I211" s="2"/>
      <c r="J211" s="8"/>
      <c r="K211" s="3"/>
    </row>
    <row r="212" spans="1:11">
      <c r="A212">
        <v>2017</v>
      </c>
      <c r="B212" s="9" t="s">
        <v>684</v>
      </c>
      <c r="C212" s="10">
        <v>1927693</v>
      </c>
      <c r="D212" s="10"/>
      <c r="E212" s="27">
        <v>2016</v>
      </c>
      <c r="F212" s="9" t="s">
        <v>684</v>
      </c>
      <c r="G212" s="10">
        <v>1871074</v>
      </c>
      <c r="H212" s="8"/>
      <c r="I212" s="2"/>
      <c r="J212" s="8"/>
      <c r="K212" s="3"/>
    </row>
    <row r="213" spans="1:11">
      <c r="A213">
        <v>2017</v>
      </c>
      <c r="B213" s="9" t="s">
        <v>685</v>
      </c>
      <c r="C213" s="10">
        <v>2268415</v>
      </c>
      <c r="D213" s="10"/>
      <c r="E213" s="27">
        <v>2016</v>
      </c>
      <c r="F213" s="9" t="s">
        <v>685</v>
      </c>
      <c r="G213" s="10">
        <v>2225475</v>
      </c>
      <c r="H213" s="8"/>
      <c r="I213" s="2"/>
      <c r="J213" s="8"/>
      <c r="K213" s="3"/>
    </row>
    <row r="214" spans="1:11">
      <c r="A214">
        <v>2017</v>
      </c>
      <c r="B214" s="9" t="s">
        <v>686</v>
      </c>
      <c r="C214" s="10">
        <v>198507</v>
      </c>
      <c r="D214" s="10"/>
      <c r="E214" s="27">
        <v>2016</v>
      </c>
      <c r="F214" s="9" t="s">
        <v>686</v>
      </c>
      <c r="G214" s="10">
        <v>200849</v>
      </c>
      <c r="H214" s="8"/>
      <c r="I214" s="2"/>
      <c r="J214" s="8"/>
      <c r="K214" s="3"/>
    </row>
    <row r="215" spans="1:11">
      <c r="A215">
        <v>2017</v>
      </c>
      <c r="B215" s="9" t="s">
        <v>687</v>
      </c>
      <c r="C215" s="10">
        <v>29712</v>
      </c>
      <c r="D215" s="10"/>
      <c r="E215" s="27">
        <v>2016</v>
      </c>
      <c r="F215" s="9" t="s">
        <v>687</v>
      </c>
      <c r="G215" s="10">
        <v>28173</v>
      </c>
      <c r="H215" s="8"/>
      <c r="I215" s="2"/>
      <c r="J215" s="8"/>
      <c r="K215" s="3"/>
    </row>
    <row r="216" spans="1:11">
      <c r="A216">
        <v>2017</v>
      </c>
      <c r="B216" s="9" t="s">
        <v>688</v>
      </c>
      <c r="C216" s="10">
        <v>103852</v>
      </c>
      <c r="D216" s="10"/>
      <c r="E216" s="27">
        <v>2016</v>
      </c>
      <c r="F216" s="9" t="s">
        <v>688</v>
      </c>
      <c r="G216" s="10">
        <v>122285</v>
      </c>
      <c r="H216" s="8"/>
      <c r="I216" s="2"/>
      <c r="J216" s="8"/>
      <c r="K216" s="3"/>
    </row>
    <row r="217" spans="1:11">
      <c r="A217">
        <v>2017</v>
      </c>
      <c r="B217" s="9" t="s">
        <v>689</v>
      </c>
      <c r="C217" s="10">
        <v>218106</v>
      </c>
      <c r="D217" s="10"/>
      <c r="E217" s="27">
        <v>2016</v>
      </c>
      <c r="F217" s="9" t="s">
        <v>689</v>
      </c>
      <c r="G217" s="10">
        <v>202570</v>
      </c>
      <c r="H217" s="8"/>
      <c r="I217" s="2"/>
      <c r="J217" s="8"/>
      <c r="K217" s="3"/>
    </row>
    <row r="218" spans="1:11">
      <c r="A218">
        <v>2017</v>
      </c>
      <c r="B218" s="9" t="s">
        <v>690</v>
      </c>
      <c r="C218" s="10">
        <v>408414</v>
      </c>
      <c r="D218" s="10"/>
      <c r="E218" s="27">
        <v>2016</v>
      </c>
      <c r="F218" s="9" t="s">
        <v>690</v>
      </c>
      <c r="G218" s="10">
        <v>400248</v>
      </c>
      <c r="H218" s="8"/>
      <c r="I218" s="2"/>
      <c r="J218" s="8"/>
      <c r="K218" s="3"/>
    </row>
    <row r="219" spans="1:11">
      <c r="A219">
        <v>2017</v>
      </c>
      <c r="B219" s="9" t="s">
        <v>691</v>
      </c>
      <c r="C219" s="10">
        <v>40264</v>
      </c>
      <c r="D219" s="10"/>
      <c r="E219" s="27">
        <v>2016</v>
      </c>
      <c r="F219" s="9" t="s">
        <v>691</v>
      </c>
      <c r="G219" s="10">
        <v>40269</v>
      </c>
      <c r="H219" s="8"/>
      <c r="I219" s="2"/>
      <c r="J219" s="8"/>
      <c r="K219" s="3"/>
    </row>
    <row r="220" spans="1:11">
      <c r="A220">
        <v>2017</v>
      </c>
      <c r="B220" s="9" t="s">
        <v>692</v>
      </c>
      <c r="C220" s="10">
        <v>357054</v>
      </c>
      <c r="D220" s="10"/>
      <c r="E220" s="27">
        <v>2016</v>
      </c>
      <c r="F220" s="9" t="s">
        <v>692</v>
      </c>
      <c r="G220" s="10">
        <v>339204</v>
      </c>
      <c r="H220" s="8"/>
      <c r="I220" s="2"/>
      <c r="J220" s="8"/>
      <c r="K220" s="3"/>
    </row>
    <row r="221" spans="1:11">
      <c r="A221">
        <v>2017</v>
      </c>
      <c r="B221" s="9" t="s">
        <v>693</v>
      </c>
      <c r="C221" s="10">
        <v>343750</v>
      </c>
      <c r="D221" s="10"/>
      <c r="E221" s="27">
        <v>2016</v>
      </c>
      <c r="F221" s="9" t="s">
        <v>693</v>
      </c>
      <c r="G221" s="10">
        <v>331564</v>
      </c>
      <c r="H221" s="8"/>
      <c r="I221" s="2"/>
      <c r="J221" s="8"/>
      <c r="K221" s="3"/>
    </row>
    <row r="222" spans="1:11">
      <c r="A222">
        <v>2017</v>
      </c>
      <c r="B222" s="9" t="s">
        <v>694</v>
      </c>
      <c r="C222" s="10">
        <v>1116234</v>
      </c>
      <c r="D222" s="10"/>
      <c r="E222" s="27">
        <v>2016</v>
      </c>
      <c r="F222" s="9" t="s">
        <v>694</v>
      </c>
      <c r="G222" s="10">
        <v>1106639</v>
      </c>
      <c r="H222" s="8"/>
      <c r="I222" s="2"/>
      <c r="J222" s="8"/>
      <c r="K222" s="3"/>
    </row>
    <row r="223" spans="1:11">
      <c r="A223">
        <v>2017</v>
      </c>
      <c r="B223" s="9" t="s">
        <v>695</v>
      </c>
      <c r="C223" s="10">
        <v>409897</v>
      </c>
      <c r="D223" s="10"/>
      <c r="E223" s="27">
        <v>2016</v>
      </c>
      <c r="F223" s="9" t="s">
        <v>695</v>
      </c>
      <c r="G223" s="10">
        <v>397983</v>
      </c>
      <c r="H223" s="8"/>
      <c r="I223" s="2"/>
      <c r="J223" s="8"/>
      <c r="K223" s="3"/>
    </row>
    <row r="224" spans="1:11">
      <c r="A224">
        <v>2017</v>
      </c>
      <c r="B224" s="9" t="s">
        <v>696</v>
      </c>
      <c r="C224" s="10">
        <v>14275</v>
      </c>
      <c r="D224" s="10"/>
      <c r="E224" s="27">
        <v>2016</v>
      </c>
      <c r="F224" s="9" t="s">
        <v>696</v>
      </c>
      <c r="G224" s="10">
        <v>13407</v>
      </c>
      <c r="H224" s="8"/>
      <c r="I224" s="2"/>
      <c r="J224" s="8"/>
      <c r="K224" s="3"/>
    </row>
    <row r="225" spans="1:11">
      <c r="A225">
        <v>2017</v>
      </c>
      <c r="B225" s="9" t="s">
        <v>697</v>
      </c>
      <c r="C225" s="10">
        <v>979052</v>
      </c>
      <c r="D225" s="10"/>
      <c r="E225" s="27">
        <v>2016</v>
      </c>
      <c r="F225" s="9" t="s">
        <v>697</v>
      </c>
      <c r="G225" s="10">
        <v>938253</v>
      </c>
      <c r="H225" s="8"/>
      <c r="I225" s="2"/>
      <c r="J225" s="8"/>
      <c r="K225" s="3"/>
    </row>
    <row r="226" spans="1:11">
      <c r="A226">
        <v>2017</v>
      </c>
      <c r="B226" s="9" t="s">
        <v>463</v>
      </c>
      <c r="C226" s="10">
        <v>121418</v>
      </c>
      <c r="D226" s="10"/>
      <c r="E226" s="27">
        <v>2016</v>
      </c>
      <c r="F226" s="9" t="s">
        <v>463</v>
      </c>
      <c r="G226" s="10">
        <v>124646</v>
      </c>
      <c r="H226" s="8"/>
      <c r="I226" s="2"/>
      <c r="J226" s="8"/>
      <c r="K226" s="3"/>
    </row>
    <row r="227" spans="1:11">
      <c r="A227">
        <v>2017</v>
      </c>
      <c r="B227" s="9" t="s">
        <v>698</v>
      </c>
      <c r="C227" s="10">
        <v>2644855</v>
      </c>
      <c r="D227" s="10"/>
      <c r="E227" s="27">
        <v>2016</v>
      </c>
      <c r="F227" s="9" t="s">
        <v>698</v>
      </c>
      <c r="G227" s="10">
        <v>2592978</v>
      </c>
      <c r="H227" s="8"/>
      <c r="I227" s="2"/>
      <c r="J227" s="8"/>
      <c r="K227" s="3"/>
    </row>
    <row r="228" spans="1:11">
      <c r="A228">
        <v>2017</v>
      </c>
      <c r="B228" s="9" t="s">
        <v>699</v>
      </c>
      <c r="C228" s="10">
        <v>4308790</v>
      </c>
      <c r="D228" s="10"/>
      <c r="E228" s="27">
        <v>2016</v>
      </c>
      <c r="F228" s="9" t="s">
        <v>699</v>
      </c>
      <c r="G228" s="10">
        <v>4233721</v>
      </c>
      <c r="H228" s="8"/>
      <c r="I228" s="2"/>
      <c r="J228" s="8"/>
      <c r="K228" s="3"/>
    </row>
    <row r="229" spans="1:11">
      <c r="A229">
        <v>2017</v>
      </c>
      <c r="B229" s="9" t="s">
        <v>700</v>
      </c>
      <c r="C229" s="10">
        <v>197533</v>
      </c>
      <c r="D229" s="10"/>
      <c r="E229" s="27">
        <v>2016</v>
      </c>
      <c r="F229" s="9" t="s">
        <v>700</v>
      </c>
      <c r="G229" s="10">
        <v>179285</v>
      </c>
      <c r="H229" s="8"/>
      <c r="I229" s="2"/>
      <c r="J229" s="8"/>
      <c r="K229" s="3"/>
    </row>
    <row r="230" spans="1:11">
      <c r="A230">
        <v>2017</v>
      </c>
      <c r="B230" s="9" t="s">
        <v>701</v>
      </c>
      <c r="C230" s="10">
        <v>59307</v>
      </c>
      <c r="D230" s="10"/>
      <c r="E230" s="27">
        <v>2016</v>
      </c>
      <c r="F230" s="9" t="s">
        <v>701</v>
      </c>
      <c r="G230" s="10">
        <v>65854</v>
      </c>
      <c r="H230" s="8"/>
      <c r="I230" s="2"/>
      <c r="J230" s="8"/>
      <c r="K230" s="3"/>
    </row>
    <row r="231" spans="1:11">
      <c r="A231">
        <v>2017</v>
      </c>
      <c r="B231" s="9" t="s">
        <v>702</v>
      </c>
      <c r="C231" s="10">
        <v>249543</v>
      </c>
      <c r="D231" s="10"/>
      <c r="E231" s="27">
        <v>2016</v>
      </c>
      <c r="F231" s="9" t="s">
        <v>702</v>
      </c>
      <c r="G231" s="10">
        <v>229104</v>
      </c>
      <c r="H231" s="8"/>
      <c r="I231" s="2"/>
      <c r="J231" s="8"/>
      <c r="K231" s="3"/>
    </row>
    <row r="232" spans="1:11">
      <c r="A232">
        <v>2017</v>
      </c>
      <c r="B232" s="9" t="s">
        <v>467</v>
      </c>
      <c r="C232" s="10">
        <v>9927</v>
      </c>
      <c r="D232" s="10"/>
      <c r="E232" s="27">
        <v>2016</v>
      </c>
      <c r="F232" s="9" t="s">
        <v>467</v>
      </c>
      <c r="G232" s="10">
        <v>7528</v>
      </c>
      <c r="H232" s="8"/>
      <c r="I232" s="2"/>
      <c r="J232" s="8"/>
      <c r="K232" s="3"/>
    </row>
    <row r="233" spans="1:11">
      <c r="A233">
        <v>2017</v>
      </c>
      <c r="B233" s="9" t="s">
        <v>703</v>
      </c>
      <c r="C233" s="10">
        <v>98005</v>
      </c>
      <c r="D233" s="10"/>
      <c r="E233" s="27">
        <v>2016</v>
      </c>
      <c r="F233" s="9" t="s">
        <v>703</v>
      </c>
      <c r="G233" s="10">
        <v>106952</v>
      </c>
      <c r="H233" s="8"/>
      <c r="I233" s="2"/>
      <c r="J233" s="8"/>
      <c r="K233" s="3"/>
    </row>
    <row r="234" spans="1:11">
      <c r="A234">
        <v>2017</v>
      </c>
      <c r="B234" s="9" t="s">
        <v>704</v>
      </c>
      <c r="C234" s="10">
        <v>162581</v>
      </c>
      <c r="D234" s="10"/>
      <c r="E234" s="27">
        <v>2016</v>
      </c>
      <c r="F234" s="9" t="s">
        <v>704</v>
      </c>
      <c r="G234" s="10">
        <v>150762</v>
      </c>
      <c r="H234" s="8"/>
      <c r="I234" s="2"/>
      <c r="J234" s="8"/>
      <c r="K234" s="3"/>
    </row>
    <row r="235" spans="1:11">
      <c r="A235">
        <v>2017</v>
      </c>
      <c r="B235" s="9" t="s">
        <v>705</v>
      </c>
      <c r="C235" s="10">
        <v>9270371</v>
      </c>
      <c r="D235" s="10"/>
      <c r="E235" s="27">
        <v>2016</v>
      </c>
      <c r="F235" s="9" t="s">
        <v>705</v>
      </c>
      <c r="G235" s="10">
        <v>9144774</v>
      </c>
      <c r="H235" s="8"/>
      <c r="I235" s="2"/>
      <c r="J235" s="8"/>
      <c r="K235" s="3"/>
    </row>
    <row r="236" spans="1:11">
      <c r="A236">
        <v>2017</v>
      </c>
      <c r="B236" s="9" t="s">
        <v>706</v>
      </c>
      <c r="C236" s="10">
        <v>10207127</v>
      </c>
      <c r="D236" s="10"/>
      <c r="E236" s="27">
        <v>2016</v>
      </c>
      <c r="F236" s="9" t="s">
        <v>706</v>
      </c>
      <c r="G236" s="10">
        <v>10117632</v>
      </c>
      <c r="H236" s="8"/>
      <c r="I236" s="2"/>
      <c r="J236" s="8"/>
      <c r="K236" s="3"/>
    </row>
    <row r="237" spans="1:11">
      <c r="A237">
        <v>2017</v>
      </c>
      <c r="B237" s="9" t="s">
        <v>707</v>
      </c>
      <c r="C237" s="10">
        <v>64752</v>
      </c>
      <c r="D237" s="10"/>
      <c r="E237" s="27">
        <v>2016</v>
      </c>
      <c r="F237" s="9" t="s">
        <v>707</v>
      </c>
      <c r="G237" s="10">
        <v>68205</v>
      </c>
      <c r="H237" s="8"/>
      <c r="I237" s="2"/>
      <c r="J237" s="8"/>
      <c r="K237" s="3"/>
    </row>
    <row r="238" spans="1:11">
      <c r="A238">
        <v>2017</v>
      </c>
      <c r="B238" s="9" t="s">
        <v>708</v>
      </c>
      <c r="C238" s="10">
        <v>147984</v>
      </c>
      <c r="D238" s="10"/>
      <c r="E238" s="27">
        <v>2016</v>
      </c>
      <c r="F238" s="9" t="s">
        <v>708</v>
      </c>
      <c r="G238" s="10">
        <v>151072</v>
      </c>
      <c r="H238" s="8"/>
      <c r="I238" s="2"/>
      <c r="J238" s="8"/>
      <c r="K238" s="3"/>
    </row>
    <row r="239" spans="1:11">
      <c r="A239">
        <v>2017</v>
      </c>
      <c r="B239" s="9" t="s">
        <v>709</v>
      </c>
      <c r="C239" s="10">
        <v>18153</v>
      </c>
      <c r="D239" s="10"/>
      <c r="E239" s="27">
        <v>2016</v>
      </c>
      <c r="F239" s="9" t="s">
        <v>709</v>
      </c>
      <c r="G239" s="10">
        <v>17241</v>
      </c>
      <c r="H239" s="8"/>
      <c r="I239" s="2"/>
      <c r="J239" s="8"/>
      <c r="K239" s="3"/>
    </row>
    <row r="240" spans="1:11">
      <c r="A240">
        <v>2017</v>
      </c>
      <c r="B240" s="9" t="s">
        <v>710</v>
      </c>
      <c r="C240" s="10">
        <v>37215</v>
      </c>
      <c r="D240" s="10"/>
      <c r="E240" s="27">
        <v>2016</v>
      </c>
      <c r="F240" s="9" t="s">
        <v>710</v>
      </c>
      <c r="G240" s="10">
        <v>32500</v>
      </c>
      <c r="H240" s="8"/>
      <c r="I240" s="2"/>
      <c r="J240" s="8"/>
      <c r="K240" s="3"/>
    </row>
    <row r="241" spans="1:11">
      <c r="A241">
        <v>2017</v>
      </c>
      <c r="B241" s="9" t="s">
        <v>711</v>
      </c>
      <c r="C241" s="10">
        <v>810641</v>
      </c>
      <c r="D241" s="10"/>
      <c r="E241" s="27">
        <v>2016</v>
      </c>
      <c r="F241" s="9" t="s">
        <v>711</v>
      </c>
      <c r="G241" s="10">
        <v>822506</v>
      </c>
      <c r="H241" s="8"/>
      <c r="I241" s="2"/>
      <c r="J241" s="8"/>
      <c r="K241" s="3"/>
    </row>
    <row r="242" spans="1:11">
      <c r="A242">
        <v>2017</v>
      </c>
      <c r="B242" s="9" t="s">
        <v>712</v>
      </c>
      <c r="C242" s="10">
        <v>1238916</v>
      </c>
      <c r="D242" s="10"/>
      <c r="E242" s="27">
        <v>2016</v>
      </c>
      <c r="F242" s="9" t="s">
        <v>712</v>
      </c>
      <c r="G242" s="10">
        <v>1193098</v>
      </c>
      <c r="H242" s="8"/>
      <c r="I242" s="2"/>
      <c r="J242" s="8"/>
      <c r="K242" s="3"/>
    </row>
    <row r="243" spans="1:11">
      <c r="A243">
        <v>2017</v>
      </c>
      <c r="B243" s="9" t="s">
        <v>713</v>
      </c>
      <c r="C243" s="10">
        <v>33753</v>
      </c>
      <c r="D243" s="10"/>
      <c r="E243" s="27">
        <v>2016</v>
      </c>
      <c r="F243" s="9" t="s">
        <v>713</v>
      </c>
      <c r="G243" s="10">
        <v>35934</v>
      </c>
      <c r="H243" s="8"/>
      <c r="I243" s="2"/>
      <c r="J243" s="8"/>
      <c r="K243" s="3"/>
    </row>
    <row r="244" spans="1:11">
      <c r="A244">
        <v>2017</v>
      </c>
      <c r="B244" s="9" t="s">
        <v>714</v>
      </c>
      <c r="C244" s="10">
        <v>57271</v>
      </c>
      <c r="D244" s="10"/>
      <c r="E244" s="27">
        <v>2016</v>
      </c>
      <c r="F244" s="9" t="s">
        <v>714</v>
      </c>
      <c r="G244" s="10">
        <v>54753</v>
      </c>
      <c r="H244" s="8"/>
      <c r="I244" s="2"/>
      <c r="J244" s="8"/>
      <c r="K244" s="3"/>
    </row>
    <row r="245" spans="1:11">
      <c r="A245">
        <v>2017</v>
      </c>
      <c r="B245" s="9" t="s">
        <v>475</v>
      </c>
      <c r="C245" s="10">
        <v>8287</v>
      </c>
      <c r="D245" s="10"/>
      <c r="E245" s="27">
        <v>2016</v>
      </c>
      <c r="F245" s="9" t="s">
        <v>475</v>
      </c>
      <c r="G245" s="10">
        <v>7731</v>
      </c>
      <c r="H245" s="8"/>
      <c r="I245" s="2"/>
      <c r="J245" s="8"/>
      <c r="K245" s="3"/>
    </row>
    <row r="246" spans="1:11">
      <c r="A246">
        <v>2017</v>
      </c>
      <c r="B246" s="9" t="s">
        <v>715</v>
      </c>
      <c r="C246" s="10">
        <v>610343</v>
      </c>
      <c r="D246" s="10"/>
      <c r="E246" s="27">
        <v>2016</v>
      </c>
      <c r="F246" s="9" t="s">
        <v>715</v>
      </c>
      <c r="G246" s="10">
        <v>560457</v>
      </c>
      <c r="H246" s="8"/>
      <c r="I246" s="2"/>
      <c r="J246" s="8"/>
      <c r="K246" s="3"/>
    </row>
    <row r="247" spans="1:11">
      <c r="A247">
        <v>2017</v>
      </c>
      <c r="B247" s="9" t="s">
        <v>476</v>
      </c>
      <c r="C247" s="10">
        <v>5339</v>
      </c>
      <c r="D247" s="10"/>
      <c r="E247" s="27">
        <v>2016</v>
      </c>
      <c r="F247" s="9" t="s">
        <v>476</v>
      </c>
      <c r="G247" s="10">
        <v>5230</v>
      </c>
      <c r="H247" s="8"/>
      <c r="I247" s="2"/>
      <c r="J247" s="8"/>
      <c r="K247" s="3"/>
    </row>
    <row r="248" spans="1:11">
      <c r="A248">
        <v>2017</v>
      </c>
      <c r="B248" s="9" t="s">
        <v>716</v>
      </c>
      <c r="C248" s="10">
        <v>2112466</v>
      </c>
      <c r="D248" s="10"/>
      <c r="E248" s="27">
        <v>2016</v>
      </c>
      <c r="F248" s="9" t="s">
        <v>716</v>
      </c>
      <c r="G248" s="10">
        <v>1941175</v>
      </c>
      <c r="H248" s="8"/>
      <c r="I248" s="2"/>
      <c r="J248" s="8"/>
      <c r="K248" s="3"/>
    </row>
    <row r="249" spans="1:11">
      <c r="A249">
        <v>2017</v>
      </c>
      <c r="B249" s="9" t="s">
        <v>717</v>
      </c>
      <c r="C249" s="10">
        <v>3827031</v>
      </c>
      <c r="D249" s="10"/>
      <c r="E249" s="27">
        <v>2016</v>
      </c>
      <c r="F249" s="9" t="s">
        <v>717</v>
      </c>
      <c r="G249" s="10">
        <v>3774581</v>
      </c>
      <c r="H249" s="8"/>
      <c r="I249" s="2"/>
      <c r="J249" s="8"/>
      <c r="K249" s="3"/>
    </row>
    <row r="250" spans="1:11">
      <c r="A250">
        <v>2017</v>
      </c>
      <c r="B250" s="9" t="s">
        <v>718</v>
      </c>
      <c r="C250" s="10">
        <v>3629566</v>
      </c>
      <c r="D250" s="10"/>
      <c r="E250" s="27">
        <v>2016</v>
      </c>
      <c r="F250" s="9" t="s">
        <v>718</v>
      </c>
      <c r="G250" s="10">
        <v>3579618</v>
      </c>
      <c r="H250" s="8"/>
      <c r="I250" s="2"/>
      <c r="J250" s="8"/>
      <c r="K250" s="3"/>
    </row>
    <row r="251" spans="1:11">
      <c r="A251">
        <v>2017</v>
      </c>
      <c r="B251" s="9" t="s">
        <v>719</v>
      </c>
      <c r="C251" s="10">
        <v>2132740</v>
      </c>
      <c r="D251" s="10"/>
      <c r="E251" s="27">
        <v>2016</v>
      </c>
      <c r="F251" s="9" t="s">
        <v>719</v>
      </c>
      <c r="G251" s="10">
        <v>2189924</v>
      </c>
      <c r="H251" s="8"/>
      <c r="I251" s="2"/>
      <c r="J251" s="8"/>
      <c r="K251" s="3"/>
    </row>
    <row r="252" spans="1:11">
      <c r="A252">
        <v>2017</v>
      </c>
      <c r="B252" s="9" t="s">
        <v>93</v>
      </c>
      <c r="C252" s="10">
        <v>83489</v>
      </c>
      <c r="D252" s="10"/>
      <c r="E252" s="27">
        <v>2016</v>
      </c>
      <c r="F252" s="9" t="s">
        <v>93</v>
      </c>
      <c r="G252" s="10">
        <v>84789</v>
      </c>
      <c r="H252" s="7"/>
      <c r="I252" s="2"/>
      <c r="J252" s="7"/>
      <c r="K252" s="1"/>
    </row>
    <row r="253" spans="1:11">
      <c r="A253">
        <v>2017</v>
      </c>
      <c r="B253" s="9" t="s">
        <v>720</v>
      </c>
      <c r="C253" s="10">
        <v>52001</v>
      </c>
      <c r="D253" s="10"/>
      <c r="E253" s="27">
        <v>2016</v>
      </c>
      <c r="F253" s="9" t="s">
        <v>720</v>
      </c>
      <c r="G253" s="10">
        <v>52227</v>
      </c>
      <c r="H253" s="8"/>
      <c r="I253" s="2"/>
      <c r="J253" s="8"/>
      <c r="K253" s="3"/>
    </row>
    <row r="254" spans="1:11">
      <c r="A254">
        <v>2017</v>
      </c>
      <c r="B254" s="9" t="s">
        <v>721</v>
      </c>
      <c r="C254" s="10">
        <v>83124</v>
      </c>
      <c r="D254" s="10"/>
      <c r="E254" s="27">
        <v>2016</v>
      </c>
      <c r="F254" s="9" t="s">
        <v>721</v>
      </c>
      <c r="H254" s="8"/>
      <c r="I254" s="2"/>
      <c r="J254" s="8"/>
      <c r="K254" s="1"/>
    </row>
    <row r="255" spans="1:11">
      <c r="A255">
        <v>2017</v>
      </c>
      <c r="B255" s="9" t="s">
        <v>722</v>
      </c>
      <c r="C255" s="10">
        <v>68904</v>
      </c>
      <c r="D255" s="10"/>
      <c r="E255" s="27">
        <v>2016</v>
      </c>
      <c r="F255" s="9" t="s">
        <v>722</v>
      </c>
      <c r="G255" s="10">
        <v>57712</v>
      </c>
      <c r="H255" s="7"/>
      <c r="I255" s="2"/>
      <c r="J255" s="7"/>
      <c r="K255" s="3"/>
    </row>
    <row r="256" spans="1:11">
      <c r="A256">
        <v>2017</v>
      </c>
      <c r="B256" s="9" t="s">
        <v>723</v>
      </c>
      <c r="C256" s="10">
        <v>920916</v>
      </c>
      <c r="D256" s="10"/>
      <c r="E256" s="27">
        <v>2016</v>
      </c>
      <c r="F256" s="9" t="s">
        <v>723</v>
      </c>
      <c r="G256" s="10">
        <v>883337</v>
      </c>
      <c r="H256" s="8"/>
      <c r="I256" s="2"/>
      <c r="J256" s="8"/>
      <c r="K256" s="3"/>
    </row>
    <row r="257" spans="1:11">
      <c r="A257">
        <v>2017</v>
      </c>
      <c r="B257" s="9" t="s">
        <v>96</v>
      </c>
      <c r="C257" s="10">
        <v>31954</v>
      </c>
      <c r="D257" s="10"/>
      <c r="E257" s="27">
        <v>2016</v>
      </c>
      <c r="F257" s="9" t="s">
        <v>96</v>
      </c>
      <c r="G257" s="10">
        <v>33110</v>
      </c>
      <c r="H257" s="8"/>
      <c r="I257" s="2"/>
      <c r="J257" s="8"/>
      <c r="K257" s="3"/>
    </row>
    <row r="258" spans="1:11">
      <c r="A258">
        <v>2017</v>
      </c>
      <c r="B258" s="9" t="s">
        <v>724</v>
      </c>
      <c r="C258" s="10">
        <v>2176494</v>
      </c>
      <c r="D258" s="10"/>
      <c r="E258" s="27">
        <v>2016</v>
      </c>
      <c r="F258" s="9" t="s">
        <v>724</v>
      </c>
      <c r="G258" s="10">
        <v>2151141</v>
      </c>
      <c r="H258" s="8"/>
      <c r="I258" s="2"/>
      <c r="J258" s="8"/>
      <c r="K258" s="3"/>
    </row>
    <row r="259" spans="1:11">
      <c r="A259">
        <v>2017</v>
      </c>
      <c r="B259" s="9" t="s">
        <v>725</v>
      </c>
      <c r="C259" s="10">
        <v>204103</v>
      </c>
      <c r="D259" s="10"/>
      <c r="E259" s="27">
        <v>2016</v>
      </c>
      <c r="F259" s="9" t="s">
        <v>725</v>
      </c>
      <c r="G259" s="10">
        <v>202333</v>
      </c>
      <c r="H259" s="8"/>
      <c r="I259" s="2"/>
      <c r="J259" s="8"/>
      <c r="K259" s="3"/>
    </row>
    <row r="260" spans="1:11">
      <c r="A260">
        <v>2017</v>
      </c>
      <c r="B260" s="9" t="s">
        <v>726</v>
      </c>
      <c r="C260" s="10">
        <v>501715</v>
      </c>
      <c r="D260" s="10"/>
      <c r="E260" s="27">
        <v>2016</v>
      </c>
      <c r="F260" s="9" t="s">
        <v>726</v>
      </c>
      <c r="G260" s="10">
        <v>483875</v>
      </c>
      <c r="H260" s="8"/>
      <c r="I260" s="2"/>
      <c r="J260" s="8"/>
      <c r="K260" s="3"/>
    </row>
    <row r="261" spans="1:11">
      <c r="A261">
        <v>2017</v>
      </c>
      <c r="B261" s="9" t="s">
        <v>727</v>
      </c>
      <c r="C261" s="10">
        <v>1785366</v>
      </c>
      <c r="D261" s="10"/>
      <c r="E261" s="27">
        <v>2016</v>
      </c>
      <c r="F261" s="9" t="s">
        <v>727</v>
      </c>
      <c r="G261" s="10">
        <v>1770390</v>
      </c>
      <c r="H261" s="8"/>
      <c r="I261" s="2"/>
      <c r="J261" s="8"/>
      <c r="K261" s="3"/>
    </row>
    <row r="262" spans="1:11">
      <c r="A262">
        <v>2017</v>
      </c>
      <c r="B262" s="9" t="s">
        <v>728</v>
      </c>
      <c r="C262" s="10">
        <v>9874</v>
      </c>
      <c r="D262" s="10"/>
      <c r="E262" s="27">
        <v>2016</v>
      </c>
      <c r="F262" s="9" t="s">
        <v>728</v>
      </c>
      <c r="G262" s="10">
        <v>9159</v>
      </c>
      <c r="H262" s="8"/>
      <c r="I262" s="2"/>
      <c r="J262" s="8"/>
      <c r="K262" s="3"/>
    </row>
    <row r="263" spans="1:11">
      <c r="A263">
        <v>2017</v>
      </c>
      <c r="B263" s="9" t="s">
        <v>729</v>
      </c>
      <c r="C263" s="10">
        <v>111415</v>
      </c>
      <c r="D263" s="10"/>
      <c r="E263" s="27">
        <v>2016</v>
      </c>
      <c r="F263" s="9" t="s">
        <v>729</v>
      </c>
      <c r="G263" s="10">
        <v>101509</v>
      </c>
      <c r="H263" s="8"/>
      <c r="I263" s="2"/>
      <c r="J263" s="8"/>
      <c r="K263" s="3"/>
    </row>
    <row r="264" spans="1:11">
      <c r="A264">
        <v>2017</v>
      </c>
      <c r="B264" s="9" t="s">
        <v>730</v>
      </c>
      <c r="C264" s="10">
        <v>76899</v>
      </c>
      <c r="D264" s="10"/>
      <c r="E264" s="27">
        <v>2016</v>
      </c>
      <c r="F264" s="9" t="s">
        <v>730</v>
      </c>
      <c r="G264" s="10">
        <v>77039</v>
      </c>
      <c r="H264" s="8"/>
      <c r="I264" s="2"/>
      <c r="J264" s="8"/>
      <c r="K264" s="3"/>
    </row>
    <row r="265" spans="1:11">
      <c r="A265">
        <v>2017</v>
      </c>
      <c r="B265" s="9" t="s">
        <v>731</v>
      </c>
      <c r="C265" s="10">
        <v>149375</v>
      </c>
      <c r="D265" s="10"/>
      <c r="E265" s="27">
        <v>2016</v>
      </c>
      <c r="F265" s="9" t="s">
        <v>731</v>
      </c>
      <c r="G265" s="10">
        <v>152526</v>
      </c>
      <c r="H265" s="8"/>
      <c r="I265" s="2"/>
      <c r="J265" s="8"/>
      <c r="K265" s="3"/>
    </row>
    <row r="266" spans="1:11">
      <c r="A266">
        <v>2017</v>
      </c>
      <c r="B266" s="9" t="s">
        <v>732</v>
      </c>
      <c r="C266" s="10">
        <v>398389</v>
      </c>
      <c r="D266" s="10"/>
      <c r="E266" s="27">
        <v>2016</v>
      </c>
      <c r="F266" s="9" t="s">
        <v>732</v>
      </c>
      <c r="G266" s="10">
        <v>407673</v>
      </c>
      <c r="H266" s="8"/>
      <c r="I266" s="2"/>
      <c r="J266" s="8"/>
      <c r="K266" s="3"/>
    </row>
    <row r="267" spans="1:11">
      <c r="A267">
        <v>2017</v>
      </c>
      <c r="B267" s="9" t="s">
        <v>733</v>
      </c>
      <c r="C267" s="10">
        <v>796606</v>
      </c>
      <c r="D267" s="10"/>
      <c r="E267" s="27">
        <v>2016</v>
      </c>
      <c r="F267" s="9" t="s">
        <v>733</v>
      </c>
      <c r="G267" s="10">
        <v>779692</v>
      </c>
      <c r="H267" s="8"/>
      <c r="I267" s="2"/>
      <c r="J267" s="8"/>
      <c r="K267" s="3"/>
    </row>
    <row r="268" spans="1:11">
      <c r="A268">
        <v>2017</v>
      </c>
      <c r="B268" s="9" t="s">
        <v>734</v>
      </c>
      <c r="C268" s="10">
        <v>8898254</v>
      </c>
      <c r="D268" s="10"/>
      <c r="E268" s="27">
        <v>2016</v>
      </c>
      <c r="F268" s="9" t="s">
        <v>734</v>
      </c>
      <c r="G268" s="10">
        <v>8751860</v>
      </c>
      <c r="H268" s="7"/>
      <c r="I268" s="2"/>
      <c r="J268" s="7"/>
      <c r="K268" s="3"/>
    </row>
    <row r="269" spans="1:11">
      <c r="A269">
        <v>2017</v>
      </c>
      <c r="B269" s="9" t="s">
        <v>735</v>
      </c>
      <c r="C269" s="10">
        <v>22720</v>
      </c>
      <c r="D269" s="10"/>
      <c r="E269" s="27">
        <v>2016</v>
      </c>
      <c r="F269" s="9" t="s">
        <v>735</v>
      </c>
      <c r="G269" s="10">
        <v>15805</v>
      </c>
      <c r="H269" s="8"/>
      <c r="I269" s="2"/>
      <c r="J269" s="8"/>
      <c r="K269" s="3"/>
    </row>
    <row r="270" spans="1:11">
      <c r="A270">
        <v>2017</v>
      </c>
      <c r="B270" s="9" t="s">
        <v>936</v>
      </c>
      <c r="C270" s="10">
        <v>128422</v>
      </c>
      <c r="D270" s="10"/>
      <c r="E270" s="27">
        <v>2016</v>
      </c>
      <c r="F270" s="9" t="s">
        <v>936</v>
      </c>
      <c r="G270" s="10">
        <v>119760</v>
      </c>
      <c r="H270" s="8"/>
      <c r="I270" s="2"/>
      <c r="J270" s="8"/>
      <c r="K270" s="3"/>
    </row>
    <row r="271" spans="1:11">
      <c r="A271">
        <v>2017</v>
      </c>
      <c r="B271" s="9" t="s">
        <v>736</v>
      </c>
      <c r="C271" s="10">
        <v>19205</v>
      </c>
      <c r="D271" s="10"/>
      <c r="E271" s="27">
        <v>2016</v>
      </c>
      <c r="F271" s="9" t="s">
        <v>736</v>
      </c>
      <c r="G271" s="10">
        <v>18360</v>
      </c>
      <c r="H271" s="8"/>
      <c r="I271" s="2"/>
      <c r="J271" s="8"/>
      <c r="K271" s="3"/>
    </row>
    <row r="272" spans="1:11">
      <c r="A272">
        <v>2017</v>
      </c>
      <c r="B272" s="9" t="s">
        <v>737</v>
      </c>
      <c r="C272" s="10">
        <v>16933</v>
      </c>
      <c r="D272" s="10"/>
      <c r="E272" s="27">
        <v>2016</v>
      </c>
      <c r="F272" s="9" t="s">
        <v>737</v>
      </c>
      <c r="G272" s="10">
        <v>16062</v>
      </c>
      <c r="H272" s="8"/>
      <c r="I272" s="2"/>
      <c r="J272" s="8"/>
      <c r="K272" s="3"/>
    </row>
    <row r="273" spans="1:11">
      <c r="A273">
        <v>2017</v>
      </c>
      <c r="B273" s="9" t="s">
        <v>738</v>
      </c>
      <c r="C273" s="10">
        <v>44756</v>
      </c>
      <c r="D273" s="10"/>
      <c r="E273" s="27">
        <v>2016</v>
      </c>
      <c r="F273" s="9" t="s">
        <v>738</v>
      </c>
      <c r="G273" s="10">
        <v>43669</v>
      </c>
      <c r="H273" s="8"/>
      <c r="I273" s="2"/>
      <c r="J273" s="8"/>
      <c r="K273" s="3"/>
    </row>
    <row r="274" spans="1:11">
      <c r="A274">
        <v>2017</v>
      </c>
      <c r="B274" s="9" t="s">
        <v>739</v>
      </c>
      <c r="C274" s="10">
        <v>91422</v>
      </c>
      <c r="D274" s="10"/>
      <c r="E274" s="27">
        <v>2016</v>
      </c>
      <c r="F274" s="9" t="s">
        <v>739</v>
      </c>
      <c r="G274" s="10">
        <v>76101</v>
      </c>
      <c r="H274" s="8"/>
      <c r="I274" s="2"/>
      <c r="J274" s="8"/>
      <c r="K274" s="3"/>
    </row>
    <row r="275" spans="1:11">
      <c r="A275">
        <v>2017</v>
      </c>
      <c r="B275" s="9" t="s">
        <v>740</v>
      </c>
      <c r="C275" s="10">
        <v>423719</v>
      </c>
      <c r="D275" s="10"/>
      <c r="E275" s="27">
        <v>2016</v>
      </c>
      <c r="F275" s="9" t="s">
        <v>740</v>
      </c>
      <c r="G275" s="10">
        <v>413165</v>
      </c>
      <c r="H275" s="8"/>
      <c r="I275" s="2"/>
      <c r="J275" s="8"/>
      <c r="K275" s="3"/>
    </row>
    <row r="276" spans="1:11">
      <c r="A276">
        <v>2017</v>
      </c>
      <c r="B276" s="9" t="s">
        <v>741</v>
      </c>
      <c r="C276" s="10">
        <v>119400</v>
      </c>
      <c r="D276" s="10"/>
      <c r="E276" s="27">
        <v>2016</v>
      </c>
      <c r="F276" s="9" t="s">
        <v>741</v>
      </c>
      <c r="G276" s="10">
        <v>121368</v>
      </c>
      <c r="H276" s="8"/>
      <c r="I276" s="2"/>
      <c r="J276" s="8"/>
      <c r="K276" s="3"/>
    </row>
    <row r="277" spans="1:11">
      <c r="A277">
        <v>2017</v>
      </c>
      <c r="B277" s="9" t="s">
        <v>742</v>
      </c>
      <c r="C277" s="10">
        <v>49481</v>
      </c>
      <c r="D277" s="10"/>
      <c r="E277" s="27">
        <v>2016</v>
      </c>
      <c r="F277" s="9" t="s">
        <v>742</v>
      </c>
      <c r="G277" s="10">
        <v>59045</v>
      </c>
      <c r="H277" s="8"/>
      <c r="I277" s="2"/>
      <c r="J277" s="8"/>
      <c r="K277" s="3"/>
    </row>
    <row r="278" spans="1:11">
      <c r="A278">
        <v>2017</v>
      </c>
      <c r="B278" s="9" t="s">
        <v>743</v>
      </c>
      <c r="C278" s="10">
        <v>90736</v>
      </c>
      <c r="D278" s="10"/>
      <c r="E278" s="27">
        <v>2016</v>
      </c>
      <c r="F278" s="9" t="s">
        <v>743</v>
      </c>
      <c r="G278" s="10">
        <v>106438</v>
      </c>
      <c r="H278" s="8"/>
      <c r="I278" s="2"/>
      <c r="J278" s="8"/>
      <c r="K278" s="3"/>
    </row>
    <row r="279" spans="1:11">
      <c r="A279">
        <v>2017</v>
      </c>
      <c r="B279" s="9" t="s">
        <v>744</v>
      </c>
      <c r="C279" s="10">
        <v>109547</v>
      </c>
      <c r="D279" s="10"/>
      <c r="E279" s="27">
        <v>2016</v>
      </c>
      <c r="F279" s="9" t="s">
        <v>744</v>
      </c>
      <c r="G279" s="10">
        <v>112497</v>
      </c>
      <c r="H279" s="7"/>
      <c r="I279" s="2"/>
      <c r="J279" s="7"/>
      <c r="K279" s="3"/>
    </row>
    <row r="280" spans="1:11">
      <c r="A280">
        <v>2017</v>
      </c>
      <c r="B280" s="9" t="s">
        <v>745</v>
      </c>
      <c r="C280" s="10">
        <v>112494</v>
      </c>
      <c r="D280" s="10"/>
      <c r="E280" s="27">
        <v>2016</v>
      </c>
      <c r="F280" s="9" t="s">
        <v>745</v>
      </c>
      <c r="G280" s="10">
        <v>129304</v>
      </c>
      <c r="H280" s="8"/>
      <c r="I280" s="2"/>
      <c r="J280" s="8"/>
      <c r="K280" s="3"/>
    </row>
    <row r="281" spans="1:11">
      <c r="A281">
        <v>2017</v>
      </c>
      <c r="B281" s="9" t="s">
        <v>746</v>
      </c>
      <c r="C281" s="10">
        <v>312662</v>
      </c>
      <c r="D281" s="10"/>
      <c r="E281" s="27">
        <v>2016</v>
      </c>
      <c r="F281" s="9" t="s">
        <v>746</v>
      </c>
      <c r="G281" s="10">
        <v>293253</v>
      </c>
      <c r="H281" s="8"/>
      <c r="I281" s="2"/>
      <c r="J281" s="8"/>
      <c r="K281" s="3"/>
    </row>
    <row r="282" spans="1:11">
      <c r="A282">
        <v>2017</v>
      </c>
      <c r="B282" s="9" t="s">
        <v>109</v>
      </c>
      <c r="C282" s="10">
        <v>16613</v>
      </c>
      <c r="D282" s="10"/>
      <c r="E282" s="27">
        <v>2016</v>
      </c>
      <c r="F282" s="9" t="s">
        <v>109</v>
      </c>
      <c r="G282" s="10">
        <v>15785</v>
      </c>
      <c r="H282" s="8"/>
      <c r="I282" s="2"/>
      <c r="J282" s="8"/>
      <c r="K282" s="3"/>
    </row>
    <row r="283" spans="1:11">
      <c r="A283">
        <v>2017</v>
      </c>
      <c r="B283" s="9" t="s">
        <v>747</v>
      </c>
      <c r="C283" s="10">
        <v>60249</v>
      </c>
      <c r="D283" s="10"/>
      <c r="E283" s="27">
        <v>2016</v>
      </c>
      <c r="F283" s="9" t="s">
        <v>747</v>
      </c>
      <c r="G283" s="10">
        <v>60431</v>
      </c>
      <c r="H283" s="8"/>
      <c r="I283" s="2"/>
      <c r="J283" s="8"/>
      <c r="K283" s="3"/>
    </row>
    <row r="284" spans="1:11">
      <c r="A284">
        <v>2017</v>
      </c>
      <c r="B284" s="9" t="s">
        <v>748</v>
      </c>
      <c r="C284" s="10">
        <v>48583</v>
      </c>
      <c r="D284" s="10"/>
      <c r="E284" s="27">
        <v>2016</v>
      </c>
      <c r="F284" s="9" t="s">
        <v>748</v>
      </c>
      <c r="G284" s="10">
        <v>67373</v>
      </c>
      <c r="H284" s="8"/>
      <c r="I284" s="2"/>
      <c r="J284" s="8"/>
      <c r="K284" s="3"/>
    </row>
    <row r="285" spans="1:11">
      <c r="A285">
        <v>2017</v>
      </c>
      <c r="B285" s="9" t="s">
        <v>749</v>
      </c>
      <c r="C285" s="10">
        <v>124374</v>
      </c>
      <c r="D285" s="10"/>
      <c r="E285" s="27">
        <v>2016</v>
      </c>
      <c r="F285" s="9" t="s">
        <v>749</v>
      </c>
      <c r="G285" s="10">
        <v>111071</v>
      </c>
      <c r="H285" s="8"/>
      <c r="I285" s="2"/>
      <c r="J285" s="8"/>
      <c r="K285" s="3"/>
    </row>
    <row r="286" spans="1:11">
      <c r="A286">
        <v>2017</v>
      </c>
      <c r="B286" s="9" t="s">
        <v>750</v>
      </c>
      <c r="C286" s="10">
        <v>1299338</v>
      </c>
      <c r="D286" s="10"/>
      <c r="E286" s="27">
        <v>2016</v>
      </c>
      <c r="F286" s="9" t="s">
        <v>750</v>
      </c>
      <c r="G286" s="10">
        <v>1273862</v>
      </c>
      <c r="H286" s="8"/>
      <c r="I286" s="2"/>
      <c r="J286" s="8"/>
      <c r="K286" s="3"/>
    </row>
    <row r="287" spans="1:11">
      <c r="A287">
        <v>2017</v>
      </c>
      <c r="B287" s="9" t="s">
        <v>751</v>
      </c>
      <c r="C287" s="10">
        <v>367358</v>
      </c>
      <c r="D287" s="10"/>
      <c r="E287" s="27">
        <v>2016</v>
      </c>
      <c r="F287" s="9" t="s">
        <v>751</v>
      </c>
      <c r="G287" s="10">
        <v>367052</v>
      </c>
      <c r="H287" s="8"/>
      <c r="I287" s="2"/>
      <c r="J287" s="8"/>
      <c r="K287" s="3"/>
    </row>
    <row r="288" spans="1:11">
      <c r="A288">
        <v>2017</v>
      </c>
      <c r="B288" s="9" t="s">
        <v>752</v>
      </c>
      <c r="C288" s="10">
        <v>66251</v>
      </c>
      <c r="D288" s="10"/>
      <c r="E288" s="27">
        <v>2016</v>
      </c>
      <c r="F288" s="9" t="s">
        <v>752</v>
      </c>
      <c r="G288" s="10">
        <v>67067</v>
      </c>
      <c r="H288" s="8"/>
      <c r="I288" s="2"/>
      <c r="J288" s="8"/>
      <c r="K288" s="3"/>
    </row>
    <row r="289" spans="1:11">
      <c r="A289">
        <v>2017</v>
      </c>
      <c r="B289" s="9" t="s">
        <v>753</v>
      </c>
      <c r="C289" s="10">
        <v>434112</v>
      </c>
      <c r="D289" s="10"/>
      <c r="E289" s="27">
        <v>2016</v>
      </c>
      <c r="F289" s="9" t="s">
        <v>753</v>
      </c>
      <c r="G289" s="10">
        <v>426510</v>
      </c>
      <c r="H289" s="8"/>
      <c r="I289" s="2"/>
      <c r="J289" s="8"/>
      <c r="K289" s="3"/>
    </row>
    <row r="290" spans="1:11">
      <c r="A290">
        <v>2017</v>
      </c>
      <c r="B290" s="9" t="s">
        <v>754</v>
      </c>
      <c r="C290" s="10">
        <v>1084927</v>
      </c>
      <c r="D290" s="10"/>
      <c r="E290" s="27">
        <v>2016</v>
      </c>
      <c r="F290" s="9" t="s">
        <v>754</v>
      </c>
      <c r="G290" s="10">
        <v>1046578</v>
      </c>
      <c r="H290" s="8"/>
      <c r="I290" s="2"/>
      <c r="J290" s="8"/>
      <c r="K290" s="3"/>
    </row>
    <row r="291" spans="1:11">
      <c r="A291">
        <v>2017</v>
      </c>
      <c r="B291" s="9" t="s">
        <v>755</v>
      </c>
      <c r="C291" s="10">
        <v>492587</v>
      </c>
      <c r="D291" s="10"/>
      <c r="E291" s="27">
        <v>2016</v>
      </c>
      <c r="F291" s="9" t="s">
        <v>755</v>
      </c>
      <c r="G291" s="10">
        <v>477279</v>
      </c>
      <c r="H291" s="8"/>
      <c r="I291" s="2"/>
      <c r="J291" s="8"/>
      <c r="K291" s="3"/>
    </row>
    <row r="292" spans="1:11">
      <c r="A292">
        <v>2017</v>
      </c>
      <c r="B292" s="9" t="s">
        <v>756</v>
      </c>
      <c r="C292" s="10">
        <v>816626</v>
      </c>
      <c r="D292" s="10"/>
      <c r="E292" s="27">
        <v>2016</v>
      </c>
      <c r="F292" s="9" t="s">
        <v>756</v>
      </c>
      <c r="G292" s="10">
        <v>773353</v>
      </c>
      <c r="H292" s="7"/>
      <c r="I292" s="2"/>
      <c r="J292" s="7"/>
      <c r="K292" s="3"/>
    </row>
    <row r="293" spans="1:11">
      <c r="A293">
        <v>2017</v>
      </c>
      <c r="B293" s="9" t="s">
        <v>757</v>
      </c>
      <c r="C293" s="10">
        <v>115994</v>
      </c>
      <c r="D293" s="10"/>
      <c r="E293" s="27">
        <v>2016</v>
      </c>
      <c r="F293" s="9" t="s">
        <v>757</v>
      </c>
      <c r="G293" s="10">
        <v>166228</v>
      </c>
      <c r="H293" s="8"/>
      <c r="I293" s="2"/>
      <c r="J293" s="8"/>
      <c r="K293" s="3"/>
    </row>
    <row r="294" spans="1:11">
      <c r="A294">
        <v>2017</v>
      </c>
      <c r="B294" s="9" t="s">
        <v>116</v>
      </c>
      <c r="C294" s="10">
        <v>34507</v>
      </c>
      <c r="D294" s="10"/>
      <c r="E294" s="27">
        <v>2016</v>
      </c>
      <c r="F294" s="9" t="s">
        <v>116</v>
      </c>
      <c r="G294" s="10">
        <v>26837</v>
      </c>
      <c r="H294" s="8"/>
      <c r="I294" s="2"/>
      <c r="J294" s="8"/>
      <c r="K294" s="3"/>
    </row>
    <row r="295" spans="1:11">
      <c r="A295">
        <v>2017</v>
      </c>
      <c r="B295" s="9" t="s">
        <v>937</v>
      </c>
      <c r="C295" s="10">
        <v>8469</v>
      </c>
      <c r="D295" s="10"/>
      <c r="E295" s="27">
        <v>2016</v>
      </c>
      <c r="F295" s="9" t="s">
        <v>937</v>
      </c>
      <c r="G295" s="10">
        <v>8214</v>
      </c>
      <c r="H295" s="8"/>
      <c r="I295" s="2"/>
      <c r="J295" s="8"/>
      <c r="K295" s="3"/>
    </row>
    <row r="296" spans="1:11">
      <c r="A296">
        <v>2017</v>
      </c>
      <c r="B296" s="9" t="s">
        <v>938</v>
      </c>
      <c r="C296" s="10">
        <v>10235</v>
      </c>
      <c r="D296" s="10"/>
      <c r="E296" s="27">
        <v>2016</v>
      </c>
      <c r="F296" s="9" t="s">
        <v>938</v>
      </c>
      <c r="G296" s="10">
        <v>9216</v>
      </c>
      <c r="H296" s="8"/>
      <c r="I296" s="2"/>
      <c r="J296" s="8"/>
      <c r="K296" s="3"/>
    </row>
    <row r="297" spans="1:11">
      <c r="A297">
        <v>2017</v>
      </c>
      <c r="B297" s="9" t="s">
        <v>939</v>
      </c>
      <c r="C297" s="10">
        <v>36318</v>
      </c>
      <c r="D297" s="10"/>
      <c r="E297" s="27">
        <v>2016</v>
      </c>
      <c r="F297" s="9" t="s">
        <v>939</v>
      </c>
      <c r="G297" s="10">
        <v>19563</v>
      </c>
      <c r="H297" s="8"/>
      <c r="I297" s="2"/>
      <c r="J297" s="8"/>
      <c r="K297" s="3"/>
    </row>
    <row r="298" spans="1:11">
      <c r="A298">
        <v>2017</v>
      </c>
      <c r="B298" s="9" t="s">
        <v>940</v>
      </c>
      <c r="C298" s="9">
        <v>0</v>
      </c>
      <c r="E298" s="27">
        <v>2016</v>
      </c>
      <c r="F298" s="9" t="s">
        <v>940</v>
      </c>
      <c r="H298" s="8"/>
      <c r="I298" s="2"/>
      <c r="J298" s="8"/>
      <c r="K298" s="1"/>
    </row>
    <row r="299" spans="1:11">
      <c r="A299">
        <v>2017</v>
      </c>
      <c r="B299" s="9" t="s">
        <v>761</v>
      </c>
      <c r="C299" s="10">
        <v>107779</v>
      </c>
      <c r="D299" s="10"/>
      <c r="E299" s="27">
        <v>2016</v>
      </c>
      <c r="F299" s="9" t="s">
        <v>761</v>
      </c>
      <c r="G299" s="10">
        <v>105787</v>
      </c>
      <c r="H299" s="8"/>
      <c r="I299" s="2"/>
      <c r="J299" s="8"/>
      <c r="K299" s="3"/>
    </row>
    <row r="300" spans="1:11">
      <c r="A300">
        <v>2017</v>
      </c>
      <c r="B300" s="9" t="s">
        <v>122</v>
      </c>
      <c r="C300" s="10">
        <v>25857</v>
      </c>
      <c r="D300" s="10"/>
      <c r="E300" s="27">
        <v>2016</v>
      </c>
      <c r="F300" s="9" t="s">
        <v>122</v>
      </c>
      <c r="G300" s="10">
        <v>26648</v>
      </c>
      <c r="H300" s="8"/>
      <c r="I300" s="2"/>
      <c r="J300" s="8"/>
      <c r="K300" s="3"/>
    </row>
    <row r="301" spans="1:11">
      <c r="A301">
        <v>2017</v>
      </c>
      <c r="B301" s="9" t="s">
        <v>762</v>
      </c>
      <c r="C301" s="10">
        <v>107800</v>
      </c>
      <c r="D301" s="10"/>
      <c r="E301" s="27">
        <v>2016</v>
      </c>
      <c r="F301" s="9" t="s">
        <v>762</v>
      </c>
      <c r="G301" s="10">
        <v>101665</v>
      </c>
      <c r="H301" s="8"/>
      <c r="I301" s="2"/>
      <c r="J301" s="8"/>
      <c r="K301" s="3"/>
    </row>
    <row r="302" spans="1:11">
      <c r="A302">
        <v>2017</v>
      </c>
      <c r="B302" s="9" t="s">
        <v>763</v>
      </c>
      <c r="C302" s="10">
        <v>532397</v>
      </c>
      <c r="D302" s="10"/>
      <c r="E302" s="27">
        <v>2016</v>
      </c>
      <c r="F302" s="9" t="s">
        <v>763</v>
      </c>
      <c r="G302" s="10">
        <v>487062</v>
      </c>
      <c r="H302" s="7"/>
      <c r="I302" s="2"/>
      <c r="J302" s="7"/>
      <c r="K302" s="1"/>
    </row>
    <row r="303" spans="1:11">
      <c r="A303">
        <v>2017</v>
      </c>
      <c r="B303" s="9" t="s">
        <v>764</v>
      </c>
      <c r="C303" s="10">
        <v>510882</v>
      </c>
      <c r="D303" s="10"/>
      <c r="E303" s="27">
        <v>2016</v>
      </c>
      <c r="F303" s="9" t="s">
        <v>764</v>
      </c>
      <c r="G303" s="10">
        <v>518310</v>
      </c>
      <c r="H303" s="7"/>
      <c r="I303" s="2"/>
      <c r="J303" s="7"/>
      <c r="K303" s="3"/>
    </row>
    <row r="304" spans="1:11">
      <c r="A304">
        <v>2017</v>
      </c>
      <c r="B304" s="9" t="s">
        <v>765</v>
      </c>
      <c r="C304" s="10">
        <v>169980</v>
      </c>
      <c r="D304" s="10"/>
      <c r="E304" s="27">
        <v>2016</v>
      </c>
      <c r="F304" s="9" t="s">
        <v>765</v>
      </c>
      <c r="G304" s="10">
        <v>146359</v>
      </c>
      <c r="H304" s="7"/>
      <c r="I304" s="2"/>
      <c r="J304" s="7"/>
      <c r="K304" s="3"/>
    </row>
    <row r="305" spans="1:11">
      <c r="A305">
        <v>2017</v>
      </c>
      <c r="B305" s="9" t="s">
        <v>766</v>
      </c>
      <c r="C305" s="10">
        <v>55816</v>
      </c>
      <c r="D305" s="10"/>
      <c r="E305" s="27">
        <v>2016</v>
      </c>
      <c r="F305" s="9" t="s">
        <v>766</v>
      </c>
      <c r="G305" s="10">
        <v>71944</v>
      </c>
      <c r="H305" s="7"/>
      <c r="I305" s="2"/>
      <c r="J305" s="7"/>
      <c r="K305" s="3"/>
    </row>
    <row r="306" spans="1:11">
      <c r="A306">
        <v>2017</v>
      </c>
      <c r="B306" s="9" t="s">
        <v>767</v>
      </c>
      <c r="C306" s="10">
        <v>284079</v>
      </c>
      <c r="D306" s="10"/>
      <c r="E306" s="27">
        <v>2016</v>
      </c>
      <c r="F306" s="9" t="s">
        <v>767</v>
      </c>
      <c r="G306" s="10">
        <v>303305</v>
      </c>
      <c r="H306" s="7"/>
      <c r="I306" s="2"/>
      <c r="J306" s="7"/>
      <c r="K306" s="3"/>
    </row>
    <row r="307" spans="1:11">
      <c r="A307">
        <v>2017</v>
      </c>
      <c r="B307" s="9" t="s">
        <v>768</v>
      </c>
      <c r="C307" s="10">
        <v>190751</v>
      </c>
      <c r="D307" s="10"/>
      <c r="E307" s="27">
        <v>2016</v>
      </c>
      <c r="F307" s="9" t="s">
        <v>768</v>
      </c>
      <c r="G307" s="10">
        <v>194326</v>
      </c>
      <c r="H307" s="7"/>
      <c r="I307" s="2"/>
      <c r="J307" s="7"/>
      <c r="K307" s="3"/>
    </row>
    <row r="308" spans="1:11">
      <c r="A308">
        <v>2017</v>
      </c>
      <c r="B308" s="9" t="s">
        <v>769</v>
      </c>
      <c r="C308" s="10">
        <v>277582</v>
      </c>
      <c r="D308" s="10"/>
      <c r="E308" s="27">
        <v>2016</v>
      </c>
      <c r="F308" s="9" t="s">
        <v>769</v>
      </c>
      <c r="G308" s="10">
        <v>296817</v>
      </c>
      <c r="H308" s="7"/>
      <c r="I308" s="2"/>
      <c r="J308" s="7"/>
      <c r="K308" s="3"/>
    </row>
    <row r="309" spans="1:11">
      <c r="A309">
        <v>2017</v>
      </c>
      <c r="B309" s="9" t="s">
        <v>770</v>
      </c>
      <c r="C309" s="10">
        <v>113334</v>
      </c>
      <c r="D309" s="10"/>
      <c r="E309" s="27">
        <v>2016</v>
      </c>
      <c r="F309" s="9" t="s">
        <v>770</v>
      </c>
      <c r="G309" s="10">
        <v>107785</v>
      </c>
      <c r="H309" s="7"/>
      <c r="I309" s="2"/>
      <c r="J309" s="7"/>
      <c r="K309" s="3"/>
    </row>
    <row r="310" spans="1:11">
      <c r="A310">
        <v>2017</v>
      </c>
      <c r="B310" s="9" t="s">
        <v>771</v>
      </c>
      <c r="C310" s="10">
        <v>404265</v>
      </c>
      <c r="D310" s="10"/>
      <c r="E310" s="27">
        <v>2016</v>
      </c>
      <c r="F310" s="9" t="s">
        <v>771</v>
      </c>
      <c r="G310" s="10">
        <v>386914</v>
      </c>
      <c r="H310" s="7"/>
      <c r="I310" s="2"/>
      <c r="J310" s="7"/>
      <c r="K310" s="3"/>
    </row>
    <row r="311" spans="1:11">
      <c r="A311">
        <v>2017</v>
      </c>
      <c r="B311" s="9" t="s">
        <v>772</v>
      </c>
      <c r="C311" s="10">
        <v>28086</v>
      </c>
      <c r="D311" s="10"/>
      <c r="E311" s="27">
        <v>2016</v>
      </c>
      <c r="F311" s="9" t="s">
        <v>772</v>
      </c>
      <c r="G311" s="10">
        <v>34170</v>
      </c>
      <c r="H311" s="7"/>
      <c r="I311" s="2"/>
      <c r="J311" s="7"/>
      <c r="K311" s="3"/>
    </row>
    <row r="312" spans="1:11">
      <c r="A312">
        <v>2017</v>
      </c>
      <c r="B312" s="9" t="s">
        <v>773</v>
      </c>
      <c r="C312" s="10">
        <v>301168</v>
      </c>
      <c r="D312" s="10"/>
      <c r="E312" s="27">
        <v>2016</v>
      </c>
      <c r="F312" s="9" t="s">
        <v>773</v>
      </c>
      <c r="G312" s="10">
        <v>285315</v>
      </c>
      <c r="H312" s="7"/>
      <c r="I312" s="2"/>
      <c r="J312" s="7"/>
      <c r="K312" s="3"/>
    </row>
    <row r="313" spans="1:11">
      <c r="A313">
        <v>2017</v>
      </c>
      <c r="B313" s="9" t="s">
        <v>774</v>
      </c>
      <c r="C313" s="10">
        <v>2385792</v>
      </c>
      <c r="D313" s="10"/>
      <c r="E313" s="27">
        <v>2016</v>
      </c>
      <c r="F313" s="9" t="s">
        <v>774</v>
      </c>
      <c r="G313" s="10">
        <v>2227462</v>
      </c>
      <c r="H313" s="7"/>
      <c r="I313" s="2"/>
      <c r="J313" s="7"/>
      <c r="K313" s="3"/>
    </row>
    <row r="314" spans="1:11">
      <c r="A314">
        <v>2017</v>
      </c>
      <c r="B314" s="9" t="s">
        <v>129</v>
      </c>
      <c r="C314" s="10">
        <v>371439</v>
      </c>
      <c r="D314" s="10"/>
      <c r="E314" s="27">
        <v>2016</v>
      </c>
      <c r="F314" s="9" t="s">
        <v>129</v>
      </c>
      <c r="G314" s="10">
        <v>369687</v>
      </c>
      <c r="H314" s="7"/>
      <c r="I314" s="2"/>
      <c r="J314" s="7"/>
      <c r="K314" s="3"/>
    </row>
    <row r="315" spans="1:11">
      <c r="A315">
        <v>2017</v>
      </c>
      <c r="B315" s="9" t="s">
        <v>775</v>
      </c>
      <c r="C315" s="10">
        <v>950598</v>
      </c>
      <c r="D315" s="10"/>
      <c r="E315" s="27">
        <v>2016</v>
      </c>
      <c r="F315" s="9" t="s">
        <v>775</v>
      </c>
      <c r="G315" s="10">
        <v>949664</v>
      </c>
      <c r="H315" s="7"/>
      <c r="I315" s="2"/>
      <c r="J315" s="7"/>
      <c r="K315" s="3"/>
    </row>
    <row r="316" spans="1:11">
      <c r="A316">
        <v>2017</v>
      </c>
      <c r="B316" s="9" t="s">
        <v>776</v>
      </c>
      <c r="C316" s="10">
        <v>1412060</v>
      </c>
      <c r="D316" s="10"/>
      <c r="E316" s="27">
        <v>2016</v>
      </c>
      <c r="F316" s="9" t="s">
        <v>776</v>
      </c>
      <c r="G316" s="10">
        <v>1354575</v>
      </c>
      <c r="H316" s="7"/>
      <c r="I316" s="2"/>
      <c r="J316" s="7"/>
      <c r="K316" s="3"/>
    </row>
    <row r="317" spans="1:11">
      <c r="A317">
        <v>2017</v>
      </c>
      <c r="B317" s="9" t="s">
        <v>941</v>
      </c>
      <c r="C317" s="10">
        <v>293473</v>
      </c>
      <c r="D317" s="10"/>
      <c r="E317" s="27">
        <v>2016</v>
      </c>
      <c r="F317" s="9" t="s">
        <v>941</v>
      </c>
      <c r="G317" s="10">
        <v>279484</v>
      </c>
      <c r="H317" s="7"/>
      <c r="I317" s="2"/>
      <c r="J317" s="7"/>
      <c r="K317" s="3"/>
    </row>
    <row r="318" spans="1:11">
      <c r="A318">
        <v>2017</v>
      </c>
      <c r="B318" s="9" t="s">
        <v>778</v>
      </c>
      <c r="C318" s="10">
        <v>1441510</v>
      </c>
      <c r="D318" s="10"/>
      <c r="E318" s="27">
        <v>2016</v>
      </c>
      <c r="F318" s="9" t="s">
        <v>778</v>
      </c>
      <c r="G318" s="10">
        <v>1399034</v>
      </c>
      <c r="H318" s="7"/>
      <c r="I318" s="2"/>
      <c r="J318" s="7"/>
      <c r="K318" s="3"/>
    </row>
    <row r="319" spans="1:11">
      <c r="A319">
        <v>2017</v>
      </c>
      <c r="B319" s="9" t="s">
        <v>779</v>
      </c>
      <c r="C319" s="10">
        <v>743362</v>
      </c>
      <c r="D319" s="10"/>
      <c r="E319" s="27">
        <v>2016</v>
      </c>
      <c r="F319" s="9" t="s">
        <v>779</v>
      </c>
      <c r="G319" s="10">
        <v>698006</v>
      </c>
      <c r="H319" s="7"/>
      <c r="I319" s="2"/>
      <c r="J319" s="7"/>
      <c r="K319" s="3"/>
    </row>
    <row r="320" spans="1:11">
      <c r="A320">
        <v>2017</v>
      </c>
      <c r="B320" s="9" t="s">
        <v>480</v>
      </c>
      <c r="C320" s="10">
        <v>7061</v>
      </c>
      <c r="D320" s="10"/>
      <c r="E320" s="27">
        <v>2016</v>
      </c>
      <c r="F320" s="9" t="s">
        <v>480</v>
      </c>
      <c r="G320" s="10">
        <v>11500</v>
      </c>
      <c r="H320" s="7"/>
      <c r="I320" s="2"/>
      <c r="J320" s="7"/>
      <c r="K320" s="3"/>
    </row>
    <row r="321" spans="1:11">
      <c r="A321">
        <v>2017</v>
      </c>
      <c r="B321" s="9" t="s">
        <v>780</v>
      </c>
      <c r="C321" s="10">
        <v>497852</v>
      </c>
      <c r="D321" s="10"/>
      <c r="E321" s="27">
        <v>2016</v>
      </c>
      <c r="F321" s="9" t="s">
        <v>780</v>
      </c>
      <c r="G321" s="10">
        <v>486114</v>
      </c>
      <c r="H321" s="7"/>
      <c r="I321" s="2"/>
      <c r="J321" s="7"/>
      <c r="K321" s="3"/>
    </row>
    <row r="322" spans="1:11">
      <c r="A322">
        <v>2017</v>
      </c>
      <c r="B322" s="9" t="s">
        <v>781</v>
      </c>
      <c r="C322" s="10">
        <v>13073</v>
      </c>
      <c r="D322" s="10"/>
      <c r="E322" s="27">
        <v>2016</v>
      </c>
      <c r="F322" s="9" t="s">
        <v>781</v>
      </c>
      <c r="G322" s="10">
        <v>12622</v>
      </c>
      <c r="H322" s="7"/>
      <c r="I322" s="2"/>
      <c r="J322" s="7"/>
      <c r="K322" s="3"/>
    </row>
    <row r="323" spans="1:11">
      <c r="A323">
        <v>2017</v>
      </c>
      <c r="B323" s="9" t="s">
        <v>782</v>
      </c>
      <c r="C323" s="10">
        <v>60126</v>
      </c>
      <c r="D323" s="10"/>
      <c r="E323" s="27">
        <v>2016</v>
      </c>
      <c r="F323" s="9" t="s">
        <v>782</v>
      </c>
      <c r="G323" s="10">
        <v>65380</v>
      </c>
      <c r="H323" s="7"/>
      <c r="I323" s="2"/>
      <c r="J323" s="7"/>
      <c r="K323" s="3"/>
    </row>
    <row r="324" spans="1:11">
      <c r="A324">
        <v>2017</v>
      </c>
      <c r="B324" s="9" t="s">
        <v>783</v>
      </c>
      <c r="C324" s="10">
        <v>27266</v>
      </c>
      <c r="D324" s="10"/>
      <c r="E324" s="27">
        <v>2016</v>
      </c>
      <c r="F324" s="9" t="s">
        <v>783</v>
      </c>
      <c r="G324" s="10">
        <v>27975</v>
      </c>
      <c r="H324" s="7"/>
      <c r="I324" s="2"/>
      <c r="J324" s="7"/>
      <c r="K324" s="3"/>
    </row>
    <row r="325" spans="1:11">
      <c r="A325">
        <v>2017</v>
      </c>
      <c r="B325" s="9" t="s">
        <v>784</v>
      </c>
      <c r="C325" s="10">
        <v>127302</v>
      </c>
      <c r="D325" s="10"/>
      <c r="E325" s="27">
        <v>2016</v>
      </c>
      <c r="F325" s="9" t="s">
        <v>784</v>
      </c>
      <c r="G325" s="10">
        <v>134985</v>
      </c>
      <c r="H325" s="7"/>
      <c r="I325" s="2"/>
      <c r="J325" s="7"/>
      <c r="K325" s="3"/>
    </row>
    <row r="326" spans="1:11">
      <c r="A326">
        <v>2017</v>
      </c>
      <c r="B326" s="9" t="s">
        <v>785</v>
      </c>
      <c r="C326" s="10">
        <v>234622</v>
      </c>
      <c r="D326" s="10"/>
      <c r="E326" s="27">
        <v>2016</v>
      </c>
      <c r="F326" s="9" t="s">
        <v>785</v>
      </c>
      <c r="G326" s="10">
        <v>228441</v>
      </c>
      <c r="H326" s="7"/>
      <c r="I326" s="2"/>
      <c r="J326" s="7"/>
      <c r="K326" s="3"/>
    </row>
    <row r="327" spans="1:11">
      <c r="A327">
        <v>2017</v>
      </c>
      <c r="B327" s="9" t="s">
        <v>786</v>
      </c>
      <c r="C327" s="10">
        <v>544995</v>
      </c>
      <c r="D327" s="10"/>
      <c r="E327" s="27">
        <v>2016</v>
      </c>
      <c r="F327" s="9" t="s">
        <v>786</v>
      </c>
      <c r="G327" s="10">
        <v>579551</v>
      </c>
      <c r="H327" s="7"/>
      <c r="I327" s="2"/>
      <c r="J327" s="7"/>
      <c r="K327" s="3"/>
    </row>
    <row r="328" spans="1:11">
      <c r="A328">
        <v>2017</v>
      </c>
      <c r="B328" s="9" t="s">
        <v>787</v>
      </c>
      <c r="C328" s="10">
        <v>93374</v>
      </c>
      <c r="D328" s="10"/>
      <c r="E328" s="27">
        <v>2016</v>
      </c>
      <c r="F328" s="9" t="s">
        <v>787</v>
      </c>
      <c r="G328" s="10">
        <v>78802</v>
      </c>
      <c r="H328" s="7"/>
      <c r="I328" s="2"/>
      <c r="J328" s="7"/>
      <c r="K328" s="3"/>
    </row>
    <row r="329" spans="1:11">
      <c r="A329">
        <v>2017</v>
      </c>
      <c r="B329" s="9" t="s">
        <v>788</v>
      </c>
      <c r="C329" s="10">
        <v>223946</v>
      </c>
      <c r="D329" s="10"/>
      <c r="E329" s="27">
        <v>2016</v>
      </c>
      <c r="F329" s="9" t="s">
        <v>788</v>
      </c>
      <c r="G329" s="10">
        <v>232191</v>
      </c>
      <c r="H329" s="7"/>
      <c r="I329" s="2"/>
      <c r="J329" s="7"/>
      <c r="K329" s="3"/>
    </row>
    <row r="330" spans="1:11">
      <c r="A330">
        <v>2017</v>
      </c>
      <c r="B330" s="9" t="s">
        <v>789</v>
      </c>
      <c r="C330" s="10">
        <v>485747</v>
      </c>
      <c r="D330" s="10"/>
      <c r="E330" s="27">
        <v>2016</v>
      </c>
      <c r="F330" s="9" t="s">
        <v>789</v>
      </c>
      <c r="G330" s="10">
        <v>470575</v>
      </c>
      <c r="H330" s="7"/>
      <c r="I330" s="2"/>
      <c r="J330" s="7"/>
      <c r="K330" s="3"/>
    </row>
    <row r="331" spans="1:11">
      <c r="A331">
        <v>2017</v>
      </c>
      <c r="B331" s="9" t="s">
        <v>790</v>
      </c>
      <c r="C331" s="10">
        <v>12825</v>
      </c>
      <c r="D331" s="10"/>
      <c r="E331" s="27">
        <v>2016</v>
      </c>
      <c r="F331" s="9" t="s">
        <v>790</v>
      </c>
      <c r="G331" s="10">
        <v>12696</v>
      </c>
      <c r="H331" s="7"/>
      <c r="I331" s="2"/>
      <c r="J331" s="7"/>
      <c r="K331" s="3"/>
    </row>
    <row r="332" spans="1:11">
      <c r="A332">
        <v>2017</v>
      </c>
      <c r="B332" s="9" t="s">
        <v>791</v>
      </c>
      <c r="C332" s="10">
        <v>544327</v>
      </c>
      <c r="D332" s="10"/>
      <c r="E332" s="27">
        <v>2016</v>
      </c>
      <c r="F332" s="9" t="s">
        <v>791</v>
      </c>
      <c r="G332" s="10">
        <v>507172</v>
      </c>
      <c r="H332" s="7"/>
      <c r="I332" s="2"/>
      <c r="J332" s="7"/>
      <c r="K332" s="3"/>
    </row>
    <row r="333" spans="1:11">
      <c r="A333">
        <v>2017</v>
      </c>
      <c r="B333" s="9" t="s">
        <v>792</v>
      </c>
      <c r="C333" s="10">
        <v>497095</v>
      </c>
      <c r="D333" s="10"/>
      <c r="E333" s="27">
        <v>2016</v>
      </c>
      <c r="F333" s="9" t="s">
        <v>792</v>
      </c>
      <c r="G333" s="10">
        <v>480087</v>
      </c>
      <c r="H333" s="7"/>
      <c r="I333" s="2"/>
      <c r="J333" s="7"/>
      <c r="K333" s="3"/>
    </row>
    <row r="334" spans="1:11">
      <c r="A334">
        <v>2017</v>
      </c>
      <c r="B334" s="9" t="s">
        <v>139</v>
      </c>
      <c r="C334" s="10">
        <v>59685</v>
      </c>
      <c r="D334" s="10"/>
      <c r="E334" s="27">
        <v>2016</v>
      </c>
      <c r="F334" s="9" t="s">
        <v>139</v>
      </c>
      <c r="G334" s="10">
        <v>51982</v>
      </c>
      <c r="H334" s="7"/>
      <c r="I334" s="2"/>
      <c r="J334" s="7"/>
      <c r="K334" s="3"/>
    </row>
    <row r="335" spans="1:11">
      <c r="A335">
        <v>2017</v>
      </c>
      <c r="B335" s="9" t="s">
        <v>793</v>
      </c>
      <c r="C335" s="10">
        <v>3776439</v>
      </c>
      <c r="D335" s="10"/>
      <c r="E335" s="27">
        <v>2016</v>
      </c>
      <c r="F335" s="9" t="s">
        <v>793</v>
      </c>
      <c r="G335" s="10">
        <v>3569457</v>
      </c>
      <c r="H335" s="7"/>
      <c r="I335" s="2"/>
      <c r="J335" s="7"/>
      <c r="K335" s="3"/>
    </row>
    <row r="336" spans="1:11">
      <c r="A336">
        <v>2017</v>
      </c>
      <c r="B336" s="9" t="s">
        <v>140</v>
      </c>
      <c r="C336" s="10">
        <v>148117</v>
      </c>
      <c r="D336" s="10"/>
      <c r="E336" s="27">
        <v>2016</v>
      </c>
      <c r="F336" s="9" t="s">
        <v>140</v>
      </c>
      <c r="G336" s="10">
        <v>152265</v>
      </c>
      <c r="H336" s="7"/>
      <c r="I336" s="2"/>
      <c r="J336" s="7"/>
      <c r="K336" s="3"/>
    </row>
    <row r="337" spans="1:11">
      <c r="A337">
        <v>2017</v>
      </c>
      <c r="B337" s="9" t="s">
        <v>794</v>
      </c>
      <c r="C337" s="10">
        <v>3086295</v>
      </c>
      <c r="D337" s="10"/>
      <c r="E337" s="27">
        <v>2016</v>
      </c>
      <c r="F337" s="9" t="s">
        <v>794</v>
      </c>
      <c r="G337" s="10">
        <v>3085860</v>
      </c>
      <c r="H337" s="7"/>
      <c r="I337" s="2"/>
      <c r="J337" s="7"/>
      <c r="K337" s="3"/>
    </row>
    <row r="338" spans="1:11">
      <c r="A338">
        <v>2017</v>
      </c>
      <c r="B338" s="9" t="s">
        <v>481</v>
      </c>
      <c r="C338" s="10">
        <v>3476</v>
      </c>
      <c r="D338" s="10"/>
      <c r="E338" s="27">
        <v>2016</v>
      </c>
      <c r="F338" s="9" t="s">
        <v>481</v>
      </c>
      <c r="G338" s="10">
        <v>6957</v>
      </c>
      <c r="H338" s="7"/>
      <c r="I338" s="2"/>
      <c r="J338" s="7"/>
      <c r="K338" s="3"/>
    </row>
    <row r="339" spans="1:11">
      <c r="A339">
        <v>2017</v>
      </c>
      <c r="B339" s="9" t="s">
        <v>795</v>
      </c>
      <c r="C339" s="10">
        <v>296912</v>
      </c>
      <c r="D339" s="10"/>
      <c r="E339" s="27">
        <v>2016</v>
      </c>
      <c r="F339" s="9" t="s">
        <v>795</v>
      </c>
      <c r="G339" s="10">
        <v>305547</v>
      </c>
      <c r="H339" s="7"/>
      <c r="I339" s="2"/>
      <c r="J339" s="7"/>
      <c r="K339" s="3"/>
    </row>
    <row r="340" spans="1:11">
      <c r="A340">
        <v>2017</v>
      </c>
      <c r="B340" s="9" t="s">
        <v>143</v>
      </c>
      <c r="C340" s="10">
        <v>496580</v>
      </c>
      <c r="D340" s="10"/>
      <c r="E340" s="27">
        <v>2016</v>
      </c>
      <c r="F340" s="9" t="s">
        <v>143</v>
      </c>
      <c r="G340" s="10">
        <v>502208</v>
      </c>
      <c r="H340" s="7"/>
      <c r="I340" s="2"/>
      <c r="J340" s="7"/>
      <c r="K340" s="3"/>
    </row>
    <row r="341" spans="1:11">
      <c r="A341">
        <v>2017</v>
      </c>
      <c r="B341" s="9" t="s">
        <v>796</v>
      </c>
      <c r="C341" s="10">
        <v>488134</v>
      </c>
      <c r="D341" s="10"/>
      <c r="E341" s="27">
        <v>2016</v>
      </c>
      <c r="F341" s="9" t="s">
        <v>796</v>
      </c>
      <c r="G341" s="10">
        <v>488654</v>
      </c>
      <c r="H341" s="7"/>
      <c r="I341" s="2"/>
      <c r="J341" s="7"/>
      <c r="K341" s="3"/>
    </row>
    <row r="342" spans="1:11">
      <c r="A342">
        <v>2017</v>
      </c>
      <c r="B342" s="9" t="s">
        <v>797</v>
      </c>
      <c r="C342" s="10">
        <v>1144122</v>
      </c>
      <c r="D342" s="10"/>
      <c r="E342" s="27">
        <v>2016</v>
      </c>
      <c r="F342" s="9" t="s">
        <v>797</v>
      </c>
      <c r="G342" s="10">
        <v>1115295</v>
      </c>
      <c r="H342" s="7"/>
      <c r="I342" s="2"/>
      <c r="J342" s="7"/>
      <c r="K342" s="3"/>
    </row>
    <row r="343" spans="1:11">
      <c r="A343">
        <v>2017</v>
      </c>
      <c r="B343" s="9" t="s">
        <v>798</v>
      </c>
      <c r="C343" s="10">
        <v>205669</v>
      </c>
      <c r="D343" s="10"/>
      <c r="E343" s="27">
        <v>2016</v>
      </c>
      <c r="F343" s="9" t="s">
        <v>798</v>
      </c>
      <c r="G343" s="10">
        <v>211013</v>
      </c>
      <c r="H343" s="7"/>
      <c r="I343" s="2"/>
      <c r="J343" s="7"/>
      <c r="K343" s="3"/>
    </row>
    <row r="344" spans="1:11">
      <c r="A344">
        <v>2017</v>
      </c>
      <c r="B344" s="9" t="s">
        <v>799</v>
      </c>
      <c r="C344" s="10">
        <v>92897</v>
      </c>
      <c r="D344" s="10"/>
      <c r="E344" s="27">
        <v>2016</v>
      </c>
      <c r="F344" s="9" t="s">
        <v>799</v>
      </c>
      <c r="G344" s="10">
        <v>126081</v>
      </c>
      <c r="H344" s="7"/>
      <c r="I344" s="2"/>
      <c r="J344" s="7"/>
      <c r="K344" s="3"/>
    </row>
    <row r="345" spans="1:11">
      <c r="A345">
        <v>2017</v>
      </c>
      <c r="B345" s="9" t="s">
        <v>800</v>
      </c>
      <c r="C345" s="10">
        <v>2206428</v>
      </c>
      <c r="D345" s="10"/>
      <c r="E345" s="27">
        <v>2016</v>
      </c>
      <c r="F345" s="9" t="s">
        <v>800</v>
      </c>
      <c r="G345" s="10">
        <v>2237925</v>
      </c>
      <c r="H345" s="7"/>
      <c r="I345" s="2"/>
      <c r="J345" s="7"/>
      <c r="K345" s="3"/>
    </row>
    <row r="346" spans="1:11">
      <c r="A346">
        <v>2017</v>
      </c>
      <c r="B346" s="9" t="s">
        <v>801</v>
      </c>
      <c r="C346" s="10">
        <v>2989878</v>
      </c>
      <c r="D346" s="10"/>
      <c r="E346" s="27">
        <v>2016</v>
      </c>
      <c r="F346" s="9" t="s">
        <v>801</v>
      </c>
      <c r="G346" s="10">
        <v>3206322</v>
      </c>
      <c r="H346" s="7"/>
      <c r="I346" s="2"/>
      <c r="J346" s="7"/>
      <c r="K346" s="3"/>
    </row>
    <row r="347" spans="1:11">
      <c r="A347">
        <v>2017</v>
      </c>
      <c r="B347" s="9" t="s">
        <v>802</v>
      </c>
      <c r="C347" s="10">
        <v>35835</v>
      </c>
      <c r="D347" s="10"/>
      <c r="E347" s="27">
        <v>2016</v>
      </c>
      <c r="F347" s="9" t="s">
        <v>802</v>
      </c>
      <c r="G347" s="10">
        <v>32339</v>
      </c>
      <c r="H347" s="7"/>
      <c r="I347" s="2"/>
      <c r="J347" s="7"/>
      <c r="K347" s="3"/>
    </row>
    <row r="348" spans="1:11">
      <c r="A348">
        <v>2017</v>
      </c>
      <c r="B348" s="9" t="s">
        <v>803</v>
      </c>
      <c r="C348" s="10">
        <v>53419</v>
      </c>
      <c r="D348" s="10"/>
      <c r="E348" s="27">
        <v>2016</v>
      </c>
      <c r="F348" s="9" t="s">
        <v>803</v>
      </c>
      <c r="G348" s="10">
        <v>49316</v>
      </c>
      <c r="H348" s="7"/>
      <c r="I348" s="2"/>
      <c r="J348" s="7"/>
      <c r="K348" s="3"/>
    </row>
    <row r="349" spans="1:11">
      <c r="A349">
        <v>2017</v>
      </c>
      <c r="B349" s="9" t="s">
        <v>804</v>
      </c>
      <c r="C349" s="10">
        <v>155225</v>
      </c>
      <c r="D349" s="10"/>
      <c r="E349" s="27">
        <v>2016</v>
      </c>
      <c r="F349" s="9" t="s">
        <v>804</v>
      </c>
      <c r="G349" s="10">
        <v>171371</v>
      </c>
      <c r="H349" s="7"/>
      <c r="I349" s="2"/>
      <c r="J349" s="7"/>
      <c r="K349" s="3"/>
    </row>
    <row r="350" spans="1:11">
      <c r="A350">
        <v>2017</v>
      </c>
      <c r="B350" s="9" t="s">
        <v>805</v>
      </c>
      <c r="C350" s="10">
        <v>42619</v>
      </c>
      <c r="D350" s="10"/>
      <c r="E350" s="27">
        <v>2016</v>
      </c>
      <c r="F350" s="9" t="s">
        <v>805</v>
      </c>
      <c r="G350" s="10">
        <v>38183</v>
      </c>
      <c r="H350" s="7"/>
      <c r="I350" s="2"/>
      <c r="J350" s="7"/>
      <c r="K350" s="3"/>
    </row>
    <row r="351" spans="1:11">
      <c r="A351">
        <v>2017</v>
      </c>
      <c r="B351" s="9" t="s">
        <v>806</v>
      </c>
      <c r="C351" s="10">
        <v>132855</v>
      </c>
      <c r="D351" s="10"/>
      <c r="E351" s="27">
        <v>2016</v>
      </c>
      <c r="F351" s="9" t="s">
        <v>806</v>
      </c>
      <c r="G351" s="10">
        <v>115590</v>
      </c>
      <c r="H351" s="8"/>
      <c r="I351" s="2"/>
      <c r="J351" s="8"/>
      <c r="K351" s="3"/>
    </row>
    <row r="352" spans="1:11">
      <c r="A352">
        <v>2017</v>
      </c>
      <c r="B352" s="9" t="s">
        <v>807</v>
      </c>
      <c r="C352" s="10">
        <v>500339</v>
      </c>
      <c r="D352" s="10"/>
      <c r="E352" s="27">
        <v>2016</v>
      </c>
      <c r="F352" s="9" t="s">
        <v>807</v>
      </c>
      <c r="G352" s="10">
        <v>496346</v>
      </c>
      <c r="H352" s="7"/>
      <c r="I352" s="2"/>
      <c r="J352" s="7"/>
      <c r="K352" s="1"/>
    </row>
    <row r="353" spans="1:11">
      <c r="A353">
        <v>2017</v>
      </c>
      <c r="B353" s="9" t="s">
        <v>808</v>
      </c>
      <c r="C353" s="10">
        <v>541731</v>
      </c>
      <c r="D353" s="10"/>
      <c r="E353" s="27">
        <v>2016</v>
      </c>
      <c r="F353" s="9" t="s">
        <v>808</v>
      </c>
      <c r="G353" s="10">
        <v>562456</v>
      </c>
      <c r="H353" s="8"/>
      <c r="I353" s="2"/>
      <c r="J353" s="8"/>
      <c r="K353" s="3"/>
    </row>
    <row r="354" spans="1:11">
      <c r="A354">
        <v>2017</v>
      </c>
      <c r="B354" s="9" t="s">
        <v>809</v>
      </c>
      <c r="C354" s="10">
        <v>25014</v>
      </c>
      <c r="D354" s="10"/>
      <c r="E354" s="27">
        <v>2016</v>
      </c>
      <c r="F354" s="9" t="s">
        <v>809</v>
      </c>
      <c r="G354" s="10">
        <v>20181</v>
      </c>
      <c r="H354" s="8"/>
      <c r="I354" s="2"/>
      <c r="J354" s="8"/>
      <c r="K354" s="3"/>
    </row>
    <row r="355" spans="1:11">
      <c r="A355">
        <v>2017</v>
      </c>
      <c r="B355" s="9" t="s">
        <v>810</v>
      </c>
      <c r="C355" s="10">
        <v>3566426</v>
      </c>
      <c r="D355" s="10"/>
      <c r="E355" s="27">
        <v>2016</v>
      </c>
      <c r="F355" s="9" t="s">
        <v>810</v>
      </c>
      <c r="G355" s="10">
        <v>3556439</v>
      </c>
      <c r="H355" s="8"/>
      <c r="I355" s="2"/>
      <c r="J355" s="8"/>
      <c r="K355" s="3"/>
    </row>
    <row r="356" spans="1:11">
      <c r="A356">
        <v>2017</v>
      </c>
      <c r="B356" s="9" t="s">
        <v>811</v>
      </c>
      <c r="C356" s="10">
        <v>30622</v>
      </c>
      <c r="D356" s="10"/>
      <c r="E356" s="27">
        <v>2016</v>
      </c>
      <c r="F356" s="9" t="s">
        <v>811</v>
      </c>
      <c r="G356" s="10">
        <v>29533</v>
      </c>
      <c r="H356" s="8"/>
      <c r="I356" s="2"/>
      <c r="J356" s="8"/>
      <c r="K356" s="3"/>
    </row>
    <row r="357" spans="1:11">
      <c r="A357">
        <v>2017</v>
      </c>
      <c r="B357" s="9" t="s">
        <v>812</v>
      </c>
      <c r="C357" s="10">
        <v>3583613</v>
      </c>
      <c r="D357" s="10"/>
      <c r="E357" s="27">
        <v>2016</v>
      </c>
      <c r="F357" s="9" t="s">
        <v>812</v>
      </c>
      <c r="G357" s="10">
        <v>3518241</v>
      </c>
      <c r="H357" s="8"/>
      <c r="I357" s="2"/>
      <c r="J357" s="8"/>
      <c r="K357" s="3"/>
    </row>
    <row r="358" spans="1:11">
      <c r="A358">
        <v>2017</v>
      </c>
      <c r="B358" s="9" t="s">
        <v>813</v>
      </c>
      <c r="C358" s="10">
        <v>5460</v>
      </c>
      <c r="D358" s="10"/>
      <c r="E358" s="27">
        <v>2016</v>
      </c>
      <c r="F358" s="9" t="s">
        <v>813</v>
      </c>
      <c r="G358" s="10">
        <v>5340</v>
      </c>
      <c r="H358" s="8"/>
      <c r="I358" s="2"/>
      <c r="J358" s="8"/>
      <c r="K358" s="3"/>
    </row>
    <row r="359" spans="1:11">
      <c r="A359">
        <v>2017</v>
      </c>
      <c r="B359" s="9" t="s">
        <v>814</v>
      </c>
      <c r="C359" s="10">
        <v>1835350</v>
      </c>
      <c r="D359" s="10"/>
      <c r="E359" s="27">
        <v>2016</v>
      </c>
      <c r="F359" s="9" t="s">
        <v>814</v>
      </c>
      <c r="G359" s="21">
        <v>1873424</v>
      </c>
      <c r="H359" s="8"/>
      <c r="I359" s="2"/>
      <c r="J359" s="8"/>
      <c r="K359" s="3"/>
    </row>
    <row r="360" spans="1:11">
      <c r="A360">
        <v>2017</v>
      </c>
      <c r="B360" s="9" t="s">
        <v>815</v>
      </c>
      <c r="C360" s="10">
        <v>139717</v>
      </c>
      <c r="D360" s="10"/>
      <c r="E360" s="27">
        <v>2016</v>
      </c>
      <c r="F360" s="9" t="s">
        <v>815</v>
      </c>
      <c r="G360" s="10">
        <v>142782</v>
      </c>
      <c r="H360" s="8"/>
      <c r="I360" s="2"/>
      <c r="J360" s="8"/>
      <c r="K360" s="3"/>
    </row>
    <row r="361" spans="1:11">
      <c r="A361">
        <v>2017</v>
      </c>
      <c r="B361" s="9" t="s">
        <v>156</v>
      </c>
      <c r="C361" s="10">
        <v>7262</v>
      </c>
      <c r="D361" s="10"/>
      <c r="E361" s="27">
        <v>2016</v>
      </c>
      <c r="F361" s="9" t="s">
        <v>156</v>
      </c>
      <c r="G361" s="10">
        <v>7399</v>
      </c>
      <c r="H361" s="8"/>
      <c r="I361" s="2"/>
      <c r="J361" s="8"/>
      <c r="K361" s="3"/>
    </row>
    <row r="362" spans="1:11">
      <c r="A362">
        <v>2017</v>
      </c>
      <c r="B362" s="9" t="s">
        <v>816</v>
      </c>
      <c r="C362" s="10">
        <v>177297</v>
      </c>
      <c r="D362" s="10"/>
      <c r="E362" s="27">
        <v>2016</v>
      </c>
      <c r="F362" s="9" t="s">
        <v>816</v>
      </c>
      <c r="G362" s="10">
        <v>160910</v>
      </c>
      <c r="H362" s="8"/>
      <c r="I362" s="2"/>
      <c r="J362" s="8"/>
      <c r="K362" s="3"/>
    </row>
    <row r="363" spans="1:11">
      <c r="A363">
        <v>2017</v>
      </c>
      <c r="B363" s="9" t="s">
        <v>157</v>
      </c>
      <c r="C363" s="10">
        <v>4358</v>
      </c>
      <c r="D363" s="10"/>
      <c r="E363" s="27">
        <v>2016</v>
      </c>
      <c r="F363" s="9" t="s">
        <v>157</v>
      </c>
      <c r="G363" s="10">
        <v>5613</v>
      </c>
      <c r="H363" s="8"/>
      <c r="I363" s="2"/>
      <c r="J363" s="8"/>
      <c r="K363" s="3"/>
    </row>
    <row r="364" spans="1:11">
      <c r="A364">
        <v>2017</v>
      </c>
      <c r="B364" s="9" t="s">
        <v>942</v>
      </c>
      <c r="C364" s="10">
        <v>28062</v>
      </c>
      <c r="D364" s="10"/>
      <c r="E364" s="27">
        <v>2016</v>
      </c>
      <c r="F364" s="9" t="s">
        <v>942</v>
      </c>
      <c r="G364" s="10">
        <v>27955</v>
      </c>
      <c r="H364" s="8"/>
      <c r="I364" s="2"/>
      <c r="J364" s="8"/>
      <c r="K364" s="3"/>
    </row>
    <row r="365" spans="1:11">
      <c r="A365">
        <v>2017</v>
      </c>
      <c r="B365" s="9" t="s">
        <v>818</v>
      </c>
      <c r="C365" s="10">
        <v>62864</v>
      </c>
      <c r="D365" s="10"/>
      <c r="E365" s="27">
        <v>2016</v>
      </c>
      <c r="F365" s="9" t="s">
        <v>818</v>
      </c>
      <c r="G365" s="10">
        <v>60439</v>
      </c>
      <c r="H365" s="8"/>
      <c r="I365" s="2"/>
      <c r="J365" s="8"/>
      <c r="K365" s="3"/>
    </row>
    <row r="366" spans="1:11">
      <c r="A366">
        <v>2017</v>
      </c>
      <c r="B366" s="9" t="s">
        <v>819</v>
      </c>
      <c r="C366" s="10">
        <v>1083512</v>
      </c>
      <c r="D366" s="10"/>
      <c r="E366" s="27">
        <v>2016</v>
      </c>
      <c r="F366" s="9" t="s">
        <v>819</v>
      </c>
      <c r="G366" s="10">
        <v>1099406</v>
      </c>
      <c r="H366" s="7"/>
      <c r="I366" s="2"/>
      <c r="J366" s="7"/>
      <c r="K366" s="3"/>
    </row>
    <row r="367" spans="1:11">
      <c r="A367">
        <v>2017</v>
      </c>
      <c r="B367" s="9" t="s">
        <v>820</v>
      </c>
      <c r="C367" s="10">
        <v>99036</v>
      </c>
      <c r="D367" s="10"/>
      <c r="E367" s="27">
        <v>2016</v>
      </c>
      <c r="F367" s="9" t="s">
        <v>820</v>
      </c>
      <c r="G367" s="10">
        <v>93768</v>
      </c>
      <c r="H367" s="8"/>
      <c r="I367" s="2"/>
      <c r="J367" s="8"/>
      <c r="K367" s="3"/>
    </row>
    <row r="368" spans="1:11">
      <c r="A368">
        <v>2017</v>
      </c>
      <c r="B368" s="9" t="s">
        <v>821</v>
      </c>
      <c r="C368" s="10">
        <v>54319</v>
      </c>
      <c r="D368" s="10"/>
      <c r="E368" s="27">
        <v>2016</v>
      </c>
      <c r="F368" s="9" t="s">
        <v>821</v>
      </c>
      <c r="G368" s="10">
        <v>46201</v>
      </c>
      <c r="H368" s="8"/>
      <c r="I368" s="2"/>
      <c r="J368" s="8"/>
      <c r="K368" s="3"/>
    </row>
    <row r="369" spans="1:11">
      <c r="A369">
        <v>2017</v>
      </c>
      <c r="B369" s="9" t="s">
        <v>822</v>
      </c>
      <c r="C369" s="10">
        <v>85167</v>
      </c>
      <c r="D369" s="10"/>
      <c r="E369" s="27">
        <v>2016</v>
      </c>
      <c r="F369" s="9" t="s">
        <v>822</v>
      </c>
      <c r="G369" s="10">
        <v>81818</v>
      </c>
      <c r="H369" s="8"/>
      <c r="I369" s="2"/>
      <c r="J369" s="8"/>
      <c r="K369" s="3"/>
    </row>
    <row r="370" spans="1:11">
      <c r="A370">
        <v>2017</v>
      </c>
      <c r="B370" s="9" t="s">
        <v>823</v>
      </c>
      <c r="C370" s="10">
        <v>3205246</v>
      </c>
      <c r="D370" s="10"/>
      <c r="E370" s="27">
        <v>2016</v>
      </c>
      <c r="F370" s="9" t="s">
        <v>823</v>
      </c>
      <c r="G370" s="10">
        <v>3122035</v>
      </c>
      <c r="H370" s="8"/>
      <c r="I370" s="2"/>
      <c r="J370" s="8"/>
      <c r="K370" s="3"/>
    </row>
    <row r="371" spans="1:11">
      <c r="A371">
        <v>2017</v>
      </c>
      <c r="B371" s="9" t="s">
        <v>824</v>
      </c>
      <c r="C371" s="10">
        <v>38723</v>
      </c>
      <c r="D371" s="10"/>
      <c r="E371" s="27">
        <v>2016</v>
      </c>
      <c r="F371" s="9" t="s">
        <v>824</v>
      </c>
      <c r="G371" s="10">
        <v>44873</v>
      </c>
      <c r="H371" s="8"/>
      <c r="I371" s="2"/>
      <c r="J371" s="8"/>
      <c r="K371" s="3"/>
    </row>
    <row r="372" spans="1:11">
      <c r="A372">
        <v>2017</v>
      </c>
      <c r="B372" s="9" t="s">
        <v>825</v>
      </c>
      <c r="C372" s="10">
        <v>66981</v>
      </c>
      <c r="D372" s="10"/>
      <c r="E372" s="27">
        <v>2016</v>
      </c>
      <c r="F372" s="9" t="s">
        <v>825</v>
      </c>
      <c r="G372" s="10">
        <v>62038</v>
      </c>
      <c r="H372" s="8"/>
      <c r="I372" s="2"/>
      <c r="J372" s="8"/>
      <c r="K372" s="3"/>
    </row>
    <row r="373" spans="1:11">
      <c r="A373">
        <v>2017</v>
      </c>
      <c r="B373" s="9" t="s">
        <v>826</v>
      </c>
      <c r="C373" s="10">
        <v>159318</v>
      </c>
      <c r="D373" s="10"/>
      <c r="E373" s="27">
        <v>2016</v>
      </c>
      <c r="F373" s="9" t="s">
        <v>826</v>
      </c>
      <c r="G373" s="10">
        <v>170459</v>
      </c>
      <c r="H373" s="8"/>
      <c r="I373" s="2"/>
      <c r="J373" s="8"/>
      <c r="K373" s="3"/>
    </row>
    <row r="374" spans="1:11">
      <c r="A374">
        <v>2017</v>
      </c>
      <c r="B374" s="9" t="s">
        <v>827</v>
      </c>
      <c r="C374" s="10">
        <v>133638</v>
      </c>
      <c r="D374" s="10"/>
      <c r="E374" s="27">
        <v>2016</v>
      </c>
      <c r="F374" s="9" t="s">
        <v>827</v>
      </c>
      <c r="G374" s="10">
        <v>130058</v>
      </c>
      <c r="H374" s="8"/>
      <c r="I374" s="2"/>
      <c r="J374" s="8"/>
      <c r="K374" s="3"/>
    </row>
    <row r="375" spans="1:11">
      <c r="A375">
        <v>2017</v>
      </c>
      <c r="B375" s="9" t="s">
        <v>828</v>
      </c>
      <c r="C375" s="10">
        <v>124763</v>
      </c>
      <c r="D375" s="10"/>
      <c r="E375" s="27">
        <v>2016</v>
      </c>
      <c r="F375" s="9" t="s">
        <v>828</v>
      </c>
      <c r="G375" s="10">
        <v>100472</v>
      </c>
      <c r="H375" s="8"/>
      <c r="I375" s="2"/>
      <c r="J375" s="8"/>
      <c r="K375" s="3"/>
    </row>
    <row r="376" spans="1:11">
      <c r="A376">
        <v>2017</v>
      </c>
      <c r="B376" s="9" t="s">
        <v>829</v>
      </c>
      <c r="C376" s="10">
        <v>47513</v>
      </c>
      <c r="D376" s="10"/>
      <c r="E376" s="27">
        <v>2016</v>
      </c>
      <c r="F376" s="9" t="s">
        <v>829</v>
      </c>
      <c r="G376" s="10">
        <v>45315</v>
      </c>
      <c r="H376" s="8"/>
      <c r="I376" s="2"/>
      <c r="J376" s="8"/>
      <c r="K376" s="3"/>
    </row>
    <row r="377" spans="1:11">
      <c r="A377">
        <v>2017</v>
      </c>
      <c r="B377" s="9" t="s">
        <v>830</v>
      </c>
      <c r="C377" s="10">
        <v>82735</v>
      </c>
      <c r="D377" s="10"/>
      <c r="E377" s="27">
        <v>2016</v>
      </c>
      <c r="F377" s="9" t="s">
        <v>830</v>
      </c>
      <c r="G377" s="10">
        <v>86232</v>
      </c>
      <c r="H377" s="8"/>
      <c r="I377" s="2"/>
      <c r="J377" s="8"/>
      <c r="K377" s="3"/>
    </row>
    <row r="378" spans="1:11">
      <c r="A378">
        <v>2017</v>
      </c>
      <c r="B378" s="9" t="s">
        <v>831</v>
      </c>
      <c r="C378" s="10">
        <v>153968</v>
      </c>
      <c r="D378" s="10"/>
      <c r="E378" s="27">
        <v>2016</v>
      </c>
      <c r="F378" s="9" t="s">
        <v>831</v>
      </c>
      <c r="G378" s="10">
        <v>149401</v>
      </c>
      <c r="H378" s="8"/>
      <c r="I378" s="2"/>
      <c r="J378" s="8"/>
      <c r="K378" s="3"/>
    </row>
    <row r="379" spans="1:11">
      <c r="A379">
        <v>2017</v>
      </c>
      <c r="B379" s="9" t="s">
        <v>832</v>
      </c>
      <c r="C379" s="10">
        <v>144291</v>
      </c>
      <c r="D379" s="10"/>
      <c r="E379" s="27">
        <v>2016</v>
      </c>
      <c r="F379" s="9" t="s">
        <v>832</v>
      </c>
      <c r="G379" s="10">
        <v>140561</v>
      </c>
      <c r="H379" s="8"/>
      <c r="I379" s="2"/>
      <c r="J379" s="8"/>
      <c r="K379" s="3"/>
    </row>
    <row r="380" spans="1:11">
      <c r="A380">
        <v>2017</v>
      </c>
      <c r="B380" s="9" t="s">
        <v>833</v>
      </c>
      <c r="C380" s="9">
        <v>0</v>
      </c>
      <c r="E380" s="27">
        <v>2016</v>
      </c>
      <c r="F380" s="9" t="s">
        <v>833</v>
      </c>
      <c r="H380" s="8"/>
      <c r="I380" s="2"/>
      <c r="J380" s="8"/>
      <c r="K380" s="1"/>
    </row>
    <row r="381" spans="1:11">
      <c r="A381">
        <v>2017</v>
      </c>
      <c r="B381" s="9" t="s">
        <v>834</v>
      </c>
      <c r="C381" s="10">
        <v>203490</v>
      </c>
      <c r="D381" s="10"/>
      <c r="E381" s="27">
        <v>2016</v>
      </c>
      <c r="F381" s="9" t="s">
        <v>834</v>
      </c>
      <c r="G381" s="10">
        <v>189636</v>
      </c>
      <c r="H381" s="8"/>
      <c r="I381" s="2"/>
      <c r="J381" s="8"/>
      <c r="K381" s="3"/>
    </row>
    <row r="382" spans="1:11">
      <c r="A382">
        <v>2017</v>
      </c>
      <c r="B382" s="9" t="s">
        <v>835</v>
      </c>
      <c r="C382" s="10">
        <v>62134</v>
      </c>
      <c r="D382" s="10"/>
      <c r="E382" s="27">
        <v>2016</v>
      </c>
      <c r="F382" s="9" t="s">
        <v>835</v>
      </c>
      <c r="G382" s="10">
        <v>59055</v>
      </c>
      <c r="H382" s="8"/>
      <c r="I382" s="2"/>
      <c r="J382" s="8"/>
      <c r="K382" s="3"/>
    </row>
    <row r="383" spans="1:11">
      <c r="A383">
        <v>2017</v>
      </c>
      <c r="B383" s="9" t="s">
        <v>836</v>
      </c>
      <c r="C383" s="10">
        <v>77122</v>
      </c>
      <c r="D383" s="10"/>
      <c r="E383" s="27">
        <v>2016</v>
      </c>
      <c r="F383" s="9" t="s">
        <v>836</v>
      </c>
      <c r="G383" s="10">
        <v>76551</v>
      </c>
      <c r="H383" s="7"/>
      <c r="I383" s="2"/>
      <c r="J383" s="7"/>
      <c r="K383" s="3"/>
    </row>
    <row r="384" spans="1:11">
      <c r="A384">
        <v>2017</v>
      </c>
      <c r="B384" s="9" t="s">
        <v>837</v>
      </c>
      <c r="C384" s="10">
        <v>137038</v>
      </c>
      <c r="D384" s="10"/>
      <c r="E384" s="27">
        <v>2016</v>
      </c>
      <c r="F384" s="9" t="s">
        <v>837</v>
      </c>
      <c r="G384" s="10">
        <v>134864</v>
      </c>
      <c r="H384" s="8"/>
      <c r="I384" s="2"/>
      <c r="J384" s="8"/>
      <c r="K384" s="3"/>
    </row>
    <row r="385" spans="1:11">
      <c r="A385">
        <v>2017</v>
      </c>
      <c r="B385" s="9" t="s">
        <v>838</v>
      </c>
      <c r="C385" s="10">
        <v>87270</v>
      </c>
      <c r="D385" s="10"/>
      <c r="E385" s="27">
        <v>2016</v>
      </c>
      <c r="F385" s="9" t="s">
        <v>838</v>
      </c>
      <c r="G385" s="10">
        <v>86274</v>
      </c>
      <c r="H385" s="8"/>
      <c r="I385" s="2"/>
      <c r="J385" s="8"/>
      <c r="K385" s="3"/>
    </row>
    <row r="386" spans="1:11">
      <c r="A386">
        <v>2017</v>
      </c>
      <c r="B386" s="9" t="s">
        <v>839</v>
      </c>
      <c r="C386" s="10">
        <v>9295028</v>
      </c>
      <c r="D386" s="10"/>
      <c r="E386" s="27">
        <v>2016</v>
      </c>
      <c r="F386" s="9" t="s">
        <v>839</v>
      </c>
      <c r="G386" s="10">
        <v>9241108</v>
      </c>
      <c r="H386" s="8"/>
      <c r="I386" s="2"/>
      <c r="J386" s="8"/>
      <c r="K386" s="3"/>
    </row>
    <row r="387" spans="1:11">
      <c r="A387">
        <v>2017</v>
      </c>
      <c r="B387" s="9" t="s">
        <v>840</v>
      </c>
      <c r="C387" s="9">
        <v>0</v>
      </c>
      <c r="E387" s="27">
        <v>2016</v>
      </c>
      <c r="F387" s="9" t="s">
        <v>840</v>
      </c>
      <c r="G387" s="10">
        <v>46238</v>
      </c>
      <c r="H387" s="8"/>
      <c r="I387" s="2"/>
      <c r="J387" s="8"/>
      <c r="K387" s="3"/>
    </row>
    <row r="388" spans="1:11">
      <c r="A388">
        <v>2017</v>
      </c>
      <c r="B388" s="9" t="s">
        <v>841</v>
      </c>
      <c r="C388" s="10">
        <v>142409</v>
      </c>
      <c r="D388" s="10"/>
      <c r="E388" s="27">
        <v>2016</v>
      </c>
      <c r="F388" s="9" t="s">
        <v>841</v>
      </c>
      <c r="G388" s="10">
        <v>135069</v>
      </c>
      <c r="H388" s="8"/>
      <c r="I388" s="2"/>
      <c r="J388" s="8"/>
      <c r="K388" s="3"/>
    </row>
    <row r="389" spans="1:11">
      <c r="A389">
        <v>2017</v>
      </c>
      <c r="B389" s="9" t="s">
        <v>842</v>
      </c>
      <c r="C389" s="10">
        <v>71726</v>
      </c>
      <c r="D389" s="10"/>
      <c r="E389" s="27">
        <v>2016</v>
      </c>
      <c r="F389" s="9" t="s">
        <v>842</v>
      </c>
      <c r="G389" s="10">
        <v>65286</v>
      </c>
      <c r="H389" s="8"/>
      <c r="I389" s="2"/>
      <c r="J389" s="8"/>
      <c r="K389" s="3"/>
    </row>
    <row r="390" spans="1:11">
      <c r="A390">
        <v>2017</v>
      </c>
      <c r="B390" s="9" t="s">
        <v>843</v>
      </c>
      <c r="C390" s="10">
        <v>113913</v>
      </c>
      <c r="D390" s="10"/>
      <c r="E390" s="27">
        <v>2016</v>
      </c>
      <c r="F390" s="9" t="s">
        <v>843</v>
      </c>
      <c r="G390" s="10">
        <v>113541</v>
      </c>
      <c r="H390" s="8"/>
      <c r="I390" s="2"/>
      <c r="J390" s="8"/>
      <c r="K390" s="3"/>
    </row>
    <row r="391" spans="1:11">
      <c r="A391">
        <v>2017</v>
      </c>
      <c r="B391" s="9" t="s">
        <v>844</v>
      </c>
      <c r="C391" s="10">
        <v>97946</v>
      </c>
      <c r="D391" s="10"/>
      <c r="E391" s="27">
        <v>2016</v>
      </c>
      <c r="F391" s="9" t="s">
        <v>844</v>
      </c>
      <c r="G391" s="10">
        <v>86149</v>
      </c>
      <c r="H391" s="8"/>
      <c r="I391" s="2"/>
      <c r="J391" s="8"/>
      <c r="K391" s="3"/>
    </row>
    <row r="392" spans="1:11">
      <c r="A392">
        <v>2017</v>
      </c>
      <c r="B392" s="9" t="s">
        <v>845</v>
      </c>
      <c r="C392" s="10">
        <v>278262</v>
      </c>
      <c r="D392" s="10"/>
      <c r="E392" s="27">
        <v>2016</v>
      </c>
      <c r="F392" s="9" t="s">
        <v>845</v>
      </c>
      <c r="G392" s="10">
        <v>298203</v>
      </c>
      <c r="H392" s="8"/>
      <c r="I392" s="2"/>
      <c r="J392" s="8"/>
      <c r="K392" s="3"/>
    </row>
    <row r="393" spans="1:11">
      <c r="A393">
        <v>2017</v>
      </c>
      <c r="B393" s="9" t="s">
        <v>846</v>
      </c>
      <c r="C393" s="10">
        <v>3896042</v>
      </c>
      <c r="D393" s="10"/>
      <c r="E393" s="27">
        <v>2016</v>
      </c>
      <c r="F393" s="9" t="s">
        <v>846</v>
      </c>
      <c r="G393" s="10">
        <v>3659733</v>
      </c>
      <c r="H393" s="8"/>
      <c r="I393" s="2"/>
      <c r="J393" s="8"/>
      <c r="K393" s="3"/>
    </row>
    <row r="394" spans="1:11">
      <c r="A394">
        <v>2017</v>
      </c>
      <c r="B394" s="9" t="s">
        <v>847</v>
      </c>
      <c r="C394" s="10">
        <v>120976</v>
      </c>
      <c r="D394" s="10"/>
      <c r="E394" s="27">
        <v>2016</v>
      </c>
      <c r="F394" s="9" t="s">
        <v>847</v>
      </c>
      <c r="G394" s="10">
        <v>100009</v>
      </c>
      <c r="H394" s="8"/>
      <c r="I394" s="2"/>
      <c r="J394" s="8"/>
      <c r="K394" s="3"/>
    </row>
    <row r="395" spans="1:11">
      <c r="A395">
        <v>2017</v>
      </c>
      <c r="B395" s="9" t="s">
        <v>848</v>
      </c>
      <c r="C395" s="10">
        <v>99222</v>
      </c>
      <c r="D395" s="10"/>
      <c r="E395" s="27">
        <v>2016</v>
      </c>
      <c r="F395" s="9" t="s">
        <v>848</v>
      </c>
      <c r="G395" s="10">
        <v>92577</v>
      </c>
      <c r="H395" s="8"/>
      <c r="I395" s="2"/>
      <c r="J395" s="8"/>
      <c r="K395" s="3"/>
    </row>
    <row r="396" spans="1:11">
      <c r="A396">
        <v>2017</v>
      </c>
      <c r="B396" s="9" t="s">
        <v>849</v>
      </c>
      <c r="C396" s="10">
        <v>35455</v>
      </c>
      <c r="D396" s="10"/>
      <c r="E396" s="27">
        <v>2016</v>
      </c>
      <c r="F396" s="9" t="s">
        <v>849</v>
      </c>
      <c r="G396" s="10">
        <v>24727</v>
      </c>
      <c r="H396" s="8"/>
      <c r="I396" s="2"/>
      <c r="J396" s="8"/>
      <c r="K396" s="3"/>
    </row>
    <row r="397" spans="1:11">
      <c r="A397">
        <v>2017</v>
      </c>
      <c r="B397" s="9" t="s">
        <v>850</v>
      </c>
      <c r="C397" s="9">
        <v>0</v>
      </c>
      <c r="E397" s="27">
        <v>2016</v>
      </c>
      <c r="F397" s="9" t="s">
        <v>850</v>
      </c>
      <c r="G397" s="10">
        <v>58126</v>
      </c>
      <c r="H397" s="8"/>
      <c r="I397" s="2"/>
      <c r="J397" s="8"/>
      <c r="K397" s="3"/>
    </row>
    <row r="398" spans="1:11">
      <c r="A398">
        <v>2017</v>
      </c>
      <c r="B398" s="9" t="s">
        <v>851</v>
      </c>
      <c r="C398" s="10">
        <v>37999</v>
      </c>
      <c r="D398" s="10"/>
      <c r="E398" s="27">
        <v>2016</v>
      </c>
      <c r="F398" s="9" t="s">
        <v>851</v>
      </c>
      <c r="G398" s="10">
        <v>83358</v>
      </c>
      <c r="H398" s="7"/>
      <c r="I398" s="2"/>
      <c r="J398" s="7"/>
      <c r="K398" s="3"/>
    </row>
    <row r="399" spans="1:11">
      <c r="A399">
        <v>2017</v>
      </c>
      <c r="B399" s="9" t="s">
        <v>852</v>
      </c>
      <c r="C399" s="10">
        <v>54327</v>
      </c>
      <c r="D399" s="10"/>
      <c r="E399" s="27">
        <v>2016</v>
      </c>
      <c r="F399" s="9" t="s">
        <v>852</v>
      </c>
      <c r="G399" s="10">
        <v>54980</v>
      </c>
      <c r="H399" s="8"/>
      <c r="I399" s="2"/>
      <c r="J399" s="8"/>
      <c r="K399" s="3"/>
    </row>
    <row r="400" spans="1:11">
      <c r="A400">
        <v>2017</v>
      </c>
      <c r="B400" s="9" t="s">
        <v>853</v>
      </c>
      <c r="C400" s="10">
        <v>100079</v>
      </c>
      <c r="D400" s="10"/>
      <c r="E400" s="27">
        <v>2016</v>
      </c>
      <c r="F400" s="9" t="s">
        <v>853</v>
      </c>
      <c r="G400" s="10">
        <v>98283</v>
      </c>
      <c r="H400" s="8"/>
      <c r="I400" s="2"/>
      <c r="J400" s="8"/>
      <c r="K400" s="3"/>
    </row>
    <row r="401" spans="1:11">
      <c r="A401">
        <v>2017</v>
      </c>
      <c r="B401" s="9" t="s">
        <v>854</v>
      </c>
      <c r="C401" s="10">
        <v>15355</v>
      </c>
      <c r="D401" s="10"/>
      <c r="E401" s="27">
        <v>2016</v>
      </c>
      <c r="F401" s="9" t="s">
        <v>854</v>
      </c>
      <c r="G401" s="10">
        <v>13896</v>
      </c>
      <c r="H401" s="8"/>
      <c r="I401" s="2"/>
      <c r="J401" s="8"/>
      <c r="K401" s="3"/>
    </row>
    <row r="402" spans="1:11">
      <c r="A402">
        <v>2017</v>
      </c>
      <c r="B402" s="9" t="s">
        <v>855</v>
      </c>
      <c r="C402" s="10">
        <v>1125778</v>
      </c>
      <c r="D402" s="10"/>
      <c r="E402" s="27">
        <v>2016</v>
      </c>
      <c r="F402" s="9" t="s">
        <v>855</v>
      </c>
      <c r="G402" s="10">
        <v>1075678</v>
      </c>
      <c r="H402" s="7"/>
      <c r="I402" s="2"/>
      <c r="J402" s="7"/>
      <c r="K402" s="1"/>
    </row>
    <row r="403" spans="1:11">
      <c r="A403">
        <v>2017</v>
      </c>
      <c r="B403" s="9" t="s">
        <v>856</v>
      </c>
      <c r="C403" s="10">
        <v>739954</v>
      </c>
      <c r="D403" s="10"/>
      <c r="E403" s="27">
        <v>2016</v>
      </c>
      <c r="F403" s="9" t="s">
        <v>856</v>
      </c>
      <c r="G403" s="10">
        <v>738103</v>
      </c>
      <c r="H403" s="7"/>
      <c r="I403" s="2"/>
      <c r="J403" s="7"/>
      <c r="K403" s="3"/>
    </row>
    <row r="404" spans="1:11">
      <c r="A404">
        <v>2017</v>
      </c>
      <c r="B404" s="9" t="s">
        <v>857</v>
      </c>
      <c r="C404" s="10">
        <v>66143</v>
      </c>
      <c r="D404" s="10"/>
      <c r="E404" s="27">
        <v>2016</v>
      </c>
      <c r="F404" s="9" t="s">
        <v>857</v>
      </c>
      <c r="G404" s="10">
        <v>60562</v>
      </c>
      <c r="H404" s="7"/>
      <c r="I404" s="2"/>
      <c r="J404" s="7"/>
      <c r="K404" s="3"/>
    </row>
    <row r="405" spans="1:11">
      <c r="A405">
        <v>2017</v>
      </c>
      <c r="B405" s="9" t="s">
        <v>858</v>
      </c>
      <c r="C405" s="10">
        <v>1227291</v>
      </c>
      <c r="D405" s="10"/>
      <c r="E405" s="27">
        <v>2016</v>
      </c>
      <c r="F405" s="9" t="s">
        <v>858</v>
      </c>
      <c r="G405" s="10">
        <v>1246303</v>
      </c>
      <c r="H405" s="7"/>
      <c r="I405" s="2"/>
      <c r="J405" s="7"/>
      <c r="K405" s="3"/>
    </row>
    <row r="406" spans="1:11">
      <c r="A406">
        <v>2017</v>
      </c>
      <c r="B406" s="9" t="s">
        <v>859</v>
      </c>
      <c r="C406" s="10">
        <v>10332</v>
      </c>
      <c r="D406" s="10"/>
      <c r="E406" s="27">
        <v>2016</v>
      </c>
      <c r="F406" s="9" t="s">
        <v>859</v>
      </c>
      <c r="G406" s="10">
        <v>9561</v>
      </c>
      <c r="H406" s="7"/>
      <c r="I406" s="2"/>
      <c r="J406" s="7"/>
      <c r="K406" s="3"/>
    </row>
    <row r="407" spans="1:11">
      <c r="A407">
        <v>2017</v>
      </c>
      <c r="B407" s="9" t="s">
        <v>860</v>
      </c>
      <c r="C407" s="10">
        <v>917982</v>
      </c>
      <c r="D407" s="10"/>
      <c r="E407" s="27">
        <v>2016</v>
      </c>
      <c r="F407" s="9" t="s">
        <v>860</v>
      </c>
      <c r="G407" s="10">
        <v>937547</v>
      </c>
      <c r="H407" s="7"/>
      <c r="I407" s="2"/>
      <c r="J407" s="7"/>
      <c r="K407" s="3"/>
    </row>
    <row r="408" spans="1:11">
      <c r="A408">
        <v>2017</v>
      </c>
      <c r="B408" s="9" t="s">
        <v>188</v>
      </c>
      <c r="C408" s="10">
        <v>52900</v>
      </c>
      <c r="D408" s="10"/>
      <c r="E408" s="27">
        <v>2016</v>
      </c>
      <c r="F408" s="9" t="s">
        <v>188</v>
      </c>
      <c r="G408" s="10">
        <v>54412</v>
      </c>
      <c r="H408" s="7"/>
      <c r="I408" s="2"/>
      <c r="J408" s="7"/>
      <c r="K408" s="3"/>
    </row>
    <row r="409" spans="1:11">
      <c r="A409">
        <v>2017</v>
      </c>
      <c r="B409" s="9" t="s">
        <v>861</v>
      </c>
      <c r="C409" s="10">
        <v>1367617</v>
      </c>
      <c r="D409" s="10"/>
      <c r="E409" s="27">
        <v>2016</v>
      </c>
      <c r="F409" s="9" t="s">
        <v>861</v>
      </c>
      <c r="G409" s="10">
        <v>1364174</v>
      </c>
      <c r="H409" s="7"/>
      <c r="I409" s="2"/>
      <c r="J409" s="7"/>
      <c r="K409" s="3"/>
    </row>
    <row r="410" spans="1:11">
      <c r="A410">
        <v>2017</v>
      </c>
      <c r="B410" s="9" t="s">
        <v>862</v>
      </c>
      <c r="C410" s="10">
        <v>1050844</v>
      </c>
      <c r="D410" s="10"/>
      <c r="E410" s="27">
        <v>2016</v>
      </c>
      <c r="F410" s="9" t="s">
        <v>862</v>
      </c>
      <c r="G410" s="10">
        <v>1076361</v>
      </c>
      <c r="H410" s="7"/>
      <c r="I410" s="2"/>
      <c r="J410" s="7"/>
      <c r="K410" s="3"/>
    </row>
    <row r="411" spans="1:11">
      <c r="A411">
        <v>2017</v>
      </c>
      <c r="B411" s="9" t="s">
        <v>863</v>
      </c>
      <c r="C411" s="10">
        <v>21632</v>
      </c>
      <c r="D411" s="10"/>
      <c r="E411" s="27">
        <v>2016</v>
      </c>
      <c r="F411" s="9" t="s">
        <v>863</v>
      </c>
      <c r="G411" s="10">
        <v>12016</v>
      </c>
      <c r="H411" s="7"/>
      <c r="I411" s="2"/>
      <c r="J411" s="7"/>
      <c r="K411" s="3"/>
    </row>
    <row r="412" spans="1:11">
      <c r="A412">
        <v>2017</v>
      </c>
      <c r="B412" s="9" t="s">
        <v>864</v>
      </c>
      <c r="C412" s="10">
        <v>84720</v>
      </c>
      <c r="D412" s="10"/>
      <c r="E412" s="27">
        <v>2016</v>
      </c>
      <c r="F412" s="9" t="s">
        <v>864</v>
      </c>
      <c r="G412" s="10">
        <v>68347</v>
      </c>
      <c r="H412" s="7"/>
      <c r="I412" s="2"/>
      <c r="J412" s="7"/>
      <c r="K412" s="3"/>
    </row>
    <row r="413" spans="1:11">
      <c r="A413">
        <v>2017</v>
      </c>
      <c r="B413" s="9" t="s">
        <v>865</v>
      </c>
      <c r="C413" s="10">
        <v>68411</v>
      </c>
      <c r="D413" s="10"/>
      <c r="E413" s="27">
        <v>2016</v>
      </c>
      <c r="F413" s="9" t="s">
        <v>865</v>
      </c>
      <c r="G413" s="10">
        <v>64509</v>
      </c>
      <c r="H413" s="7"/>
      <c r="I413" s="2"/>
      <c r="J413" s="7"/>
      <c r="K413" s="3"/>
    </row>
    <row r="414" spans="1:11">
      <c r="A414">
        <v>2017</v>
      </c>
      <c r="B414" s="9" t="s">
        <v>866</v>
      </c>
      <c r="C414" s="10">
        <v>38193</v>
      </c>
      <c r="D414" s="10"/>
      <c r="E414" s="27">
        <v>2016</v>
      </c>
      <c r="F414" s="9" t="s">
        <v>866</v>
      </c>
      <c r="G414" s="10">
        <v>32140</v>
      </c>
      <c r="H414" s="7"/>
      <c r="I414" s="2"/>
      <c r="J414" s="7"/>
      <c r="K414" s="3"/>
    </row>
    <row r="415" spans="1:11">
      <c r="A415">
        <v>2017</v>
      </c>
      <c r="B415" s="9" t="s">
        <v>867</v>
      </c>
      <c r="C415" s="10">
        <v>2660</v>
      </c>
      <c r="D415" s="10"/>
      <c r="E415" s="27">
        <v>2016</v>
      </c>
      <c r="F415" s="9" t="s">
        <v>867</v>
      </c>
      <c r="G415" s="10">
        <v>7746</v>
      </c>
      <c r="H415" s="7"/>
      <c r="I415" s="2"/>
      <c r="J415" s="7"/>
      <c r="K415" s="3"/>
    </row>
    <row r="416" spans="1:11">
      <c r="A416">
        <v>2017</v>
      </c>
      <c r="B416" s="9" t="s">
        <v>868</v>
      </c>
      <c r="C416" s="10">
        <v>23883</v>
      </c>
      <c r="D416" s="10"/>
      <c r="E416" s="27">
        <v>2016</v>
      </c>
      <c r="F416" s="9" t="s">
        <v>868</v>
      </c>
      <c r="G416" s="10">
        <v>22907</v>
      </c>
      <c r="H416" s="7"/>
      <c r="I416" s="2"/>
      <c r="J416" s="7"/>
      <c r="K416" s="3"/>
    </row>
    <row r="417" spans="1:11">
      <c r="A417">
        <v>2017</v>
      </c>
      <c r="B417" s="9" t="s">
        <v>869</v>
      </c>
      <c r="C417" s="10">
        <v>72661387</v>
      </c>
      <c r="D417" s="10"/>
      <c r="E417" s="27">
        <v>2016</v>
      </c>
      <c r="F417" s="9" t="s">
        <v>869</v>
      </c>
      <c r="G417" s="10">
        <v>69720299</v>
      </c>
      <c r="H417" s="7"/>
      <c r="I417" s="2"/>
      <c r="J417" s="7"/>
      <c r="K417" s="3"/>
    </row>
    <row r="418" spans="1:11">
      <c r="A418">
        <v>2017</v>
      </c>
      <c r="B418" s="9" t="s">
        <v>870</v>
      </c>
      <c r="C418" s="10">
        <v>4194</v>
      </c>
      <c r="D418" s="10"/>
      <c r="E418" s="27">
        <v>2016</v>
      </c>
      <c r="F418" s="9" t="s">
        <v>870</v>
      </c>
      <c r="G418" s="10">
        <v>4233</v>
      </c>
      <c r="H418" s="7"/>
      <c r="I418" s="2"/>
      <c r="J418" s="7"/>
      <c r="K418" s="3"/>
    </row>
    <row r="419" spans="1:11">
      <c r="A419">
        <v>2017</v>
      </c>
      <c r="B419" s="9" t="s">
        <v>871</v>
      </c>
      <c r="C419" s="10">
        <v>50038</v>
      </c>
      <c r="D419" s="10"/>
      <c r="E419" s="27">
        <v>2016</v>
      </c>
      <c r="F419" s="9" t="s">
        <v>871</v>
      </c>
      <c r="G419" s="10">
        <v>51148</v>
      </c>
      <c r="H419" s="7"/>
      <c r="I419" s="2"/>
      <c r="J419" s="7"/>
      <c r="K419" s="3"/>
    </row>
    <row r="420" spans="1:11">
      <c r="A420">
        <v>2017</v>
      </c>
      <c r="B420" s="9" t="s">
        <v>872</v>
      </c>
      <c r="C420" s="10">
        <v>38343</v>
      </c>
      <c r="D420" s="10"/>
      <c r="E420" s="27">
        <v>2016</v>
      </c>
      <c r="F420" s="9" t="s">
        <v>872</v>
      </c>
      <c r="G420" s="10">
        <v>34969</v>
      </c>
      <c r="H420" s="7"/>
      <c r="I420" s="2"/>
      <c r="J420" s="7"/>
      <c r="K420" s="3"/>
    </row>
    <row r="421" spans="1:11">
      <c r="A421">
        <v>2017</v>
      </c>
      <c r="B421" s="9" t="s">
        <v>873</v>
      </c>
      <c r="C421" s="10">
        <v>82713</v>
      </c>
      <c r="D421" s="10"/>
      <c r="E421" s="27">
        <v>2016</v>
      </c>
      <c r="F421" s="9" t="s">
        <v>873</v>
      </c>
      <c r="G421" s="10">
        <v>75877</v>
      </c>
      <c r="H421" s="7"/>
      <c r="I421" s="2"/>
      <c r="J421" s="7"/>
      <c r="K421" s="3"/>
    </row>
    <row r="422" spans="1:11">
      <c r="A422">
        <v>2017</v>
      </c>
      <c r="B422" s="9" t="s">
        <v>874</v>
      </c>
      <c r="C422" s="10">
        <v>2865974</v>
      </c>
      <c r="D422" s="10"/>
      <c r="E422" s="27">
        <v>2016</v>
      </c>
      <c r="F422" s="9" t="s">
        <v>874</v>
      </c>
      <c r="G422" s="10">
        <v>2682507</v>
      </c>
      <c r="H422" s="7"/>
      <c r="I422" s="2"/>
      <c r="J422" s="7"/>
      <c r="K422" s="3"/>
    </row>
    <row r="423" spans="1:11">
      <c r="A423">
        <v>2017</v>
      </c>
      <c r="B423" s="9" t="s">
        <v>875</v>
      </c>
      <c r="C423" s="10">
        <v>365965</v>
      </c>
      <c r="D423" s="10"/>
      <c r="E423" s="27">
        <v>2016</v>
      </c>
      <c r="F423" s="9" t="s">
        <v>875</v>
      </c>
      <c r="G423" s="10">
        <v>376270</v>
      </c>
      <c r="H423" s="7"/>
      <c r="I423" s="2"/>
      <c r="J423" s="7"/>
      <c r="K423" s="3"/>
    </row>
    <row r="424" spans="1:11">
      <c r="A424">
        <v>2017</v>
      </c>
      <c r="B424" s="9" t="s">
        <v>876</v>
      </c>
      <c r="C424" s="10">
        <v>8249</v>
      </c>
      <c r="D424" s="10"/>
      <c r="E424" s="27">
        <v>2016</v>
      </c>
      <c r="F424" s="9" t="s">
        <v>876</v>
      </c>
      <c r="G424" s="10">
        <v>8023</v>
      </c>
      <c r="H424" s="7"/>
      <c r="I424" s="2"/>
      <c r="J424" s="7"/>
      <c r="K424" s="3"/>
    </row>
    <row r="425" spans="1:11">
      <c r="A425">
        <v>2017</v>
      </c>
      <c r="B425" s="9" t="s">
        <v>877</v>
      </c>
      <c r="C425" s="10">
        <v>64556</v>
      </c>
      <c r="D425" s="10"/>
      <c r="E425" s="27">
        <v>2016</v>
      </c>
      <c r="F425" s="9" t="s">
        <v>877</v>
      </c>
      <c r="G425" s="10">
        <v>63915</v>
      </c>
      <c r="H425" s="7"/>
      <c r="I425" s="2"/>
      <c r="J425" s="7"/>
      <c r="K425" s="3"/>
    </row>
    <row r="426" spans="1:11">
      <c r="A426">
        <v>2017</v>
      </c>
      <c r="B426" s="9" t="s">
        <v>878</v>
      </c>
      <c r="C426" s="10">
        <v>322502</v>
      </c>
      <c r="D426" s="10"/>
      <c r="E426" s="27">
        <v>2016</v>
      </c>
      <c r="F426" s="9" t="s">
        <v>878</v>
      </c>
      <c r="G426" s="10">
        <v>304983</v>
      </c>
      <c r="H426" s="7"/>
      <c r="I426" s="2"/>
      <c r="J426" s="7"/>
      <c r="K426" s="3"/>
    </row>
    <row r="427" spans="1:11">
      <c r="A427">
        <v>2017</v>
      </c>
      <c r="B427" s="9" t="s">
        <v>879</v>
      </c>
      <c r="C427" s="10">
        <v>586860</v>
      </c>
      <c r="D427" s="10"/>
      <c r="E427" s="27">
        <v>2016</v>
      </c>
      <c r="F427" s="9" t="s">
        <v>879</v>
      </c>
      <c r="G427" s="10">
        <v>587558</v>
      </c>
      <c r="H427" s="7"/>
      <c r="I427" s="2"/>
      <c r="J427" s="7"/>
      <c r="K427" s="3"/>
    </row>
    <row r="428" spans="1:11">
      <c r="A428">
        <v>2017</v>
      </c>
      <c r="B428" s="9" t="s">
        <v>880</v>
      </c>
      <c r="C428" s="10">
        <v>27348</v>
      </c>
      <c r="D428" s="10"/>
      <c r="E428" s="27">
        <v>2016</v>
      </c>
      <c r="F428" s="9" t="s">
        <v>880</v>
      </c>
      <c r="G428" s="10">
        <v>28153</v>
      </c>
      <c r="H428" s="7"/>
      <c r="I428" s="2"/>
      <c r="J428" s="7"/>
      <c r="K428" s="3"/>
    </row>
    <row r="429" spans="1:11">
      <c r="A429">
        <v>2017</v>
      </c>
      <c r="B429" s="9" t="s">
        <v>881</v>
      </c>
      <c r="C429" s="10">
        <v>1281129</v>
      </c>
      <c r="D429" s="10"/>
      <c r="E429" s="27">
        <v>2016</v>
      </c>
      <c r="F429" s="9" t="s">
        <v>881</v>
      </c>
      <c r="G429" s="10">
        <v>1209360</v>
      </c>
      <c r="H429" s="7"/>
      <c r="I429" s="2"/>
      <c r="J429" s="7"/>
      <c r="K429" s="3"/>
    </row>
    <row r="430" spans="1:11">
      <c r="A430">
        <v>2017</v>
      </c>
      <c r="B430" s="9" t="s">
        <v>882</v>
      </c>
      <c r="C430" s="10">
        <v>239553</v>
      </c>
      <c r="D430" s="10"/>
      <c r="E430" s="27">
        <v>2016</v>
      </c>
      <c r="F430" s="9" t="s">
        <v>882</v>
      </c>
      <c r="G430" s="10">
        <v>225998</v>
      </c>
      <c r="H430" s="7"/>
      <c r="I430" s="2"/>
      <c r="J430" s="7"/>
      <c r="K430" s="3"/>
    </row>
    <row r="431" spans="1:11">
      <c r="A431">
        <v>2017</v>
      </c>
      <c r="B431" s="9" t="s">
        <v>883</v>
      </c>
      <c r="C431" s="10">
        <v>651168</v>
      </c>
      <c r="D431" s="10"/>
      <c r="E431" s="27">
        <v>2016</v>
      </c>
      <c r="F431" s="9" t="s">
        <v>883</v>
      </c>
      <c r="G431" s="10">
        <v>650410</v>
      </c>
      <c r="H431" s="7"/>
      <c r="I431" s="2"/>
      <c r="J431" s="7"/>
      <c r="K431" s="3"/>
    </row>
    <row r="432" spans="1:11">
      <c r="A432">
        <v>2017</v>
      </c>
      <c r="B432" s="9" t="s">
        <v>490</v>
      </c>
      <c r="C432" s="9">
        <v>0</v>
      </c>
      <c r="E432" s="27">
        <v>2016</v>
      </c>
      <c r="F432" s="9" t="s">
        <v>490</v>
      </c>
      <c r="H432" s="7"/>
      <c r="I432" s="2"/>
      <c r="J432" s="7"/>
      <c r="K432" s="1"/>
    </row>
    <row r="433" spans="1:11">
      <c r="A433">
        <v>2017</v>
      </c>
      <c r="B433" s="9" t="s">
        <v>884</v>
      </c>
      <c r="C433" s="10">
        <v>41254</v>
      </c>
      <c r="D433" s="10"/>
      <c r="E433" s="27">
        <v>2016</v>
      </c>
      <c r="F433" s="9" t="s">
        <v>884</v>
      </c>
      <c r="G433" s="10">
        <v>38991</v>
      </c>
      <c r="H433" s="7"/>
      <c r="I433" s="2"/>
      <c r="J433" s="7"/>
      <c r="K433" s="3"/>
    </row>
    <row r="434" spans="1:11">
      <c r="A434">
        <v>2017</v>
      </c>
      <c r="B434" s="9" t="s">
        <v>885</v>
      </c>
      <c r="C434" s="10">
        <v>197747</v>
      </c>
      <c r="D434" s="10"/>
      <c r="E434" s="27">
        <v>2016</v>
      </c>
      <c r="F434" s="9" t="s">
        <v>885</v>
      </c>
      <c r="G434" s="10">
        <v>180987</v>
      </c>
      <c r="H434" s="7"/>
      <c r="I434" s="2"/>
      <c r="J434" s="7"/>
      <c r="K434" s="3"/>
    </row>
    <row r="435" spans="1:11">
      <c r="A435">
        <v>2017</v>
      </c>
      <c r="B435" s="9" t="s">
        <v>203</v>
      </c>
      <c r="C435" s="10">
        <v>119009</v>
      </c>
      <c r="D435" s="10"/>
      <c r="E435" s="27">
        <v>2016</v>
      </c>
      <c r="F435" s="9" t="s">
        <v>203</v>
      </c>
      <c r="G435" s="10">
        <v>127819</v>
      </c>
      <c r="H435" s="7"/>
      <c r="I435" s="2"/>
      <c r="J435" s="7"/>
      <c r="K435" s="3"/>
    </row>
    <row r="436" spans="1:11">
      <c r="A436">
        <v>2017</v>
      </c>
      <c r="B436" s="9" t="s">
        <v>886</v>
      </c>
      <c r="C436" s="10">
        <v>72226</v>
      </c>
      <c r="D436" s="10"/>
      <c r="E436" s="27">
        <v>2016</v>
      </c>
      <c r="F436" s="9" t="s">
        <v>886</v>
      </c>
      <c r="G436" s="10">
        <v>85584</v>
      </c>
      <c r="H436" s="7"/>
      <c r="I436" s="2"/>
      <c r="J436" s="7"/>
      <c r="K436" s="3"/>
    </row>
    <row r="437" spans="1:11">
      <c r="A437">
        <v>2017</v>
      </c>
      <c r="B437" s="9" t="s">
        <v>887</v>
      </c>
      <c r="C437" s="10">
        <v>301008</v>
      </c>
      <c r="D437" s="10"/>
      <c r="E437" s="27">
        <v>2016</v>
      </c>
      <c r="F437" s="9" t="s">
        <v>887</v>
      </c>
      <c r="G437" s="10">
        <v>287073</v>
      </c>
      <c r="H437" s="7"/>
      <c r="I437" s="2"/>
      <c r="J437" s="7"/>
      <c r="K437" s="3"/>
    </row>
    <row r="438" spans="1:11">
      <c r="A438">
        <v>2017</v>
      </c>
      <c r="B438" s="9" t="s">
        <v>888</v>
      </c>
      <c r="C438" s="10">
        <v>86621</v>
      </c>
      <c r="D438" s="10"/>
      <c r="E438" s="27">
        <v>2016</v>
      </c>
      <c r="F438" s="9" t="s">
        <v>888</v>
      </c>
      <c r="G438" s="10">
        <v>84758</v>
      </c>
      <c r="H438" s="7"/>
      <c r="I438" s="2"/>
      <c r="J438" s="7"/>
      <c r="K438" s="3"/>
    </row>
    <row r="439" spans="1:11">
      <c r="A439">
        <v>2017</v>
      </c>
      <c r="B439" s="9" t="s">
        <v>889</v>
      </c>
      <c r="C439" s="10">
        <v>2358</v>
      </c>
      <c r="D439" s="10"/>
      <c r="E439" s="27">
        <v>2016</v>
      </c>
      <c r="F439" s="9" t="s">
        <v>889</v>
      </c>
      <c r="H439" s="7"/>
      <c r="I439" s="2"/>
      <c r="J439" s="7"/>
      <c r="K439" s="1"/>
    </row>
    <row r="440" spans="1:11">
      <c r="A440">
        <v>2017</v>
      </c>
      <c r="B440" s="9" t="s">
        <v>890</v>
      </c>
      <c r="C440" s="10">
        <v>217216</v>
      </c>
      <c r="D440" s="10"/>
      <c r="E440" s="27">
        <v>2016</v>
      </c>
      <c r="F440" s="9" t="s">
        <v>890</v>
      </c>
      <c r="G440" s="10">
        <v>226646</v>
      </c>
      <c r="H440" s="7"/>
      <c r="I440" s="2"/>
      <c r="J440" s="7"/>
      <c r="K440" s="3"/>
    </row>
    <row r="441" spans="1:11">
      <c r="A441">
        <v>2017</v>
      </c>
      <c r="B441" s="9" t="s">
        <v>891</v>
      </c>
      <c r="C441" s="10">
        <v>351167</v>
      </c>
      <c r="D441" s="10"/>
      <c r="E441" s="27">
        <v>2016</v>
      </c>
      <c r="F441" s="9" t="s">
        <v>891</v>
      </c>
      <c r="G441" s="10">
        <v>335737</v>
      </c>
      <c r="H441" s="7"/>
      <c r="I441" s="2"/>
      <c r="J441" s="7"/>
      <c r="K441" s="3"/>
    </row>
    <row r="442" spans="1:11">
      <c r="A442">
        <v>2017</v>
      </c>
      <c r="B442" s="9" t="s">
        <v>207</v>
      </c>
      <c r="C442" s="10">
        <v>227401</v>
      </c>
      <c r="D442" s="10"/>
      <c r="E442" s="27">
        <v>2016</v>
      </c>
      <c r="F442" s="9" t="s">
        <v>207</v>
      </c>
      <c r="G442" s="10">
        <v>211544</v>
      </c>
      <c r="H442" s="7"/>
      <c r="I442" s="2"/>
      <c r="J442" s="7"/>
      <c r="K442" s="3"/>
    </row>
    <row r="443" spans="1:11">
      <c r="A443">
        <v>2017</v>
      </c>
      <c r="B443" s="9" t="s">
        <v>892</v>
      </c>
      <c r="C443" s="10">
        <v>4007708</v>
      </c>
      <c r="D443" s="10"/>
      <c r="E443" s="27">
        <v>2016</v>
      </c>
      <c r="F443" s="9" t="s">
        <v>892</v>
      </c>
      <c r="G443" s="10">
        <v>3949328</v>
      </c>
      <c r="H443" s="7"/>
      <c r="I443" s="2"/>
      <c r="J443" s="7"/>
      <c r="K443" s="3"/>
    </row>
    <row r="444" spans="1:11">
      <c r="A444">
        <v>2017</v>
      </c>
      <c r="B444" s="9" t="s">
        <v>893</v>
      </c>
      <c r="C444" s="10">
        <v>66745</v>
      </c>
      <c r="D444" s="10"/>
      <c r="E444" s="27">
        <v>2016</v>
      </c>
      <c r="F444" s="9" t="s">
        <v>893</v>
      </c>
      <c r="G444" s="10">
        <v>61741</v>
      </c>
      <c r="H444" s="7"/>
      <c r="I444" s="2"/>
      <c r="J444" s="7"/>
      <c r="K444" s="3"/>
    </row>
    <row r="445" spans="1:11">
      <c r="A445">
        <v>2017</v>
      </c>
      <c r="B445" s="9" t="s">
        <v>894</v>
      </c>
      <c r="C445" s="10">
        <v>14643</v>
      </c>
      <c r="D445" s="10"/>
      <c r="E445" s="27">
        <v>2016</v>
      </c>
      <c r="F445" s="9" t="s">
        <v>894</v>
      </c>
      <c r="G445" s="10">
        <v>14930</v>
      </c>
      <c r="H445" s="7"/>
      <c r="I445" s="2"/>
      <c r="J445" s="7"/>
      <c r="K445" s="3"/>
    </row>
    <row r="446" spans="1:11">
      <c r="A446">
        <v>2017</v>
      </c>
      <c r="B446" s="9" t="s">
        <v>895</v>
      </c>
      <c r="C446" s="10">
        <v>142030</v>
      </c>
      <c r="D446" s="10"/>
      <c r="E446" s="27">
        <v>2016</v>
      </c>
      <c r="F446" s="9" t="s">
        <v>895</v>
      </c>
      <c r="G446" s="10">
        <v>134232</v>
      </c>
      <c r="H446" s="7"/>
      <c r="I446" s="2"/>
      <c r="J446" s="7"/>
      <c r="K446" s="3"/>
    </row>
    <row r="447" spans="1:11">
      <c r="A447">
        <v>2017</v>
      </c>
      <c r="B447" s="9" t="s">
        <v>896</v>
      </c>
      <c r="C447" s="10">
        <v>14077</v>
      </c>
      <c r="D447" s="10"/>
      <c r="E447" s="27">
        <v>2016</v>
      </c>
      <c r="F447" s="9" t="s">
        <v>896</v>
      </c>
      <c r="G447" s="10">
        <v>13589</v>
      </c>
      <c r="H447" s="7"/>
      <c r="I447" s="2"/>
      <c r="J447" s="7"/>
      <c r="K447" s="3"/>
    </row>
    <row r="448" spans="1:11">
      <c r="A448">
        <v>2017</v>
      </c>
      <c r="B448" s="9" t="s">
        <v>897</v>
      </c>
      <c r="C448" s="10">
        <v>68989</v>
      </c>
      <c r="D448" s="10"/>
      <c r="E448" s="27">
        <v>2016</v>
      </c>
      <c r="F448" s="9" t="s">
        <v>897</v>
      </c>
      <c r="G448" s="10">
        <v>69276</v>
      </c>
      <c r="H448" s="7"/>
      <c r="I448" s="2"/>
      <c r="J448" s="7"/>
      <c r="K448" s="3"/>
    </row>
    <row r="449" spans="1:11">
      <c r="A449">
        <v>2017</v>
      </c>
      <c r="B449" s="9" t="s">
        <v>898</v>
      </c>
      <c r="C449" s="10">
        <v>21018</v>
      </c>
      <c r="D449" s="10"/>
      <c r="E449" s="27">
        <v>2016</v>
      </c>
      <c r="F449" s="9" t="s">
        <v>898</v>
      </c>
      <c r="G449" s="10">
        <v>21163</v>
      </c>
      <c r="H449" s="7"/>
      <c r="I449" s="2"/>
      <c r="J449" s="7"/>
      <c r="K449" s="3"/>
    </row>
    <row r="450" spans="1:11">
      <c r="A450">
        <v>2017</v>
      </c>
      <c r="B450" s="9" t="s">
        <v>899</v>
      </c>
      <c r="C450" s="10">
        <v>14424</v>
      </c>
      <c r="D450" s="10"/>
      <c r="E450" s="27">
        <v>2016</v>
      </c>
      <c r="F450" s="9" t="s">
        <v>899</v>
      </c>
      <c r="G450" s="10">
        <v>8441</v>
      </c>
      <c r="H450" s="7"/>
      <c r="I450" s="2"/>
      <c r="J450" s="7"/>
      <c r="K450" s="3"/>
    </row>
    <row r="451" spans="1:11">
      <c r="A451">
        <v>2017</v>
      </c>
      <c r="B451" s="9" t="s">
        <v>900</v>
      </c>
      <c r="C451" s="10">
        <v>270172</v>
      </c>
      <c r="D451" s="10"/>
      <c r="E451" s="27">
        <v>2016</v>
      </c>
      <c r="F451" s="9" t="s">
        <v>900</v>
      </c>
      <c r="G451" s="10">
        <v>245907</v>
      </c>
      <c r="H451" s="8"/>
      <c r="I451" s="2"/>
      <c r="J451" s="8"/>
      <c r="K451" s="3"/>
    </row>
    <row r="452" spans="1:11">
      <c r="A452">
        <v>2017</v>
      </c>
      <c r="B452" s="9" t="s">
        <v>901</v>
      </c>
      <c r="C452" s="10">
        <v>267513</v>
      </c>
      <c r="D452" s="10"/>
      <c r="E452" s="27">
        <v>2016</v>
      </c>
      <c r="F452" s="9" t="s">
        <v>901</v>
      </c>
      <c r="G452" s="10">
        <v>266480</v>
      </c>
      <c r="H452" s="7"/>
      <c r="I452" s="2"/>
      <c r="J452" s="7"/>
      <c r="K452" s="1"/>
    </row>
    <row r="453" spans="1:11">
      <c r="A453">
        <v>2017</v>
      </c>
      <c r="B453" s="9" t="s">
        <v>943</v>
      </c>
      <c r="C453" s="10">
        <v>351556</v>
      </c>
      <c r="D453" s="10"/>
      <c r="E453" s="27">
        <v>2016</v>
      </c>
      <c r="F453" s="9" t="s">
        <v>943</v>
      </c>
      <c r="G453" s="10">
        <v>337076</v>
      </c>
      <c r="H453" s="8"/>
      <c r="I453" s="2"/>
      <c r="J453" s="8"/>
      <c r="K453" s="3"/>
    </row>
    <row r="454" spans="1:11">
      <c r="A454">
        <v>2017</v>
      </c>
      <c r="B454" s="9" t="s">
        <v>903</v>
      </c>
      <c r="C454" s="10">
        <v>135816</v>
      </c>
      <c r="D454" s="10"/>
      <c r="E454" s="27">
        <v>2016</v>
      </c>
      <c r="F454" s="9" t="s">
        <v>903</v>
      </c>
      <c r="G454" s="10">
        <v>116848</v>
      </c>
      <c r="H454" s="8"/>
      <c r="I454" s="2"/>
      <c r="J454" s="8"/>
      <c r="K454" s="3"/>
    </row>
    <row r="455" spans="1:11">
      <c r="A455">
        <v>2017</v>
      </c>
      <c r="B455" s="9" t="s">
        <v>904</v>
      </c>
      <c r="C455" s="10">
        <v>117622</v>
      </c>
      <c r="D455" s="10"/>
      <c r="E455" s="27">
        <v>2016</v>
      </c>
      <c r="F455" s="9" t="s">
        <v>904</v>
      </c>
      <c r="G455" s="10">
        <v>103159</v>
      </c>
      <c r="H455" s="8"/>
      <c r="I455" s="2"/>
      <c r="J455" s="8"/>
      <c r="K455" s="3"/>
    </row>
    <row r="456" spans="1:11">
      <c r="A456">
        <v>2017</v>
      </c>
      <c r="B456" s="9" t="s">
        <v>402</v>
      </c>
      <c r="C456" s="10">
        <v>11516</v>
      </c>
      <c r="D456" s="10"/>
      <c r="E456" s="27">
        <v>2016</v>
      </c>
      <c r="F456" s="9" t="s">
        <v>402</v>
      </c>
      <c r="G456" s="10">
        <v>11300</v>
      </c>
      <c r="H456" s="8"/>
      <c r="I456" s="2"/>
      <c r="J456" s="8"/>
      <c r="K456" s="3"/>
    </row>
    <row r="457" spans="1:11">
      <c r="A457">
        <v>2017</v>
      </c>
      <c r="B457" s="9" t="s">
        <v>905</v>
      </c>
      <c r="C457" s="10">
        <v>5567</v>
      </c>
      <c r="D457" s="10"/>
      <c r="E457" s="27">
        <v>2016</v>
      </c>
      <c r="F457" s="9" t="s">
        <v>905</v>
      </c>
      <c r="H457" s="8"/>
      <c r="I457" s="2"/>
      <c r="J457" s="8"/>
      <c r="K457" s="1"/>
    </row>
    <row r="458" spans="1:11">
      <c r="A458">
        <v>2017</v>
      </c>
      <c r="B458" s="9" t="s">
        <v>906</v>
      </c>
      <c r="C458" s="10">
        <v>86332</v>
      </c>
      <c r="D458" s="10"/>
      <c r="E458" s="27">
        <v>2016</v>
      </c>
      <c r="F458" s="9" t="s">
        <v>906</v>
      </c>
      <c r="G458" s="10">
        <v>90498</v>
      </c>
      <c r="H458" s="8"/>
      <c r="I458" s="2"/>
      <c r="J458" s="8"/>
      <c r="K458" s="3"/>
    </row>
    <row r="459" spans="1:11">
      <c r="A459">
        <v>2017</v>
      </c>
      <c r="B459" s="9" t="s">
        <v>907</v>
      </c>
      <c r="C459" s="10">
        <v>30519</v>
      </c>
      <c r="D459" s="10"/>
      <c r="E459" s="27">
        <v>2016</v>
      </c>
      <c r="F459" s="9" t="s">
        <v>907</v>
      </c>
      <c r="G459" s="10">
        <v>33330</v>
      </c>
      <c r="H459" s="8"/>
      <c r="I459" s="2"/>
      <c r="J459" s="8"/>
      <c r="K459" s="3"/>
    </row>
    <row r="460" spans="1:11">
      <c r="A460">
        <v>2017</v>
      </c>
      <c r="B460" s="9" t="s">
        <v>908</v>
      </c>
      <c r="C460" s="10">
        <v>39186</v>
      </c>
      <c r="D460" s="10"/>
      <c r="E460" s="27">
        <v>2016</v>
      </c>
      <c r="F460" s="9" t="s">
        <v>908</v>
      </c>
      <c r="G460" s="10">
        <v>38374</v>
      </c>
      <c r="H460" s="8"/>
      <c r="I460" s="2"/>
      <c r="J460" s="8"/>
      <c r="K460" s="3"/>
    </row>
    <row r="461" spans="1:11">
      <c r="A461">
        <v>2017</v>
      </c>
      <c r="B461" s="9" t="s">
        <v>405</v>
      </c>
      <c r="C461" s="10">
        <v>30875</v>
      </c>
      <c r="D461" s="10"/>
      <c r="E461" s="27">
        <v>2016</v>
      </c>
      <c r="F461" s="9" t="s">
        <v>405</v>
      </c>
      <c r="G461" s="10">
        <v>28047</v>
      </c>
      <c r="H461" s="8"/>
      <c r="I461" s="2"/>
      <c r="J461" s="8"/>
      <c r="K461" s="3"/>
    </row>
    <row r="462" spans="1:11">
      <c r="A462">
        <v>2017</v>
      </c>
      <c r="B462" s="9" t="s">
        <v>909</v>
      </c>
      <c r="C462" s="10">
        <v>171494</v>
      </c>
      <c r="D462" s="10"/>
      <c r="E462" s="27">
        <v>2016</v>
      </c>
      <c r="F462" s="9" t="s">
        <v>909</v>
      </c>
      <c r="G462" s="10">
        <v>163132</v>
      </c>
      <c r="H462" s="8"/>
      <c r="I462" s="2"/>
      <c r="J462" s="8"/>
      <c r="K462" s="3"/>
    </row>
    <row r="463" spans="1:11">
      <c r="A463">
        <v>2017</v>
      </c>
      <c r="B463" s="9" t="s">
        <v>910</v>
      </c>
      <c r="C463" s="10">
        <v>46175</v>
      </c>
      <c r="D463" s="10"/>
      <c r="E463" s="27">
        <v>2016</v>
      </c>
      <c r="F463" s="9" t="s">
        <v>910</v>
      </c>
      <c r="G463" s="10">
        <v>52359</v>
      </c>
      <c r="H463" s="8"/>
      <c r="I463" s="2"/>
      <c r="J463" s="8"/>
      <c r="K463" s="3"/>
    </row>
    <row r="464" spans="1:11">
      <c r="A464">
        <v>2017</v>
      </c>
      <c r="B464" s="9" t="s">
        <v>911</v>
      </c>
      <c r="C464" s="10">
        <v>248666</v>
      </c>
      <c r="D464" s="10"/>
      <c r="E464" s="27">
        <v>2016</v>
      </c>
      <c r="F464" s="9" t="s">
        <v>911</v>
      </c>
      <c r="G464" s="10">
        <v>263750</v>
      </c>
      <c r="H464" s="8"/>
      <c r="I464" s="2"/>
      <c r="J464" s="8"/>
      <c r="K464" s="3"/>
    </row>
    <row r="465" spans="1:11">
      <c r="A465">
        <v>2017</v>
      </c>
      <c r="B465" s="9" t="s">
        <v>912</v>
      </c>
      <c r="C465" s="10">
        <v>659209</v>
      </c>
      <c r="D465" s="10"/>
      <c r="E465" s="27">
        <v>2016</v>
      </c>
      <c r="F465" s="9" t="s">
        <v>912</v>
      </c>
      <c r="G465" s="10">
        <v>631174</v>
      </c>
      <c r="H465" s="8"/>
      <c r="I465" s="2"/>
      <c r="J465" s="8"/>
      <c r="K465" s="3"/>
    </row>
    <row r="466" spans="1:11">
      <c r="A466">
        <v>2017</v>
      </c>
      <c r="B466" s="9" t="s">
        <v>913</v>
      </c>
      <c r="C466" s="10">
        <v>37819</v>
      </c>
      <c r="D466" s="10"/>
      <c r="E466" s="27">
        <v>2016</v>
      </c>
      <c r="F466" s="9" t="s">
        <v>913</v>
      </c>
      <c r="G466" s="10">
        <v>37225</v>
      </c>
      <c r="H466" s="8"/>
      <c r="I466" s="2"/>
      <c r="J466" s="8"/>
      <c r="K466" s="3"/>
    </row>
    <row r="467" spans="1:11">
      <c r="A467">
        <v>2017</v>
      </c>
      <c r="B467" s="9" t="s">
        <v>408</v>
      </c>
      <c r="C467" s="10">
        <v>10828</v>
      </c>
      <c r="D467" s="10"/>
      <c r="E467" s="27">
        <v>2016</v>
      </c>
      <c r="F467" s="9" t="s">
        <v>408</v>
      </c>
      <c r="G467" s="10">
        <v>10818</v>
      </c>
      <c r="H467" s="8"/>
      <c r="I467" s="2"/>
      <c r="J467" s="8"/>
      <c r="K467" s="3"/>
    </row>
    <row r="468" spans="1:11">
      <c r="A468">
        <v>2017</v>
      </c>
      <c r="B468" s="9" t="s">
        <v>914</v>
      </c>
      <c r="C468" s="10">
        <v>70663</v>
      </c>
      <c r="D468" s="10"/>
      <c r="E468" s="27">
        <v>2016</v>
      </c>
      <c r="F468" s="9" t="s">
        <v>914</v>
      </c>
      <c r="G468" s="10">
        <v>57280</v>
      </c>
      <c r="H468" s="8"/>
      <c r="I468" s="2"/>
      <c r="J468" s="8"/>
      <c r="K468" s="3"/>
    </row>
    <row r="469" spans="1:11">
      <c r="A469">
        <v>2017</v>
      </c>
      <c r="B469" s="9" t="s">
        <v>915</v>
      </c>
      <c r="C469" s="10">
        <v>22477</v>
      </c>
      <c r="D469" s="10"/>
      <c r="E469" s="27">
        <v>2016</v>
      </c>
      <c r="F469" s="9" t="s">
        <v>915</v>
      </c>
      <c r="G469" s="10">
        <v>20419</v>
      </c>
      <c r="H469" s="8"/>
      <c r="I469" s="2"/>
      <c r="J469" s="8"/>
      <c r="K469" s="3"/>
    </row>
    <row r="470" spans="1:11">
      <c r="A470">
        <v>2017</v>
      </c>
      <c r="B470" s="9" t="s">
        <v>916</v>
      </c>
      <c r="C470" s="10">
        <v>106879</v>
      </c>
      <c r="D470" s="10"/>
      <c r="E470" s="27">
        <v>2016</v>
      </c>
      <c r="F470" s="9" t="s">
        <v>916</v>
      </c>
      <c r="G470" s="10">
        <v>108185</v>
      </c>
      <c r="H470" s="8"/>
      <c r="I470" s="2"/>
      <c r="J470" s="8"/>
      <c r="K470" s="3"/>
    </row>
    <row r="471" spans="1:11">
      <c r="A471">
        <v>2017</v>
      </c>
      <c r="B471" s="9" t="s">
        <v>917</v>
      </c>
      <c r="C471" s="10">
        <v>1139228</v>
      </c>
      <c r="D471" s="10"/>
      <c r="E471" s="27">
        <v>2016</v>
      </c>
      <c r="F471" s="9" t="s">
        <v>917</v>
      </c>
      <c r="G471" s="10">
        <v>1118646</v>
      </c>
      <c r="H471" s="8"/>
      <c r="I471" s="2"/>
      <c r="J471" s="8"/>
      <c r="K471" s="3"/>
    </row>
    <row r="472" spans="1:11">
      <c r="A472">
        <v>2017</v>
      </c>
      <c r="B472" s="9" t="s">
        <v>918</v>
      </c>
      <c r="C472" s="10">
        <v>117235</v>
      </c>
      <c r="D472" s="10"/>
      <c r="E472" s="27">
        <v>2016</v>
      </c>
      <c r="F472" s="9" t="s">
        <v>918</v>
      </c>
      <c r="G472" s="10">
        <v>118632</v>
      </c>
      <c r="H472" s="8"/>
      <c r="I472" s="2"/>
      <c r="J472" s="8"/>
      <c r="K472" s="3"/>
    </row>
    <row r="473" spans="1:11">
      <c r="A473">
        <v>2017</v>
      </c>
      <c r="B473" s="9" t="s">
        <v>919</v>
      </c>
      <c r="C473" s="10">
        <v>40418</v>
      </c>
      <c r="D473" s="10"/>
      <c r="E473" s="27">
        <v>2016</v>
      </c>
      <c r="F473" s="9" t="s">
        <v>919</v>
      </c>
      <c r="G473" s="10">
        <v>39096</v>
      </c>
      <c r="H473" s="8"/>
      <c r="I473" s="2"/>
      <c r="J473" s="8"/>
      <c r="K473" s="3"/>
    </row>
    <row r="474" spans="1:11">
      <c r="A474">
        <v>2017</v>
      </c>
      <c r="B474" s="9" t="s">
        <v>920</v>
      </c>
      <c r="C474" s="10">
        <v>111863</v>
      </c>
      <c r="D474" s="10"/>
      <c r="E474" s="27">
        <v>2016</v>
      </c>
      <c r="F474" s="9" t="s">
        <v>920</v>
      </c>
      <c r="G474" s="10">
        <v>115119</v>
      </c>
      <c r="H474" s="8"/>
      <c r="I474" s="2"/>
      <c r="J474" s="8"/>
      <c r="K474" s="3"/>
    </row>
    <row r="475" spans="1:11">
      <c r="A475">
        <v>2017</v>
      </c>
      <c r="B475" s="9" t="s">
        <v>921</v>
      </c>
      <c r="C475" s="10">
        <v>600228</v>
      </c>
      <c r="D475" s="10"/>
      <c r="E475" s="27">
        <v>2016</v>
      </c>
      <c r="F475" s="9" t="s">
        <v>921</v>
      </c>
      <c r="G475" s="10">
        <v>591696</v>
      </c>
      <c r="H475" s="8"/>
      <c r="I475" s="2"/>
      <c r="J475" s="8"/>
      <c r="K475" s="3"/>
    </row>
    <row r="476" spans="1:11">
      <c r="A476">
        <v>2017</v>
      </c>
      <c r="B476" s="9" t="s">
        <v>922</v>
      </c>
      <c r="C476" s="10">
        <v>156337</v>
      </c>
      <c r="D476" s="10"/>
      <c r="E476" s="27">
        <v>2016</v>
      </c>
      <c r="F476" s="9" t="s">
        <v>922</v>
      </c>
      <c r="G476" s="10">
        <v>153448</v>
      </c>
      <c r="H476" s="8"/>
      <c r="I476" s="2"/>
      <c r="J476" s="8"/>
      <c r="K476" s="3"/>
    </row>
    <row r="477" spans="1:11">
      <c r="A477">
        <v>2017</v>
      </c>
      <c r="B477" s="9" t="s">
        <v>923</v>
      </c>
      <c r="C477" s="10">
        <v>336180</v>
      </c>
      <c r="D477" s="10"/>
      <c r="E477" s="27">
        <v>2016</v>
      </c>
      <c r="F477" s="9" t="s">
        <v>923</v>
      </c>
      <c r="G477" s="10">
        <v>330168</v>
      </c>
      <c r="H477" s="8"/>
      <c r="I477" s="2"/>
      <c r="J477" s="8"/>
      <c r="K477" s="3"/>
    </row>
    <row r="478" spans="1:11">
      <c r="A478">
        <v>2017</v>
      </c>
      <c r="B478" s="9" t="s">
        <v>924</v>
      </c>
      <c r="C478" s="10">
        <v>1162737</v>
      </c>
      <c r="D478" s="10"/>
      <c r="E478" s="27">
        <v>2016</v>
      </c>
      <c r="F478" s="9" t="s">
        <v>924</v>
      </c>
      <c r="G478" s="10">
        <v>1145875</v>
      </c>
      <c r="H478" s="8"/>
      <c r="I478" s="2"/>
      <c r="J478" s="8"/>
      <c r="K478" s="3"/>
    </row>
    <row r="479" spans="1:11">
      <c r="A479">
        <v>2017</v>
      </c>
      <c r="B479" s="9" t="s">
        <v>925</v>
      </c>
      <c r="C479" s="10">
        <v>2503795</v>
      </c>
      <c r="D479" s="10"/>
      <c r="E479" s="27">
        <v>2016</v>
      </c>
      <c r="F479" s="9" t="s">
        <v>925</v>
      </c>
      <c r="G479" s="10">
        <v>2388031</v>
      </c>
      <c r="H479" s="8"/>
      <c r="I479" s="2"/>
      <c r="J479" s="8"/>
      <c r="K479" s="3"/>
    </row>
    <row r="480" spans="1:11">
      <c r="A480">
        <v>2017</v>
      </c>
      <c r="B480" s="9" t="s">
        <v>926</v>
      </c>
      <c r="C480" s="10">
        <v>1313060</v>
      </c>
      <c r="D480" s="10"/>
      <c r="E480" s="27">
        <v>2016</v>
      </c>
      <c r="F480" s="9" t="s">
        <v>926</v>
      </c>
      <c r="G480" s="10">
        <v>1327736</v>
      </c>
      <c r="H480" s="8"/>
      <c r="I480" s="2"/>
      <c r="J480" s="8"/>
      <c r="K480" s="3"/>
    </row>
    <row r="481" spans="1:11">
      <c r="A481">
        <v>2017</v>
      </c>
      <c r="B481" s="9" t="s">
        <v>927</v>
      </c>
      <c r="C481" s="10">
        <v>1324448</v>
      </c>
      <c r="D481" s="10"/>
      <c r="E481" s="27">
        <v>2016</v>
      </c>
      <c r="F481" s="9" t="s">
        <v>927</v>
      </c>
      <c r="G481" s="21">
        <v>1281530</v>
      </c>
      <c r="H481" s="8"/>
      <c r="I481" s="2"/>
      <c r="J481" s="8"/>
      <c r="K481" s="3"/>
    </row>
    <row r="482" spans="1:11">
      <c r="A482">
        <v>2017</v>
      </c>
      <c r="B482" s="9" t="s">
        <v>928</v>
      </c>
      <c r="C482" s="10">
        <v>748660</v>
      </c>
      <c r="D482" s="10"/>
      <c r="E482" s="27">
        <v>2016</v>
      </c>
      <c r="F482" s="9" t="s">
        <v>928</v>
      </c>
      <c r="G482" s="10">
        <v>672857</v>
      </c>
      <c r="H482" s="8"/>
      <c r="I482" s="2"/>
      <c r="J482" s="8"/>
      <c r="K482" s="3"/>
    </row>
    <row r="483" spans="1:11">
      <c r="A483">
        <v>2017</v>
      </c>
      <c r="B483" s="9" t="s">
        <v>929</v>
      </c>
      <c r="C483" s="10">
        <v>121678</v>
      </c>
      <c r="D483" s="10"/>
      <c r="E483" s="27">
        <v>2016</v>
      </c>
      <c r="F483" s="9" t="s">
        <v>929</v>
      </c>
      <c r="G483" s="10">
        <v>114205</v>
      </c>
      <c r="H483" s="8"/>
      <c r="I483" s="2"/>
      <c r="J483" s="8"/>
      <c r="K483" s="3"/>
    </row>
    <row r="484" spans="1:11">
      <c r="A484">
        <v>2017</v>
      </c>
      <c r="B484" s="9" t="s">
        <v>417</v>
      </c>
      <c r="C484" s="10">
        <v>37724</v>
      </c>
      <c r="D484" s="10"/>
      <c r="E484" s="27">
        <v>2016</v>
      </c>
      <c r="F484" s="9" t="s">
        <v>417</v>
      </c>
      <c r="G484" s="10">
        <v>33947</v>
      </c>
      <c r="H484" s="8"/>
      <c r="I484" s="2"/>
      <c r="J484" s="8"/>
      <c r="K484" s="3"/>
    </row>
    <row r="485" spans="1:11">
      <c r="A485">
        <v>2017</v>
      </c>
      <c r="B485" s="9" t="s">
        <v>418</v>
      </c>
      <c r="C485" s="10">
        <v>45553</v>
      </c>
      <c r="D485" s="10"/>
      <c r="E485" s="27">
        <v>2016</v>
      </c>
      <c r="F485" s="9" t="s">
        <v>418</v>
      </c>
      <c r="G485" s="10">
        <v>42731</v>
      </c>
      <c r="H485" s="8"/>
      <c r="I485" s="2"/>
      <c r="J485" s="8"/>
      <c r="K485" s="3"/>
    </row>
    <row r="487" spans="1:11">
      <c r="B487" s="9" t="s">
        <v>932</v>
      </c>
      <c r="C487" s="10">
        <f>SUM(C2:C485)</f>
        <v>366343349</v>
      </c>
      <c r="D487" s="10"/>
      <c r="E487" s="10"/>
      <c r="F487" s="10"/>
      <c r="G487" s="10">
        <f>SUM(G2:G485)</f>
        <v>358079066</v>
      </c>
    </row>
    <row r="489" spans="1:11">
      <c r="B489" s="9" t="s">
        <v>931</v>
      </c>
      <c r="C489" s="18">
        <v>366343349</v>
      </c>
      <c r="D489" s="18"/>
      <c r="E489" s="18"/>
      <c r="F489" s="18"/>
      <c r="G489" s="18">
        <v>358079066</v>
      </c>
    </row>
    <row r="491" spans="1:11">
      <c r="B491" s="19" t="s">
        <v>930</v>
      </c>
      <c r="C491" s="20">
        <f>C487-C489</f>
        <v>0</v>
      </c>
      <c r="D491" s="20"/>
      <c r="E491" s="20"/>
      <c r="F491" s="20"/>
      <c r="G491" s="20">
        <f>G487-G489</f>
        <v>0</v>
      </c>
    </row>
  </sheetData>
  <pageMargins left="0.7" right="0.7" top="0.75" bottom="0.75" header="0.3" footer="0.3"/>
  <ignoredErrors>
    <ignoredError sqref="G487 C487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F71F2-C375-3240-A693-5A6F9502A0EE}">
  <sheetPr>
    <tabColor rgb="FFFFFF00"/>
  </sheetPr>
  <dimension ref="A1:M484"/>
  <sheetViews>
    <sheetView workbookViewId="0">
      <selection activeCell="A2" sqref="A2:C478"/>
    </sheetView>
  </sheetViews>
  <sheetFormatPr baseColWidth="10" defaultRowHeight="16"/>
  <cols>
    <col min="2" max="2" width="34.6640625" style="9" bestFit="1" customWidth="1"/>
    <col min="3" max="3" width="18.83203125" style="9" bestFit="1" customWidth="1"/>
  </cols>
  <sheetData>
    <row r="1" spans="1:8">
      <c r="A1" t="s">
        <v>1421</v>
      </c>
      <c r="B1" s="9" t="s">
        <v>419</v>
      </c>
      <c r="C1" s="9" t="s">
        <v>1422</v>
      </c>
      <c r="D1" s="9"/>
    </row>
    <row r="2" spans="1:8">
      <c r="A2">
        <v>2015</v>
      </c>
      <c r="B2" s="9" t="s">
        <v>944</v>
      </c>
      <c r="C2" s="21">
        <v>4273.25</v>
      </c>
      <c r="D2" s="22"/>
      <c r="E2" s="17"/>
      <c r="F2" s="17"/>
      <c r="G2" s="22"/>
      <c r="H2" s="17"/>
    </row>
    <row r="3" spans="1:8">
      <c r="A3">
        <v>2015</v>
      </c>
      <c r="B3" s="9" t="s">
        <v>945</v>
      </c>
      <c r="C3" s="21">
        <v>35431.440000000002</v>
      </c>
      <c r="D3" s="22"/>
      <c r="E3" s="24"/>
      <c r="F3" s="23"/>
      <c r="G3" s="22"/>
      <c r="H3" s="24"/>
    </row>
    <row r="4" spans="1:8">
      <c r="A4">
        <v>2015</v>
      </c>
      <c r="B4" s="9" t="s">
        <v>946</v>
      </c>
      <c r="C4" s="21">
        <v>185934.67</v>
      </c>
      <c r="D4" s="22"/>
      <c r="E4" s="24"/>
      <c r="F4" s="23"/>
      <c r="G4" s="22"/>
      <c r="H4" s="24"/>
    </row>
    <row r="5" spans="1:8">
      <c r="A5">
        <v>2015</v>
      </c>
      <c r="B5" s="9" t="s">
        <v>947</v>
      </c>
      <c r="C5" s="21">
        <v>300445.40999999997</v>
      </c>
      <c r="D5" s="22"/>
      <c r="E5" s="24"/>
      <c r="F5" s="23"/>
      <c r="G5" s="22"/>
      <c r="H5" s="24"/>
    </row>
    <row r="6" spans="1:8">
      <c r="A6">
        <v>2015</v>
      </c>
      <c r="B6" s="9" t="s">
        <v>948</v>
      </c>
      <c r="C6" s="21">
        <v>40260.82</v>
      </c>
      <c r="D6" s="22"/>
      <c r="E6" s="24"/>
      <c r="F6" s="23"/>
      <c r="G6" s="22"/>
      <c r="H6" s="24"/>
    </row>
    <row r="7" spans="1:8">
      <c r="A7">
        <v>2015</v>
      </c>
      <c r="B7" s="9" t="s">
        <v>949</v>
      </c>
      <c r="C7" s="21">
        <v>17607.59</v>
      </c>
      <c r="D7" s="22"/>
      <c r="E7" s="24"/>
      <c r="F7" s="23"/>
      <c r="G7" s="22"/>
      <c r="H7" s="24"/>
    </row>
    <row r="8" spans="1:8">
      <c r="A8">
        <v>2015</v>
      </c>
      <c r="B8" s="9" t="s">
        <v>950</v>
      </c>
      <c r="C8" s="21">
        <v>384134.46</v>
      </c>
      <c r="D8" s="22"/>
      <c r="E8" s="24"/>
      <c r="F8" s="23"/>
      <c r="G8" s="22"/>
      <c r="H8" s="24"/>
    </row>
    <row r="9" spans="1:8">
      <c r="A9">
        <v>2015</v>
      </c>
      <c r="B9" s="9" t="s">
        <v>951</v>
      </c>
      <c r="C9" s="21">
        <v>500661.01</v>
      </c>
      <c r="D9" s="22"/>
      <c r="E9" s="24"/>
      <c r="F9" s="23"/>
      <c r="G9" s="22"/>
      <c r="H9" s="24"/>
    </row>
    <row r="10" spans="1:8">
      <c r="A10">
        <v>2015</v>
      </c>
      <c r="B10" s="9" t="s">
        <v>952</v>
      </c>
      <c r="C10" s="21">
        <v>272728.94</v>
      </c>
      <c r="D10" s="22"/>
      <c r="E10" s="24"/>
      <c r="F10" s="23"/>
      <c r="G10" s="22"/>
      <c r="H10" s="24"/>
    </row>
    <row r="11" spans="1:8">
      <c r="A11">
        <v>2015</v>
      </c>
      <c r="B11" s="9" t="s">
        <v>953</v>
      </c>
      <c r="C11" s="21">
        <v>1375117.56</v>
      </c>
      <c r="D11" s="22"/>
      <c r="E11" s="24"/>
      <c r="F11" s="23"/>
      <c r="G11" s="22"/>
      <c r="H11" s="24"/>
    </row>
    <row r="12" spans="1:8">
      <c r="A12">
        <v>2015</v>
      </c>
      <c r="B12" s="9" t="s">
        <v>954</v>
      </c>
      <c r="C12" s="21">
        <v>11930.06</v>
      </c>
      <c r="D12" s="22"/>
      <c r="E12" s="24"/>
      <c r="F12" s="23"/>
      <c r="G12" s="22"/>
      <c r="H12" s="24"/>
    </row>
    <row r="13" spans="1:8">
      <c r="A13">
        <v>2015</v>
      </c>
      <c r="B13" s="9" t="s">
        <v>955</v>
      </c>
      <c r="C13" s="21">
        <v>165748.54</v>
      </c>
      <c r="D13" s="22"/>
      <c r="E13" s="24"/>
      <c r="F13" s="23"/>
      <c r="G13" s="22"/>
      <c r="H13" s="24"/>
    </row>
    <row r="14" spans="1:8">
      <c r="A14">
        <v>2015</v>
      </c>
      <c r="B14" s="9" t="s">
        <v>956</v>
      </c>
      <c r="C14" s="21">
        <v>63422.82</v>
      </c>
      <c r="D14" s="22"/>
      <c r="E14" s="24"/>
      <c r="F14" s="23"/>
      <c r="G14" s="22"/>
      <c r="H14" s="24"/>
    </row>
    <row r="15" spans="1:8">
      <c r="A15">
        <v>2015</v>
      </c>
      <c r="B15" s="9" t="s">
        <v>957</v>
      </c>
      <c r="C15" s="21">
        <v>145861.93</v>
      </c>
      <c r="D15" s="22"/>
      <c r="E15" s="24"/>
      <c r="F15" s="23"/>
      <c r="G15" s="22"/>
      <c r="H15" s="24"/>
    </row>
    <row r="16" spans="1:8">
      <c r="A16">
        <v>2015</v>
      </c>
      <c r="B16" s="9" t="s">
        <v>958</v>
      </c>
      <c r="C16" s="21">
        <v>97537.44</v>
      </c>
      <c r="D16" s="22"/>
      <c r="E16" s="24"/>
      <c r="F16" s="23"/>
      <c r="G16" s="22"/>
      <c r="H16" s="24"/>
    </row>
    <row r="17" spans="1:8">
      <c r="A17">
        <v>2015</v>
      </c>
      <c r="B17" s="9" t="s">
        <v>959</v>
      </c>
      <c r="C17" s="21">
        <v>27581.46</v>
      </c>
      <c r="D17" s="22"/>
      <c r="E17" s="24"/>
      <c r="F17" s="23"/>
      <c r="G17" s="22"/>
      <c r="H17" s="24"/>
    </row>
    <row r="18" spans="1:8">
      <c r="A18">
        <v>2015</v>
      </c>
      <c r="B18" s="9" t="s">
        <v>960</v>
      </c>
      <c r="C18" s="21">
        <v>158958.18</v>
      </c>
      <c r="D18" s="22"/>
      <c r="E18" s="24"/>
      <c r="F18" s="23"/>
      <c r="G18" s="22"/>
      <c r="H18" s="24"/>
    </row>
    <row r="19" spans="1:8">
      <c r="A19">
        <v>2015</v>
      </c>
      <c r="B19" s="9" t="s">
        <v>961</v>
      </c>
      <c r="C19" s="21">
        <v>111615.46</v>
      </c>
      <c r="D19" s="22"/>
      <c r="E19" s="24"/>
      <c r="F19" s="23"/>
      <c r="G19" s="22"/>
      <c r="H19" s="24"/>
    </row>
    <row r="20" spans="1:8">
      <c r="A20">
        <v>2015</v>
      </c>
      <c r="B20" s="9" t="s">
        <v>962</v>
      </c>
      <c r="C20" s="21">
        <v>188708.44</v>
      </c>
      <c r="D20" s="22"/>
      <c r="E20" s="24"/>
      <c r="F20" s="23"/>
      <c r="G20" s="22"/>
      <c r="H20" s="24"/>
    </row>
    <row r="21" spans="1:8">
      <c r="A21">
        <v>2015</v>
      </c>
      <c r="B21" s="9" t="s">
        <v>963</v>
      </c>
      <c r="C21" s="21">
        <v>396525.07</v>
      </c>
      <c r="D21" s="22"/>
      <c r="E21" s="24"/>
      <c r="F21" s="23"/>
      <c r="G21" s="22"/>
      <c r="H21" s="24"/>
    </row>
    <row r="22" spans="1:8">
      <c r="A22">
        <v>2015</v>
      </c>
      <c r="B22" s="9" t="s">
        <v>964</v>
      </c>
      <c r="C22" s="21">
        <v>12212.85</v>
      </c>
      <c r="D22" s="22"/>
      <c r="E22" s="24"/>
      <c r="F22" s="23"/>
      <c r="G22" s="22"/>
      <c r="H22" s="24"/>
    </row>
    <row r="23" spans="1:8">
      <c r="A23">
        <v>2015</v>
      </c>
      <c r="B23" s="9" t="s">
        <v>965</v>
      </c>
      <c r="C23" s="21">
        <v>162309.60999999999</v>
      </c>
      <c r="D23" s="22"/>
      <c r="E23" s="24"/>
      <c r="F23" s="23"/>
      <c r="G23" s="22"/>
      <c r="H23" s="24"/>
    </row>
    <row r="24" spans="1:8">
      <c r="A24">
        <v>2015</v>
      </c>
      <c r="B24" s="9" t="s">
        <v>966</v>
      </c>
      <c r="C24" s="21">
        <v>423328.74</v>
      </c>
      <c r="D24" s="22"/>
      <c r="E24" s="24"/>
      <c r="F24" s="23"/>
      <c r="G24" s="22"/>
      <c r="H24" s="24"/>
    </row>
    <row r="25" spans="1:8">
      <c r="A25">
        <v>2015</v>
      </c>
      <c r="B25" s="9" t="s">
        <v>967</v>
      </c>
      <c r="C25" s="21">
        <v>287738.90999999997</v>
      </c>
      <c r="D25" s="22"/>
      <c r="E25" s="24"/>
      <c r="F25" s="23"/>
      <c r="G25" s="22"/>
      <c r="H25" s="24"/>
    </row>
    <row r="26" spans="1:8">
      <c r="A26">
        <v>2015</v>
      </c>
      <c r="B26" s="9" t="s">
        <v>968</v>
      </c>
      <c r="C26" s="21">
        <v>778187.79</v>
      </c>
      <c r="D26" s="22"/>
      <c r="E26" s="24"/>
      <c r="F26" s="23"/>
      <c r="G26" s="22"/>
      <c r="H26" s="24"/>
    </row>
    <row r="27" spans="1:8">
      <c r="A27">
        <v>2015</v>
      </c>
      <c r="B27" s="9" t="s">
        <v>969</v>
      </c>
      <c r="C27" s="21">
        <v>30871.53</v>
      </c>
      <c r="D27" s="22"/>
      <c r="E27" s="24"/>
      <c r="F27" s="23"/>
      <c r="G27" s="22"/>
      <c r="H27" s="24"/>
    </row>
    <row r="28" spans="1:8">
      <c r="A28">
        <v>2015</v>
      </c>
      <c r="B28" s="9" t="s">
        <v>970</v>
      </c>
      <c r="C28" s="21">
        <v>286674.08</v>
      </c>
      <c r="D28" s="22"/>
      <c r="E28" s="24"/>
      <c r="F28" s="23"/>
      <c r="G28" s="22"/>
      <c r="H28" s="24"/>
    </row>
    <row r="29" spans="1:8">
      <c r="A29">
        <v>2015</v>
      </c>
      <c r="B29" s="9" t="s">
        <v>971</v>
      </c>
      <c r="C29" s="21">
        <v>55860.04</v>
      </c>
      <c r="D29" s="22"/>
      <c r="E29" s="24"/>
      <c r="F29" s="23"/>
      <c r="G29" s="22"/>
      <c r="H29" s="24"/>
    </row>
    <row r="30" spans="1:8">
      <c r="A30">
        <v>2015</v>
      </c>
      <c r="B30" s="9" t="s">
        <v>972</v>
      </c>
      <c r="C30" s="21">
        <v>36386.78</v>
      </c>
      <c r="D30" s="22"/>
      <c r="E30" s="24"/>
      <c r="F30" s="23"/>
      <c r="G30" s="22"/>
      <c r="H30" s="24"/>
    </row>
    <row r="31" spans="1:8">
      <c r="A31">
        <v>2015</v>
      </c>
      <c r="B31" s="9" t="s">
        <v>973</v>
      </c>
      <c r="C31" s="21">
        <v>1398116.19</v>
      </c>
      <c r="D31" s="22"/>
      <c r="E31" s="24"/>
      <c r="F31" s="23"/>
      <c r="G31" s="22"/>
      <c r="H31" s="24"/>
    </row>
    <row r="32" spans="1:8">
      <c r="A32">
        <v>2015</v>
      </c>
      <c r="B32" s="9" t="s">
        <v>974</v>
      </c>
      <c r="C32" s="21">
        <v>3085282.9</v>
      </c>
      <c r="D32" s="22"/>
      <c r="E32" s="24"/>
      <c r="F32" s="23"/>
      <c r="G32" s="22"/>
      <c r="H32" s="24"/>
    </row>
    <row r="33" spans="1:8">
      <c r="A33">
        <v>2015</v>
      </c>
      <c r="B33" s="9" t="s">
        <v>975</v>
      </c>
      <c r="C33" s="21">
        <v>986547.27</v>
      </c>
      <c r="D33" s="22"/>
      <c r="E33" s="24"/>
      <c r="F33" s="23"/>
      <c r="G33" s="22"/>
      <c r="H33" s="24"/>
    </row>
    <row r="34" spans="1:8">
      <c r="A34">
        <v>2015</v>
      </c>
      <c r="B34" s="9" t="s">
        <v>976</v>
      </c>
      <c r="C34" s="21">
        <v>5721.16</v>
      </c>
      <c r="D34" s="22"/>
      <c r="E34" s="24"/>
      <c r="F34" s="23"/>
      <c r="G34" s="22"/>
      <c r="H34" s="24"/>
    </row>
    <row r="35" spans="1:8">
      <c r="A35">
        <v>2015</v>
      </c>
      <c r="B35" s="9" t="s">
        <v>977</v>
      </c>
      <c r="C35" s="21">
        <v>509389.65</v>
      </c>
      <c r="D35" s="22"/>
      <c r="E35" s="24"/>
      <c r="F35" s="23"/>
      <c r="G35" s="22"/>
      <c r="H35" s="24"/>
    </row>
    <row r="36" spans="1:8">
      <c r="A36">
        <v>2015</v>
      </c>
      <c r="B36" s="9" t="s">
        <v>978</v>
      </c>
      <c r="C36" s="21">
        <v>58938.07</v>
      </c>
      <c r="D36" s="22"/>
      <c r="E36" s="24"/>
      <c r="F36" s="23"/>
      <c r="G36" s="22"/>
      <c r="H36" s="24"/>
    </row>
    <row r="37" spans="1:8">
      <c r="A37">
        <v>2015</v>
      </c>
      <c r="B37" s="9" t="s">
        <v>979</v>
      </c>
      <c r="C37" s="21">
        <v>916495.48</v>
      </c>
      <c r="D37" s="22"/>
      <c r="E37" s="24"/>
      <c r="F37" s="23"/>
      <c r="G37" s="22"/>
      <c r="H37" s="24"/>
    </row>
    <row r="38" spans="1:8">
      <c r="A38">
        <v>2015</v>
      </c>
      <c r="B38" s="9" t="s">
        <v>980</v>
      </c>
      <c r="C38" s="21">
        <v>24617.14</v>
      </c>
      <c r="D38" s="22"/>
      <c r="E38" s="24"/>
      <c r="F38" s="23"/>
      <c r="G38" s="22"/>
      <c r="H38" s="24"/>
    </row>
    <row r="39" spans="1:8">
      <c r="A39">
        <v>2015</v>
      </c>
      <c r="B39" s="9" t="s">
        <v>981</v>
      </c>
      <c r="C39" s="21">
        <v>86896.76</v>
      </c>
      <c r="D39" s="22"/>
      <c r="E39" s="24"/>
      <c r="F39" s="23"/>
      <c r="G39" s="22"/>
      <c r="H39" s="24"/>
    </row>
    <row r="40" spans="1:8">
      <c r="A40">
        <v>2015</v>
      </c>
      <c r="B40" s="9" t="s">
        <v>982</v>
      </c>
      <c r="C40" s="21">
        <v>98711.44</v>
      </c>
      <c r="D40" s="22"/>
      <c r="E40" s="24"/>
      <c r="F40" s="23"/>
      <c r="G40" s="22"/>
      <c r="H40" s="24"/>
    </row>
    <row r="41" spans="1:8">
      <c r="A41">
        <v>2015</v>
      </c>
      <c r="B41" s="9" t="s">
        <v>983</v>
      </c>
      <c r="C41" s="21">
        <v>157237.60999999999</v>
      </c>
      <c r="D41" s="22"/>
      <c r="E41" s="24"/>
      <c r="F41" s="23"/>
      <c r="G41" s="22"/>
      <c r="H41" s="24"/>
    </row>
    <row r="42" spans="1:8">
      <c r="A42">
        <v>2015</v>
      </c>
      <c r="B42" s="9" t="s">
        <v>984</v>
      </c>
      <c r="C42" s="21">
        <v>127995.51</v>
      </c>
      <c r="D42" s="22"/>
      <c r="E42" s="24"/>
      <c r="F42" s="23"/>
      <c r="G42" s="22"/>
      <c r="H42" s="24"/>
    </row>
    <row r="43" spans="1:8">
      <c r="A43">
        <v>2015</v>
      </c>
      <c r="B43" s="9" t="s">
        <v>985</v>
      </c>
      <c r="C43" s="21">
        <v>424510.9</v>
      </c>
      <c r="D43" s="22"/>
      <c r="E43" s="24"/>
      <c r="F43" s="23"/>
      <c r="G43" s="22"/>
      <c r="H43" s="24"/>
    </row>
    <row r="44" spans="1:8">
      <c r="A44">
        <v>2015</v>
      </c>
      <c r="B44" s="9" t="s">
        <v>986</v>
      </c>
      <c r="C44" s="21">
        <v>1456028.91</v>
      </c>
      <c r="D44" s="22"/>
      <c r="E44" s="24"/>
      <c r="F44" s="23"/>
      <c r="G44" s="22"/>
      <c r="H44" s="24"/>
    </row>
    <row r="45" spans="1:8">
      <c r="A45">
        <v>2015</v>
      </c>
      <c r="B45" s="9" t="s">
        <v>987</v>
      </c>
      <c r="C45" s="21">
        <v>38163.78</v>
      </c>
      <c r="D45" s="22"/>
      <c r="E45" s="24"/>
      <c r="F45" s="23"/>
      <c r="G45" s="22"/>
      <c r="H45" s="24"/>
    </row>
    <row r="46" spans="1:8">
      <c r="A46">
        <v>2015</v>
      </c>
      <c r="B46" s="9" t="s">
        <v>988</v>
      </c>
      <c r="C46" s="21">
        <v>121534.8</v>
      </c>
      <c r="D46" s="22"/>
      <c r="E46" s="24"/>
      <c r="F46" s="23"/>
      <c r="G46" s="22"/>
      <c r="H46" s="24"/>
    </row>
    <row r="47" spans="1:8">
      <c r="A47">
        <v>2015</v>
      </c>
      <c r="B47" s="9" t="s">
        <v>989</v>
      </c>
      <c r="C47" s="21">
        <v>251568.83</v>
      </c>
      <c r="D47" s="22"/>
      <c r="E47" s="24"/>
      <c r="F47" s="23"/>
      <c r="G47" s="22"/>
      <c r="H47" s="24"/>
    </row>
    <row r="48" spans="1:8">
      <c r="A48">
        <v>2015</v>
      </c>
      <c r="B48" s="9" t="s">
        <v>990</v>
      </c>
      <c r="C48" s="9">
        <v>0</v>
      </c>
      <c r="D48" s="22"/>
      <c r="E48" s="17"/>
      <c r="F48" s="23"/>
      <c r="G48" s="22"/>
      <c r="H48" s="24"/>
    </row>
    <row r="49" spans="1:8">
      <c r="A49">
        <v>2015</v>
      </c>
      <c r="B49" s="9" t="s">
        <v>991</v>
      </c>
      <c r="C49" s="21">
        <v>286578.2</v>
      </c>
      <c r="D49" s="22"/>
      <c r="E49" s="24"/>
      <c r="F49" s="23"/>
      <c r="G49" s="22"/>
      <c r="H49" s="24"/>
    </row>
    <row r="50" spans="1:8">
      <c r="A50">
        <v>2015</v>
      </c>
      <c r="B50" s="9" t="s">
        <v>992</v>
      </c>
      <c r="C50" s="21">
        <v>158420.91</v>
      </c>
      <c r="D50" s="22"/>
      <c r="E50" s="24"/>
      <c r="F50" s="23"/>
      <c r="G50" s="22"/>
      <c r="H50" s="24"/>
    </row>
    <row r="51" spans="1:8">
      <c r="A51">
        <v>2015</v>
      </c>
      <c r="B51" s="9" t="s">
        <v>993</v>
      </c>
      <c r="C51" s="21">
        <v>5335.62</v>
      </c>
      <c r="D51" s="22"/>
      <c r="E51" s="24"/>
      <c r="F51" s="23"/>
      <c r="G51" s="22"/>
      <c r="H51" s="24"/>
    </row>
    <row r="52" spans="1:8">
      <c r="A52">
        <v>2015</v>
      </c>
      <c r="B52" s="9" t="s">
        <v>994</v>
      </c>
      <c r="C52" s="21">
        <v>431105.9</v>
      </c>
      <c r="D52" s="22"/>
      <c r="E52" s="17"/>
      <c r="F52" s="17"/>
      <c r="G52" s="22"/>
      <c r="H52" s="17"/>
    </row>
    <row r="53" spans="1:8">
      <c r="A53">
        <v>2015</v>
      </c>
      <c r="B53" s="9" t="s">
        <v>995</v>
      </c>
      <c r="C53" s="21">
        <v>90024.83</v>
      </c>
      <c r="D53" s="22"/>
      <c r="E53" s="24"/>
      <c r="F53" s="23"/>
      <c r="G53" s="22"/>
      <c r="H53" s="24"/>
    </row>
    <row r="54" spans="1:8">
      <c r="A54">
        <v>2015</v>
      </c>
      <c r="B54" s="9" t="s">
        <v>996</v>
      </c>
      <c r="C54" s="21">
        <v>322110.15999999997</v>
      </c>
      <c r="D54" s="22"/>
      <c r="E54" s="24"/>
      <c r="F54" s="23"/>
      <c r="G54" s="22"/>
      <c r="H54" s="24"/>
    </row>
    <row r="55" spans="1:8">
      <c r="A55">
        <v>2015</v>
      </c>
      <c r="B55" s="9" t="s">
        <v>997</v>
      </c>
      <c r="C55" s="21">
        <v>38550.19</v>
      </c>
      <c r="D55" s="22"/>
      <c r="E55" s="24"/>
      <c r="F55" s="23"/>
      <c r="G55" s="22"/>
      <c r="H55" s="24"/>
    </row>
    <row r="56" spans="1:8">
      <c r="A56">
        <v>2015</v>
      </c>
      <c r="B56" s="9" t="s">
        <v>998</v>
      </c>
      <c r="C56" s="21">
        <v>134207.03</v>
      </c>
      <c r="D56" s="22"/>
      <c r="E56" s="24"/>
      <c r="F56" s="23"/>
      <c r="G56" s="22"/>
      <c r="H56" s="24"/>
    </row>
    <row r="57" spans="1:8">
      <c r="A57">
        <v>2015</v>
      </c>
      <c r="B57" s="9" t="s">
        <v>999</v>
      </c>
      <c r="C57" s="21">
        <v>79229.87</v>
      </c>
      <c r="D57" s="22"/>
      <c r="E57" s="24"/>
      <c r="F57" s="23"/>
      <c r="G57" s="22"/>
      <c r="H57" s="24"/>
    </row>
    <row r="58" spans="1:8">
      <c r="A58">
        <v>2015</v>
      </c>
      <c r="B58" s="9" t="s">
        <v>1000</v>
      </c>
      <c r="C58" s="21">
        <v>278706.68</v>
      </c>
      <c r="D58" s="22"/>
      <c r="E58" s="24"/>
      <c r="F58" s="23"/>
      <c r="G58" s="22"/>
      <c r="H58" s="24"/>
    </row>
    <row r="59" spans="1:8">
      <c r="A59">
        <v>2015</v>
      </c>
      <c r="B59" s="9" t="s">
        <v>1001</v>
      </c>
      <c r="C59" s="21">
        <v>54805.09</v>
      </c>
      <c r="D59" s="22"/>
      <c r="E59" s="24"/>
      <c r="F59" s="23"/>
      <c r="G59" s="22"/>
      <c r="H59" s="24"/>
    </row>
    <row r="60" spans="1:8">
      <c r="A60">
        <v>2015</v>
      </c>
      <c r="B60" s="9" t="s">
        <v>1002</v>
      </c>
      <c r="C60" s="21">
        <v>87797.57</v>
      </c>
      <c r="D60" s="22"/>
      <c r="E60" s="24"/>
      <c r="F60" s="23"/>
      <c r="G60" s="22"/>
      <c r="H60" s="24"/>
    </row>
    <row r="61" spans="1:8">
      <c r="A61">
        <v>2015</v>
      </c>
      <c r="B61" s="9" t="s">
        <v>1003</v>
      </c>
      <c r="C61" s="21">
        <v>1011717.91</v>
      </c>
      <c r="D61" s="22"/>
      <c r="E61" s="24"/>
      <c r="F61" s="23"/>
      <c r="G61" s="22"/>
      <c r="H61" s="24"/>
    </row>
    <row r="62" spans="1:8">
      <c r="A62">
        <v>2015</v>
      </c>
      <c r="B62" s="9" t="s">
        <v>1004</v>
      </c>
      <c r="C62" s="21">
        <v>44980.86</v>
      </c>
      <c r="D62" s="22"/>
      <c r="E62" s="24"/>
      <c r="F62" s="23"/>
      <c r="G62" s="22"/>
      <c r="H62" s="24"/>
    </row>
    <row r="63" spans="1:8">
      <c r="A63">
        <v>2015</v>
      </c>
      <c r="B63" s="9" t="s">
        <v>1005</v>
      </c>
      <c r="C63" s="21">
        <v>14871.74</v>
      </c>
      <c r="D63" s="22"/>
      <c r="E63" s="24"/>
      <c r="F63" s="23"/>
      <c r="G63" s="22"/>
      <c r="H63" s="24"/>
    </row>
    <row r="64" spans="1:8">
      <c r="A64">
        <v>2015</v>
      </c>
      <c r="B64" s="9" t="s">
        <v>1006</v>
      </c>
      <c r="C64" s="21">
        <v>131510.23000000001</v>
      </c>
      <c r="D64" s="22"/>
      <c r="E64" s="24"/>
      <c r="F64" s="23"/>
      <c r="G64" s="22"/>
      <c r="H64" s="24"/>
    </row>
    <row r="65" spans="1:8">
      <c r="A65">
        <v>2015</v>
      </c>
      <c r="B65" s="9" t="s">
        <v>1007</v>
      </c>
      <c r="C65" s="21">
        <v>1680089.5</v>
      </c>
      <c r="D65" s="22"/>
      <c r="E65" s="24"/>
      <c r="F65" s="23"/>
      <c r="G65" s="22"/>
      <c r="H65" s="24"/>
    </row>
    <row r="66" spans="1:8">
      <c r="A66">
        <v>2015</v>
      </c>
      <c r="B66" s="9" t="s">
        <v>1008</v>
      </c>
      <c r="C66" s="21">
        <v>153442.66</v>
      </c>
      <c r="D66" s="22"/>
      <c r="E66" s="24"/>
      <c r="F66" s="23"/>
      <c r="G66" s="22"/>
      <c r="H66" s="24"/>
    </row>
    <row r="67" spans="1:8">
      <c r="A67">
        <v>2015</v>
      </c>
      <c r="B67" s="9" t="s">
        <v>1009</v>
      </c>
      <c r="C67" s="21">
        <v>346567.91</v>
      </c>
      <c r="D67" s="22"/>
      <c r="E67" s="24"/>
      <c r="F67" s="23"/>
      <c r="G67" s="22"/>
      <c r="H67" s="24"/>
    </row>
    <row r="68" spans="1:8">
      <c r="A68">
        <v>2015</v>
      </c>
      <c r="B68" s="9" t="s">
        <v>1010</v>
      </c>
      <c r="C68" s="21">
        <v>121412.57</v>
      </c>
      <c r="D68" s="22"/>
      <c r="E68" s="24"/>
      <c r="F68" s="23"/>
      <c r="G68" s="22"/>
      <c r="H68" s="24"/>
    </row>
    <row r="69" spans="1:8">
      <c r="A69">
        <v>2015</v>
      </c>
      <c r="B69" s="9" t="s">
        <v>1011</v>
      </c>
      <c r="C69" s="21">
        <v>223794.03</v>
      </c>
      <c r="D69" s="22"/>
      <c r="E69" s="24"/>
      <c r="F69" s="23"/>
      <c r="G69" s="22"/>
      <c r="H69" s="24"/>
    </row>
    <row r="70" spans="1:8">
      <c r="A70">
        <v>2015</v>
      </c>
      <c r="B70" s="9" t="s">
        <v>1012</v>
      </c>
      <c r="C70" s="21">
        <v>70002.98</v>
      </c>
      <c r="D70" s="22"/>
      <c r="E70" s="24"/>
      <c r="F70" s="23"/>
      <c r="G70" s="22"/>
      <c r="H70" s="24"/>
    </row>
    <row r="71" spans="1:8">
      <c r="A71">
        <v>2015</v>
      </c>
      <c r="B71" s="9" t="s">
        <v>1013</v>
      </c>
      <c r="C71" s="21">
        <v>215788.92</v>
      </c>
      <c r="D71" s="22"/>
      <c r="E71" s="24"/>
      <c r="F71" s="23"/>
      <c r="G71" s="22"/>
      <c r="H71" s="24"/>
    </row>
    <row r="72" spans="1:8">
      <c r="A72">
        <v>2015</v>
      </c>
      <c r="B72" s="9" t="s">
        <v>1014</v>
      </c>
      <c r="C72" s="21">
        <v>949374.34</v>
      </c>
      <c r="D72" s="22"/>
      <c r="E72" s="24"/>
      <c r="F72" s="23"/>
      <c r="G72" s="22"/>
      <c r="H72" s="24"/>
    </row>
    <row r="73" spans="1:8">
      <c r="A73">
        <v>2015</v>
      </c>
      <c r="B73" s="9" t="s">
        <v>1015</v>
      </c>
      <c r="C73" s="21">
        <v>1434216.38</v>
      </c>
      <c r="D73" s="22"/>
      <c r="E73" s="24"/>
      <c r="F73" s="23"/>
      <c r="G73" s="22"/>
      <c r="H73" s="24"/>
    </row>
    <row r="74" spans="1:8">
      <c r="A74">
        <v>2015</v>
      </c>
      <c r="B74" s="9" t="s">
        <v>1016</v>
      </c>
      <c r="C74" s="21">
        <v>3724.73</v>
      </c>
      <c r="D74" s="22"/>
      <c r="E74" s="24"/>
      <c r="F74" s="23"/>
      <c r="G74" s="22"/>
      <c r="H74" s="24"/>
    </row>
    <row r="75" spans="1:8">
      <c r="A75">
        <v>2015</v>
      </c>
      <c r="B75" s="9" t="s">
        <v>1017</v>
      </c>
      <c r="C75" s="21">
        <v>17404.91</v>
      </c>
      <c r="D75" s="22"/>
      <c r="E75" s="24"/>
      <c r="F75" s="23"/>
      <c r="G75" s="22"/>
      <c r="H75" s="24"/>
    </row>
    <row r="76" spans="1:8">
      <c r="A76">
        <v>2015</v>
      </c>
      <c r="B76" s="9" t="s">
        <v>1018</v>
      </c>
      <c r="C76" s="21">
        <v>115810.69</v>
      </c>
      <c r="D76" s="22"/>
      <c r="E76" s="24"/>
      <c r="F76" s="23"/>
      <c r="G76" s="22"/>
      <c r="H76" s="24"/>
    </row>
    <row r="77" spans="1:8">
      <c r="A77">
        <v>2015</v>
      </c>
      <c r="B77" s="9" t="s">
        <v>1019</v>
      </c>
      <c r="C77" s="21">
        <v>264895.18</v>
      </c>
      <c r="D77" s="22"/>
      <c r="E77" s="24"/>
      <c r="F77" s="23"/>
      <c r="G77" s="22"/>
      <c r="H77" s="24"/>
    </row>
    <row r="78" spans="1:8">
      <c r="A78">
        <v>2015</v>
      </c>
      <c r="B78" s="9" t="s">
        <v>1020</v>
      </c>
      <c r="C78" s="21">
        <v>5109492.5999999996</v>
      </c>
      <c r="D78" s="22"/>
      <c r="E78" s="24"/>
      <c r="F78" s="23"/>
      <c r="G78" s="22"/>
      <c r="H78" s="24"/>
    </row>
    <row r="79" spans="1:8">
      <c r="A79">
        <v>2015</v>
      </c>
      <c r="B79" s="9" t="s">
        <v>1021</v>
      </c>
      <c r="C79" s="21">
        <v>4485980.83</v>
      </c>
      <c r="D79" s="22"/>
      <c r="E79" s="24"/>
      <c r="F79" s="23"/>
      <c r="G79" s="22"/>
      <c r="H79" s="24"/>
    </row>
    <row r="80" spans="1:8">
      <c r="A80">
        <v>2015</v>
      </c>
      <c r="B80" s="9" t="s">
        <v>1022</v>
      </c>
      <c r="C80" s="21">
        <v>14737.56</v>
      </c>
      <c r="D80" s="22"/>
      <c r="E80" s="24"/>
      <c r="F80" s="23"/>
      <c r="G80" s="22"/>
      <c r="H80" s="24"/>
    </row>
    <row r="81" spans="1:8">
      <c r="A81">
        <v>2015</v>
      </c>
      <c r="B81" s="9" t="s">
        <v>1023</v>
      </c>
      <c r="C81" s="21">
        <v>4607473.84</v>
      </c>
      <c r="D81" s="22"/>
      <c r="E81" s="24"/>
      <c r="F81" s="23"/>
      <c r="G81" s="22"/>
      <c r="H81" s="24"/>
    </row>
    <row r="82" spans="1:8">
      <c r="A82">
        <v>2015</v>
      </c>
      <c r="B82" s="9" t="s">
        <v>1024</v>
      </c>
      <c r="C82" s="21">
        <v>2367092.2000000002</v>
      </c>
      <c r="D82" s="22"/>
      <c r="E82" s="24"/>
      <c r="F82" s="23"/>
      <c r="G82" s="22"/>
      <c r="H82" s="24"/>
    </row>
    <row r="83" spans="1:8">
      <c r="A83">
        <v>2015</v>
      </c>
      <c r="B83" s="9" t="s">
        <v>1025</v>
      </c>
      <c r="C83" s="21">
        <v>615575.53</v>
      </c>
      <c r="D83" s="22"/>
      <c r="E83" s="24"/>
      <c r="F83" s="23"/>
      <c r="G83" s="22"/>
      <c r="H83" s="24"/>
    </row>
    <row r="84" spans="1:8">
      <c r="A84">
        <v>2015</v>
      </c>
      <c r="B84" s="9" t="s">
        <v>1026</v>
      </c>
      <c r="C84" s="21">
        <v>1474631.38</v>
      </c>
      <c r="D84" s="22"/>
      <c r="E84" s="24"/>
      <c r="F84" s="23"/>
      <c r="G84" s="22"/>
      <c r="H84" s="24"/>
    </row>
    <row r="85" spans="1:8">
      <c r="A85">
        <v>2015</v>
      </c>
      <c r="B85" s="9" t="s">
        <v>1027</v>
      </c>
      <c r="C85" s="21">
        <v>104881.57</v>
      </c>
      <c r="D85" s="22"/>
      <c r="E85" s="24"/>
      <c r="F85" s="23"/>
      <c r="G85" s="22"/>
      <c r="H85" s="24"/>
    </row>
    <row r="86" spans="1:8">
      <c r="A86">
        <v>2015</v>
      </c>
      <c r="B86" s="9" t="s">
        <v>1028</v>
      </c>
      <c r="C86" s="21">
        <v>650353.1</v>
      </c>
      <c r="D86" s="22"/>
      <c r="E86" s="24"/>
      <c r="F86" s="23"/>
      <c r="G86" s="22"/>
      <c r="H86" s="24"/>
    </row>
    <row r="87" spans="1:8">
      <c r="A87">
        <v>2015</v>
      </c>
      <c r="B87" s="9" t="s">
        <v>1029</v>
      </c>
      <c r="C87" s="21">
        <v>232377.17</v>
      </c>
      <c r="D87" s="22"/>
      <c r="E87" s="24"/>
      <c r="F87" s="23"/>
      <c r="G87" s="22"/>
      <c r="H87" s="24"/>
    </row>
    <row r="88" spans="1:8">
      <c r="A88">
        <v>2015</v>
      </c>
      <c r="B88" s="9" t="s">
        <v>1030</v>
      </c>
      <c r="C88" s="21">
        <v>16051.55</v>
      </c>
      <c r="D88" s="22"/>
      <c r="E88" s="24"/>
      <c r="F88" s="23"/>
      <c r="G88" s="22"/>
      <c r="H88" s="24"/>
    </row>
    <row r="89" spans="1:8">
      <c r="A89">
        <v>2015</v>
      </c>
      <c r="B89" s="9" t="s">
        <v>1031</v>
      </c>
      <c r="C89" s="21">
        <v>112504.26</v>
      </c>
      <c r="D89" s="22"/>
      <c r="E89" s="24"/>
      <c r="F89" s="23"/>
      <c r="G89" s="22"/>
      <c r="H89" s="24"/>
    </row>
    <row r="90" spans="1:8">
      <c r="A90">
        <v>2015</v>
      </c>
      <c r="B90" s="9" t="s">
        <v>1032</v>
      </c>
      <c r="C90" s="21">
        <v>10171.32</v>
      </c>
      <c r="D90" s="22"/>
      <c r="E90" s="24"/>
      <c r="F90" s="23"/>
      <c r="G90" s="22"/>
      <c r="H90" s="24"/>
    </row>
    <row r="91" spans="1:8">
      <c r="A91">
        <v>2015</v>
      </c>
      <c r="B91" s="9" t="s">
        <v>1033</v>
      </c>
      <c r="C91" s="21">
        <v>60837.96</v>
      </c>
      <c r="D91" s="22"/>
      <c r="E91" s="24"/>
      <c r="F91" s="23"/>
      <c r="G91" s="22"/>
      <c r="H91" s="24"/>
    </row>
    <row r="92" spans="1:8">
      <c r="A92">
        <v>2015</v>
      </c>
      <c r="B92" s="9" t="s">
        <v>1034</v>
      </c>
      <c r="C92" s="21">
        <v>142600.23000000001</v>
      </c>
      <c r="D92" s="22"/>
      <c r="E92" s="24"/>
      <c r="F92" s="23"/>
      <c r="G92" s="22"/>
      <c r="H92" s="24"/>
    </row>
    <row r="93" spans="1:8">
      <c r="A93">
        <v>2015</v>
      </c>
      <c r="B93" s="9" t="s">
        <v>1035</v>
      </c>
      <c r="C93" s="21">
        <v>397728.85</v>
      </c>
      <c r="D93" s="22"/>
      <c r="E93" s="24"/>
      <c r="F93" s="23"/>
      <c r="G93" s="22"/>
      <c r="H93" s="24"/>
    </row>
    <row r="94" spans="1:8">
      <c r="A94">
        <v>2015</v>
      </c>
      <c r="B94" s="9" t="s">
        <v>1036</v>
      </c>
      <c r="C94" s="21">
        <v>22893.9</v>
      </c>
      <c r="D94" s="22"/>
      <c r="E94" s="24"/>
      <c r="F94" s="23"/>
      <c r="G94" s="22"/>
      <c r="H94" s="24"/>
    </row>
    <row r="95" spans="1:8">
      <c r="A95">
        <v>2015</v>
      </c>
      <c r="B95" s="9" t="s">
        <v>1037</v>
      </c>
      <c r="C95" s="21">
        <v>3076182.42</v>
      </c>
      <c r="D95" s="22"/>
      <c r="E95" s="24"/>
      <c r="F95" s="23"/>
      <c r="G95" s="22"/>
      <c r="H95" s="24"/>
    </row>
    <row r="96" spans="1:8">
      <c r="A96">
        <v>2015</v>
      </c>
      <c r="B96" s="9" t="s">
        <v>1038</v>
      </c>
      <c r="C96" s="21">
        <v>7674.69</v>
      </c>
      <c r="D96" s="22"/>
      <c r="E96" s="24"/>
      <c r="F96" s="23"/>
      <c r="G96" s="22"/>
      <c r="H96" s="24"/>
    </row>
    <row r="97" spans="1:13">
      <c r="A97">
        <v>2015</v>
      </c>
      <c r="B97" s="9" t="s">
        <v>1039</v>
      </c>
      <c r="C97" s="21">
        <v>3740.33</v>
      </c>
      <c r="D97" s="22"/>
      <c r="E97" s="24"/>
      <c r="F97" s="23"/>
      <c r="G97" s="22"/>
      <c r="H97" s="24"/>
    </row>
    <row r="98" spans="1:13">
      <c r="A98">
        <v>2015</v>
      </c>
      <c r="B98" s="9" t="s">
        <v>1040</v>
      </c>
      <c r="C98" s="21">
        <v>4906324.97</v>
      </c>
      <c r="D98" s="22"/>
      <c r="E98" s="24"/>
      <c r="F98" s="23"/>
      <c r="G98" s="22"/>
      <c r="H98" s="24"/>
    </row>
    <row r="99" spans="1:13">
      <c r="A99">
        <v>2015</v>
      </c>
      <c r="B99" s="9" t="s">
        <v>1041</v>
      </c>
      <c r="C99" s="21">
        <v>123325.08</v>
      </c>
      <c r="D99" s="22"/>
      <c r="E99" s="24"/>
      <c r="F99" s="23"/>
      <c r="G99" s="22"/>
      <c r="H99" s="24"/>
    </row>
    <row r="100" spans="1:13">
      <c r="A100">
        <v>2015</v>
      </c>
      <c r="B100" s="9" t="s">
        <v>1042</v>
      </c>
      <c r="C100" s="21">
        <v>724362.36</v>
      </c>
      <c r="D100" s="22"/>
      <c r="E100" s="24"/>
      <c r="F100" s="23"/>
      <c r="G100" s="22"/>
      <c r="H100" s="24"/>
    </row>
    <row r="101" spans="1:13">
      <c r="A101">
        <v>2015</v>
      </c>
      <c r="B101" s="9" t="s">
        <v>1043</v>
      </c>
      <c r="C101" s="21">
        <v>75848.53</v>
      </c>
      <c r="D101" s="22"/>
      <c r="E101" s="24"/>
      <c r="F101" s="23"/>
      <c r="G101" s="22"/>
      <c r="H101" s="24"/>
    </row>
    <row r="102" spans="1:13">
      <c r="A102">
        <v>2015</v>
      </c>
      <c r="B102" s="9" t="s">
        <v>1044</v>
      </c>
      <c r="C102" s="21">
        <v>72501.13</v>
      </c>
      <c r="D102" s="8"/>
      <c r="E102" s="22"/>
      <c r="F102" s="8"/>
      <c r="G102" s="17"/>
      <c r="H102" s="8"/>
      <c r="I102" s="17"/>
      <c r="J102" s="8"/>
      <c r="K102" s="22"/>
      <c r="L102" s="8"/>
      <c r="M102" s="17"/>
    </row>
    <row r="103" spans="1:13">
      <c r="A103">
        <v>2015</v>
      </c>
      <c r="B103" s="9" t="s">
        <v>1045</v>
      </c>
      <c r="C103" s="21">
        <v>118748.96</v>
      </c>
      <c r="D103" s="8"/>
      <c r="E103" s="22"/>
      <c r="F103" s="8"/>
      <c r="G103" s="24"/>
      <c r="H103" s="8"/>
      <c r="I103" s="23"/>
      <c r="J103" s="8"/>
      <c r="K103" s="22"/>
      <c r="L103" s="8"/>
      <c r="M103" s="24"/>
    </row>
    <row r="104" spans="1:13">
      <c r="A104">
        <v>2015</v>
      </c>
      <c r="B104" s="9" t="s">
        <v>1046</v>
      </c>
      <c r="C104" s="21">
        <v>1036545.37</v>
      </c>
      <c r="D104" s="8"/>
      <c r="E104" s="22"/>
      <c r="F104" s="8"/>
      <c r="G104" s="24"/>
      <c r="H104" s="8"/>
      <c r="I104" s="23"/>
      <c r="J104" s="8"/>
      <c r="K104" s="22"/>
      <c r="L104" s="8"/>
      <c r="M104" s="24"/>
    </row>
    <row r="105" spans="1:13">
      <c r="A105">
        <v>2015</v>
      </c>
      <c r="B105" s="9" t="s">
        <v>1047</v>
      </c>
      <c r="C105" s="21">
        <v>64976.77</v>
      </c>
      <c r="D105" s="8"/>
      <c r="E105" s="22"/>
      <c r="F105" s="8"/>
      <c r="G105" s="24"/>
      <c r="H105" s="8"/>
      <c r="I105" s="23"/>
      <c r="J105" s="8"/>
      <c r="K105" s="22"/>
      <c r="L105" s="8"/>
      <c r="M105" s="24"/>
    </row>
    <row r="106" spans="1:13">
      <c r="A106">
        <v>2015</v>
      </c>
      <c r="B106" s="9" t="s">
        <v>1048</v>
      </c>
      <c r="C106" s="21">
        <v>138747.51999999999</v>
      </c>
      <c r="D106" s="8"/>
      <c r="E106" s="22"/>
      <c r="F106" s="8"/>
      <c r="G106" s="24"/>
      <c r="H106" s="8"/>
      <c r="I106" s="23"/>
      <c r="J106" s="8"/>
      <c r="K106" s="22"/>
      <c r="L106" s="8"/>
      <c r="M106" s="24"/>
    </row>
    <row r="107" spans="1:13">
      <c r="A107">
        <v>2015</v>
      </c>
      <c r="B107" s="9" t="s">
        <v>1049</v>
      </c>
      <c r="C107" s="21">
        <v>26341.69</v>
      </c>
      <c r="D107" s="8"/>
      <c r="E107" s="22"/>
      <c r="F107" s="8"/>
      <c r="G107" s="24"/>
      <c r="H107" s="8"/>
      <c r="I107" s="23"/>
      <c r="J107" s="8"/>
      <c r="K107" s="22"/>
      <c r="L107" s="8"/>
      <c r="M107" s="24"/>
    </row>
    <row r="108" spans="1:13">
      <c r="A108">
        <v>2015</v>
      </c>
      <c r="B108" s="9" t="s">
        <v>1050</v>
      </c>
      <c r="C108" s="21">
        <v>221015.66</v>
      </c>
      <c r="D108" s="8"/>
      <c r="E108" s="22"/>
      <c r="F108" s="8"/>
      <c r="G108" s="24"/>
      <c r="H108" s="8"/>
      <c r="I108" s="23"/>
      <c r="J108" s="8"/>
      <c r="K108" s="22"/>
      <c r="L108" s="8"/>
      <c r="M108" s="24"/>
    </row>
    <row r="109" spans="1:13">
      <c r="A109">
        <v>2015</v>
      </c>
      <c r="B109" s="9" t="s">
        <v>1051</v>
      </c>
      <c r="C109" s="21">
        <v>359955.56</v>
      </c>
      <c r="D109" s="8"/>
      <c r="E109" s="22"/>
      <c r="F109" s="8"/>
      <c r="G109" s="24"/>
      <c r="H109" s="8"/>
      <c r="I109" s="23"/>
      <c r="J109" s="8"/>
      <c r="K109" s="22"/>
      <c r="L109" s="8"/>
      <c r="M109" s="24"/>
    </row>
    <row r="110" spans="1:13">
      <c r="A110">
        <v>2015</v>
      </c>
      <c r="B110" s="9" t="s">
        <v>1052</v>
      </c>
      <c r="C110" s="21">
        <v>854685.15</v>
      </c>
      <c r="D110" s="8"/>
      <c r="E110" s="22"/>
      <c r="F110" s="8"/>
      <c r="G110" s="24"/>
      <c r="H110" s="8"/>
      <c r="I110" s="23"/>
      <c r="J110" s="8"/>
      <c r="K110" s="22"/>
      <c r="L110" s="8"/>
      <c r="M110" s="24"/>
    </row>
    <row r="111" spans="1:13">
      <c r="A111">
        <v>2015</v>
      </c>
      <c r="B111" s="9" t="s">
        <v>1053</v>
      </c>
      <c r="C111" s="21">
        <v>171037.66</v>
      </c>
      <c r="D111" s="8"/>
      <c r="E111" s="22"/>
      <c r="F111" s="8"/>
      <c r="G111" s="24"/>
      <c r="H111" s="8"/>
      <c r="I111" s="23"/>
      <c r="J111" s="8"/>
      <c r="K111" s="22"/>
      <c r="L111" s="8"/>
      <c r="M111" s="24"/>
    </row>
    <row r="112" spans="1:13">
      <c r="A112">
        <v>2015</v>
      </c>
      <c r="B112" s="9" t="s">
        <v>1054</v>
      </c>
      <c r="C112" s="21">
        <v>289706.09000000003</v>
      </c>
      <c r="D112" s="8"/>
      <c r="E112" s="22"/>
      <c r="F112" s="8"/>
      <c r="G112" s="24"/>
      <c r="H112" s="8"/>
      <c r="I112" s="23"/>
      <c r="J112" s="8"/>
      <c r="K112" s="22"/>
      <c r="L112" s="8"/>
      <c r="M112" s="24"/>
    </row>
    <row r="113" spans="1:13">
      <c r="A113">
        <v>2015</v>
      </c>
      <c r="B113" s="9" t="s">
        <v>1055</v>
      </c>
      <c r="C113" s="21">
        <v>17560.86</v>
      </c>
      <c r="D113" s="8"/>
      <c r="E113" s="22"/>
      <c r="F113" s="8"/>
      <c r="G113" s="24"/>
      <c r="H113" s="8"/>
      <c r="I113" s="23"/>
      <c r="J113" s="8"/>
      <c r="K113" s="22"/>
      <c r="L113" s="8"/>
      <c r="M113" s="24"/>
    </row>
    <row r="114" spans="1:13">
      <c r="A114">
        <v>2015</v>
      </c>
      <c r="B114" s="9" t="s">
        <v>1056</v>
      </c>
      <c r="C114" s="21">
        <v>1282911.2</v>
      </c>
      <c r="D114" s="8"/>
      <c r="E114" s="22"/>
      <c r="F114" s="8"/>
      <c r="G114" s="24"/>
      <c r="H114" s="8"/>
      <c r="I114" s="23"/>
      <c r="J114" s="8"/>
      <c r="K114" s="22"/>
      <c r="L114" s="8"/>
      <c r="M114" s="24"/>
    </row>
    <row r="115" spans="1:13">
      <c r="A115">
        <v>2015</v>
      </c>
      <c r="B115" s="9" t="s">
        <v>1057</v>
      </c>
      <c r="C115" s="21">
        <v>2721061.04</v>
      </c>
      <c r="D115" s="8"/>
      <c r="E115" s="22"/>
      <c r="F115" s="8"/>
      <c r="G115" s="24"/>
      <c r="H115" s="8"/>
      <c r="I115" s="23"/>
      <c r="J115" s="8"/>
      <c r="K115" s="22"/>
      <c r="L115" s="8"/>
      <c r="M115" s="24"/>
    </row>
    <row r="116" spans="1:13">
      <c r="A116">
        <v>2015</v>
      </c>
      <c r="B116" s="9" t="s">
        <v>1058</v>
      </c>
      <c r="C116" s="21">
        <v>996634.38</v>
      </c>
      <c r="D116" s="8"/>
      <c r="E116" s="22"/>
      <c r="F116" s="8"/>
      <c r="G116" s="24"/>
      <c r="H116" s="8"/>
      <c r="I116" s="23"/>
      <c r="J116" s="8"/>
      <c r="K116" s="22"/>
      <c r="L116" s="8"/>
      <c r="M116" s="24"/>
    </row>
    <row r="117" spans="1:13">
      <c r="A117">
        <v>2015</v>
      </c>
      <c r="B117" s="9" t="s">
        <v>1059</v>
      </c>
      <c r="C117" s="21">
        <v>1451450.27</v>
      </c>
      <c r="D117" s="8"/>
      <c r="E117" s="22"/>
      <c r="F117" s="8"/>
      <c r="G117" s="24"/>
      <c r="H117" s="8"/>
      <c r="I117" s="23"/>
      <c r="J117" s="8"/>
      <c r="K117" s="22"/>
      <c r="L117" s="8"/>
      <c r="M117" s="24"/>
    </row>
    <row r="118" spans="1:13">
      <c r="A118">
        <v>2015</v>
      </c>
      <c r="B118" s="9" t="s">
        <v>1060</v>
      </c>
      <c r="C118" s="21">
        <v>147706.21</v>
      </c>
      <c r="D118" s="8"/>
      <c r="E118" s="22"/>
      <c r="F118" s="8"/>
      <c r="G118" s="24"/>
      <c r="H118" s="8"/>
      <c r="I118" s="23"/>
      <c r="J118" s="8"/>
      <c r="K118" s="22"/>
      <c r="L118" s="8"/>
      <c r="M118" s="24"/>
    </row>
    <row r="119" spans="1:13">
      <c r="A119">
        <v>2015</v>
      </c>
      <c r="B119" s="9" t="s">
        <v>1061</v>
      </c>
      <c r="C119" s="21">
        <v>838334.14</v>
      </c>
      <c r="D119" s="8"/>
      <c r="E119" s="22"/>
      <c r="F119" s="8"/>
      <c r="G119" s="24"/>
      <c r="H119" s="8"/>
      <c r="I119" s="23"/>
      <c r="J119" s="8"/>
      <c r="K119" s="22"/>
      <c r="L119" s="8"/>
      <c r="M119" s="24"/>
    </row>
    <row r="120" spans="1:13">
      <c r="A120">
        <v>2015</v>
      </c>
      <c r="B120" s="9" t="s">
        <v>1062</v>
      </c>
      <c r="C120" s="21">
        <v>59510.12</v>
      </c>
      <c r="D120" s="8"/>
      <c r="E120" s="22"/>
      <c r="F120" s="8"/>
      <c r="G120" s="24"/>
      <c r="H120" s="8"/>
      <c r="I120" s="23"/>
      <c r="J120" s="8"/>
      <c r="K120" s="22"/>
      <c r="L120" s="8"/>
      <c r="M120" s="24"/>
    </row>
    <row r="121" spans="1:13">
      <c r="A121">
        <v>2015</v>
      </c>
      <c r="B121" s="9" t="s">
        <v>1063</v>
      </c>
      <c r="C121" s="21">
        <v>33409.910000000003</v>
      </c>
      <c r="D121" s="8"/>
      <c r="E121" s="22"/>
      <c r="F121" s="8"/>
      <c r="G121" s="24"/>
      <c r="H121" s="8"/>
      <c r="I121" s="23"/>
      <c r="J121" s="8"/>
      <c r="K121" s="22"/>
      <c r="L121" s="8"/>
      <c r="M121" s="24"/>
    </row>
    <row r="122" spans="1:13">
      <c r="A122">
        <v>2015</v>
      </c>
      <c r="B122" s="9" t="s">
        <v>1064</v>
      </c>
      <c r="C122" s="21">
        <v>39180.17</v>
      </c>
      <c r="D122" s="8"/>
      <c r="E122" s="22"/>
      <c r="F122" s="8"/>
      <c r="G122" s="24"/>
      <c r="H122" s="8"/>
      <c r="I122" s="23"/>
      <c r="J122" s="8"/>
      <c r="K122" s="22"/>
      <c r="L122" s="8"/>
      <c r="M122" s="24"/>
    </row>
    <row r="123" spans="1:13">
      <c r="A123">
        <v>2015</v>
      </c>
      <c r="B123" s="9" t="s">
        <v>1065</v>
      </c>
      <c r="C123" s="21">
        <v>709988.4</v>
      </c>
      <c r="D123" s="8"/>
      <c r="E123" s="22"/>
      <c r="F123" s="8"/>
      <c r="G123" s="24"/>
      <c r="H123" s="8"/>
      <c r="I123" s="23"/>
      <c r="J123" s="8"/>
      <c r="K123" s="22"/>
      <c r="L123" s="8"/>
      <c r="M123" s="24"/>
    </row>
    <row r="124" spans="1:13">
      <c r="A124">
        <v>2015</v>
      </c>
      <c r="B124" s="9" t="s">
        <v>1066</v>
      </c>
      <c r="C124" s="21">
        <v>692905.52</v>
      </c>
      <c r="D124" s="8"/>
      <c r="E124" s="22"/>
      <c r="F124" s="8"/>
      <c r="G124" s="24"/>
      <c r="H124" s="8"/>
      <c r="I124" s="23"/>
      <c r="J124" s="8"/>
      <c r="K124" s="22"/>
      <c r="L124" s="8"/>
      <c r="M124" s="24"/>
    </row>
    <row r="125" spans="1:13">
      <c r="A125">
        <v>2015</v>
      </c>
      <c r="B125" s="9" t="s">
        <v>1067</v>
      </c>
      <c r="C125" s="21">
        <v>30768.66</v>
      </c>
      <c r="D125" s="8"/>
      <c r="E125" s="22"/>
      <c r="F125" s="8"/>
      <c r="G125" s="24"/>
      <c r="H125" s="8"/>
      <c r="I125" s="23"/>
      <c r="J125" s="8"/>
      <c r="K125" s="22"/>
      <c r="L125" s="8"/>
      <c r="M125" s="24"/>
    </row>
    <row r="126" spans="1:13">
      <c r="A126">
        <v>2015</v>
      </c>
      <c r="B126" s="9" t="s">
        <v>1068</v>
      </c>
      <c r="C126" s="21">
        <v>81668.149999999994</v>
      </c>
      <c r="D126" s="8"/>
      <c r="E126" s="22"/>
      <c r="F126" s="8"/>
      <c r="G126" s="24"/>
      <c r="H126" s="8"/>
      <c r="I126" s="23"/>
      <c r="J126" s="8"/>
      <c r="K126" s="22"/>
      <c r="L126" s="8"/>
      <c r="M126" s="24"/>
    </row>
    <row r="127" spans="1:13">
      <c r="A127">
        <v>2015</v>
      </c>
      <c r="B127" s="9" t="s">
        <v>1069</v>
      </c>
      <c r="C127" s="21">
        <v>37269.769999999997</v>
      </c>
      <c r="D127" s="8"/>
      <c r="E127" s="22"/>
      <c r="F127" s="8"/>
      <c r="G127" s="24"/>
      <c r="H127" s="8"/>
      <c r="I127" s="23"/>
      <c r="J127" s="8"/>
      <c r="K127" s="22"/>
      <c r="L127" s="8"/>
      <c r="M127" s="24"/>
    </row>
    <row r="128" spans="1:13">
      <c r="A128">
        <v>2015</v>
      </c>
      <c r="B128" s="9" t="s">
        <v>1070</v>
      </c>
      <c r="C128" s="21">
        <v>330139.18</v>
      </c>
      <c r="D128" s="8"/>
      <c r="E128" s="22"/>
      <c r="F128" s="8"/>
      <c r="G128" s="24"/>
      <c r="H128" s="8"/>
      <c r="I128" s="23"/>
      <c r="J128" s="8"/>
      <c r="K128" s="22"/>
      <c r="L128" s="8"/>
      <c r="M128" s="24"/>
    </row>
    <row r="129" spans="1:13">
      <c r="A129">
        <v>2015</v>
      </c>
      <c r="B129" s="9" t="s">
        <v>1071</v>
      </c>
      <c r="C129" s="21">
        <v>667409.87</v>
      </c>
      <c r="D129" s="8"/>
      <c r="E129" s="22"/>
      <c r="F129" s="8"/>
      <c r="G129" s="24"/>
      <c r="H129" s="8"/>
      <c r="I129" s="23"/>
      <c r="J129" s="8"/>
      <c r="K129" s="22"/>
      <c r="L129" s="8"/>
      <c r="M129" s="24"/>
    </row>
    <row r="130" spans="1:13">
      <c r="A130">
        <v>2015</v>
      </c>
      <c r="B130" s="9" t="s">
        <v>1072</v>
      </c>
      <c r="C130" s="21">
        <v>1246776.8700000001</v>
      </c>
      <c r="D130" s="8"/>
      <c r="E130" s="22"/>
      <c r="F130" s="8"/>
      <c r="G130" s="24"/>
      <c r="H130" s="8"/>
      <c r="I130" s="23"/>
      <c r="J130" s="8"/>
      <c r="K130" s="22"/>
      <c r="L130" s="8"/>
      <c r="M130" s="24"/>
    </row>
    <row r="131" spans="1:13">
      <c r="A131">
        <v>2015</v>
      </c>
      <c r="B131" s="9" t="s">
        <v>1073</v>
      </c>
      <c r="C131" s="21">
        <v>160675.56</v>
      </c>
      <c r="D131" s="8"/>
      <c r="E131" s="22"/>
      <c r="F131" s="8"/>
      <c r="G131" s="24"/>
      <c r="H131" s="8"/>
      <c r="I131" s="23"/>
      <c r="J131" s="8"/>
      <c r="K131" s="22"/>
      <c r="L131" s="8"/>
      <c r="M131" s="24"/>
    </row>
    <row r="132" spans="1:13">
      <c r="A132">
        <v>2015</v>
      </c>
      <c r="B132" s="9" t="s">
        <v>1074</v>
      </c>
      <c r="C132" s="21">
        <v>354784.7</v>
      </c>
      <c r="D132" s="8"/>
      <c r="E132" s="22"/>
      <c r="F132" s="8"/>
      <c r="G132" s="24"/>
      <c r="H132" s="8"/>
      <c r="I132" s="23"/>
      <c r="J132" s="8"/>
      <c r="K132" s="22"/>
      <c r="L132" s="8"/>
      <c r="M132" s="24"/>
    </row>
    <row r="133" spans="1:13">
      <c r="A133">
        <v>2015</v>
      </c>
      <c r="B133" s="9" t="s">
        <v>1075</v>
      </c>
      <c r="C133" s="21">
        <v>1150210.72</v>
      </c>
      <c r="D133" s="8"/>
      <c r="E133" s="22"/>
      <c r="F133" s="8"/>
      <c r="G133" s="24"/>
      <c r="H133" s="8"/>
      <c r="I133" s="23"/>
      <c r="J133" s="8"/>
      <c r="K133" s="22"/>
      <c r="L133" s="8"/>
      <c r="M133" s="24"/>
    </row>
    <row r="134" spans="1:13">
      <c r="A134">
        <v>2015</v>
      </c>
      <c r="B134" s="9" t="s">
        <v>1076</v>
      </c>
      <c r="C134" s="21">
        <v>1962976.76</v>
      </c>
      <c r="D134" s="8"/>
      <c r="E134" s="22"/>
      <c r="F134" s="8"/>
      <c r="G134" s="24"/>
      <c r="H134" s="8"/>
      <c r="I134" s="23"/>
      <c r="J134" s="8"/>
      <c r="K134" s="22"/>
      <c r="L134" s="8"/>
      <c r="M134" s="24"/>
    </row>
    <row r="135" spans="1:13">
      <c r="A135">
        <v>2015</v>
      </c>
      <c r="B135" s="9" t="s">
        <v>1077</v>
      </c>
      <c r="C135" s="21">
        <v>10224.780000000001</v>
      </c>
      <c r="D135" s="8"/>
      <c r="E135" s="22"/>
      <c r="F135" s="8"/>
      <c r="G135" s="24"/>
      <c r="H135" s="8"/>
      <c r="I135" s="23"/>
      <c r="J135" s="8"/>
      <c r="K135" s="22"/>
      <c r="L135" s="8"/>
      <c r="M135" s="24"/>
    </row>
    <row r="136" spans="1:13">
      <c r="A136">
        <v>2015</v>
      </c>
      <c r="B136" s="9" t="s">
        <v>1078</v>
      </c>
      <c r="C136" s="21">
        <v>231528.46</v>
      </c>
      <c r="D136" s="8"/>
      <c r="E136" s="22"/>
      <c r="F136" s="8"/>
      <c r="G136" s="24"/>
      <c r="H136" s="8"/>
      <c r="I136" s="23"/>
      <c r="J136" s="8"/>
      <c r="K136" s="22"/>
      <c r="L136" s="8"/>
      <c r="M136" s="24"/>
    </row>
    <row r="137" spans="1:13">
      <c r="A137">
        <v>2015</v>
      </c>
      <c r="B137" s="9" t="s">
        <v>1079</v>
      </c>
      <c r="C137" s="21">
        <v>9381.17</v>
      </c>
      <c r="D137" s="8"/>
      <c r="E137" s="22"/>
      <c r="F137" s="8"/>
      <c r="G137" s="24"/>
      <c r="H137" s="8"/>
      <c r="I137" s="23"/>
      <c r="J137" s="8"/>
      <c r="K137" s="22"/>
      <c r="L137" s="8"/>
      <c r="M137" s="24"/>
    </row>
    <row r="138" spans="1:13">
      <c r="A138">
        <v>2015</v>
      </c>
      <c r="B138" s="9" t="s">
        <v>1080</v>
      </c>
      <c r="C138" s="21">
        <v>164434.67000000001</v>
      </c>
      <c r="D138" s="8"/>
      <c r="E138" s="22"/>
      <c r="F138" s="8"/>
      <c r="G138" s="24"/>
      <c r="H138" s="8"/>
      <c r="I138" s="23"/>
      <c r="J138" s="8"/>
      <c r="K138" s="22"/>
      <c r="L138" s="8"/>
      <c r="M138" s="24"/>
    </row>
    <row r="139" spans="1:13">
      <c r="A139">
        <v>2015</v>
      </c>
      <c r="B139" s="9" t="s">
        <v>1081</v>
      </c>
      <c r="C139" s="21">
        <v>2318951.86</v>
      </c>
      <c r="D139" s="8"/>
      <c r="E139" s="22"/>
      <c r="F139" s="8"/>
      <c r="G139" s="24"/>
      <c r="H139" s="8"/>
      <c r="I139" s="23"/>
      <c r="J139" s="8"/>
      <c r="K139" s="22"/>
      <c r="L139" s="8"/>
      <c r="M139" s="24"/>
    </row>
    <row r="140" spans="1:13">
      <c r="A140">
        <v>2015</v>
      </c>
      <c r="B140" s="9" t="s">
        <v>1082</v>
      </c>
      <c r="C140" s="21">
        <v>9794.43</v>
      </c>
      <c r="D140" s="8"/>
      <c r="E140" s="22"/>
      <c r="F140" s="8"/>
      <c r="G140" s="24"/>
      <c r="H140" s="8"/>
      <c r="I140" s="23"/>
      <c r="J140" s="8"/>
      <c r="K140" s="22"/>
      <c r="L140" s="8"/>
      <c r="M140" s="24"/>
    </row>
    <row r="141" spans="1:13">
      <c r="A141">
        <v>2015</v>
      </c>
      <c r="B141" s="9" t="s">
        <v>1083</v>
      </c>
      <c r="C141" s="21">
        <v>1711668.86</v>
      </c>
      <c r="D141" s="8"/>
      <c r="E141" s="22"/>
      <c r="F141" s="8"/>
      <c r="G141" s="24"/>
      <c r="H141" s="8"/>
      <c r="I141" s="23"/>
      <c r="J141" s="8"/>
      <c r="K141" s="22"/>
      <c r="L141" s="8"/>
      <c r="M141" s="24"/>
    </row>
    <row r="142" spans="1:13">
      <c r="A142">
        <v>2015</v>
      </c>
      <c r="B142" s="9" t="s">
        <v>1084</v>
      </c>
      <c r="C142" s="21">
        <v>89966.31</v>
      </c>
      <c r="D142" s="8"/>
      <c r="E142" s="22"/>
      <c r="F142" s="8"/>
      <c r="G142" s="24"/>
      <c r="H142" s="8"/>
      <c r="I142" s="23"/>
      <c r="J142" s="8"/>
      <c r="K142" s="22"/>
      <c r="L142" s="8"/>
      <c r="M142" s="24"/>
    </row>
    <row r="143" spans="1:13">
      <c r="A143">
        <v>2015</v>
      </c>
      <c r="B143" s="9" t="s">
        <v>1085</v>
      </c>
      <c r="C143" s="21">
        <v>215390.77</v>
      </c>
      <c r="D143" s="8"/>
      <c r="E143" s="22"/>
      <c r="F143" s="8"/>
      <c r="G143" s="24"/>
      <c r="H143" s="8"/>
      <c r="I143" s="23"/>
      <c r="J143" s="8"/>
      <c r="K143" s="22"/>
      <c r="L143" s="8"/>
      <c r="M143" s="24"/>
    </row>
    <row r="144" spans="1:13">
      <c r="A144">
        <v>2015</v>
      </c>
      <c r="B144" s="9" t="s">
        <v>1086</v>
      </c>
      <c r="C144" s="21">
        <v>79632.11</v>
      </c>
      <c r="D144" s="8"/>
      <c r="E144" s="22"/>
      <c r="F144" s="8"/>
      <c r="G144" s="24"/>
      <c r="H144" s="8"/>
      <c r="I144" s="23"/>
      <c r="J144" s="8"/>
      <c r="K144" s="22"/>
      <c r="L144" s="8"/>
      <c r="M144" s="24"/>
    </row>
    <row r="145" spans="1:13">
      <c r="A145">
        <v>2015</v>
      </c>
      <c r="B145" s="9" t="s">
        <v>1087</v>
      </c>
      <c r="C145" s="21">
        <v>67339.649999999994</v>
      </c>
      <c r="D145" s="8"/>
      <c r="E145" s="22"/>
      <c r="F145" s="8"/>
      <c r="G145" s="24"/>
      <c r="H145" s="8"/>
      <c r="I145" s="23"/>
      <c r="J145" s="8"/>
      <c r="K145" s="22"/>
      <c r="L145" s="8"/>
      <c r="M145" s="24"/>
    </row>
    <row r="146" spans="1:13">
      <c r="A146">
        <v>2015</v>
      </c>
      <c r="B146" s="9" t="s">
        <v>1088</v>
      </c>
      <c r="C146" s="21">
        <v>169863.54</v>
      </c>
      <c r="D146" s="8"/>
      <c r="E146" s="22"/>
      <c r="F146" s="8"/>
      <c r="G146" s="24"/>
      <c r="H146" s="8"/>
      <c r="I146" s="23"/>
      <c r="J146" s="8"/>
      <c r="K146" s="22"/>
      <c r="L146" s="8"/>
      <c r="M146" s="24"/>
    </row>
    <row r="147" spans="1:13">
      <c r="A147">
        <v>2015</v>
      </c>
      <c r="B147" s="9" t="s">
        <v>1089</v>
      </c>
      <c r="C147" s="21">
        <v>285568.51</v>
      </c>
      <c r="D147" s="8"/>
      <c r="E147" s="22"/>
      <c r="F147" s="8"/>
      <c r="G147" s="24"/>
      <c r="H147" s="8"/>
      <c r="I147" s="23"/>
      <c r="J147" s="8"/>
      <c r="K147" s="22"/>
      <c r="L147" s="8"/>
      <c r="M147" s="24"/>
    </row>
    <row r="148" spans="1:13">
      <c r="A148">
        <v>2015</v>
      </c>
      <c r="B148" s="9" t="s">
        <v>1090</v>
      </c>
      <c r="C148" s="21">
        <v>86512.19</v>
      </c>
      <c r="D148" s="8"/>
      <c r="E148" s="22"/>
      <c r="F148" s="8"/>
      <c r="G148" s="24"/>
      <c r="H148" s="8"/>
      <c r="I148" s="23"/>
      <c r="J148" s="8"/>
      <c r="K148" s="22"/>
      <c r="L148" s="8"/>
      <c r="M148" s="24"/>
    </row>
    <row r="149" spans="1:13">
      <c r="A149">
        <v>2015</v>
      </c>
      <c r="B149" s="9" t="s">
        <v>1091</v>
      </c>
      <c r="C149" s="21">
        <v>12077.89</v>
      </c>
      <c r="D149" s="8"/>
      <c r="E149" s="22"/>
      <c r="F149" s="8"/>
      <c r="G149" s="24"/>
      <c r="H149" s="8"/>
      <c r="I149" s="23"/>
      <c r="J149" s="8"/>
      <c r="K149" s="22"/>
      <c r="L149" s="8"/>
      <c r="M149" s="24"/>
    </row>
    <row r="150" spans="1:13">
      <c r="A150">
        <v>2015</v>
      </c>
      <c r="B150" s="9" t="s">
        <v>1092</v>
      </c>
      <c r="C150" s="21">
        <v>329581.11</v>
      </c>
      <c r="D150" s="8"/>
      <c r="E150" s="22"/>
      <c r="F150" s="8"/>
      <c r="G150" s="24"/>
      <c r="H150" s="8"/>
      <c r="I150" s="23"/>
      <c r="J150" s="8"/>
      <c r="K150" s="22"/>
      <c r="L150" s="8"/>
      <c r="M150" s="24"/>
    </row>
    <row r="151" spans="1:13">
      <c r="A151">
        <v>2015</v>
      </c>
      <c r="B151" s="9" t="s">
        <v>1093</v>
      </c>
      <c r="C151" s="21">
        <v>251455.31</v>
      </c>
      <c r="D151" s="8"/>
      <c r="E151" s="22"/>
      <c r="F151" s="8"/>
      <c r="G151" s="24"/>
      <c r="H151" s="8"/>
      <c r="I151" s="23"/>
      <c r="J151" s="8"/>
      <c r="K151" s="22"/>
      <c r="L151" s="8"/>
      <c r="M151" s="24"/>
    </row>
    <row r="152" spans="1:13">
      <c r="A152">
        <v>2015</v>
      </c>
      <c r="B152" s="9" t="s">
        <v>1094</v>
      </c>
      <c r="C152" s="21">
        <v>887219.41</v>
      </c>
      <c r="D152" s="8"/>
      <c r="E152" s="22"/>
      <c r="F152" s="8"/>
      <c r="G152" s="17"/>
      <c r="H152" s="8"/>
      <c r="I152" s="17"/>
      <c r="J152" s="8"/>
      <c r="K152" s="22"/>
      <c r="L152" s="8"/>
      <c r="M152" s="17"/>
    </row>
    <row r="153" spans="1:13">
      <c r="A153">
        <v>2015</v>
      </c>
      <c r="B153" s="9" t="s">
        <v>1095</v>
      </c>
      <c r="C153" s="21">
        <v>1837406.05</v>
      </c>
      <c r="D153" s="8"/>
      <c r="E153" s="22"/>
      <c r="F153" s="8"/>
      <c r="G153" s="24"/>
      <c r="H153" s="8"/>
      <c r="I153" s="23"/>
      <c r="J153" s="8"/>
      <c r="K153" s="22"/>
      <c r="L153" s="8"/>
      <c r="M153" s="24"/>
    </row>
    <row r="154" spans="1:13">
      <c r="A154">
        <v>2015</v>
      </c>
      <c r="B154" s="9" t="s">
        <v>1096</v>
      </c>
      <c r="C154" s="21">
        <v>84159.26</v>
      </c>
      <c r="D154" s="8"/>
      <c r="E154" s="22"/>
      <c r="F154" s="8"/>
      <c r="G154" s="24"/>
      <c r="H154" s="8"/>
      <c r="I154" s="23"/>
      <c r="J154" s="8"/>
      <c r="K154" s="22"/>
      <c r="L154" s="8"/>
      <c r="M154" s="24"/>
    </row>
    <row r="155" spans="1:13">
      <c r="A155">
        <v>2015</v>
      </c>
      <c r="B155" s="9" t="s">
        <v>1097</v>
      </c>
      <c r="C155" s="21">
        <v>307101.01</v>
      </c>
      <c r="D155" s="8"/>
      <c r="E155" s="22"/>
      <c r="F155" s="8"/>
      <c r="G155" s="24"/>
      <c r="H155" s="8"/>
      <c r="I155" s="23"/>
      <c r="J155" s="8"/>
      <c r="K155" s="22"/>
      <c r="L155" s="8"/>
      <c r="M155" s="24"/>
    </row>
    <row r="156" spans="1:13">
      <c r="A156">
        <v>2015</v>
      </c>
      <c r="B156" s="9" t="s">
        <v>1098</v>
      </c>
      <c r="C156" s="21">
        <v>1154749.1499999999</v>
      </c>
      <c r="D156" s="8"/>
      <c r="E156" s="22"/>
      <c r="F156" s="8"/>
      <c r="G156" s="24"/>
      <c r="H156" s="8"/>
      <c r="I156" s="23"/>
      <c r="J156" s="8"/>
      <c r="K156" s="22"/>
      <c r="L156" s="8"/>
      <c r="M156" s="24"/>
    </row>
    <row r="157" spans="1:13">
      <c r="A157">
        <v>2015</v>
      </c>
      <c r="B157" s="9" t="s">
        <v>1099</v>
      </c>
      <c r="C157" s="21">
        <v>34835.589999999997</v>
      </c>
      <c r="D157" s="8"/>
      <c r="E157" s="22"/>
      <c r="F157" s="8"/>
      <c r="G157" s="24"/>
      <c r="H157" s="8"/>
      <c r="I157" s="23"/>
      <c r="J157" s="8"/>
      <c r="K157" s="22"/>
      <c r="L157" s="8"/>
      <c r="M157" s="24"/>
    </row>
    <row r="158" spans="1:13">
      <c r="A158">
        <v>2015</v>
      </c>
      <c r="B158" s="9" t="s">
        <v>1100</v>
      </c>
      <c r="C158" s="21">
        <v>1161945.8700000001</v>
      </c>
      <c r="D158" s="8"/>
      <c r="E158" s="22"/>
      <c r="F158" s="8"/>
      <c r="G158" s="24"/>
      <c r="H158" s="8"/>
      <c r="I158" s="23"/>
      <c r="J158" s="8"/>
      <c r="K158" s="22"/>
      <c r="L158" s="8"/>
      <c r="M158" s="24"/>
    </row>
    <row r="159" spans="1:13">
      <c r="A159">
        <v>2015</v>
      </c>
      <c r="B159" s="9" t="s">
        <v>1101</v>
      </c>
      <c r="C159" s="21">
        <v>514145.53</v>
      </c>
      <c r="D159" s="8"/>
      <c r="E159" s="22"/>
      <c r="F159" s="8"/>
      <c r="G159" s="24"/>
      <c r="H159" s="8"/>
      <c r="I159" s="23"/>
      <c r="J159" s="8"/>
      <c r="K159" s="22"/>
      <c r="L159" s="8"/>
      <c r="M159" s="24"/>
    </row>
    <row r="160" spans="1:13">
      <c r="A160">
        <v>2015</v>
      </c>
      <c r="B160" s="9" t="s">
        <v>1102</v>
      </c>
      <c r="C160" s="21">
        <v>11600.26</v>
      </c>
      <c r="D160" s="8"/>
      <c r="E160" s="22"/>
      <c r="F160" s="8"/>
      <c r="G160" s="24"/>
      <c r="H160" s="8"/>
      <c r="I160" s="23"/>
      <c r="J160" s="8"/>
      <c r="K160" s="22"/>
      <c r="L160" s="8"/>
      <c r="M160" s="24"/>
    </row>
    <row r="161" spans="1:13">
      <c r="A161">
        <v>2015</v>
      </c>
      <c r="B161" s="9" t="s">
        <v>1103</v>
      </c>
      <c r="C161" s="21">
        <v>58796.28</v>
      </c>
      <c r="D161" s="8"/>
      <c r="E161" s="22"/>
      <c r="F161" s="8"/>
      <c r="G161" s="24"/>
      <c r="H161" s="8"/>
      <c r="I161" s="23"/>
      <c r="J161" s="8"/>
      <c r="K161" s="22"/>
      <c r="L161" s="8"/>
      <c r="M161" s="24"/>
    </row>
    <row r="162" spans="1:13">
      <c r="A162">
        <v>2015</v>
      </c>
      <c r="B162" s="9" t="s">
        <v>1104</v>
      </c>
      <c r="C162" s="21">
        <v>147137.01999999999</v>
      </c>
      <c r="D162" s="8"/>
      <c r="E162" s="22"/>
      <c r="F162" s="8"/>
      <c r="G162" s="24"/>
      <c r="H162" s="8"/>
      <c r="I162" s="23"/>
      <c r="J162" s="8"/>
      <c r="K162" s="22"/>
      <c r="L162" s="8"/>
      <c r="M162" s="24"/>
    </row>
    <row r="163" spans="1:13">
      <c r="A163">
        <v>2015</v>
      </c>
      <c r="B163" s="9" t="s">
        <v>1105</v>
      </c>
      <c r="C163" s="21">
        <v>680233.91</v>
      </c>
      <c r="D163" s="8"/>
      <c r="E163" s="22"/>
      <c r="F163" s="8"/>
      <c r="G163" s="24"/>
      <c r="H163" s="8"/>
      <c r="I163" s="23"/>
      <c r="J163" s="8"/>
      <c r="K163" s="22"/>
      <c r="L163" s="8"/>
      <c r="M163" s="24"/>
    </row>
    <row r="164" spans="1:13">
      <c r="A164">
        <v>2015</v>
      </c>
      <c r="B164" s="9" t="s">
        <v>1106</v>
      </c>
      <c r="C164" s="21">
        <v>17995.63</v>
      </c>
      <c r="D164" s="8"/>
      <c r="E164" s="22"/>
      <c r="F164" s="8"/>
      <c r="G164" s="24"/>
      <c r="H164" s="8"/>
      <c r="I164" s="23"/>
      <c r="J164" s="8"/>
      <c r="K164" s="22"/>
      <c r="L164" s="8"/>
      <c r="M164" s="24"/>
    </row>
    <row r="165" spans="1:13">
      <c r="A165">
        <v>2015</v>
      </c>
      <c r="B165" s="9" t="s">
        <v>1107</v>
      </c>
      <c r="C165" s="21">
        <v>233855.39</v>
      </c>
      <c r="D165" s="8"/>
      <c r="E165" s="22"/>
      <c r="F165" s="8"/>
      <c r="G165" s="24"/>
      <c r="H165" s="8"/>
      <c r="I165" s="23"/>
      <c r="J165" s="8"/>
      <c r="K165" s="22"/>
      <c r="L165" s="8"/>
      <c r="M165" s="24"/>
    </row>
    <row r="166" spans="1:13">
      <c r="A166">
        <v>2015</v>
      </c>
      <c r="B166" s="9" t="s">
        <v>1108</v>
      </c>
      <c r="C166" s="21">
        <v>364045.76</v>
      </c>
      <c r="D166" s="8"/>
      <c r="E166" s="22"/>
      <c r="F166" s="8"/>
      <c r="G166" s="24"/>
      <c r="H166" s="8"/>
      <c r="I166" s="23"/>
      <c r="J166" s="8"/>
      <c r="K166" s="22"/>
      <c r="L166" s="8"/>
      <c r="M166" s="24"/>
    </row>
    <row r="167" spans="1:13">
      <c r="A167">
        <v>2015</v>
      </c>
      <c r="B167" s="9" t="s">
        <v>1109</v>
      </c>
      <c r="C167" s="21">
        <v>41083.39</v>
      </c>
      <c r="D167" s="8"/>
      <c r="E167" s="22"/>
      <c r="F167" s="8"/>
      <c r="G167" s="24"/>
      <c r="H167" s="8"/>
      <c r="I167" s="23"/>
      <c r="J167" s="8"/>
      <c r="K167" s="22"/>
      <c r="L167" s="8"/>
      <c r="M167" s="24"/>
    </row>
    <row r="168" spans="1:13">
      <c r="A168">
        <v>2015</v>
      </c>
      <c r="B168" s="9" t="s">
        <v>1110</v>
      </c>
      <c r="C168" s="21">
        <v>1016636.4</v>
      </c>
      <c r="D168" s="8"/>
      <c r="E168" s="22"/>
      <c r="F168" s="8"/>
      <c r="G168" s="24"/>
      <c r="H168" s="8"/>
      <c r="I168" s="23"/>
      <c r="J168" s="8"/>
      <c r="K168" s="22"/>
      <c r="L168" s="8"/>
      <c r="M168" s="24"/>
    </row>
    <row r="169" spans="1:13">
      <c r="A169">
        <v>2015</v>
      </c>
      <c r="B169" s="9" t="s">
        <v>1111</v>
      </c>
      <c r="C169" s="21">
        <v>217714.47</v>
      </c>
      <c r="D169" s="8"/>
      <c r="E169" s="22"/>
      <c r="F169" s="8"/>
      <c r="G169" s="24"/>
      <c r="H169" s="8"/>
      <c r="I169" s="23"/>
      <c r="J169" s="8"/>
      <c r="K169" s="22"/>
      <c r="L169" s="8"/>
      <c r="M169" s="24"/>
    </row>
    <row r="170" spans="1:13">
      <c r="A170">
        <v>2015</v>
      </c>
      <c r="B170" s="9" t="s">
        <v>1112</v>
      </c>
      <c r="C170" s="21">
        <v>3351702.28</v>
      </c>
      <c r="D170" s="8"/>
      <c r="E170" s="22"/>
      <c r="F170" s="8"/>
      <c r="G170" s="24"/>
      <c r="H170" s="8"/>
      <c r="I170" s="23"/>
      <c r="J170" s="8"/>
      <c r="K170" s="22"/>
      <c r="L170" s="8"/>
      <c r="M170" s="24"/>
    </row>
    <row r="171" spans="1:13">
      <c r="A171">
        <v>2015</v>
      </c>
      <c r="B171" s="9" t="s">
        <v>1113</v>
      </c>
      <c r="C171" s="21">
        <v>153092.16</v>
      </c>
      <c r="D171" s="8"/>
      <c r="E171" s="22"/>
      <c r="F171" s="8"/>
      <c r="G171" s="24"/>
      <c r="H171" s="8"/>
      <c r="I171" s="23"/>
      <c r="J171" s="8"/>
      <c r="K171" s="22"/>
      <c r="L171" s="8"/>
      <c r="M171" s="24"/>
    </row>
    <row r="172" spans="1:13">
      <c r="A172">
        <v>2015</v>
      </c>
      <c r="B172" s="9" t="s">
        <v>1114</v>
      </c>
      <c r="C172" s="21">
        <v>494408.74</v>
      </c>
      <c r="D172" s="8"/>
      <c r="E172" s="22"/>
      <c r="F172" s="8"/>
      <c r="G172" s="24"/>
      <c r="H172" s="8"/>
      <c r="I172" s="23"/>
      <c r="J172" s="8"/>
      <c r="K172" s="22"/>
      <c r="L172" s="8"/>
      <c r="M172" s="24"/>
    </row>
    <row r="173" spans="1:13">
      <c r="A173">
        <v>2015</v>
      </c>
      <c r="B173" s="9" t="s">
        <v>1115</v>
      </c>
      <c r="C173" s="21">
        <v>115339.7</v>
      </c>
      <c r="D173" s="8"/>
      <c r="E173" s="22"/>
      <c r="F173" s="8"/>
      <c r="G173" s="24"/>
      <c r="H173" s="8"/>
      <c r="I173" s="23"/>
      <c r="J173" s="8"/>
      <c r="K173" s="22"/>
      <c r="L173" s="8"/>
      <c r="M173" s="24"/>
    </row>
    <row r="174" spans="1:13">
      <c r="A174">
        <v>2015</v>
      </c>
      <c r="B174" s="9" t="s">
        <v>1116</v>
      </c>
      <c r="C174" s="21">
        <v>214198.19</v>
      </c>
      <c r="D174" s="8"/>
      <c r="E174" s="22"/>
      <c r="F174" s="8"/>
      <c r="G174" s="24"/>
      <c r="H174" s="8"/>
      <c r="I174" s="23"/>
      <c r="J174" s="8"/>
      <c r="K174" s="22"/>
      <c r="L174" s="8"/>
      <c r="M174" s="24"/>
    </row>
    <row r="175" spans="1:13">
      <c r="A175">
        <v>2015</v>
      </c>
      <c r="B175" s="9" t="s">
        <v>1117</v>
      </c>
      <c r="C175" s="21">
        <v>531432.73</v>
      </c>
      <c r="D175" s="8"/>
      <c r="E175" s="22"/>
      <c r="F175" s="8"/>
      <c r="G175" s="24"/>
      <c r="H175" s="8"/>
      <c r="I175" s="23"/>
      <c r="J175" s="8"/>
      <c r="K175" s="22"/>
      <c r="L175" s="8"/>
      <c r="M175" s="24"/>
    </row>
    <row r="176" spans="1:13">
      <c r="A176">
        <v>2015</v>
      </c>
      <c r="B176" s="9" t="s">
        <v>1118</v>
      </c>
      <c r="C176" s="21">
        <v>560542.6</v>
      </c>
      <c r="D176" s="8"/>
      <c r="E176" s="22"/>
      <c r="F176" s="8"/>
      <c r="G176" s="24"/>
      <c r="H176" s="8"/>
      <c r="I176" s="23"/>
      <c r="J176" s="8"/>
      <c r="K176" s="22"/>
      <c r="L176" s="8"/>
      <c r="M176" s="24"/>
    </row>
    <row r="177" spans="1:13">
      <c r="A177">
        <v>2015</v>
      </c>
      <c r="B177" s="9" t="s">
        <v>1119</v>
      </c>
      <c r="C177" s="21">
        <v>997389.08</v>
      </c>
      <c r="D177" s="8"/>
      <c r="E177" s="22"/>
      <c r="F177" s="8"/>
      <c r="G177" s="24"/>
      <c r="H177" s="8"/>
      <c r="I177" s="23"/>
      <c r="J177" s="8"/>
      <c r="K177" s="22"/>
      <c r="L177" s="8"/>
      <c r="M177" s="24"/>
    </row>
    <row r="178" spans="1:13">
      <c r="A178">
        <v>2015</v>
      </c>
      <c r="B178" s="9" t="s">
        <v>1120</v>
      </c>
      <c r="C178" s="21">
        <v>1091578.23</v>
      </c>
      <c r="D178" s="8"/>
      <c r="E178" s="22"/>
      <c r="F178" s="8"/>
      <c r="G178" s="24"/>
      <c r="H178" s="8"/>
      <c r="I178" s="23"/>
      <c r="J178" s="8"/>
      <c r="K178" s="22"/>
      <c r="L178" s="8"/>
      <c r="M178" s="24"/>
    </row>
    <row r="179" spans="1:13">
      <c r="A179">
        <v>2015</v>
      </c>
      <c r="B179" s="9" t="s">
        <v>1121</v>
      </c>
      <c r="C179" s="21">
        <v>23609.57</v>
      </c>
      <c r="D179" s="8"/>
      <c r="E179" s="22"/>
      <c r="F179" s="8"/>
      <c r="G179" s="24"/>
      <c r="H179" s="8"/>
      <c r="I179" s="23"/>
      <c r="J179" s="8"/>
      <c r="K179" s="22"/>
      <c r="L179" s="8"/>
      <c r="M179" s="24"/>
    </row>
    <row r="180" spans="1:13">
      <c r="A180">
        <v>2015</v>
      </c>
      <c r="B180" s="9" t="s">
        <v>1122</v>
      </c>
      <c r="C180" s="21">
        <v>969344.36</v>
      </c>
      <c r="D180" s="8"/>
      <c r="E180" s="22"/>
      <c r="F180" s="8"/>
      <c r="G180" s="24"/>
      <c r="H180" s="8"/>
      <c r="I180" s="23"/>
      <c r="J180" s="8"/>
      <c r="K180" s="22"/>
      <c r="L180" s="8"/>
      <c r="M180" s="24"/>
    </row>
    <row r="181" spans="1:13">
      <c r="A181">
        <v>2015</v>
      </c>
      <c r="B181" s="9" t="s">
        <v>1123</v>
      </c>
      <c r="C181" s="21">
        <v>31656.62</v>
      </c>
      <c r="D181" s="8"/>
      <c r="E181" s="22"/>
      <c r="F181" s="8"/>
      <c r="G181" s="24"/>
      <c r="H181" s="8"/>
      <c r="I181" s="23"/>
      <c r="J181" s="8"/>
      <c r="K181" s="22"/>
      <c r="L181" s="8"/>
      <c r="M181" s="24"/>
    </row>
    <row r="182" spans="1:13">
      <c r="A182">
        <v>2015</v>
      </c>
      <c r="B182" s="9" t="s">
        <v>1124</v>
      </c>
      <c r="C182" s="21">
        <v>22370.85</v>
      </c>
      <c r="D182" s="8"/>
      <c r="E182" s="22"/>
      <c r="F182" s="8"/>
      <c r="G182" s="24"/>
      <c r="H182" s="8"/>
      <c r="I182" s="23"/>
      <c r="J182" s="8"/>
      <c r="K182" s="22"/>
      <c r="L182" s="8"/>
      <c r="M182" s="24"/>
    </row>
    <row r="183" spans="1:13">
      <c r="A183">
        <v>2015</v>
      </c>
      <c r="B183" s="9" t="s">
        <v>1125</v>
      </c>
      <c r="C183" s="21">
        <v>307143.36</v>
      </c>
      <c r="D183" s="8"/>
      <c r="E183" s="22"/>
      <c r="F183" s="8"/>
      <c r="G183" s="24"/>
      <c r="H183" s="8"/>
      <c r="I183" s="23"/>
      <c r="J183" s="8"/>
      <c r="K183" s="22"/>
      <c r="L183" s="8"/>
      <c r="M183" s="24"/>
    </row>
    <row r="184" spans="1:13">
      <c r="A184">
        <v>2015</v>
      </c>
      <c r="B184" s="9" t="s">
        <v>1126</v>
      </c>
      <c r="C184" s="21">
        <v>979224.15</v>
      </c>
      <c r="D184" s="8"/>
      <c r="E184" s="22"/>
      <c r="F184" s="8"/>
      <c r="G184" s="24"/>
      <c r="H184" s="8"/>
      <c r="I184" s="23"/>
      <c r="J184" s="8"/>
      <c r="K184" s="22"/>
      <c r="L184" s="8"/>
      <c r="M184" s="24"/>
    </row>
    <row r="185" spans="1:13">
      <c r="A185">
        <v>2015</v>
      </c>
      <c r="B185" s="9" t="s">
        <v>1127</v>
      </c>
      <c r="C185" s="21">
        <v>1838020.34</v>
      </c>
      <c r="D185" s="8"/>
      <c r="E185" s="22"/>
      <c r="F185" s="8"/>
      <c r="G185" s="24"/>
      <c r="H185" s="8"/>
      <c r="I185" s="23"/>
      <c r="J185" s="8"/>
      <c r="K185" s="22"/>
      <c r="L185" s="8"/>
      <c r="M185" s="24"/>
    </row>
    <row r="186" spans="1:13">
      <c r="A186">
        <v>2015</v>
      </c>
      <c r="B186" s="9" t="s">
        <v>1128</v>
      </c>
      <c r="C186" s="21">
        <v>2455868.37</v>
      </c>
      <c r="D186" s="8"/>
      <c r="E186" s="22"/>
      <c r="F186" s="8"/>
      <c r="G186" s="24"/>
      <c r="H186" s="8"/>
      <c r="I186" s="23"/>
      <c r="J186" s="8"/>
      <c r="K186" s="22"/>
      <c r="L186" s="8"/>
      <c r="M186" s="24"/>
    </row>
    <row r="187" spans="1:13">
      <c r="A187">
        <v>2015</v>
      </c>
      <c r="B187" s="9" t="s">
        <v>1129</v>
      </c>
      <c r="C187" s="21">
        <v>1206476.3</v>
      </c>
      <c r="D187" s="8"/>
      <c r="E187" s="22"/>
      <c r="F187" s="8"/>
      <c r="G187" s="24"/>
      <c r="H187" s="8"/>
      <c r="I187" s="23"/>
      <c r="J187" s="8"/>
      <c r="K187" s="22"/>
      <c r="L187" s="8"/>
      <c r="M187" s="24"/>
    </row>
    <row r="188" spans="1:13">
      <c r="A188">
        <v>2015</v>
      </c>
      <c r="B188" s="9" t="s">
        <v>1130</v>
      </c>
      <c r="C188" s="21">
        <v>57021.88</v>
      </c>
      <c r="D188" s="8"/>
      <c r="E188" s="22"/>
      <c r="F188" s="8"/>
      <c r="G188" s="24"/>
      <c r="H188" s="8"/>
      <c r="I188" s="23"/>
      <c r="J188" s="8"/>
      <c r="K188" s="22"/>
      <c r="L188" s="8"/>
      <c r="M188" s="24"/>
    </row>
    <row r="189" spans="1:13">
      <c r="A189">
        <v>2015</v>
      </c>
      <c r="B189" s="9" t="s">
        <v>1131</v>
      </c>
      <c r="C189" s="21">
        <v>48592.08</v>
      </c>
      <c r="D189" s="8"/>
      <c r="E189" s="22"/>
      <c r="F189" s="8"/>
      <c r="G189" s="24"/>
      <c r="H189" s="8"/>
      <c r="I189" s="23"/>
      <c r="J189" s="8"/>
      <c r="K189" s="22"/>
      <c r="L189" s="8"/>
      <c r="M189" s="24"/>
    </row>
    <row r="190" spans="1:13">
      <c r="A190">
        <v>2015</v>
      </c>
      <c r="B190" s="9" t="s">
        <v>1132</v>
      </c>
      <c r="C190" s="21">
        <v>347422.87</v>
      </c>
      <c r="D190" s="8"/>
      <c r="E190" s="22"/>
      <c r="F190" s="8"/>
      <c r="G190" s="24"/>
      <c r="H190" s="8"/>
      <c r="I190" s="23"/>
      <c r="J190" s="8"/>
      <c r="K190" s="22"/>
      <c r="L190" s="8"/>
      <c r="M190" s="24"/>
    </row>
    <row r="191" spans="1:13">
      <c r="A191">
        <v>2015</v>
      </c>
      <c r="B191" s="9" t="s">
        <v>1133</v>
      </c>
      <c r="C191" s="21">
        <v>1285675.54</v>
      </c>
      <c r="D191" s="8"/>
      <c r="E191" s="22"/>
      <c r="F191" s="8"/>
      <c r="G191" s="24"/>
      <c r="H191" s="8"/>
      <c r="I191" s="23"/>
      <c r="J191" s="8"/>
      <c r="K191" s="22"/>
      <c r="L191" s="8"/>
      <c r="M191" s="24"/>
    </row>
    <row r="192" spans="1:13">
      <c r="A192">
        <v>2015</v>
      </c>
      <c r="B192" s="9" t="s">
        <v>1134</v>
      </c>
      <c r="C192" s="21">
        <v>10247.44</v>
      </c>
      <c r="D192" s="8"/>
      <c r="E192" s="22"/>
      <c r="F192" s="8"/>
      <c r="G192" s="24"/>
      <c r="H192" s="8"/>
      <c r="I192" s="23"/>
      <c r="J192" s="8"/>
      <c r="K192" s="22"/>
      <c r="L192" s="8"/>
      <c r="M192" s="24"/>
    </row>
    <row r="193" spans="1:13">
      <c r="A193">
        <v>2015</v>
      </c>
      <c r="B193" s="9" t="s">
        <v>1135</v>
      </c>
      <c r="C193" s="21">
        <v>708179.34</v>
      </c>
      <c r="D193" s="8"/>
      <c r="E193" s="22"/>
      <c r="F193" s="8"/>
      <c r="G193" s="24"/>
      <c r="H193" s="8"/>
      <c r="I193" s="23"/>
      <c r="J193" s="8"/>
      <c r="K193" s="22"/>
      <c r="L193" s="8"/>
      <c r="M193" s="24"/>
    </row>
    <row r="194" spans="1:13">
      <c r="A194">
        <v>2015</v>
      </c>
      <c r="B194" s="9" t="s">
        <v>1136</v>
      </c>
      <c r="C194" s="21">
        <v>1793368.27</v>
      </c>
      <c r="D194" s="8"/>
      <c r="E194" s="22"/>
      <c r="F194" s="8"/>
      <c r="G194" s="24"/>
      <c r="H194" s="8"/>
      <c r="I194" s="23"/>
      <c r="J194" s="8"/>
      <c r="K194" s="22"/>
      <c r="L194" s="8"/>
      <c r="M194" s="24"/>
    </row>
    <row r="195" spans="1:13">
      <c r="A195">
        <v>2015</v>
      </c>
      <c r="B195" s="9" t="s">
        <v>1137</v>
      </c>
      <c r="C195" s="21">
        <v>2589225.4500000002</v>
      </c>
      <c r="D195" s="8"/>
      <c r="E195" s="22"/>
      <c r="F195" s="8"/>
      <c r="G195" s="24"/>
      <c r="H195" s="8"/>
      <c r="I195" s="23"/>
      <c r="J195" s="8"/>
      <c r="K195" s="22"/>
      <c r="L195" s="8"/>
      <c r="M195" s="24"/>
    </row>
    <row r="196" spans="1:13">
      <c r="A196">
        <v>2015</v>
      </c>
      <c r="B196" s="9" t="s">
        <v>1138</v>
      </c>
      <c r="C196" s="21">
        <v>3108554.47</v>
      </c>
      <c r="D196" s="8"/>
      <c r="E196" s="22"/>
      <c r="F196" s="8"/>
      <c r="G196" s="24"/>
      <c r="H196" s="8"/>
      <c r="I196" s="23"/>
      <c r="J196" s="8"/>
      <c r="K196" s="22"/>
      <c r="L196" s="8"/>
      <c r="M196" s="24"/>
    </row>
    <row r="197" spans="1:13">
      <c r="A197">
        <v>2015</v>
      </c>
      <c r="B197" s="9" t="s">
        <v>1139</v>
      </c>
      <c r="C197" s="21">
        <v>47096.11</v>
      </c>
      <c r="D197" s="8"/>
      <c r="E197" s="22"/>
      <c r="F197" s="8"/>
      <c r="G197" s="24"/>
      <c r="H197" s="8"/>
      <c r="I197" s="23"/>
      <c r="J197" s="8"/>
      <c r="K197" s="22"/>
      <c r="L197" s="8"/>
      <c r="M197" s="24"/>
    </row>
    <row r="198" spans="1:13">
      <c r="A198">
        <v>2015</v>
      </c>
      <c r="B198" s="9" t="s">
        <v>1140</v>
      </c>
      <c r="C198" s="21">
        <v>131778.1</v>
      </c>
      <c r="D198" s="8"/>
      <c r="E198" s="22"/>
      <c r="F198" s="8"/>
      <c r="G198" s="24"/>
      <c r="H198" s="8"/>
      <c r="I198" s="23"/>
      <c r="J198" s="8"/>
      <c r="K198" s="22"/>
      <c r="L198" s="8"/>
      <c r="M198" s="24"/>
    </row>
    <row r="199" spans="1:13">
      <c r="A199">
        <v>2015</v>
      </c>
      <c r="B199" s="9" t="s">
        <v>1141</v>
      </c>
      <c r="C199" s="21">
        <v>247709.77</v>
      </c>
      <c r="D199" s="8"/>
      <c r="E199" s="22"/>
      <c r="F199" s="8"/>
      <c r="G199" s="24"/>
      <c r="H199" s="8"/>
      <c r="I199" s="23"/>
      <c r="J199" s="8"/>
      <c r="K199" s="22"/>
      <c r="L199" s="8"/>
      <c r="M199" s="24"/>
    </row>
    <row r="200" spans="1:13">
      <c r="A200">
        <v>2015</v>
      </c>
      <c r="B200" s="9" t="s">
        <v>1142</v>
      </c>
      <c r="C200" s="21">
        <v>1594651.34</v>
      </c>
      <c r="D200" s="8"/>
      <c r="E200" s="22"/>
      <c r="F200" s="8"/>
      <c r="G200" s="24"/>
      <c r="H200" s="8"/>
      <c r="I200" s="23"/>
      <c r="J200" s="8"/>
      <c r="K200" s="22"/>
      <c r="L200" s="8"/>
      <c r="M200" s="24"/>
    </row>
    <row r="201" spans="1:13">
      <c r="A201">
        <v>2015</v>
      </c>
      <c r="B201" s="9" t="s">
        <v>1143</v>
      </c>
      <c r="C201" s="21">
        <v>90234.06</v>
      </c>
      <c r="D201" s="8"/>
      <c r="E201" s="22"/>
      <c r="F201" s="8"/>
      <c r="G201" s="24"/>
      <c r="H201" s="8"/>
      <c r="I201" s="23"/>
      <c r="J201" s="8"/>
      <c r="K201" s="22"/>
      <c r="L201" s="8"/>
      <c r="M201" s="24"/>
    </row>
    <row r="202" spans="1:13">
      <c r="A202">
        <v>2015</v>
      </c>
      <c r="B202" s="9" t="s">
        <v>1144</v>
      </c>
      <c r="C202" s="25">
        <v>1890168.33</v>
      </c>
      <c r="D202" s="8"/>
      <c r="E202" s="22"/>
      <c r="F202" s="8"/>
      <c r="G202" s="17"/>
      <c r="H202" s="8"/>
      <c r="I202" s="17"/>
      <c r="J202" s="8"/>
      <c r="K202" s="22"/>
      <c r="L202" s="8"/>
      <c r="M202" s="17"/>
    </row>
    <row r="203" spans="1:13">
      <c r="A203">
        <v>2015</v>
      </c>
      <c r="B203" s="9" t="s">
        <v>1145</v>
      </c>
      <c r="C203" s="21">
        <v>78507.490000000005</v>
      </c>
      <c r="D203" s="8"/>
      <c r="E203" s="22"/>
      <c r="F203" s="8"/>
      <c r="G203" s="24"/>
      <c r="H203" s="8"/>
      <c r="I203" s="23"/>
      <c r="J203" s="8"/>
      <c r="K203" s="22"/>
      <c r="L203" s="8"/>
      <c r="M203" s="24"/>
    </row>
    <row r="204" spans="1:13">
      <c r="A204">
        <v>2015</v>
      </c>
      <c r="B204" s="9" t="s">
        <v>1146</v>
      </c>
      <c r="C204" s="21">
        <v>125283.52</v>
      </c>
      <c r="D204" s="8"/>
      <c r="E204" s="22"/>
      <c r="F204" s="8"/>
      <c r="G204" s="24"/>
      <c r="H204" s="8"/>
      <c r="I204" s="23"/>
      <c r="J204" s="8"/>
      <c r="K204" s="22"/>
      <c r="L204" s="8"/>
      <c r="M204" s="24"/>
    </row>
    <row r="205" spans="1:13">
      <c r="A205">
        <v>2015</v>
      </c>
      <c r="B205" s="9" t="s">
        <v>1147</v>
      </c>
      <c r="C205" s="21">
        <v>61728.04</v>
      </c>
      <c r="D205" s="8"/>
      <c r="E205" s="22"/>
      <c r="F205" s="8"/>
      <c r="G205" s="24"/>
      <c r="H205" s="8"/>
      <c r="I205" s="23"/>
      <c r="J205" s="8"/>
      <c r="K205" s="22"/>
      <c r="L205" s="8"/>
      <c r="M205" s="24"/>
    </row>
    <row r="206" spans="1:13">
      <c r="A206">
        <v>2015</v>
      </c>
      <c r="B206" s="9" t="s">
        <v>1148</v>
      </c>
      <c r="C206" s="21">
        <v>24123.86</v>
      </c>
      <c r="D206" s="8"/>
      <c r="E206" s="22"/>
      <c r="F206" s="8"/>
      <c r="G206" s="24"/>
      <c r="H206" s="8"/>
      <c r="I206" s="23"/>
      <c r="J206" s="8"/>
      <c r="K206" s="22"/>
      <c r="L206" s="8"/>
      <c r="M206" s="24"/>
    </row>
    <row r="207" spans="1:13">
      <c r="A207">
        <v>2015</v>
      </c>
      <c r="B207" s="9" t="s">
        <v>1149</v>
      </c>
      <c r="C207" s="21">
        <v>196591.9</v>
      </c>
      <c r="D207" s="8"/>
      <c r="E207" s="22"/>
      <c r="F207" s="8"/>
      <c r="G207" s="24"/>
      <c r="H207" s="8"/>
      <c r="I207" s="23"/>
      <c r="J207" s="8"/>
      <c r="K207" s="22"/>
      <c r="L207" s="8"/>
      <c r="M207" s="24"/>
    </row>
    <row r="208" spans="1:13">
      <c r="A208">
        <v>2015</v>
      </c>
      <c r="B208" s="9" t="s">
        <v>1150</v>
      </c>
      <c r="C208" s="21">
        <v>5226.5200000000004</v>
      </c>
      <c r="D208" s="8"/>
      <c r="E208" s="22"/>
      <c r="F208" s="8"/>
      <c r="G208" s="24"/>
      <c r="H208" s="8"/>
      <c r="I208" s="23"/>
      <c r="J208" s="8"/>
      <c r="K208" s="22"/>
      <c r="L208" s="8"/>
      <c r="M208" s="24"/>
    </row>
    <row r="209" spans="1:13">
      <c r="A209">
        <v>2015</v>
      </c>
      <c r="B209" s="9" t="s">
        <v>1151</v>
      </c>
      <c r="C209" s="21">
        <v>10918.97</v>
      </c>
      <c r="D209" s="8"/>
      <c r="E209" s="22"/>
      <c r="F209" s="8"/>
      <c r="G209" s="24"/>
      <c r="H209" s="8"/>
      <c r="I209" s="23"/>
      <c r="J209" s="8"/>
      <c r="K209" s="22"/>
      <c r="L209" s="8"/>
      <c r="M209" s="24"/>
    </row>
    <row r="210" spans="1:13">
      <c r="A210">
        <v>2015</v>
      </c>
      <c r="B210" s="9" t="s">
        <v>1152</v>
      </c>
      <c r="C210" s="21">
        <v>1745205.29</v>
      </c>
      <c r="D210" s="8"/>
      <c r="E210" s="22"/>
      <c r="F210" s="8"/>
      <c r="G210" s="24"/>
      <c r="H210" s="8"/>
      <c r="I210" s="23"/>
      <c r="J210" s="8"/>
      <c r="K210" s="22"/>
      <c r="L210" s="8"/>
      <c r="M210" s="24"/>
    </row>
    <row r="211" spans="1:13">
      <c r="A211">
        <v>2015</v>
      </c>
      <c r="B211" s="9" t="s">
        <v>1153</v>
      </c>
      <c r="C211" s="21">
        <v>2006811.99</v>
      </c>
      <c r="D211" s="8"/>
      <c r="E211" s="22"/>
      <c r="F211" s="8"/>
      <c r="G211" s="24"/>
      <c r="H211" s="8"/>
      <c r="I211" s="23"/>
      <c r="J211" s="8"/>
      <c r="K211" s="22"/>
      <c r="L211" s="8"/>
      <c r="M211" s="24"/>
    </row>
    <row r="212" spans="1:13">
      <c r="A212">
        <v>2015</v>
      </c>
      <c r="B212" s="9" t="s">
        <v>1154</v>
      </c>
      <c r="C212" s="21">
        <v>176310.07</v>
      </c>
      <c r="D212" s="8"/>
      <c r="E212" s="22"/>
      <c r="F212" s="8"/>
      <c r="G212" s="24"/>
      <c r="H212" s="8"/>
      <c r="I212" s="23"/>
      <c r="J212" s="8"/>
      <c r="K212" s="22"/>
      <c r="L212" s="8"/>
      <c r="M212" s="24"/>
    </row>
    <row r="213" spans="1:13">
      <c r="A213">
        <v>2015</v>
      </c>
      <c r="B213" s="9" t="s">
        <v>1155</v>
      </c>
      <c r="C213" s="21">
        <v>26601.65</v>
      </c>
      <c r="D213" s="8"/>
      <c r="E213" s="22"/>
      <c r="F213" s="8"/>
      <c r="G213" s="24"/>
      <c r="H213" s="8"/>
      <c r="I213" s="23"/>
      <c r="J213" s="8"/>
      <c r="K213" s="22"/>
      <c r="L213" s="8"/>
      <c r="M213" s="24"/>
    </row>
    <row r="214" spans="1:13">
      <c r="A214">
        <v>2015</v>
      </c>
      <c r="B214" s="9" t="s">
        <v>1156</v>
      </c>
      <c r="C214" s="21">
        <v>217443.85</v>
      </c>
      <c r="D214" s="8"/>
      <c r="E214" s="22"/>
      <c r="F214" s="8"/>
      <c r="G214" s="24"/>
      <c r="H214" s="8"/>
      <c r="I214" s="23"/>
      <c r="J214" s="8"/>
      <c r="K214" s="22"/>
      <c r="L214" s="8"/>
      <c r="M214" s="24"/>
    </row>
    <row r="215" spans="1:13">
      <c r="A215">
        <v>2015</v>
      </c>
      <c r="B215" s="9" t="s">
        <v>1157</v>
      </c>
      <c r="C215" s="21">
        <v>376014.92</v>
      </c>
      <c r="D215" s="8"/>
      <c r="E215" s="22"/>
      <c r="F215" s="8"/>
      <c r="G215" s="24"/>
      <c r="H215" s="8"/>
      <c r="I215" s="23"/>
      <c r="J215" s="8"/>
      <c r="K215" s="22"/>
      <c r="L215" s="8"/>
      <c r="M215" s="24"/>
    </row>
    <row r="216" spans="1:13">
      <c r="A216">
        <v>2015</v>
      </c>
      <c r="B216" s="9" t="s">
        <v>1158</v>
      </c>
      <c r="C216" s="21">
        <v>38037.19</v>
      </c>
      <c r="D216" s="8"/>
      <c r="E216" s="22"/>
      <c r="F216" s="8"/>
      <c r="G216" s="24"/>
      <c r="H216" s="8"/>
      <c r="I216" s="23"/>
      <c r="J216" s="8"/>
      <c r="K216" s="22"/>
      <c r="L216" s="8"/>
      <c r="M216" s="24"/>
    </row>
    <row r="217" spans="1:13">
      <c r="A217">
        <v>2015</v>
      </c>
      <c r="B217" s="9" t="s">
        <v>1159</v>
      </c>
      <c r="C217" s="21">
        <v>335985.68</v>
      </c>
      <c r="D217" s="8"/>
      <c r="E217" s="22"/>
      <c r="F217" s="8"/>
      <c r="G217" s="24"/>
      <c r="H217" s="8"/>
      <c r="I217" s="23"/>
      <c r="J217" s="8"/>
      <c r="K217" s="22"/>
      <c r="L217" s="8"/>
      <c r="M217" s="24"/>
    </row>
    <row r="218" spans="1:13">
      <c r="A218">
        <v>2015</v>
      </c>
      <c r="B218" s="9" t="s">
        <v>1160</v>
      </c>
      <c r="C218" s="21">
        <v>281661.59000000003</v>
      </c>
      <c r="D218" s="8"/>
      <c r="E218" s="22"/>
      <c r="F218" s="8"/>
      <c r="G218" s="24"/>
      <c r="H218" s="8"/>
      <c r="I218" s="23"/>
      <c r="J218" s="8"/>
      <c r="K218" s="22"/>
      <c r="L218" s="8"/>
      <c r="M218" s="24"/>
    </row>
    <row r="219" spans="1:13">
      <c r="A219">
        <v>2015</v>
      </c>
      <c r="B219" s="9" t="s">
        <v>1161</v>
      </c>
      <c r="C219" s="21">
        <v>1026725.51</v>
      </c>
      <c r="D219" s="8"/>
      <c r="E219" s="22"/>
      <c r="F219" s="8"/>
      <c r="G219" s="24"/>
      <c r="H219" s="8"/>
      <c r="I219" s="23"/>
      <c r="J219" s="8"/>
      <c r="K219" s="22"/>
      <c r="L219" s="8"/>
      <c r="M219" s="24"/>
    </row>
    <row r="220" spans="1:13">
      <c r="A220">
        <v>2015</v>
      </c>
      <c r="B220" s="9" t="s">
        <v>1162</v>
      </c>
      <c r="C220" s="21">
        <v>364584.41</v>
      </c>
      <c r="D220" s="8"/>
      <c r="E220" s="22"/>
      <c r="F220" s="8"/>
      <c r="G220" s="24"/>
      <c r="H220" s="8"/>
      <c r="I220" s="23"/>
      <c r="J220" s="8"/>
      <c r="K220" s="22"/>
      <c r="L220" s="8"/>
      <c r="M220" s="24"/>
    </row>
    <row r="221" spans="1:13">
      <c r="A221">
        <v>2015</v>
      </c>
      <c r="B221" s="9" t="s">
        <v>1163</v>
      </c>
      <c r="C221" s="21">
        <v>11931.3</v>
      </c>
      <c r="D221" s="8"/>
      <c r="E221" s="22"/>
      <c r="F221" s="8"/>
      <c r="G221" s="24"/>
      <c r="H221" s="8"/>
      <c r="I221" s="23"/>
      <c r="J221" s="8"/>
      <c r="K221" s="22"/>
      <c r="L221" s="8"/>
      <c r="M221" s="24"/>
    </row>
    <row r="222" spans="1:13">
      <c r="A222">
        <v>2015</v>
      </c>
      <c r="B222" s="9" t="s">
        <v>1164</v>
      </c>
      <c r="C222" s="21">
        <v>868988.44</v>
      </c>
      <c r="D222" s="8"/>
      <c r="E222" s="22"/>
      <c r="F222" s="8"/>
      <c r="G222" s="24"/>
      <c r="H222" s="8"/>
      <c r="I222" s="23"/>
      <c r="J222" s="8"/>
      <c r="K222" s="22"/>
      <c r="L222" s="8"/>
      <c r="M222" s="24"/>
    </row>
    <row r="223" spans="1:13">
      <c r="A223">
        <v>2015</v>
      </c>
      <c r="B223" s="9" t="s">
        <v>1165</v>
      </c>
      <c r="C223" s="21">
        <v>117107.33</v>
      </c>
      <c r="D223" s="8"/>
      <c r="E223" s="22"/>
      <c r="F223" s="8"/>
      <c r="G223" s="24"/>
      <c r="H223" s="8"/>
      <c r="I223" s="23"/>
      <c r="J223" s="8"/>
      <c r="K223" s="22"/>
      <c r="L223" s="8"/>
      <c r="M223" s="24"/>
    </row>
    <row r="224" spans="1:13">
      <c r="A224">
        <v>2015</v>
      </c>
      <c r="B224" s="9" t="s">
        <v>1166</v>
      </c>
      <c r="C224" s="21">
        <v>2449100.16</v>
      </c>
      <c r="D224" s="8"/>
      <c r="E224" s="22"/>
      <c r="F224" s="8"/>
      <c r="G224" s="24"/>
      <c r="H224" s="8"/>
      <c r="I224" s="23"/>
      <c r="J224" s="8"/>
      <c r="K224" s="22"/>
      <c r="L224" s="8"/>
      <c r="M224" s="24"/>
    </row>
    <row r="225" spans="1:13">
      <c r="A225">
        <v>2015</v>
      </c>
      <c r="B225" s="9" t="s">
        <v>1167</v>
      </c>
      <c r="C225" s="21">
        <v>3876272.75</v>
      </c>
      <c r="D225" s="8"/>
      <c r="E225" s="22"/>
      <c r="F225" s="8"/>
      <c r="G225" s="24"/>
      <c r="H225" s="8"/>
      <c r="I225" s="23"/>
      <c r="J225" s="8"/>
      <c r="K225" s="22"/>
      <c r="L225" s="8"/>
      <c r="M225" s="24"/>
    </row>
    <row r="226" spans="1:13">
      <c r="A226">
        <v>2015</v>
      </c>
      <c r="B226" s="9" t="s">
        <v>1168</v>
      </c>
      <c r="C226" s="21">
        <v>168797.31</v>
      </c>
      <c r="D226" s="8"/>
      <c r="E226" s="22"/>
      <c r="F226" s="8"/>
      <c r="G226" s="24"/>
      <c r="H226" s="8"/>
      <c r="I226" s="23"/>
      <c r="J226" s="8"/>
      <c r="K226" s="22"/>
      <c r="L226" s="8"/>
      <c r="M226" s="24"/>
    </row>
    <row r="227" spans="1:13">
      <c r="A227">
        <v>2015</v>
      </c>
      <c r="B227" s="9" t="s">
        <v>1169</v>
      </c>
      <c r="C227" s="21">
        <v>63584.04</v>
      </c>
      <c r="D227" s="8"/>
      <c r="E227" s="22"/>
      <c r="F227" s="8"/>
      <c r="G227" s="24"/>
      <c r="H227" s="8"/>
      <c r="I227" s="23"/>
      <c r="J227" s="8"/>
      <c r="K227" s="22"/>
      <c r="L227" s="8"/>
      <c r="M227" s="24"/>
    </row>
    <row r="228" spans="1:13">
      <c r="A228">
        <v>2015</v>
      </c>
      <c r="B228" s="9" t="s">
        <v>1170</v>
      </c>
      <c r="C228" s="21">
        <v>209972.86</v>
      </c>
      <c r="D228" s="8"/>
      <c r="E228" s="22"/>
      <c r="F228" s="8"/>
      <c r="G228" s="24"/>
      <c r="H228" s="8"/>
      <c r="I228" s="23"/>
      <c r="J228" s="8"/>
      <c r="K228" s="22"/>
      <c r="L228" s="8"/>
      <c r="M228" s="24"/>
    </row>
    <row r="229" spans="1:13">
      <c r="A229">
        <v>2015</v>
      </c>
      <c r="B229" s="9" t="s">
        <v>1171</v>
      </c>
      <c r="C229" s="21">
        <v>9421.2099999999991</v>
      </c>
      <c r="D229" s="8"/>
      <c r="E229" s="22"/>
      <c r="F229" s="8"/>
      <c r="G229" s="24"/>
      <c r="H229" s="8"/>
      <c r="I229" s="23"/>
      <c r="J229" s="8"/>
      <c r="K229" s="22"/>
      <c r="L229" s="8"/>
      <c r="M229" s="24"/>
    </row>
    <row r="230" spans="1:13">
      <c r="A230">
        <v>2015</v>
      </c>
      <c r="B230" s="9" t="s">
        <v>1172</v>
      </c>
      <c r="C230" s="21">
        <v>93184.93</v>
      </c>
      <c r="D230" s="8"/>
      <c r="E230" s="22"/>
      <c r="F230" s="8"/>
      <c r="G230" s="24"/>
      <c r="H230" s="8"/>
      <c r="I230" s="23"/>
      <c r="J230" s="8"/>
      <c r="K230" s="22"/>
      <c r="L230" s="8"/>
      <c r="M230" s="24"/>
    </row>
    <row r="231" spans="1:13">
      <c r="A231">
        <v>2015</v>
      </c>
      <c r="B231" s="9" t="s">
        <v>1173</v>
      </c>
      <c r="C231" s="21">
        <v>135894.76999999999</v>
      </c>
      <c r="D231" s="8"/>
      <c r="E231" s="22"/>
      <c r="F231" s="8"/>
      <c r="G231" s="24"/>
      <c r="H231" s="8"/>
      <c r="I231" s="23"/>
      <c r="J231" s="8"/>
      <c r="K231" s="22"/>
      <c r="L231" s="8"/>
      <c r="M231" s="24"/>
    </row>
    <row r="232" spans="1:13">
      <c r="A232">
        <v>2015</v>
      </c>
      <c r="B232" s="9" t="s">
        <v>1174</v>
      </c>
      <c r="C232" s="21">
        <v>8701705.0500000007</v>
      </c>
      <c r="D232" s="8"/>
      <c r="E232" s="22"/>
      <c r="F232" s="8"/>
      <c r="G232" s="24"/>
      <c r="H232" s="8"/>
      <c r="I232" s="23"/>
      <c r="J232" s="8"/>
      <c r="K232" s="22"/>
      <c r="L232" s="8"/>
      <c r="M232" s="24"/>
    </row>
    <row r="233" spans="1:13">
      <c r="A233">
        <v>2015</v>
      </c>
      <c r="B233" s="9" t="s">
        <v>1175</v>
      </c>
      <c r="C233" s="21">
        <v>9087305.4299999997</v>
      </c>
      <c r="D233" s="8"/>
      <c r="E233" s="22"/>
      <c r="F233" s="8"/>
      <c r="G233" s="24"/>
      <c r="H233" s="8"/>
      <c r="I233" s="23"/>
      <c r="J233" s="8"/>
      <c r="K233" s="22"/>
      <c r="L233" s="8"/>
      <c r="M233" s="24"/>
    </row>
    <row r="234" spans="1:13">
      <c r="A234">
        <v>2015</v>
      </c>
      <c r="B234" s="9" t="s">
        <v>1176</v>
      </c>
      <c r="C234" s="21">
        <v>59547.5</v>
      </c>
      <c r="D234" s="8"/>
      <c r="E234" s="22"/>
      <c r="F234" s="8"/>
      <c r="G234" s="24"/>
      <c r="H234" s="8"/>
      <c r="I234" s="23"/>
      <c r="J234" s="8"/>
      <c r="K234" s="22"/>
      <c r="L234" s="8"/>
      <c r="M234" s="24"/>
    </row>
    <row r="235" spans="1:13">
      <c r="A235">
        <v>2015</v>
      </c>
      <c r="B235" s="9" t="s">
        <v>1177</v>
      </c>
      <c r="C235" s="21">
        <v>155540.18</v>
      </c>
      <c r="D235" s="8"/>
      <c r="E235" s="22"/>
      <c r="F235" s="8"/>
      <c r="G235" s="24"/>
      <c r="H235" s="8"/>
      <c r="I235" s="23"/>
      <c r="J235" s="8"/>
      <c r="K235" s="22"/>
      <c r="L235" s="8"/>
      <c r="M235" s="24"/>
    </row>
    <row r="236" spans="1:13">
      <c r="A236">
        <v>2015</v>
      </c>
      <c r="B236" s="9" t="s">
        <v>1178</v>
      </c>
      <c r="C236" s="21">
        <v>16562.810000000001</v>
      </c>
      <c r="D236" s="8"/>
      <c r="E236" s="22"/>
      <c r="F236" s="8"/>
      <c r="G236" s="24"/>
      <c r="H236" s="8"/>
      <c r="I236" s="23"/>
      <c r="J236" s="8"/>
      <c r="K236" s="22"/>
      <c r="L236" s="8"/>
      <c r="M236" s="24"/>
    </row>
    <row r="237" spans="1:13">
      <c r="A237">
        <v>2015</v>
      </c>
      <c r="B237" s="9" t="s">
        <v>1179</v>
      </c>
      <c r="C237" s="21">
        <v>28673.93</v>
      </c>
      <c r="D237" s="8"/>
      <c r="E237" s="22"/>
      <c r="F237" s="8"/>
      <c r="G237" s="24"/>
      <c r="H237" s="8"/>
      <c r="I237" s="23"/>
      <c r="J237" s="8"/>
      <c r="K237" s="22"/>
      <c r="L237" s="8"/>
      <c r="M237" s="24"/>
    </row>
    <row r="238" spans="1:13">
      <c r="A238">
        <v>2015</v>
      </c>
      <c r="B238" s="9" t="s">
        <v>1180</v>
      </c>
      <c r="C238" s="21">
        <v>759626.06</v>
      </c>
      <c r="D238" s="8"/>
      <c r="E238" s="22"/>
      <c r="F238" s="8"/>
      <c r="G238" s="24"/>
      <c r="H238" s="8"/>
      <c r="I238" s="23"/>
      <c r="J238" s="8"/>
      <c r="K238" s="22"/>
      <c r="L238" s="8"/>
      <c r="M238" s="24"/>
    </row>
    <row r="239" spans="1:13">
      <c r="A239">
        <v>2015</v>
      </c>
      <c r="B239" s="9" t="s">
        <v>1181</v>
      </c>
      <c r="C239" s="21">
        <v>1105133.8999999999</v>
      </c>
      <c r="D239" s="8"/>
      <c r="E239" s="22"/>
      <c r="F239" s="8"/>
      <c r="G239" s="24"/>
      <c r="H239" s="8"/>
      <c r="I239" s="23"/>
      <c r="J239" s="8"/>
      <c r="K239" s="22"/>
      <c r="L239" s="8"/>
      <c r="M239" s="24"/>
    </row>
    <row r="240" spans="1:13">
      <c r="A240">
        <v>2015</v>
      </c>
      <c r="B240" s="9" t="s">
        <v>1182</v>
      </c>
      <c r="C240" s="21">
        <v>49645.96</v>
      </c>
      <c r="D240" s="8"/>
      <c r="E240" s="22"/>
      <c r="F240" s="8"/>
      <c r="G240" s="24"/>
      <c r="H240" s="8"/>
      <c r="I240" s="23"/>
      <c r="J240" s="8"/>
      <c r="K240" s="22"/>
      <c r="L240" s="8"/>
      <c r="M240" s="24"/>
    </row>
    <row r="241" spans="1:13">
      <c r="A241">
        <v>2015</v>
      </c>
      <c r="B241" s="9" t="s">
        <v>1183</v>
      </c>
      <c r="C241" s="21">
        <v>49223.21</v>
      </c>
      <c r="D241" s="8"/>
      <c r="E241" s="22"/>
      <c r="F241" s="8"/>
      <c r="G241" s="24"/>
      <c r="H241" s="8"/>
      <c r="I241" s="23"/>
      <c r="J241" s="8"/>
      <c r="K241" s="22"/>
      <c r="L241" s="8"/>
      <c r="M241" s="24"/>
    </row>
    <row r="242" spans="1:13">
      <c r="A242">
        <v>2015</v>
      </c>
      <c r="B242" s="9" t="s">
        <v>1184</v>
      </c>
      <c r="C242" s="21">
        <v>8279.34</v>
      </c>
      <c r="D242" s="8"/>
      <c r="E242" s="22"/>
      <c r="F242" s="8"/>
      <c r="G242" s="24"/>
      <c r="H242" s="8"/>
      <c r="I242" s="23"/>
      <c r="J242" s="8"/>
      <c r="K242" s="22"/>
      <c r="L242" s="8"/>
      <c r="M242" s="24"/>
    </row>
    <row r="243" spans="1:13">
      <c r="A243">
        <v>2015</v>
      </c>
      <c r="B243" s="9" t="s">
        <v>1185</v>
      </c>
      <c r="C243" s="21">
        <v>534783.61</v>
      </c>
      <c r="D243" s="8"/>
      <c r="E243" s="22"/>
      <c r="F243" s="8"/>
      <c r="G243" s="24"/>
      <c r="H243" s="8"/>
      <c r="I243" s="23"/>
      <c r="J243" s="8"/>
      <c r="K243" s="22"/>
      <c r="L243" s="8"/>
      <c r="M243" s="24"/>
    </row>
    <row r="244" spans="1:13">
      <c r="A244">
        <v>2015</v>
      </c>
      <c r="B244" s="9" t="s">
        <v>1186</v>
      </c>
      <c r="C244" s="21">
        <v>4882.26</v>
      </c>
      <c r="D244" s="8"/>
      <c r="E244" s="22"/>
      <c r="F244" s="8"/>
      <c r="G244" s="24"/>
      <c r="H244" s="8"/>
      <c r="I244" s="23"/>
      <c r="J244" s="8"/>
      <c r="K244" s="22"/>
      <c r="L244" s="8"/>
      <c r="M244" s="24"/>
    </row>
    <row r="245" spans="1:13">
      <c r="A245">
        <v>2015</v>
      </c>
      <c r="B245" s="9" t="s">
        <v>1187</v>
      </c>
      <c r="C245" s="21">
        <v>1847729.95</v>
      </c>
      <c r="D245" s="8"/>
      <c r="E245" s="22"/>
      <c r="F245" s="8"/>
      <c r="G245" s="24"/>
      <c r="H245" s="8"/>
      <c r="I245" s="23"/>
      <c r="J245" s="8"/>
      <c r="K245" s="22"/>
      <c r="L245" s="8"/>
      <c r="M245" s="24"/>
    </row>
    <row r="246" spans="1:13">
      <c r="A246">
        <v>2015</v>
      </c>
      <c r="B246" s="9" t="s">
        <v>1188</v>
      </c>
      <c r="C246" s="21">
        <v>3430823.59</v>
      </c>
      <c r="D246" s="8"/>
      <c r="E246" s="22"/>
      <c r="F246" s="8"/>
      <c r="G246" s="24"/>
      <c r="H246" s="8"/>
      <c r="I246" s="23"/>
      <c r="J246" s="8"/>
      <c r="K246" s="22"/>
      <c r="L246" s="8"/>
      <c r="M246" s="24"/>
    </row>
    <row r="247" spans="1:13">
      <c r="A247">
        <v>2015</v>
      </c>
      <c r="B247" s="9" t="s">
        <v>1189</v>
      </c>
      <c r="C247" s="21">
        <v>3364013.49</v>
      </c>
      <c r="D247" s="8"/>
      <c r="E247" s="22"/>
      <c r="F247" s="8"/>
      <c r="G247" s="24"/>
      <c r="H247" s="8"/>
      <c r="I247" s="23"/>
      <c r="J247" s="8"/>
      <c r="K247" s="22"/>
      <c r="L247" s="8"/>
      <c r="M247" s="24"/>
    </row>
    <row r="248" spans="1:13">
      <c r="A248">
        <v>2015</v>
      </c>
      <c r="B248" s="9" t="s">
        <v>1190</v>
      </c>
      <c r="C248" s="21">
        <v>2020002.12</v>
      </c>
      <c r="D248" s="8"/>
      <c r="E248" s="22"/>
      <c r="F248" s="8"/>
      <c r="G248" s="24"/>
      <c r="H248" s="8"/>
      <c r="I248" s="23"/>
      <c r="J248" s="8"/>
      <c r="K248" s="22"/>
      <c r="L248" s="8"/>
      <c r="M248" s="24"/>
    </row>
    <row r="249" spans="1:13">
      <c r="A249">
        <v>2015</v>
      </c>
      <c r="B249" s="9" t="s">
        <v>1191</v>
      </c>
      <c r="C249" s="21">
        <v>79183.7</v>
      </c>
      <c r="D249" s="8"/>
      <c r="E249" s="22"/>
      <c r="F249" s="8"/>
      <c r="G249" s="24"/>
      <c r="H249" s="8"/>
      <c r="I249" s="23"/>
      <c r="J249" s="8"/>
      <c r="K249" s="22"/>
      <c r="L249" s="8"/>
      <c r="M249" s="24"/>
    </row>
    <row r="250" spans="1:13">
      <c r="A250">
        <v>2015</v>
      </c>
      <c r="B250" s="9" t="s">
        <v>1192</v>
      </c>
      <c r="C250" s="21">
        <v>55620.05</v>
      </c>
      <c r="D250" s="8"/>
      <c r="E250" s="22"/>
      <c r="F250" s="8"/>
      <c r="G250" s="24"/>
      <c r="H250" s="8"/>
      <c r="I250" s="23"/>
      <c r="J250" s="8"/>
      <c r="K250" s="22"/>
      <c r="L250" s="8"/>
      <c r="M250" s="24"/>
    </row>
    <row r="251" spans="1:13">
      <c r="A251">
        <v>2015</v>
      </c>
      <c r="B251" s="9" t="s">
        <v>1193</v>
      </c>
      <c r="C251" s="21">
        <v>52425.42</v>
      </c>
      <c r="D251" s="8"/>
      <c r="E251" s="22"/>
      <c r="F251" s="8"/>
      <c r="G251" s="24"/>
      <c r="H251" s="8"/>
      <c r="I251" s="23"/>
      <c r="J251" s="8"/>
      <c r="K251" s="22"/>
      <c r="L251" s="8"/>
      <c r="M251" s="24"/>
    </row>
    <row r="252" spans="1:13">
      <c r="A252">
        <v>2015</v>
      </c>
      <c r="B252" s="9" t="s">
        <v>1194</v>
      </c>
      <c r="C252" s="21">
        <v>814075.64</v>
      </c>
      <c r="D252" s="8"/>
      <c r="E252" s="22"/>
      <c r="F252" s="8"/>
      <c r="G252" s="17"/>
      <c r="H252" s="8"/>
      <c r="I252" s="17"/>
      <c r="J252" s="8"/>
      <c r="K252" s="22"/>
      <c r="L252" s="8"/>
      <c r="M252" s="17"/>
    </row>
    <row r="253" spans="1:13">
      <c r="A253">
        <v>2015</v>
      </c>
      <c r="B253" s="9" t="s">
        <v>1195</v>
      </c>
      <c r="C253" s="21">
        <v>31012.97</v>
      </c>
      <c r="D253" s="8"/>
      <c r="E253" s="22"/>
      <c r="F253" s="8"/>
      <c r="G253" s="24"/>
      <c r="H253" s="8"/>
      <c r="I253" s="23"/>
      <c r="J253" s="8"/>
      <c r="K253" s="22"/>
      <c r="L253" s="8"/>
      <c r="M253" s="24"/>
    </row>
    <row r="254" spans="1:13">
      <c r="A254">
        <v>2015</v>
      </c>
      <c r="B254" s="9" t="s">
        <v>1196</v>
      </c>
      <c r="C254" s="21">
        <v>2035592.85</v>
      </c>
      <c r="D254" s="8"/>
      <c r="E254" s="22"/>
      <c r="F254" s="8"/>
      <c r="G254" s="24"/>
      <c r="H254" s="8"/>
      <c r="I254" s="23"/>
      <c r="J254" s="8"/>
      <c r="K254" s="22"/>
      <c r="L254" s="8"/>
      <c r="M254" s="24"/>
    </row>
    <row r="255" spans="1:13">
      <c r="A255">
        <v>2015</v>
      </c>
      <c r="B255" s="9" t="s">
        <v>1197</v>
      </c>
      <c r="C255" s="21">
        <v>193593.22</v>
      </c>
      <c r="D255" s="8"/>
      <c r="E255" s="22"/>
      <c r="F255" s="8"/>
      <c r="G255" s="24"/>
      <c r="H255" s="8"/>
      <c r="I255" s="23"/>
      <c r="J255" s="8"/>
      <c r="K255" s="22"/>
      <c r="L255" s="8"/>
      <c r="M255" s="24"/>
    </row>
    <row r="256" spans="1:13">
      <c r="A256">
        <v>2015</v>
      </c>
      <c r="B256" s="9" t="s">
        <v>1198</v>
      </c>
      <c r="C256" s="21">
        <v>462990.68</v>
      </c>
      <c r="D256" s="8"/>
      <c r="E256" s="22"/>
      <c r="F256" s="8"/>
      <c r="G256" s="24"/>
      <c r="H256" s="8"/>
      <c r="I256" s="23"/>
      <c r="J256" s="8"/>
      <c r="K256" s="22"/>
      <c r="L256" s="8"/>
      <c r="M256" s="24"/>
    </row>
    <row r="257" spans="1:13">
      <c r="A257">
        <v>2015</v>
      </c>
      <c r="B257" s="9" t="s">
        <v>1199</v>
      </c>
      <c r="C257" s="21">
        <v>1587820.26</v>
      </c>
      <c r="D257" s="8"/>
      <c r="E257" s="22"/>
      <c r="F257" s="8"/>
      <c r="G257" s="24"/>
      <c r="H257" s="8"/>
      <c r="I257" s="23"/>
      <c r="J257" s="8"/>
      <c r="K257" s="22"/>
      <c r="L257" s="8"/>
      <c r="M257" s="24"/>
    </row>
    <row r="258" spans="1:13">
      <c r="A258">
        <v>2015</v>
      </c>
      <c r="B258" s="9" t="s">
        <v>1200</v>
      </c>
      <c r="C258" s="21">
        <v>9253.5499999999993</v>
      </c>
      <c r="D258" s="8"/>
      <c r="E258" s="22"/>
      <c r="F258" s="8"/>
      <c r="G258" s="24"/>
      <c r="H258" s="8"/>
      <c r="I258" s="23"/>
      <c r="J258" s="8"/>
      <c r="K258" s="22"/>
      <c r="L258" s="8"/>
      <c r="M258" s="24"/>
    </row>
    <row r="259" spans="1:13">
      <c r="A259">
        <v>2015</v>
      </c>
      <c r="B259" s="9" t="s">
        <v>1201</v>
      </c>
      <c r="C259" s="21">
        <v>87902.24</v>
      </c>
      <c r="D259" s="8"/>
      <c r="E259" s="22"/>
      <c r="F259" s="8"/>
      <c r="G259" s="24"/>
      <c r="H259" s="8"/>
      <c r="I259" s="23"/>
      <c r="J259" s="8"/>
      <c r="K259" s="22"/>
      <c r="L259" s="8"/>
      <c r="M259" s="24"/>
    </row>
    <row r="260" spans="1:13">
      <c r="A260">
        <v>2015</v>
      </c>
      <c r="B260" s="9" t="s">
        <v>1202</v>
      </c>
      <c r="C260" s="21">
        <v>70749.5</v>
      </c>
      <c r="D260" s="8"/>
      <c r="E260" s="22"/>
      <c r="F260" s="8"/>
      <c r="G260" s="24"/>
      <c r="H260" s="8"/>
      <c r="I260" s="23"/>
      <c r="J260" s="8"/>
      <c r="K260" s="22"/>
      <c r="L260" s="8"/>
      <c r="M260" s="24"/>
    </row>
    <row r="261" spans="1:13">
      <c r="A261">
        <v>2015</v>
      </c>
      <c r="B261" s="9" t="s">
        <v>1203</v>
      </c>
      <c r="C261" s="21">
        <v>132913.07</v>
      </c>
      <c r="D261" s="8"/>
      <c r="E261" s="22"/>
      <c r="F261" s="8"/>
      <c r="G261" s="24"/>
      <c r="H261" s="8"/>
      <c r="I261" s="23"/>
      <c r="J261" s="8"/>
      <c r="K261" s="22"/>
      <c r="L261" s="8"/>
      <c r="M261" s="24"/>
    </row>
    <row r="262" spans="1:13">
      <c r="A262">
        <v>2015</v>
      </c>
      <c r="B262" s="9" t="s">
        <v>1204</v>
      </c>
      <c r="C262" s="21">
        <v>401830.3</v>
      </c>
      <c r="D262" s="8"/>
      <c r="E262" s="22"/>
      <c r="F262" s="8"/>
      <c r="G262" s="24"/>
      <c r="H262" s="8"/>
      <c r="I262" s="23"/>
      <c r="J262" s="8"/>
      <c r="K262" s="22"/>
      <c r="L262" s="8"/>
      <c r="M262" s="24"/>
    </row>
    <row r="263" spans="1:13">
      <c r="A263">
        <v>2015</v>
      </c>
      <c r="B263" s="9" t="s">
        <v>1205</v>
      </c>
      <c r="C263" s="21">
        <v>756081.61</v>
      </c>
      <c r="D263" s="8"/>
      <c r="E263" s="22"/>
      <c r="F263" s="8"/>
      <c r="G263" s="24"/>
      <c r="H263" s="8"/>
      <c r="I263" s="23"/>
      <c r="J263" s="8"/>
      <c r="K263" s="22"/>
      <c r="L263" s="8"/>
      <c r="M263" s="24"/>
    </row>
    <row r="264" spans="1:13">
      <c r="A264">
        <v>2015</v>
      </c>
      <c r="B264" s="9" t="s">
        <v>1206</v>
      </c>
      <c r="C264" s="21">
        <v>8226845.7800000003</v>
      </c>
      <c r="D264" s="8"/>
      <c r="E264" s="22"/>
      <c r="F264" s="8"/>
      <c r="G264" s="24"/>
      <c r="H264" s="8"/>
      <c r="I264" s="23"/>
      <c r="J264" s="8"/>
      <c r="K264" s="22"/>
      <c r="L264" s="8"/>
      <c r="M264" s="24"/>
    </row>
    <row r="265" spans="1:13">
      <c r="A265">
        <v>2015</v>
      </c>
      <c r="B265" s="9" t="s">
        <v>1207</v>
      </c>
      <c r="C265" s="21">
        <v>25743.57</v>
      </c>
      <c r="D265" s="8"/>
      <c r="E265" s="22"/>
      <c r="F265" s="8"/>
      <c r="G265" s="24"/>
      <c r="H265" s="8"/>
      <c r="I265" s="23"/>
      <c r="J265" s="8"/>
      <c r="K265" s="22"/>
      <c r="L265" s="8"/>
      <c r="M265" s="24"/>
    </row>
    <row r="266" spans="1:13">
      <c r="A266">
        <v>2015</v>
      </c>
      <c r="B266" s="9" t="s">
        <v>1208</v>
      </c>
      <c r="C266" s="21">
        <v>118276.27</v>
      </c>
      <c r="D266" s="8"/>
      <c r="E266" s="22"/>
      <c r="F266" s="8"/>
      <c r="G266" s="24"/>
      <c r="H266" s="8"/>
      <c r="I266" s="23"/>
      <c r="J266" s="8"/>
      <c r="K266" s="22"/>
      <c r="L266" s="8"/>
      <c r="M266" s="24"/>
    </row>
    <row r="267" spans="1:13">
      <c r="A267">
        <v>2015</v>
      </c>
      <c r="B267" s="9" t="s">
        <v>1209</v>
      </c>
      <c r="C267" s="21">
        <v>17200.25</v>
      </c>
      <c r="D267" s="8"/>
      <c r="E267" s="22"/>
      <c r="F267" s="8"/>
      <c r="G267" s="24"/>
      <c r="H267" s="8"/>
      <c r="I267" s="23"/>
      <c r="J267" s="8"/>
      <c r="K267" s="22"/>
      <c r="L267" s="8"/>
      <c r="M267" s="24"/>
    </row>
    <row r="268" spans="1:13">
      <c r="A268">
        <v>2015</v>
      </c>
      <c r="B268" s="9" t="s">
        <v>1210</v>
      </c>
      <c r="C268" s="21">
        <v>16472.5</v>
      </c>
      <c r="D268" s="8"/>
      <c r="E268" s="22"/>
      <c r="F268" s="8"/>
      <c r="G268" s="24"/>
      <c r="H268" s="8"/>
      <c r="I268" s="23"/>
      <c r="J268" s="8"/>
      <c r="K268" s="22"/>
      <c r="L268" s="8"/>
      <c r="M268" s="24"/>
    </row>
    <row r="269" spans="1:13">
      <c r="A269">
        <v>2015</v>
      </c>
      <c r="B269" s="9" t="s">
        <v>1211</v>
      </c>
      <c r="C269" s="21">
        <v>31793.37</v>
      </c>
      <c r="D269" s="8"/>
      <c r="E269" s="22"/>
      <c r="F269" s="8"/>
      <c r="G269" s="24"/>
      <c r="H269" s="8"/>
      <c r="I269" s="23"/>
      <c r="J269" s="8"/>
      <c r="K269" s="22"/>
      <c r="L269" s="8"/>
      <c r="M269" s="24"/>
    </row>
    <row r="270" spans="1:13">
      <c r="A270">
        <v>2015</v>
      </c>
      <c r="B270" s="9" t="s">
        <v>1212</v>
      </c>
      <c r="C270" s="21">
        <v>73324.89</v>
      </c>
      <c r="D270" s="8"/>
      <c r="E270" s="22"/>
      <c r="F270" s="8"/>
      <c r="G270" s="24"/>
      <c r="H270" s="8"/>
      <c r="I270" s="23"/>
      <c r="J270" s="8"/>
      <c r="K270" s="22"/>
      <c r="L270" s="8"/>
      <c r="M270" s="24"/>
    </row>
    <row r="271" spans="1:13">
      <c r="A271">
        <v>2015</v>
      </c>
      <c r="B271" s="9" t="s">
        <v>1213</v>
      </c>
      <c r="C271" s="21">
        <v>377763.09</v>
      </c>
      <c r="D271" s="8"/>
      <c r="E271" s="22"/>
      <c r="F271" s="8"/>
      <c r="G271" s="24"/>
      <c r="H271" s="8"/>
      <c r="I271" s="23"/>
      <c r="J271" s="8"/>
      <c r="K271" s="22"/>
      <c r="L271" s="8"/>
      <c r="M271" s="24"/>
    </row>
    <row r="272" spans="1:13">
      <c r="A272">
        <v>2015</v>
      </c>
      <c r="B272" s="9" t="s">
        <v>1214</v>
      </c>
      <c r="C272" s="21">
        <v>105599.4</v>
      </c>
      <c r="D272" s="8"/>
      <c r="E272" s="22"/>
      <c r="F272" s="8"/>
      <c r="G272" s="24"/>
      <c r="H272" s="8"/>
      <c r="I272" s="23"/>
      <c r="J272" s="8"/>
      <c r="K272" s="22"/>
      <c r="L272" s="8"/>
      <c r="M272" s="24"/>
    </row>
    <row r="273" spans="1:13">
      <c r="A273">
        <v>2015</v>
      </c>
      <c r="B273" s="9" t="s">
        <v>1215</v>
      </c>
      <c r="C273" s="21">
        <v>52845.99</v>
      </c>
      <c r="D273" s="8"/>
      <c r="E273" s="22"/>
      <c r="F273" s="8"/>
      <c r="G273" s="24"/>
      <c r="H273" s="8"/>
      <c r="I273" s="23"/>
      <c r="J273" s="8"/>
      <c r="K273" s="22"/>
      <c r="L273" s="8"/>
      <c r="M273" s="24"/>
    </row>
    <row r="274" spans="1:13">
      <c r="A274">
        <v>2015</v>
      </c>
      <c r="B274" s="9" t="s">
        <v>1216</v>
      </c>
      <c r="C274" s="21">
        <v>110733.91</v>
      </c>
      <c r="D274" s="8"/>
      <c r="E274" s="22"/>
      <c r="F274" s="8"/>
      <c r="G274" s="24"/>
      <c r="H274" s="8"/>
      <c r="I274" s="23"/>
      <c r="J274" s="8"/>
      <c r="K274" s="22"/>
      <c r="L274" s="8"/>
      <c r="M274" s="24"/>
    </row>
    <row r="275" spans="1:13">
      <c r="A275">
        <v>2015</v>
      </c>
      <c r="B275" s="9" t="s">
        <v>1217</v>
      </c>
      <c r="C275" s="21">
        <v>104032.58</v>
      </c>
      <c r="D275" s="8"/>
      <c r="E275" s="22"/>
      <c r="F275" s="8"/>
      <c r="G275" s="24"/>
      <c r="H275" s="8"/>
      <c r="I275" s="23"/>
      <c r="J275" s="8"/>
      <c r="K275" s="22"/>
      <c r="L275" s="8"/>
      <c r="M275" s="24"/>
    </row>
    <row r="276" spans="1:13">
      <c r="A276">
        <v>2015</v>
      </c>
      <c r="B276" s="9" t="s">
        <v>1218</v>
      </c>
      <c r="C276" s="21">
        <v>117703.34</v>
      </c>
      <c r="D276" s="8"/>
      <c r="E276" s="22"/>
      <c r="F276" s="8"/>
      <c r="G276" s="24"/>
      <c r="H276" s="8"/>
      <c r="I276" s="23"/>
      <c r="J276" s="8"/>
      <c r="K276" s="22"/>
      <c r="L276" s="8"/>
      <c r="M276" s="24"/>
    </row>
    <row r="277" spans="1:13">
      <c r="A277">
        <v>2015</v>
      </c>
      <c r="B277" s="9" t="s">
        <v>1219</v>
      </c>
      <c r="C277" s="21">
        <v>270684.76</v>
      </c>
      <c r="D277" s="8"/>
      <c r="E277" s="22"/>
      <c r="F277" s="8"/>
      <c r="G277" s="24"/>
      <c r="H277" s="8"/>
      <c r="I277" s="23"/>
      <c r="J277" s="8"/>
      <c r="K277" s="22"/>
      <c r="L277" s="8"/>
      <c r="M277" s="24"/>
    </row>
    <row r="278" spans="1:13">
      <c r="A278">
        <v>2015</v>
      </c>
      <c r="B278" s="9" t="s">
        <v>1220</v>
      </c>
      <c r="C278" s="21">
        <v>15574.05</v>
      </c>
      <c r="D278" s="8"/>
      <c r="E278" s="22"/>
      <c r="F278" s="8"/>
      <c r="G278" s="24"/>
      <c r="H278" s="8"/>
      <c r="I278" s="23"/>
      <c r="J278" s="8"/>
      <c r="K278" s="22"/>
      <c r="L278" s="8"/>
      <c r="M278" s="24"/>
    </row>
    <row r="279" spans="1:13">
      <c r="A279">
        <v>2015</v>
      </c>
      <c r="B279" s="9" t="s">
        <v>1221</v>
      </c>
      <c r="C279" s="21">
        <v>55147.6</v>
      </c>
      <c r="D279" s="8"/>
      <c r="E279" s="22"/>
      <c r="F279" s="8"/>
      <c r="G279" s="24"/>
      <c r="H279" s="8"/>
      <c r="I279" s="23"/>
      <c r="J279" s="8"/>
      <c r="K279" s="22"/>
      <c r="L279" s="8"/>
      <c r="M279" s="24"/>
    </row>
    <row r="280" spans="1:13">
      <c r="A280">
        <v>2015</v>
      </c>
      <c r="B280" s="9" t="s">
        <v>1222</v>
      </c>
      <c r="C280" s="21">
        <v>58962.21</v>
      </c>
      <c r="D280" s="8"/>
      <c r="E280" s="22"/>
      <c r="F280" s="8"/>
      <c r="G280" s="24"/>
      <c r="H280" s="8"/>
      <c r="I280" s="23"/>
      <c r="J280" s="8"/>
      <c r="K280" s="22"/>
      <c r="L280" s="8"/>
      <c r="M280" s="24"/>
    </row>
    <row r="281" spans="1:13">
      <c r="A281">
        <v>2015</v>
      </c>
      <c r="B281" s="9" t="s">
        <v>1223</v>
      </c>
      <c r="C281" s="21">
        <v>105628.14</v>
      </c>
      <c r="D281" s="8"/>
      <c r="E281" s="22"/>
      <c r="F281" s="8"/>
      <c r="G281" s="24"/>
      <c r="H281" s="8"/>
      <c r="I281" s="23"/>
      <c r="J281" s="8"/>
      <c r="K281" s="22"/>
      <c r="L281" s="8"/>
      <c r="M281" s="24"/>
    </row>
    <row r="282" spans="1:13">
      <c r="A282">
        <v>2015</v>
      </c>
      <c r="B282" s="9" t="s">
        <v>1224</v>
      </c>
      <c r="C282" s="21">
        <v>1164995.5900000001</v>
      </c>
      <c r="D282" s="8"/>
      <c r="E282" s="22"/>
      <c r="F282" s="8"/>
      <c r="G282" s="24"/>
      <c r="H282" s="8"/>
      <c r="I282" s="23"/>
      <c r="J282" s="8"/>
      <c r="K282" s="22"/>
      <c r="L282" s="8"/>
      <c r="M282" s="24"/>
    </row>
    <row r="283" spans="1:13">
      <c r="A283">
        <v>2015</v>
      </c>
      <c r="B283" s="9" t="s">
        <v>1225</v>
      </c>
      <c r="C283" s="21">
        <v>346615.18</v>
      </c>
      <c r="D283" s="8"/>
      <c r="E283" s="22"/>
      <c r="F283" s="8"/>
      <c r="G283" s="24"/>
      <c r="H283" s="8"/>
      <c r="I283" s="23"/>
      <c r="J283" s="8"/>
      <c r="K283" s="22"/>
      <c r="L283" s="8"/>
      <c r="M283" s="24"/>
    </row>
    <row r="284" spans="1:13">
      <c r="A284">
        <v>2015</v>
      </c>
      <c r="B284" s="9" t="s">
        <v>1226</v>
      </c>
      <c r="C284" s="21">
        <v>62385.02</v>
      </c>
      <c r="D284" s="8"/>
      <c r="E284" s="22"/>
      <c r="F284" s="8"/>
      <c r="G284" s="24"/>
      <c r="H284" s="8"/>
      <c r="I284" s="23"/>
      <c r="J284" s="8"/>
      <c r="K284" s="22"/>
      <c r="L284" s="8"/>
      <c r="M284" s="24"/>
    </row>
    <row r="285" spans="1:13">
      <c r="A285">
        <v>2015</v>
      </c>
      <c r="B285" s="9" t="s">
        <v>1227</v>
      </c>
      <c r="C285" s="21">
        <v>406680.3</v>
      </c>
      <c r="D285" s="8"/>
      <c r="E285" s="22"/>
      <c r="F285" s="8"/>
      <c r="G285" s="24"/>
      <c r="H285" s="8"/>
      <c r="I285" s="23"/>
      <c r="J285" s="8"/>
      <c r="K285" s="22"/>
      <c r="L285" s="8"/>
      <c r="M285" s="24"/>
    </row>
    <row r="286" spans="1:13">
      <c r="A286">
        <v>2015</v>
      </c>
      <c r="B286" s="9" t="s">
        <v>1228</v>
      </c>
      <c r="C286" s="21">
        <v>952341.79</v>
      </c>
      <c r="D286" s="8"/>
      <c r="E286" s="22"/>
      <c r="F286" s="8"/>
      <c r="G286" s="24"/>
      <c r="H286" s="8"/>
      <c r="I286" s="23"/>
      <c r="J286" s="8"/>
      <c r="K286" s="22"/>
      <c r="L286" s="8"/>
      <c r="M286" s="24"/>
    </row>
    <row r="287" spans="1:13">
      <c r="A287">
        <v>2015</v>
      </c>
      <c r="B287" s="9" t="s">
        <v>1229</v>
      </c>
      <c r="C287" s="21">
        <v>453196.87</v>
      </c>
      <c r="D287" s="8"/>
      <c r="E287" s="22"/>
      <c r="F287" s="8"/>
      <c r="G287" s="24"/>
      <c r="H287" s="8"/>
      <c r="I287" s="23"/>
      <c r="J287" s="8"/>
      <c r="K287" s="22"/>
      <c r="L287" s="8"/>
      <c r="M287" s="24"/>
    </row>
    <row r="288" spans="1:13">
      <c r="A288">
        <v>2015</v>
      </c>
      <c r="B288" s="9" t="s">
        <v>1230</v>
      </c>
      <c r="C288" s="21">
        <v>766882.87</v>
      </c>
      <c r="D288" s="8"/>
      <c r="E288" s="22"/>
      <c r="F288" s="8"/>
      <c r="G288" s="24"/>
      <c r="H288" s="8"/>
      <c r="I288" s="23"/>
      <c r="J288" s="8"/>
      <c r="K288" s="22"/>
      <c r="L288" s="8"/>
      <c r="M288" s="24"/>
    </row>
    <row r="289" spans="1:13">
      <c r="A289">
        <v>2015</v>
      </c>
      <c r="B289" s="9" t="s">
        <v>1231</v>
      </c>
      <c r="C289" s="21">
        <v>108168.28</v>
      </c>
      <c r="D289" s="8"/>
      <c r="E289" s="22"/>
      <c r="F289" s="8"/>
      <c r="G289" s="24"/>
      <c r="H289" s="8"/>
      <c r="I289" s="23"/>
      <c r="J289" s="8"/>
      <c r="K289" s="22"/>
      <c r="L289" s="8"/>
      <c r="M289" s="24"/>
    </row>
    <row r="290" spans="1:13">
      <c r="A290">
        <v>2015</v>
      </c>
      <c r="B290" s="9" t="s">
        <v>1232</v>
      </c>
      <c r="C290" s="21">
        <v>24862.62</v>
      </c>
      <c r="D290" s="8"/>
      <c r="E290" s="22"/>
      <c r="F290" s="8"/>
      <c r="G290" s="24"/>
      <c r="H290" s="8"/>
      <c r="I290" s="23"/>
      <c r="J290" s="8"/>
      <c r="K290" s="22"/>
      <c r="L290" s="8"/>
      <c r="M290" s="24"/>
    </row>
    <row r="291" spans="1:13">
      <c r="A291">
        <v>2015</v>
      </c>
      <c r="B291" s="9" t="s">
        <v>1233</v>
      </c>
      <c r="C291" s="21">
        <v>7722.75</v>
      </c>
      <c r="D291" s="8"/>
      <c r="E291" s="22"/>
      <c r="F291" s="8"/>
      <c r="G291" s="24"/>
      <c r="H291" s="8"/>
      <c r="I291" s="23"/>
      <c r="J291" s="8"/>
      <c r="K291" s="22"/>
      <c r="L291" s="8"/>
      <c r="M291" s="24"/>
    </row>
    <row r="292" spans="1:13">
      <c r="A292">
        <v>2015</v>
      </c>
      <c r="B292" s="9" t="s">
        <v>1234</v>
      </c>
      <c r="C292" s="21">
        <v>4953.1099999999997</v>
      </c>
      <c r="D292" s="8"/>
      <c r="E292" s="22"/>
      <c r="F292" s="8"/>
      <c r="G292" s="24"/>
      <c r="H292" s="8"/>
      <c r="I292" s="23"/>
      <c r="J292" s="8"/>
      <c r="K292" s="22"/>
      <c r="L292" s="8"/>
      <c r="M292" s="24"/>
    </row>
    <row r="293" spans="1:13">
      <c r="A293">
        <v>2015</v>
      </c>
      <c r="B293" s="9" t="s">
        <v>1235</v>
      </c>
      <c r="C293" s="21">
        <v>16522.490000000002</v>
      </c>
      <c r="D293" s="8"/>
      <c r="E293" s="22"/>
      <c r="F293" s="8"/>
      <c r="G293" s="24"/>
      <c r="H293" s="8"/>
      <c r="I293" s="23"/>
      <c r="J293" s="8"/>
      <c r="K293" s="22"/>
      <c r="L293" s="8"/>
      <c r="M293" s="24"/>
    </row>
    <row r="294" spans="1:13">
      <c r="A294">
        <v>2015</v>
      </c>
      <c r="B294" s="9" t="s">
        <v>1236</v>
      </c>
      <c r="C294" s="9">
        <v>0</v>
      </c>
      <c r="D294" s="8"/>
      <c r="E294" s="22"/>
      <c r="F294" s="8"/>
      <c r="G294" s="17"/>
      <c r="H294" s="8"/>
      <c r="I294" s="17"/>
      <c r="J294" s="8"/>
      <c r="K294" s="22"/>
      <c r="L294" s="8"/>
      <c r="M294" s="17"/>
    </row>
    <row r="295" spans="1:13">
      <c r="A295">
        <v>2015</v>
      </c>
      <c r="B295" s="9" t="s">
        <v>1237</v>
      </c>
      <c r="C295" s="21">
        <v>84979</v>
      </c>
      <c r="D295" s="8"/>
      <c r="E295" s="22"/>
      <c r="F295" s="8"/>
      <c r="G295" s="24"/>
      <c r="H295" s="8"/>
      <c r="I295" s="23"/>
      <c r="J295" s="8"/>
      <c r="K295" s="22"/>
      <c r="L295" s="8"/>
      <c r="M295" s="24"/>
    </row>
    <row r="296" spans="1:13">
      <c r="A296">
        <v>2015</v>
      </c>
      <c r="B296" s="9" t="s">
        <v>1238</v>
      </c>
      <c r="C296" s="21">
        <v>29357.96</v>
      </c>
      <c r="D296" s="8"/>
      <c r="E296" s="22"/>
      <c r="F296" s="8"/>
      <c r="G296" s="24"/>
      <c r="H296" s="8"/>
      <c r="I296" s="23"/>
      <c r="J296" s="8"/>
      <c r="K296" s="22"/>
      <c r="L296" s="8"/>
      <c r="M296" s="24"/>
    </row>
    <row r="297" spans="1:13">
      <c r="A297">
        <v>2015</v>
      </c>
      <c r="B297" s="9" t="s">
        <v>1239</v>
      </c>
      <c r="C297" s="21">
        <v>97590.85</v>
      </c>
      <c r="D297" s="8"/>
      <c r="E297" s="22"/>
      <c r="F297" s="8"/>
      <c r="G297" s="24"/>
      <c r="H297" s="8"/>
      <c r="I297" s="23"/>
      <c r="J297" s="8"/>
      <c r="K297" s="22"/>
      <c r="L297" s="8"/>
      <c r="M297" s="24"/>
    </row>
    <row r="298" spans="1:13">
      <c r="A298">
        <v>2015</v>
      </c>
      <c r="B298" s="9" t="s">
        <v>1240</v>
      </c>
      <c r="C298" s="21">
        <v>458500.21</v>
      </c>
      <c r="D298" s="8"/>
      <c r="E298" s="22"/>
      <c r="F298" s="8"/>
      <c r="G298" s="24"/>
      <c r="H298" s="8"/>
      <c r="I298" s="23"/>
      <c r="J298" s="8"/>
      <c r="K298" s="22"/>
      <c r="L298" s="8"/>
      <c r="M298" s="24"/>
    </row>
    <row r="299" spans="1:13">
      <c r="A299">
        <v>2015</v>
      </c>
      <c r="B299" s="9" t="s">
        <v>1241</v>
      </c>
      <c r="C299" s="21">
        <v>477112.44</v>
      </c>
      <c r="D299" s="8"/>
      <c r="E299" s="22"/>
      <c r="F299" s="8"/>
      <c r="G299" s="24"/>
      <c r="H299" s="8"/>
      <c r="I299" s="23"/>
      <c r="J299" s="8"/>
      <c r="K299" s="22"/>
      <c r="L299" s="8"/>
      <c r="M299" s="24"/>
    </row>
    <row r="300" spans="1:13">
      <c r="A300">
        <v>2015</v>
      </c>
      <c r="B300" s="9" t="s">
        <v>1242</v>
      </c>
      <c r="C300" s="21">
        <v>133858.54</v>
      </c>
      <c r="D300" s="8"/>
      <c r="E300" s="22"/>
      <c r="F300" s="8"/>
      <c r="G300" s="24"/>
      <c r="H300" s="8"/>
      <c r="I300" s="23"/>
      <c r="J300" s="8"/>
      <c r="K300" s="22"/>
      <c r="L300" s="8"/>
      <c r="M300" s="24"/>
    </row>
    <row r="301" spans="1:13">
      <c r="A301">
        <v>2015</v>
      </c>
      <c r="B301" s="9" t="s">
        <v>1243</v>
      </c>
      <c r="C301" s="21">
        <v>84163.520000000004</v>
      </c>
      <c r="D301" s="8"/>
      <c r="E301" s="22"/>
      <c r="F301" s="8"/>
      <c r="G301" s="24"/>
      <c r="H301" s="8"/>
      <c r="I301" s="23"/>
      <c r="J301" s="8"/>
      <c r="K301" s="22"/>
      <c r="L301" s="8"/>
      <c r="M301" s="24"/>
    </row>
    <row r="302" spans="1:13">
      <c r="A302">
        <v>2015</v>
      </c>
      <c r="B302" s="9" t="s">
        <v>1244</v>
      </c>
      <c r="C302" s="21">
        <v>278702.02</v>
      </c>
      <c r="D302" s="8"/>
      <c r="E302" s="22"/>
      <c r="F302" s="8"/>
      <c r="G302" s="17"/>
      <c r="H302" s="8"/>
      <c r="I302" s="17"/>
      <c r="J302" s="8"/>
      <c r="K302" s="22"/>
      <c r="L302" s="8"/>
      <c r="M302" s="17"/>
    </row>
    <row r="303" spans="1:13">
      <c r="A303">
        <v>2015</v>
      </c>
      <c r="B303" s="9" t="s">
        <v>1245</v>
      </c>
      <c r="C303" s="21">
        <v>172354.42</v>
      </c>
      <c r="D303" s="8"/>
      <c r="E303" s="22"/>
      <c r="F303" s="8"/>
      <c r="G303" s="24"/>
      <c r="H303" s="8"/>
      <c r="I303" s="23"/>
      <c r="J303" s="8"/>
      <c r="K303" s="22"/>
      <c r="L303" s="8"/>
      <c r="M303" s="24"/>
    </row>
    <row r="304" spans="1:13">
      <c r="A304">
        <v>2015</v>
      </c>
      <c r="B304" s="9" t="s">
        <v>1246</v>
      </c>
      <c r="C304" s="21">
        <v>261332.46</v>
      </c>
      <c r="D304" s="8"/>
      <c r="E304" s="22"/>
      <c r="F304" s="8"/>
      <c r="G304" s="24"/>
      <c r="H304" s="8"/>
      <c r="I304" s="23"/>
      <c r="J304" s="8"/>
      <c r="K304" s="22"/>
      <c r="L304" s="8"/>
      <c r="M304" s="24"/>
    </row>
    <row r="305" spans="1:13">
      <c r="A305">
        <v>2015</v>
      </c>
      <c r="B305" s="9" t="s">
        <v>1247</v>
      </c>
      <c r="C305" s="21">
        <v>88978.6</v>
      </c>
      <c r="D305" s="8"/>
      <c r="E305" s="22"/>
      <c r="F305" s="8"/>
      <c r="G305" s="24"/>
      <c r="H305" s="8"/>
      <c r="I305" s="23"/>
      <c r="J305" s="8"/>
      <c r="K305" s="22"/>
      <c r="L305" s="8"/>
      <c r="M305" s="24"/>
    </row>
    <row r="306" spans="1:13">
      <c r="A306">
        <v>2015</v>
      </c>
      <c r="B306" s="9" t="s">
        <v>1248</v>
      </c>
      <c r="C306" s="21">
        <v>359025.01</v>
      </c>
      <c r="D306" s="8"/>
      <c r="E306" s="22"/>
      <c r="F306" s="8"/>
      <c r="G306" s="24"/>
      <c r="H306" s="8"/>
      <c r="I306" s="23"/>
      <c r="J306" s="8"/>
      <c r="K306" s="22"/>
      <c r="L306" s="8"/>
      <c r="M306" s="24"/>
    </row>
    <row r="307" spans="1:13">
      <c r="A307">
        <v>2015</v>
      </c>
      <c r="B307" s="9" t="s">
        <v>1249</v>
      </c>
      <c r="C307" s="21">
        <v>37441.07</v>
      </c>
      <c r="D307" s="8"/>
      <c r="E307" s="22"/>
      <c r="F307" s="8"/>
      <c r="G307" s="24"/>
      <c r="H307" s="8"/>
      <c r="I307" s="23"/>
      <c r="J307" s="8"/>
      <c r="K307" s="22"/>
      <c r="L307" s="8"/>
      <c r="M307" s="24"/>
    </row>
    <row r="308" spans="1:13">
      <c r="A308">
        <v>2015</v>
      </c>
      <c r="B308" s="9" t="s">
        <v>1250</v>
      </c>
      <c r="C308" s="21">
        <v>267859.49</v>
      </c>
      <c r="D308" s="8"/>
      <c r="E308" s="22"/>
      <c r="F308" s="8"/>
      <c r="G308" s="24"/>
      <c r="H308" s="8"/>
      <c r="I308" s="23"/>
      <c r="J308" s="8"/>
      <c r="K308" s="22"/>
      <c r="L308" s="8"/>
      <c r="M308" s="24"/>
    </row>
    <row r="309" spans="1:13">
      <c r="A309">
        <v>2015</v>
      </c>
      <c r="B309" s="9" t="s">
        <v>1251</v>
      </c>
      <c r="C309" s="21">
        <v>2096165.67</v>
      </c>
      <c r="D309" s="8"/>
      <c r="E309" s="22"/>
      <c r="F309" s="8"/>
      <c r="G309" s="24"/>
      <c r="H309" s="8"/>
      <c r="I309" s="23"/>
      <c r="J309" s="8"/>
      <c r="K309" s="22"/>
      <c r="L309" s="8"/>
      <c r="M309" s="24"/>
    </row>
    <row r="310" spans="1:13">
      <c r="A310">
        <v>2015</v>
      </c>
      <c r="B310" s="9" t="s">
        <v>1252</v>
      </c>
      <c r="C310" s="21">
        <v>360425.26</v>
      </c>
      <c r="D310" s="8"/>
      <c r="E310" s="22"/>
      <c r="F310" s="8"/>
      <c r="G310" s="24"/>
      <c r="H310" s="8"/>
      <c r="I310" s="23"/>
      <c r="J310" s="8"/>
      <c r="K310" s="22"/>
      <c r="L310" s="8"/>
      <c r="M310" s="24"/>
    </row>
    <row r="311" spans="1:13">
      <c r="A311">
        <v>2015</v>
      </c>
      <c r="B311" s="9" t="s">
        <v>1253</v>
      </c>
      <c r="C311" s="21">
        <v>899602.06</v>
      </c>
      <c r="D311" s="8"/>
      <c r="E311" s="22"/>
      <c r="F311" s="8"/>
      <c r="G311" s="24"/>
      <c r="H311" s="8"/>
      <c r="I311" s="23"/>
      <c r="J311" s="8"/>
      <c r="K311" s="22"/>
      <c r="L311" s="8"/>
      <c r="M311" s="24"/>
    </row>
    <row r="312" spans="1:13">
      <c r="A312">
        <v>2015</v>
      </c>
      <c r="B312" s="9" t="s">
        <v>1254</v>
      </c>
      <c r="C312" s="21">
        <v>1265024.4099999999</v>
      </c>
      <c r="D312" s="8"/>
      <c r="E312" s="22"/>
      <c r="F312" s="8"/>
      <c r="G312" s="24"/>
      <c r="H312" s="8"/>
      <c r="I312" s="23"/>
      <c r="J312" s="8"/>
      <c r="K312" s="22"/>
      <c r="L312" s="8"/>
      <c r="M312" s="24"/>
    </row>
    <row r="313" spans="1:13">
      <c r="A313">
        <v>2015</v>
      </c>
      <c r="B313" s="9" t="s">
        <v>1255</v>
      </c>
      <c r="C313" s="21">
        <v>264702.74</v>
      </c>
      <c r="D313" s="8"/>
      <c r="E313" s="22"/>
      <c r="F313" s="8"/>
      <c r="G313" s="24"/>
      <c r="H313" s="8"/>
      <c r="I313" s="23"/>
      <c r="J313" s="8"/>
      <c r="K313" s="22"/>
      <c r="L313" s="8"/>
      <c r="M313" s="24"/>
    </row>
    <row r="314" spans="1:13">
      <c r="A314">
        <v>2015</v>
      </c>
      <c r="B314" s="9" t="s">
        <v>1256</v>
      </c>
      <c r="C314" s="21">
        <v>1286933.8999999999</v>
      </c>
      <c r="D314" s="8"/>
      <c r="E314" s="22"/>
      <c r="F314" s="8"/>
      <c r="G314" s="24"/>
      <c r="H314" s="8"/>
      <c r="I314" s="23"/>
      <c r="J314" s="8"/>
      <c r="K314" s="22"/>
      <c r="L314" s="8"/>
      <c r="M314" s="24"/>
    </row>
    <row r="315" spans="1:13">
      <c r="A315">
        <v>2015</v>
      </c>
      <c r="B315" s="9" t="s">
        <v>1257</v>
      </c>
      <c r="C315" s="21">
        <v>652831.41</v>
      </c>
      <c r="D315" s="8"/>
      <c r="E315" s="22"/>
      <c r="F315" s="8"/>
      <c r="G315" s="24"/>
      <c r="H315" s="8"/>
      <c r="I315" s="23"/>
      <c r="J315" s="8"/>
      <c r="K315" s="22"/>
      <c r="L315" s="8"/>
      <c r="M315" s="24"/>
    </row>
    <row r="316" spans="1:13">
      <c r="A316">
        <v>2015</v>
      </c>
      <c r="B316" s="9" t="s">
        <v>1258</v>
      </c>
      <c r="C316" s="21">
        <v>12157.47</v>
      </c>
      <c r="D316" s="8"/>
      <c r="E316" s="22"/>
      <c r="F316" s="8"/>
      <c r="G316" s="24"/>
      <c r="H316" s="8"/>
      <c r="I316" s="23"/>
      <c r="J316" s="8"/>
      <c r="K316" s="22"/>
      <c r="L316" s="8"/>
      <c r="M316" s="24"/>
    </row>
    <row r="317" spans="1:13">
      <c r="A317">
        <v>2015</v>
      </c>
      <c r="B317" s="9" t="s">
        <v>1259</v>
      </c>
      <c r="C317" s="21">
        <v>426131.55</v>
      </c>
      <c r="D317" s="8"/>
      <c r="E317" s="22"/>
      <c r="F317" s="8"/>
      <c r="G317" s="24"/>
      <c r="H317" s="8"/>
      <c r="I317" s="23"/>
      <c r="J317" s="8"/>
      <c r="K317" s="22"/>
      <c r="L317" s="8"/>
      <c r="M317" s="24"/>
    </row>
    <row r="318" spans="1:13">
      <c r="A318">
        <v>2015</v>
      </c>
      <c r="B318" s="9" t="s">
        <v>1260</v>
      </c>
      <c r="C318" s="21">
        <v>4674.41</v>
      </c>
      <c r="D318" s="8"/>
      <c r="E318" s="22"/>
      <c r="F318" s="8"/>
      <c r="G318" s="24"/>
      <c r="H318" s="8"/>
      <c r="I318" s="23"/>
      <c r="J318" s="8"/>
      <c r="K318" s="22"/>
      <c r="L318" s="8"/>
      <c r="M318" s="24"/>
    </row>
    <row r="319" spans="1:13">
      <c r="A319">
        <v>2015</v>
      </c>
      <c r="B319" s="9" t="s">
        <v>1261</v>
      </c>
      <c r="C319" s="21">
        <v>68502.3</v>
      </c>
      <c r="D319" s="8"/>
      <c r="E319" s="22"/>
      <c r="F319" s="8"/>
      <c r="G319" s="24"/>
      <c r="H319" s="8"/>
      <c r="I319" s="23"/>
      <c r="J319" s="8"/>
      <c r="K319" s="22"/>
      <c r="L319" s="8"/>
      <c r="M319" s="24"/>
    </row>
    <row r="320" spans="1:13">
      <c r="A320">
        <v>2015</v>
      </c>
      <c r="B320" s="9" t="s">
        <v>1262</v>
      </c>
      <c r="C320" s="21">
        <v>30181.08</v>
      </c>
      <c r="D320" s="8"/>
      <c r="E320" s="22"/>
      <c r="F320" s="8"/>
      <c r="G320" s="24"/>
      <c r="H320" s="8"/>
      <c r="I320" s="23"/>
      <c r="J320" s="8"/>
      <c r="K320" s="22"/>
      <c r="L320" s="8"/>
      <c r="M320" s="24"/>
    </row>
    <row r="321" spans="1:13">
      <c r="A321">
        <v>2015</v>
      </c>
      <c r="B321" s="9" t="s">
        <v>1263</v>
      </c>
      <c r="C321" s="21">
        <v>129274.43</v>
      </c>
      <c r="D321" s="8"/>
      <c r="E321" s="22"/>
      <c r="F321" s="8"/>
      <c r="G321" s="24"/>
      <c r="H321" s="8"/>
      <c r="I321" s="23"/>
      <c r="J321" s="8"/>
      <c r="K321" s="22"/>
      <c r="L321" s="8"/>
      <c r="M321" s="24"/>
    </row>
    <row r="322" spans="1:13">
      <c r="A322">
        <v>2015</v>
      </c>
      <c r="B322" s="9" t="s">
        <v>1264</v>
      </c>
      <c r="C322" s="21">
        <v>196605.37</v>
      </c>
      <c r="D322" s="8"/>
      <c r="E322" s="22"/>
      <c r="F322" s="8"/>
      <c r="G322" s="24"/>
      <c r="H322" s="8"/>
      <c r="I322" s="23"/>
      <c r="J322" s="8"/>
      <c r="K322" s="22"/>
      <c r="L322" s="8"/>
      <c r="M322" s="24"/>
    </row>
    <row r="323" spans="1:13">
      <c r="A323">
        <v>2015</v>
      </c>
      <c r="B323" s="9" t="s">
        <v>1265</v>
      </c>
      <c r="C323" s="21">
        <v>539150.02</v>
      </c>
      <c r="D323" s="8"/>
      <c r="E323" s="22"/>
      <c r="F323" s="8"/>
      <c r="G323" s="24"/>
      <c r="H323" s="8"/>
      <c r="I323" s="23"/>
      <c r="J323" s="8"/>
      <c r="K323" s="22"/>
      <c r="L323" s="8"/>
      <c r="M323" s="24"/>
    </row>
    <row r="324" spans="1:13">
      <c r="A324">
        <v>2015</v>
      </c>
      <c r="B324" s="9" t="s">
        <v>1266</v>
      </c>
      <c r="C324" s="21">
        <v>77563.94</v>
      </c>
      <c r="D324" s="8"/>
      <c r="E324" s="22"/>
      <c r="F324" s="8"/>
      <c r="G324" s="24"/>
      <c r="H324" s="8"/>
      <c r="I324" s="23"/>
      <c r="J324" s="8"/>
      <c r="K324" s="22"/>
      <c r="L324" s="8"/>
      <c r="M324" s="24"/>
    </row>
    <row r="325" spans="1:13">
      <c r="A325">
        <v>2015</v>
      </c>
      <c r="B325" s="9" t="s">
        <v>1267</v>
      </c>
      <c r="C325" s="21">
        <v>227089.81</v>
      </c>
      <c r="D325" s="8"/>
      <c r="E325" s="22"/>
      <c r="F325" s="8"/>
      <c r="G325" s="24"/>
      <c r="H325" s="8"/>
      <c r="I325" s="23"/>
      <c r="J325" s="8"/>
      <c r="K325" s="22"/>
      <c r="L325" s="8"/>
      <c r="M325" s="24"/>
    </row>
    <row r="326" spans="1:13">
      <c r="A326">
        <v>2015</v>
      </c>
      <c r="B326" s="9" t="s">
        <v>1268</v>
      </c>
      <c r="C326" s="21">
        <v>418549.76000000001</v>
      </c>
      <c r="D326" s="8"/>
      <c r="E326" s="22"/>
      <c r="F326" s="8"/>
      <c r="G326" s="24"/>
      <c r="H326" s="8"/>
      <c r="I326" s="23"/>
      <c r="J326" s="8"/>
      <c r="K326" s="22"/>
      <c r="L326" s="8"/>
      <c r="M326" s="24"/>
    </row>
    <row r="327" spans="1:13">
      <c r="A327">
        <v>2015</v>
      </c>
      <c r="B327" s="9" t="s">
        <v>1269</v>
      </c>
      <c r="C327" s="21">
        <v>11511.45</v>
      </c>
      <c r="D327" s="8"/>
      <c r="E327" s="22"/>
      <c r="F327" s="8"/>
      <c r="G327" s="24"/>
      <c r="H327" s="8"/>
      <c r="I327" s="23"/>
      <c r="J327" s="8"/>
      <c r="K327" s="22"/>
      <c r="L327" s="8"/>
      <c r="M327" s="24"/>
    </row>
    <row r="328" spans="1:13">
      <c r="A328">
        <v>2015</v>
      </c>
      <c r="B328" s="9" t="s">
        <v>1270</v>
      </c>
      <c r="C328" s="21">
        <v>445046.98</v>
      </c>
      <c r="D328" s="8"/>
      <c r="E328" s="22"/>
      <c r="F328" s="8"/>
      <c r="G328" s="24"/>
      <c r="H328" s="8"/>
      <c r="I328" s="23"/>
      <c r="J328" s="8"/>
      <c r="K328" s="22"/>
      <c r="L328" s="8"/>
      <c r="M328" s="24"/>
    </row>
    <row r="329" spans="1:13">
      <c r="A329">
        <v>2015</v>
      </c>
      <c r="B329" s="9" t="s">
        <v>1271</v>
      </c>
      <c r="C329" s="21">
        <v>433260.69</v>
      </c>
      <c r="D329" s="8"/>
      <c r="E329" s="22"/>
      <c r="F329" s="8"/>
      <c r="G329" s="24"/>
      <c r="H329" s="8"/>
      <c r="I329" s="23"/>
      <c r="J329" s="8"/>
      <c r="K329" s="22"/>
      <c r="L329" s="8"/>
      <c r="M329" s="24"/>
    </row>
    <row r="330" spans="1:13">
      <c r="A330">
        <v>2015</v>
      </c>
      <c r="B330" s="9" t="s">
        <v>1272</v>
      </c>
      <c r="C330" s="21">
        <v>39544.75</v>
      </c>
      <c r="D330" s="8"/>
      <c r="E330" s="22"/>
      <c r="F330" s="8"/>
      <c r="G330" s="24"/>
      <c r="H330" s="8"/>
      <c r="I330" s="23"/>
      <c r="J330" s="8"/>
      <c r="K330" s="22"/>
      <c r="L330" s="8"/>
      <c r="M330" s="24"/>
    </row>
    <row r="331" spans="1:13">
      <c r="A331">
        <v>2015</v>
      </c>
      <c r="B331" s="9" t="s">
        <v>1273</v>
      </c>
      <c r="C331" s="21">
        <v>3354186.94</v>
      </c>
      <c r="D331" s="8"/>
      <c r="E331" s="22"/>
      <c r="F331" s="8"/>
      <c r="G331" s="24"/>
      <c r="H331" s="8"/>
      <c r="I331" s="23"/>
      <c r="J331" s="8"/>
      <c r="K331" s="22"/>
      <c r="L331" s="8"/>
      <c r="M331" s="24"/>
    </row>
    <row r="332" spans="1:13">
      <c r="A332">
        <v>2015</v>
      </c>
      <c r="B332" s="9" t="s">
        <v>1274</v>
      </c>
      <c r="C332" s="21">
        <v>152597.35</v>
      </c>
      <c r="D332" s="8"/>
      <c r="E332" s="22"/>
      <c r="F332" s="8"/>
      <c r="G332" s="24"/>
      <c r="H332" s="8"/>
      <c r="I332" s="23"/>
      <c r="J332" s="8"/>
      <c r="K332" s="22"/>
      <c r="L332" s="8"/>
      <c r="M332" s="24"/>
    </row>
    <row r="333" spans="1:13">
      <c r="A333">
        <v>2015</v>
      </c>
      <c r="B333" s="9" t="s">
        <v>1275</v>
      </c>
      <c r="C333" s="21">
        <v>2882824.67</v>
      </c>
      <c r="D333" s="8"/>
      <c r="E333" s="22"/>
      <c r="F333" s="8"/>
      <c r="G333" s="24"/>
      <c r="H333" s="8"/>
      <c r="I333" s="23"/>
      <c r="J333" s="8"/>
      <c r="K333" s="22"/>
      <c r="L333" s="8"/>
      <c r="M333" s="24"/>
    </row>
    <row r="334" spans="1:13">
      <c r="A334">
        <v>2015</v>
      </c>
      <c r="B334" s="9" t="s">
        <v>1276</v>
      </c>
      <c r="C334" s="21">
        <v>6366.65</v>
      </c>
      <c r="D334" s="8"/>
      <c r="E334" s="22"/>
      <c r="F334" s="8"/>
      <c r="G334" s="24"/>
      <c r="H334" s="8"/>
      <c r="I334" s="23"/>
      <c r="J334" s="8"/>
      <c r="K334" s="22"/>
      <c r="L334" s="8"/>
      <c r="M334" s="24"/>
    </row>
    <row r="335" spans="1:13">
      <c r="A335">
        <v>2015</v>
      </c>
      <c r="B335" s="9" t="s">
        <v>1277</v>
      </c>
      <c r="C335" s="21">
        <v>291853.25</v>
      </c>
      <c r="D335" s="8"/>
      <c r="E335" s="22"/>
      <c r="F335" s="8"/>
      <c r="G335" s="24"/>
      <c r="H335" s="8"/>
      <c r="I335" s="23"/>
      <c r="J335" s="8"/>
      <c r="K335" s="22"/>
      <c r="L335" s="8"/>
      <c r="M335" s="24"/>
    </row>
    <row r="336" spans="1:13">
      <c r="A336">
        <v>2015</v>
      </c>
      <c r="B336" s="9" t="s">
        <v>1278</v>
      </c>
      <c r="C336" s="21">
        <v>419699.38</v>
      </c>
      <c r="D336" s="8"/>
      <c r="E336" s="22"/>
      <c r="F336" s="8"/>
      <c r="G336" s="24"/>
      <c r="H336" s="8"/>
      <c r="I336" s="23"/>
      <c r="J336" s="8"/>
      <c r="K336" s="22"/>
      <c r="L336" s="8"/>
      <c r="M336" s="24"/>
    </row>
    <row r="337" spans="1:13">
      <c r="A337">
        <v>2015</v>
      </c>
      <c r="B337" s="9" t="s">
        <v>1279</v>
      </c>
      <c r="C337" s="21">
        <v>447836.95</v>
      </c>
      <c r="D337" s="8"/>
      <c r="E337" s="22"/>
      <c r="F337" s="8"/>
      <c r="G337" s="24"/>
      <c r="H337" s="8"/>
      <c r="I337" s="23"/>
      <c r="J337" s="8"/>
      <c r="K337" s="22"/>
      <c r="L337" s="8"/>
      <c r="M337" s="24"/>
    </row>
    <row r="338" spans="1:13">
      <c r="A338">
        <v>2015</v>
      </c>
      <c r="B338" s="9" t="s">
        <v>1280</v>
      </c>
      <c r="C338" s="21">
        <v>1072037.03</v>
      </c>
      <c r="D338" s="8"/>
      <c r="E338" s="22"/>
      <c r="F338" s="8"/>
      <c r="G338" s="24"/>
      <c r="H338" s="8"/>
      <c r="I338" s="23"/>
      <c r="J338" s="8"/>
      <c r="K338" s="22"/>
      <c r="L338" s="8"/>
      <c r="M338" s="24"/>
    </row>
    <row r="339" spans="1:13">
      <c r="A339">
        <v>2015</v>
      </c>
      <c r="B339" s="9" t="s">
        <v>1281</v>
      </c>
      <c r="C339" s="21">
        <v>175350.43</v>
      </c>
      <c r="D339" s="8"/>
      <c r="E339" s="22"/>
      <c r="F339" s="8"/>
      <c r="G339" s="24"/>
      <c r="H339" s="8"/>
      <c r="I339" s="23"/>
      <c r="J339" s="8"/>
      <c r="K339" s="22"/>
      <c r="L339" s="8"/>
      <c r="M339" s="24"/>
    </row>
    <row r="340" spans="1:13">
      <c r="A340">
        <v>2015</v>
      </c>
      <c r="B340" s="9" t="s">
        <v>1282</v>
      </c>
      <c r="C340" s="21">
        <v>133447.41</v>
      </c>
      <c r="D340" s="8"/>
      <c r="E340" s="22"/>
      <c r="F340" s="8"/>
      <c r="G340" s="24"/>
      <c r="H340" s="8"/>
      <c r="I340" s="23"/>
      <c r="J340" s="8"/>
      <c r="K340" s="22"/>
      <c r="L340" s="8"/>
      <c r="M340" s="24"/>
    </row>
    <row r="341" spans="1:13">
      <c r="A341">
        <v>2015</v>
      </c>
      <c r="B341" s="9" t="s">
        <v>1283</v>
      </c>
      <c r="C341" s="21">
        <v>1976072.5</v>
      </c>
      <c r="D341" s="8"/>
      <c r="E341" s="22"/>
      <c r="F341" s="8"/>
      <c r="G341" s="24"/>
      <c r="H341" s="8"/>
      <c r="I341" s="23"/>
      <c r="J341" s="8"/>
      <c r="K341" s="22"/>
      <c r="L341" s="8"/>
      <c r="M341" s="24"/>
    </row>
    <row r="342" spans="1:13">
      <c r="A342">
        <v>2015</v>
      </c>
      <c r="B342" s="9" t="s">
        <v>1284</v>
      </c>
      <c r="C342" s="21">
        <v>2915840.93</v>
      </c>
      <c r="D342" s="8"/>
      <c r="E342" s="22"/>
      <c r="F342" s="8"/>
      <c r="G342" s="24"/>
      <c r="H342" s="8"/>
      <c r="I342" s="23"/>
      <c r="J342" s="8"/>
      <c r="K342" s="22"/>
      <c r="L342" s="8"/>
      <c r="M342" s="24"/>
    </row>
    <row r="343" spans="1:13">
      <c r="A343">
        <v>2015</v>
      </c>
      <c r="B343" s="9" t="s">
        <v>1285</v>
      </c>
      <c r="C343" s="21">
        <v>29513.26</v>
      </c>
      <c r="D343" s="8"/>
      <c r="E343" s="22"/>
      <c r="F343" s="8"/>
      <c r="G343" s="24"/>
      <c r="H343" s="8"/>
      <c r="I343" s="23"/>
      <c r="J343" s="8"/>
      <c r="K343" s="22"/>
      <c r="L343" s="8"/>
      <c r="M343" s="24"/>
    </row>
    <row r="344" spans="1:13">
      <c r="A344">
        <v>2015</v>
      </c>
      <c r="B344" s="9" t="s">
        <v>1286</v>
      </c>
      <c r="C344" s="21">
        <v>37822.35</v>
      </c>
      <c r="D344" s="8"/>
      <c r="E344" s="22"/>
      <c r="F344" s="8"/>
      <c r="G344" s="24"/>
      <c r="H344" s="8"/>
      <c r="I344" s="23"/>
      <c r="J344" s="8"/>
      <c r="K344" s="22"/>
      <c r="L344" s="8"/>
      <c r="M344" s="24"/>
    </row>
    <row r="345" spans="1:13">
      <c r="A345">
        <v>2015</v>
      </c>
      <c r="B345" s="9" t="s">
        <v>1287</v>
      </c>
      <c r="C345" s="21">
        <v>164736.69</v>
      </c>
      <c r="D345" s="8"/>
      <c r="E345" s="22"/>
      <c r="F345" s="8"/>
      <c r="G345" s="24"/>
      <c r="H345" s="8"/>
      <c r="I345" s="23"/>
      <c r="J345" s="8"/>
      <c r="K345" s="22"/>
      <c r="L345" s="8"/>
      <c r="M345" s="24"/>
    </row>
    <row r="346" spans="1:13">
      <c r="A346">
        <v>2015</v>
      </c>
      <c r="B346" s="9" t="s">
        <v>1288</v>
      </c>
      <c r="C346" s="21">
        <v>34749.67</v>
      </c>
      <c r="D346" s="8"/>
      <c r="E346" s="22"/>
      <c r="F346" s="8"/>
      <c r="G346" s="24"/>
      <c r="H346" s="8"/>
      <c r="I346" s="23"/>
      <c r="J346" s="8"/>
      <c r="K346" s="22"/>
      <c r="L346" s="8"/>
      <c r="M346" s="24"/>
    </row>
    <row r="347" spans="1:13">
      <c r="A347">
        <v>2015</v>
      </c>
      <c r="B347" s="9" t="s">
        <v>1289</v>
      </c>
      <c r="C347" s="21">
        <v>68066.28</v>
      </c>
      <c r="D347" s="8"/>
      <c r="E347" s="22"/>
      <c r="F347" s="8"/>
      <c r="G347" s="24"/>
      <c r="H347" s="8"/>
      <c r="I347" s="23"/>
      <c r="J347" s="8"/>
      <c r="K347" s="22"/>
      <c r="L347" s="8"/>
      <c r="M347" s="24"/>
    </row>
    <row r="348" spans="1:13">
      <c r="A348">
        <v>2015</v>
      </c>
      <c r="B348" s="9" t="s">
        <v>1290</v>
      </c>
      <c r="C348" s="21">
        <v>479507.51</v>
      </c>
      <c r="D348" s="8"/>
      <c r="E348" s="22"/>
      <c r="F348" s="8"/>
      <c r="G348" s="24"/>
      <c r="H348" s="8"/>
      <c r="I348" s="23"/>
      <c r="J348" s="8"/>
      <c r="K348" s="22"/>
      <c r="L348" s="8"/>
      <c r="M348" s="24"/>
    </row>
    <row r="349" spans="1:13">
      <c r="A349">
        <v>2015</v>
      </c>
      <c r="B349" s="9" t="s">
        <v>1291</v>
      </c>
      <c r="C349" s="21">
        <v>535836.30000000005</v>
      </c>
      <c r="D349" s="8"/>
      <c r="E349" s="22"/>
      <c r="F349" s="8"/>
      <c r="G349" s="24"/>
      <c r="H349" s="8"/>
      <c r="I349" s="23"/>
      <c r="J349" s="8"/>
      <c r="K349" s="22"/>
      <c r="L349" s="8"/>
      <c r="M349" s="24"/>
    </row>
    <row r="350" spans="1:13">
      <c r="A350">
        <v>2015</v>
      </c>
      <c r="B350" s="9" t="s">
        <v>1292</v>
      </c>
      <c r="C350" s="21">
        <v>22606.46</v>
      </c>
      <c r="D350" s="8"/>
      <c r="E350" s="22"/>
      <c r="F350" s="8"/>
      <c r="G350" s="24"/>
      <c r="H350" s="8"/>
      <c r="I350" s="23"/>
      <c r="J350" s="8"/>
      <c r="K350" s="22"/>
      <c r="L350" s="8"/>
      <c r="M350" s="24"/>
    </row>
    <row r="351" spans="1:13">
      <c r="A351">
        <v>2015</v>
      </c>
      <c r="B351" s="9" t="s">
        <v>1293</v>
      </c>
      <c r="C351" s="21">
        <v>3369754.63</v>
      </c>
      <c r="D351" s="8"/>
      <c r="E351" s="22"/>
      <c r="F351" s="8"/>
      <c r="G351" s="24"/>
      <c r="H351" s="8"/>
      <c r="I351" s="23"/>
      <c r="J351" s="8"/>
      <c r="K351" s="22"/>
      <c r="L351" s="8"/>
      <c r="M351" s="24"/>
    </row>
    <row r="352" spans="1:13">
      <c r="A352">
        <v>2015</v>
      </c>
      <c r="B352" s="9" t="s">
        <v>1294</v>
      </c>
      <c r="C352" s="21">
        <v>28047.99</v>
      </c>
      <c r="D352" s="8"/>
      <c r="E352" s="22"/>
      <c r="F352" s="8"/>
      <c r="G352" s="17"/>
      <c r="H352" s="8"/>
      <c r="I352" s="17"/>
      <c r="J352" s="8"/>
      <c r="K352" s="22"/>
      <c r="L352" s="8"/>
      <c r="M352" s="17"/>
    </row>
    <row r="353" spans="1:13">
      <c r="A353">
        <v>2015</v>
      </c>
      <c r="B353" s="9" t="s">
        <v>1295</v>
      </c>
      <c r="C353" s="21">
        <v>3319336.31</v>
      </c>
      <c r="D353" s="8"/>
      <c r="E353" s="22"/>
      <c r="F353" s="8"/>
      <c r="G353" s="24"/>
      <c r="H353" s="8"/>
      <c r="I353" s="23"/>
      <c r="J353" s="8"/>
      <c r="K353" s="22"/>
      <c r="L353" s="8"/>
      <c r="M353" s="24"/>
    </row>
    <row r="354" spans="1:13">
      <c r="A354">
        <v>2015</v>
      </c>
      <c r="B354" s="9" t="s">
        <v>1296</v>
      </c>
      <c r="C354" s="21">
        <v>4844.93</v>
      </c>
      <c r="D354" s="8"/>
      <c r="E354" s="22"/>
      <c r="F354" s="8"/>
      <c r="G354" s="24"/>
      <c r="H354" s="8"/>
      <c r="I354" s="23"/>
      <c r="J354" s="8"/>
      <c r="K354" s="22"/>
      <c r="L354" s="8"/>
      <c r="M354" s="24"/>
    </row>
    <row r="355" spans="1:13">
      <c r="A355">
        <v>2015</v>
      </c>
      <c r="B355" s="9" t="s">
        <v>1297</v>
      </c>
      <c r="C355" s="21">
        <v>1731139.44</v>
      </c>
      <c r="D355" s="8"/>
      <c r="E355" s="22"/>
      <c r="F355" s="8"/>
      <c r="G355" s="24"/>
      <c r="H355" s="8"/>
      <c r="I355" s="23"/>
      <c r="J355" s="8"/>
      <c r="K355" s="22"/>
      <c r="L355" s="8"/>
      <c r="M355" s="24"/>
    </row>
    <row r="356" spans="1:13">
      <c r="A356">
        <v>2015</v>
      </c>
      <c r="B356" s="9" t="s">
        <v>1298</v>
      </c>
      <c r="C356" s="21">
        <v>131890.89000000001</v>
      </c>
      <c r="D356" s="8"/>
      <c r="E356" s="22"/>
      <c r="F356" s="8"/>
      <c r="G356" s="24"/>
      <c r="H356" s="8"/>
      <c r="I356" s="23"/>
      <c r="J356" s="8"/>
      <c r="K356" s="22"/>
      <c r="L356" s="8"/>
      <c r="M356" s="24"/>
    </row>
    <row r="357" spans="1:13">
      <c r="A357">
        <v>2015</v>
      </c>
      <c r="B357" s="9" t="s">
        <v>1299</v>
      </c>
      <c r="C357" s="21">
        <v>6814.69</v>
      </c>
      <c r="D357" s="8"/>
      <c r="E357" s="22"/>
      <c r="F357" s="8"/>
      <c r="G357" s="24"/>
      <c r="H357" s="8"/>
      <c r="I357" s="23"/>
      <c r="J357" s="8"/>
      <c r="K357" s="22"/>
      <c r="L357" s="8"/>
      <c r="M357" s="24"/>
    </row>
    <row r="358" spans="1:13">
      <c r="A358">
        <v>2015</v>
      </c>
      <c r="B358" s="9" t="s">
        <v>1300</v>
      </c>
      <c r="C358" s="21">
        <v>147879.51</v>
      </c>
      <c r="D358" s="8"/>
      <c r="E358" s="22"/>
      <c r="F358" s="8"/>
      <c r="G358" s="24"/>
      <c r="H358" s="8"/>
      <c r="I358" s="23"/>
      <c r="J358" s="8"/>
      <c r="K358" s="22"/>
      <c r="L358" s="8"/>
      <c r="M358" s="24"/>
    </row>
    <row r="359" spans="1:13">
      <c r="A359">
        <v>2015</v>
      </c>
      <c r="B359" s="9" t="s">
        <v>1301</v>
      </c>
      <c r="C359" s="21">
        <v>5504.62</v>
      </c>
      <c r="D359" s="8"/>
      <c r="E359" s="22"/>
      <c r="F359" s="8"/>
      <c r="G359" s="24"/>
      <c r="H359" s="8"/>
      <c r="I359" s="23"/>
      <c r="J359" s="8"/>
      <c r="K359" s="22"/>
      <c r="L359" s="8"/>
      <c r="M359" s="24"/>
    </row>
    <row r="360" spans="1:13">
      <c r="A360">
        <v>2015</v>
      </c>
      <c r="B360" s="9" t="s">
        <v>1302</v>
      </c>
      <c r="C360" s="21">
        <v>26673.47</v>
      </c>
      <c r="D360" s="8"/>
      <c r="E360" s="22"/>
      <c r="F360" s="8"/>
      <c r="G360" s="24"/>
      <c r="H360" s="8"/>
      <c r="I360" s="23"/>
      <c r="J360" s="8"/>
      <c r="K360" s="22"/>
      <c r="L360" s="8"/>
      <c r="M360" s="24"/>
    </row>
    <row r="361" spans="1:13">
      <c r="A361">
        <v>2015</v>
      </c>
      <c r="B361" s="9" t="s">
        <v>1303</v>
      </c>
      <c r="C361" s="21">
        <v>57636.77</v>
      </c>
      <c r="D361" s="8"/>
      <c r="E361" s="22"/>
      <c r="F361" s="8"/>
      <c r="G361" s="24"/>
      <c r="H361" s="8"/>
      <c r="I361" s="23"/>
      <c r="J361" s="8"/>
      <c r="K361" s="22"/>
      <c r="L361" s="8"/>
      <c r="M361" s="24"/>
    </row>
    <row r="362" spans="1:13">
      <c r="A362">
        <v>2015</v>
      </c>
      <c r="B362" s="9" t="s">
        <v>1304</v>
      </c>
      <c r="C362" s="21">
        <v>1050669.28</v>
      </c>
      <c r="D362" s="8"/>
      <c r="E362" s="22"/>
      <c r="F362" s="8"/>
      <c r="G362" s="24"/>
      <c r="H362" s="8"/>
      <c r="I362" s="23"/>
      <c r="J362" s="8"/>
      <c r="K362" s="22"/>
      <c r="L362" s="8"/>
      <c r="M362" s="24"/>
    </row>
    <row r="363" spans="1:13">
      <c r="A363">
        <v>2015</v>
      </c>
      <c r="B363" s="9" t="s">
        <v>1305</v>
      </c>
      <c r="C363" s="21">
        <v>82439.31</v>
      </c>
      <c r="D363" s="8"/>
      <c r="E363" s="22"/>
      <c r="F363" s="8"/>
      <c r="G363" s="24"/>
      <c r="H363" s="8"/>
      <c r="I363" s="23"/>
      <c r="J363" s="8"/>
      <c r="K363" s="22"/>
      <c r="L363" s="8"/>
      <c r="M363" s="24"/>
    </row>
    <row r="364" spans="1:13">
      <c r="A364">
        <v>2015</v>
      </c>
      <c r="B364" s="9" t="s">
        <v>1306</v>
      </c>
      <c r="C364" s="21">
        <v>35785.01</v>
      </c>
      <c r="D364" s="8"/>
      <c r="E364" s="22"/>
      <c r="F364" s="8"/>
      <c r="G364" s="24"/>
      <c r="H364" s="8"/>
      <c r="I364" s="23"/>
      <c r="J364" s="8"/>
      <c r="K364" s="22"/>
      <c r="L364" s="8"/>
      <c r="M364" s="24"/>
    </row>
    <row r="365" spans="1:13">
      <c r="A365">
        <v>2015</v>
      </c>
      <c r="B365" s="9" t="s">
        <v>1307</v>
      </c>
      <c r="C365" s="21">
        <v>67253.570000000007</v>
      </c>
      <c r="D365" s="8"/>
      <c r="E365" s="22"/>
      <c r="F365" s="8"/>
      <c r="G365" s="24"/>
      <c r="H365" s="8"/>
      <c r="I365" s="23"/>
      <c r="J365" s="8"/>
      <c r="K365" s="22"/>
      <c r="L365" s="8"/>
      <c r="M365" s="24"/>
    </row>
    <row r="366" spans="1:13">
      <c r="A366">
        <v>2015</v>
      </c>
      <c r="B366" s="9" t="s">
        <v>1308</v>
      </c>
      <c r="C366" s="21">
        <v>3032077.58</v>
      </c>
      <c r="D366" s="8"/>
      <c r="E366" s="22"/>
      <c r="F366" s="8"/>
      <c r="G366" s="24"/>
      <c r="H366" s="8"/>
      <c r="I366" s="23"/>
      <c r="J366" s="8"/>
      <c r="K366" s="22"/>
      <c r="L366" s="8"/>
      <c r="M366" s="24"/>
    </row>
    <row r="367" spans="1:13">
      <c r="A367">
        <v>2015</v>
      </c>
      <c r="B367" s="9" t="s">
        <v>1309</v>
      </c>
      <c r="C367" s="21">
        <v>38661.82</v>
      </c>
      <c r="D367" s="8"/>
      <c r="E367" s="22"/>
      <c r="F367" s="8"/>
      <c r="G367" s="24"/>
      <c r="H367" s="8"/>
      <c r="I367" s="23"/>
      <c r="J367" s="8"/>
      <c r="K367" s="22"/>
      <c r="L367" s="8"/>
      <c r="M367" s="24"/>
    </row>
    <row r="368" spans="1:13">
      <c r="A368">
        <v>2015</v>
      </c>
      <c r="B368" s="9" t="s">
        <v>1310</v>
      </c>
      <c r="C368" s="21">
        <v>57614.59</v>
      </c>
      <c r="D368" s="8"/>
      <c r="E368" s="22"/>
      <c r="F368" s="8"/>
      <c r="G368" s="24"/>
      <c r="H368" s="8"/>
      <c r="I368" s="23"/>
      <c r="J368" s="8"/>
      <c r="K368" s="22"/>
      <c r="L368" s="8"/>
      <c r="M368" s="24"/>
    </row>
    <row r="369" spans="1:13">
      <c r="A369">
        <v>2015</v>
      </c>
      <c r="B369" s="9" t="s">
        <v>1311</v>
      </c>
      <c r="C369" s="21">
        <v>184031.92</v>
      </c>
      <c r="D369" s="8"/>
      <c r="E369" s="22"/>
      <c r="F369" s="8"/>
      <c r="G369" s="24"/>
      <c r="H369" s="8"/>
      <c r="I369" s="23"/>
      <c r="J369" s="8"/>
      <c r="K369" s="22"/>
      <c r="L369" s="8"/>
      <c r="M369" s="24"/>
    </row>
    <row r="370" spans="1:13">
      <c r="A370">
        <v>2015</v>
      </c>
      <c r="B370" s="9" t="s">
        <v>1312</v>
      </c>
      <c r="C370" s="21">
        <v>113466.2</v>
      </c>
      <c r="D370" s="8"/>
      <c r="E370" s="22"/>
      <c r="F370" s="8"/>
      <c r="G370" s="24"/>
      <c r="H370" s="8"/>
      <c r="I370" s="23"/>
      <c r="J370" s="8"/>
      <c r="K370" s="22"/>
      <c r="L370" s="8"/>
      <c r="M370" s="24"/>
    </row>
    <row r="371" spans="1:13">
      <c r="A371">
        <v>2015</v>
      </c>
      <c r="B371" s="9" t="s">
        <v>1313</v>
      </c>
      <c r="C371" s="21">
        <v>92168.81</v>
      </c>
      <c r="D371" s="8"/>
      <c r="E371" s="22"/>
      <c r="F371" s="8"/>
      <c r="G371" s="24"/>
      <c r="H371" s="8"/>
      <c r="I371" s="23"/>
      <c r="J371" s="8"/>
      <c r="K371" s="22"/>
      <c r="L371" s="8"/>
      <c r="M371" s="24"/>
    </row>
    <row r="372" spans="1:13">
      <c r="A372">
        <v>2015</v>
      </c>
      <c r="B372" s="9" t="s">
        <v>1314</v>
      </c>
      <c r="C372" s="21">
        <v>45669.43</v>
      </c>
      <c r="D372" s="8"/>
      <c r="E372" s="22"/>
      <c r="F372" s="8"/>
      <c r="G372" s="24"/>
      <c r="H372" s="8"/>
      <c r="I372" s="23"/>
      <c r="J372" s="8"/>
      <c r="K372" s="22"/>
      <c r="L372" s="8"/>
      <c r="M372" s="24"/>
    </row>
    <row r="373" spans="1:13">
      <c r="A373">
        <v>2015</v>
      </c>
      <c r="B373" s="9" t="s">
        <v>1315</v>
      </c>
      <c r="C373" s="21">
        <v>83823.25</v>
      </c>
      <c r="D373" s="8"/>
      <c r="E373" s="22"/>
      <c r="F373" s="8"/>
      <c r="G373" s="24"/>
      <c r="H373" s="8"/>
      <c r="I373" s="23"/>
      <c r="J373" s="8"/>
      <c r="K373" s="22"/>
      <c r="L373" s="8"/>
      <c r="M373" s="24"/>
    </row>
    <row r="374" spans="1:13">
      <c r="A374">
        <v>2015</v>
      </c>
      <c r="B374" s="9" t="s">
        <v>1316</v>
      </c>
      <c r="C374" s="21">
        <v>119304.16</v>
      </c>
      <c r="D374" s="8"/>
      <c r="E374" s="22"/>
      <c r="F374" s="8"/>
      <c r="G374" s="24"/>
      <c r="H374" s="8"/>
      <c r="I374" s="23"/>
      <c r="J374" s="8"/>
      <c r="K374" s="22"/>
      <c r="L374" s="8"/>
      <c r="M374" s="24"/>
    </row>
    <row r="375" spans="1:13">
      <c r="A375">
        <v>2015</v>
      </c>
      <c r="B375" s="9" t="s">
        <v>1317</v>
      </c>
      <c r="C375" s="21">
        <v>109306.37</v>
      </c>
      <c r="D375" s="8"/>
      <c r="E375" s="22"/>
      <c r="F375" s="8"/>
      <c r="G375" s="24"/>
      <c r="H375" s="8"/>
      <c r="I375" s="23"/>
      <c r="J375" s="8"/>
      <c r="K375" s="22"/>
      <c r="L375" s="8"/>
      <c r="M375" s="24"/>
    </row>
    <row r="376" spans="1:13">
      <c r="A376">
        <v>2015</v>
      </c>
      <c r="B376" s="9" t="s">
        <v>1318</v>
      </c>
      <c r="C376" s="9">
        <v>0</v>
      </c>
      <c r="D376" s="8"/>
      <c r="E376" s="22"/>
      <c r="F376" s="8"/>
      <c r="G376" s="17"/>
      <c r="H376" s="8"/>
      <c r="I376" s="17"/>
      <c r="J376" s="8"/>
      <c r="K376" s="22"/>
      <c r="L376" s="8"/>
      <c r="M376" s="17"/>
    </row>
    <row r="377" spans="1:13">
      <c r="A377">
        <v>2015</v>
      </c>
      <c r="B377" s="9" t="s">
        <v>1319</v>
      </c>
      <c r="C377" s="21">
        <v>175448.59</v>
      </c>
      <c r="D377" s="8"/>
      <c r="E377" s="22"/>
      <c r="F377" s="8"/>
      <c r="G377" s="24"/>
      <c r="H377" s="8"/>
      <c r="I377" s="23"/>
      <c r="J377" s="8"/>
      <c r="K377" s="22"/>
      <c r="L377" s="8"/>
      <c r="M377" s="24"/>
    </row>
    <row r="378" spans="1:13">
      <c r="A378">
        <v>2015</v>
      </c>
      <c r="B378" s="9" t="s">
        <v>1320</v>
      </c>
      <c r="C378" s="21">
        <v>63661.51</v>
      </c>
      <c r="D378" s="8"/>
      <c r="E378" s="22"/>
      <c r="F378" s="8"/>
      <c r="G378" s="24"/>
      <c r="H378" s="8"/>
      <c r="I378" s="23"/>
      <c r="J378" s="8"/>
      <c r="K378" s="22"/>
      <c r="L378" s="8"/>
      <c r="M378" s="24"/>
    </row>
    <row r="379" spans="1:13">
      <c r="A379">
        <v>2015</v>
      </c>
      <c r="B379" s="9" t="s">
        <v>1321</v>
      </c>
      <c r="C379" s="21">
        <v>71121.84</v>
      </c>
      <c r="D379" s="8"/>
      <c r="E379" s="22"/>
      <c r="F379" s="8"/>
      <c r="G379" s="24"/>
      <c r="H379" s="8"/>
      <c r="I379" s="23"/>
      <c r="J379" s="8"/>
      <c r="K379" s="22"/>
      <c r="L379" s="8"/>
      <c r="M379" s="24"/>
    </row>
    <row r="380" spans="1:13">
      <c r="A380">
        <v>2015</v>
      </c>
      <c r="B380" s="9" t="s">
        <v>1322</v>
      </c>
      <c r="C380" s="21">
        <v>130504.38</v>
      </c>
      <c r="D380" s="8"/>
      <c r="E380" s="22"/>
      <c r="F380" s="8"/>
      <c r="G380" s="24"/>
      <c r="H380" s="8"/>
      <c r="I380" s="23"/>
      <c r="J380" s="8"/>
      <c r="K380" s="22"/>
      <c r="L380" s="8"/>
      <c r="M380" s="24"/>
    </row>
    <row r="381" spans="1:13">
      <c r="A381">
        <v>2015</v>
      </c>
      <c r="B381" s="9" t="s">
        <v>1323</v>
      </c>
      <c r="C381" s="21">
        <v>84855.08</v>
      </c>
      <c r="D381" s="8"/>
      <c r="E381" s="22"/>
      <c r="F381" s="8"/>
      <c r="G381" s="24"/>
      <c r="H381" s="8"/>
      <c r="I381" s="23"/>
      <c r="J381" s="8"/>
      <c r="K381" s="22"/>
      <c r="L381" s="8"/>
      <c r="M381" s="24"/>
    </row>
    <row r="382" spans="1:13">
      <c r="A382">
        <v>2015</v>
      </c>
      <c r="B382" s="9" t="s">
        <v>176</v>
      </c>
      <c r="C382" s="21">
        <v>8582130.1099999994</v>
      </c>
      <c r="D382" s="8"/>
      <c r="E382" s="22"/>
      <c r="F382" s="8"/>
      <c r="G382" s="24"/>
      <c r="H382" s="8"/>
      <c r="I382" s="23"/>
      <c r="J382" s="8"/>
      <c r="K382" s="22"/>
      <c r="L382" s="8"/>
      <c r="M382" s="24"/>
    </row>
    <row r="383" spans="1:13">
      <c r="A383">
        <v>2015</v>
      </c>
      <c r="B383" s="9" t="s">
        <v>1324</v>
      </c>
      <c r="C383" s="21">
        <v>51469.32</v>
      </c>
      <c r="D383" s="8"/>
      <c r="E383" s="22"/>
      <c r="F383" s="8"/>
      <c r="G383" s="24"/>
      <c r="H383" s="8"/>
      <c r="I383" s="23"/>
      <c r="J383" s="8"/>
      <c r="K383" s="22"/>
      <c r="L383" s="8"/>
      <c r="M383" s="24"/>
    </row>
    <row r="384" spans="1:13">
      <c r="A384">
        <v>2015</v>
      </c>
      <c r="B384" s="9" t="s">
        <v>1325</v>
      </c>
      <c r="C384" s="21">
        <v>121795.06</v>
      </c>
      <c r="D384" s="8"/>
      <c r="E384" s="22"/>
      <c r="F384" s="8"/>
      <c r="G384" s="24"/>
      <c r="H384" s="8"/>
      <c r="I384" s="23"/>
      <c r="J384" s="8"/>
      <c r="K384" s="22"/>
      <c r="L384" s="8"/>
      <c r="M384" s="24"/>
    </row>
    <row r="385" spans="1:13">
      <c r="A385">
        <v>2015</v>
      </c>
      <c r="B385" s="9" t="s">
        <v>1326</v>
      </c>
      <c r="C385" s="21">
        <v>57564.23</v>
      </c>
      <c r="D385" s="8"/>
      <c r="E385" s="22"/>
      <c r="F385" s="8"/>
      <c r="G385" s="24"/>
      <c r="H385" s="8"/>
      <c r="I385" s="23"/>
      <c r="J385" s="8"/>
      <c r="K385" s="22"/>
      <c r="L385" s="8"/>
      <c r="M385" s="24"/>
    </row>
    <row r="386" spans="1:13">
      <c r="A386">
        <v>2015</v>
      </c>
      <c r="B386" s="9" t="s">
        <v>1327</v>
      </c>
      <c r="C386" s="21">
        <v>103813.52</v>
      </c>
      <c r="D386" s="8"/>
      <c r="E386" s="22"/>
      <c r="F386" s="8"/>
      <c r="G386" s="24"/>
      <c r="H386" s="8"/>
      <c r="I386" s="23"/>
      <c r="J386" s="8"/>
      <c r="K386" s="22"/>
      <c r="L386" s="8"/>
      <c r="M386" s="24"/>
    </row>
    <row r="387" spans="1:13">
      <c r="A387">
        <v>2015</v>
      </c>
      <c r="B387" s="9" t="s">
        <v>1328</v>
      </c>
      <c r="C387" s="21">
        <v>77171</v>
      </c>
      <c r="D387" s="8"/>
      <c r="E387" s="22"/>
      <c r="F387" s="8"/>
      <c r="G387" s="24"/>
      <c r="H387" s="8"/>
      <c r="I387" s="23"/>
      <c r="J387" s="8"/>
      <c r="K387" s="22"/>
      <c r="L387" s="8"/>
      <c r="M387" s="24"/>
    </row>
    <row r="388" spans="1:13">
      <c r="A388">
        <v>2015</v>
      </c>
      <c r="B388" s="9" t="s">
        <v>1329</v>
      </c>
      <c r="C388" s="21">
        <v>276262.99</v>
      </c>
      <c r="D388" s="8"/>
      <c r="E388" s="22"/>
      <c r="F388" s="8"/>
      <c r="G388" s="24"/>
      <c r="H388" s="8"/>
      <c r="I388" s="23"/>
      <c r="J388" s="8"/>
      <c r="K388" s="22"/>
      <c r="L388" s="8"/>
      <c r="M388" s="24"/>
    </row>
    <row r="389" spans="1:13">
      <c r="A389">
        <v>2015</v>
      </c>
      <c r="B389" s="9" t="s">
        <v>1330</v>
      </c>
      <c r="C389" s="21">
        <v>3461086.3</v>
      </c>
      <c r="D389" s="8"/>
      <c r="E389" s="22"/>
      <c r="F389" s="8"/>
      <c r="G389" s="24"/>
      <c r="H389" s="8"/>
      <c r="I389" s="23"/>
      <c r="J389" s="8"/>
      <c r="K389" s="22"/>
      <c r="L389" s="8"/>
      <c r="M389" s="24"/>
    </row>
    <row r="390" spans="1:13">
      <c r="A390">
        <v>2015</v>
      </c>
      <c r="B390" s="9" t="s">
        <v>1331</v>
      </c>
      <c r="C390" s="21">
        <v>88711.81</v>
      </c>
      <c r="D390" s="8"/>
      <c r="E390" s="22"/>
      <c r="F390" s="8"/>
      <c r="G390" s="24"/>
      <c r="H390" s="8"/>
      <c r="I390" s="23"/>
      <c r="J390" s="8"/>
      <c r="K390" s="22"/>
      <c r="L390" s="8"/>
      <c r="M390" s="24"/>
    </row>
    <row r="391" spans="1:13">
      <c r="A391">
        <v>2015</v>
      </c>
      <c r="B391" s="9" t="s">
        <v>1332</v>
      </c>
      <c r="C391" s="21">
        <v>96072.55</v>
      </c>
      <c r="D391" s="8"/>
      <c r="E391" s="22"/>
      <c r="F391" s="8"/>
      <c r="G391" s="24"/>
      <c r="H391" s="8"/>
      <c r="I391" s="23"/>
      <c r="J391" s="8"/>
      <c r="K391" s="22"/>
      <c r="L391" s="8"/>
      <c r="M391" s="24"/>
    </row>
    <row r="392" spans="1:13">
      <c r="A392">
        <v>2015</v>
      </c>
      <c r="B392" s="9" t="s">
        <v>1333</v>
      </c>
      <c r="C392" s="21">
        <v>33231.74</v>
      </c>
      <c r="D392" s="8"/>
      <c r="E392" s="22"/>
      <c r="F392" s="8"/>
      <c r="G392" s="24"/>
      <c r="H392" s="8"/>
      <c r="I392" s="23"/>
      <c r="J392" s="8"/>
      <c r="K392" s="22"/>
      <c r="L392" s="8"/>
      <c r="M392" s="24"/>
    </row>
    <row r="393" spans="1:13">
      <c r="A393">
        <v>2015</v>
      </c>
      <c r="B393" s="9" t="s">
        <v>1334</v>
      </c>
      <c r="C393" s="21">
        <v>57846.6</v>
      </c>
      <c r="D393" s="8"/>
      <c r="E393" s="22"/>
      <c r="F393" s="8"/>
      <c r="G393" s="24"/>
      <c r="H393" s="8"/>
      <c r="I393" s="23"/>
      <c r="J393" s="8"/>
      <c r="K393" s="22"/>
      <c r="L393" s="8"/>
      <c r="M393" s="24"/>
    </row>
    <row r="394" spans="1:13">
      <c r="A394">
        <v>2015</v>
      </c>
      <c r="B394" s="9" t="s">
        <v>1335</v>
      </c>
      <c r="C394" s="21">
        <v>84681.57</v>
      </c>
      <c r="D394" s="8"/>
      <c r="E394" s="22"/>
      <c r="F394" s="8"/>
      <c r="G394" s="24"/>
      <c r="H394" s="8"/>
      <c r="I394" s="23"/>
      <c r="J394" s="8"/>
      <c r="K394" s="22"/>
      <c r="L394" s="8"/>
      <c r="M394" s="24"/>
    </row>
    <row r="395" spans="1:13">
      <c r="A395">
        <v>2015</v>
      </c>
      <c r="B395" s="9" t="s">
        <v>1336</v>
      </c>
      <c r="C395" s="21">
        <v>49651.68</v>
      </c>
      <c r="D395" s="8"/>
      <c r="E395" s="22"/>
      <c r="F395" s="8"/>
      <c r="G395" s="24"/>
      <c r="H395" s="8"/>
      <c r="I395" s="17"/>
      <c r="J395" s="8"/>
      <c r="K395" s="22"/>
      <c r="L395" s="8"/>
      <c r="M395" s="17"/>
    </row>
    <row r="396" spans="1:13">
      <c r="A396">
        <v>2015</v>
      </c>
      <c r="B396" s="9" t="s">
        <v>1337</v>
      </c>
      <c r="C396" s="21">
        <v>79185.36</v>
      </c>
      <c r="D396" s="8"/>
      <c r="E396" s="22"/>
      <c r="F396" s="8"/>
      <c r="G396" s="24"/>
      <c r="H396" s="8"/>
      <c r="I396" s="23"/>
      <c r="J396" s="8"/>
      <c r="K396" s="22"/>
      <c r="L396" s="8"/>
      <c r="M396" s="24"/>
    </row>
    <row r="397" spans="1:13">
      <c r="A397">
        <v>2015</v>
      </c>
      <c r="B397" s="9" t="s">
        <v>1338</v>
      </c>
      <c r="C397" s="21">
        <v>903348.7</v>
      </c>
      <c r="D397" s="8"/>
      <c r="E397" s="22"/>
      <c r="F397" s="8"/>
      <c r="G397" s="24"/>
      <c r="H397" s="8"/>
      <c r="I397" s="23"/>
      <c r="J397" s="8"/>
      <c r="K397" s="22"/>
      <c r="L397" s="8"/>
      <c r="M397" s="24"/>
    </row>
    <row r="398" spans="1:13">
      <c r="A398">
        <v>2015</v>
      </c>
      <c r="B398" s="9" t="s">
        <v>1339</v>
      </c>
      <c r="C398" s="21">
        <v>707810.38</v>
      </c>
      <c r="D398" s="8"/>
      <c r="E398" s="22"/>
      <c r="F398" s="8"/>
      <c r="G398" s="24"/>
      <c r="H398" s="8"/>
      <c r="I398" s="23"/>
      <c r="J398" s="8"/>
      <c r="K398" s="22"/>
      <c r="L398" s="8"/>
      <c r="M398" s="24"/>
    </row>
    <row r="399" spans="1:13">
      <c r="A399">
        <v>2015</v>
      </c>
      <c r="B399" s="9" t="s">
        <v>1340</v>
      </c>
      <c r="C399" s="21">
        <v>69476.45</v>
      </c>
      <c r="D399" s="8"/>
      <c r="E399" s="22"/>
      <c r="F399" s="8"/>
      <c r="G399" s="24"/>
      <c r="H399" s="8"/>
      <c r="I399" s="23"/>
      <c r="J399" s="8"/>
      <c r="K399" s="22"/>
      <c r="L399" s="8"/>
      <c r="M399" s="24"/>
    </row>
    <row r="400" spans="1:13">
      <c r="A400">
        <v>2015</v>
      </c>
      <c r="B400" s="9" t="s">
        <v>1341</v>
      </c>
      <c r="C400" s="21">
        <v>1127797.08</v>
      </c>
      <c r="D400" s="8"/>
      <c r="E400" s="22"/>
      <c r="F400" s="8"/>
      <c r="G400" s="24"/>
      <c r="H400" s="8"/>
      <c r="I400" s="23"/>
      <c r="J400" s="8"/>
      <c r="K400" s="22"/>
      <c r="L400" s="8"/>
      <c r="M400" s="24"/>
    </row>
    <row r="401" spans="1:13">
      <c r="A401">
        <v>2015</v>
      </c>
      <c r="B401" s="9" t="s">
        <v>1342</v>
      </c>
      <c r="C401" s="21">
        <v>9590.51</v>
      </c>
      <c r="D401" s="8"/>
      <c r="E401" s="22"/>
      <c r="F401" s="8"/>
      <c r="G401" s="24"/>
      <c r="H401" s="8"/>
      <c r="I401" s="23"/>
      <c r="J401" s="8"/>
      <c r="K401" s="22"/>
      <c r="L401" s="8"/>
      <c r="M401" s="24"/>
    </row>
    <row r="402" spans="1:13">
      <c r="A402">
        <v>2015</v>
      </c>
      <c r="B402" s="9" t="s">
        <v>1343</v>
      </c>
      <c r="C402" s="21">
        <v>850610.46</v>
      </c>
      <c r="D402" s="8"/>
      <c r="E402" s="22"/>
      <c r="F402" s="8"/>
      <c r="G402" s="17"/>
      <c r="H402" s="8"/>
      <c r="I402" s="17"/>
      <c r="J402" s="8"/>
      <c r="K402" s="22"/>
      <c r="L402" s="8"/>
      <c r="M402" s="17"/>
    </row>
    <row r="403" spans="1:13">
      <c r="A403">
        <v>2015</v>
      </c>
      <c r="B403" s="9" t="s">
        <v>1344</v>
      </c>
      <c r="C403" s="21">
        <v>52783.58</v>
      </c>
      <c r="D403" s="7"/>
      <c r="E403" s="22"/>
      <c r="F403" s="7"/>
      <c r="G403" s="24"/>
      <c r="H403" s="7"/>
      <c r="I403" s="23"/>
      <c r="J403" s="7"/>
      <c r="K403" s="22"/>
      <c r="L403" s="7"/>
      <c r="M403" s="24"/>
    </row>
    <row r="404" spans="1:13">
      <c r="A404">
        <v>2015</v>
      </c>
      <c r="B404" s="9" t="s">
        <v>1345</v>
      </c>
      <c r="C404" s="21">
        <v>1276726.3600000001</v>
      </c>
      <c r="D404" s="7"/>
      <c r="E404" s="22"/>
      <c r="F404" s="7"/>
      <c r="G404" s="24"/>
      <c r="H404" s="7"/>
      <c r="I404" s="23"/>
      <c r="J404" s="7"/>
      <c r="K404" s="22"/>
      <c r="L404" s="7"/>
      <c r="M404" s="24"/>
    </row>
    <row r="405" spans="1:13">
      <c r="A405">
        <v>2015</v>
      </c>
      <c r="B405" s="9" t="s">
        <v>1346</v>
      </c>
      <c r="C405" s="21">
        <v>1012518.07</v>
      </c>
      <c r="D405" s="7"/>
      <c r="E405" s="22"/>
      <c r="F405" s="7"/>
      <c r="G405" s="24"/>
      <c r="H405" s="7"/>
      <c r="I405" s="23"/>
      <c r="J405" s="7"/>
      <c r="K405" s="22"/>
      <c r="L405" s="7"/>
      <c r="M405" s="24"/>
    </row>
    <row r="406" spans="1:13">
      <c r="A406">
        <v>2015</v>
      </c>
      <c r="B406" s="9" t="s">
        <v>1347</v>
      </c>
      <c r="C406" s="21">
        <v>17340.759999999998</v>
      </c>
      <c r="D406" s="7"/>
      <c r="E406" s="22"/>
      <c r="F406" s="7"/>
      <c r="G406" s="24"/>
      <c r="H406" s="7"/>
      <c r="I406" s="23"/>
      <c r="J406" s="7"/>
      <c r="K406" s="22"/>
      <c r="L406" s="7"/>
      <c r="M406" s="24"/>
    </row>
    <row r="407" spans="1:13">
      <c r="A407">
        <v>2015</v>
      </c>
      <c r="B407" s="9" t="s">
        <v>1348</v>
      </c>
      <c r="C407" s="21">
        <v>61966.559999999998</v>
      </c>
      <c r="D407" s="7"/>
      <c r="E407" s="22"/>
      <c r="F407" s="7"/>
      <c r="G407" s="24"/>
      <c r="H407" s="7"/>
      <c r="I407" s="23"/>
      <c r="J407" s="7"/>
      <c r="K407" s="22"/>
      <c r="L407" s="7"/>
      <c r="M407" s="24"/>
    </row>
    <row r="408" spans="1:13">
      <c r="A408">
        <v>2015</v>
      </c>
      <c r="B408" s="9" t="s">
        <v>1349</v>
      </c>
      <c r="C408" s="21">
        <v>51463.99</v>
      </c>
      <c r="D408" s="7"/>
      <c r="E408" s="22"/>
      <c r="F408" s="7"/>
      <c r="G408" s="24"/>
      <c r="H408" s="7"/>
      <c r="I408" s="23"/>
      <c r="J408" s="7"/>
      <c r="K408" s="22"/>
      <c r="L408" s="7"/>
      <c r="M408" s="24"/>
    </row>
    <row r="409" spans="1:13">
      <c r="A409">
        <v>2015</v>
      </c>
      <c r="B409" s="9" t="s">
        <v>1350</v>
      </c>
      <c r="C409" s="21">
        <v>31549.41</v>
      </c>
      <c r="D409" s="7"/>
      <c r="E409" s="22"/>
      <c r="F409" s="7"/>
      <c r="G409" s="24"/>
      <c r="H409" s="7"/>
      <c r="I409" s="23"/>
      <c r="J409" s="7"/>
      <c r="K409" s="22"/>
      <c r="L409" s="7"/>
      <c r="M409" s="24"/>
    </row>
    <row r="410" spans="1:13">
      <c r="A410">
        <v>2015</v>
      </c>
      <c r="B410" s="9" t="s">
        <v>1351</v>
      </c>
      <c r="C410" s="21">
        <v>8700.25</v>
      </c>
      <c r="D410" s="7"/>
      <c r="E410" s="22"/>
      <c r="F410" s="7"/>
      <c r="G410" s="24"/>
      <c r="H410" s="7"/>
      <c r="I410" s="23"/>
      <c r="J410" s="7"/>
      <c r="K410" s="22"/>
      <c r="L410" s="7"/>
      <c r="M410" s="24"/>
    </row>
    <row r="411" spans="1:13">
      <c r="A411">
        <v>2015</v>
      </c>
      <c r="B411" s="9" t="s">
        <v>1352</v>
      </c>
      <c r="C411" s="21">
        <v>20988.03</v>
      </c>
      <c r="D411" s="7"/>
      <c r="E411" s="22"/>
      <c r="F411" s="7"/>
      <c r="G411" s="24"/>
      <c r="H411" s="7"/>
      <c r="I411" s="23"/>
      <c r="J411" s="7"/>
      <c r="K411" s="22"/>
      <c r="L411" s="7"/>
      <c r="M411" s="24"/>
    </row>
    <row r="412" spans="1:13">
      <c r="A412">
        <v>2015</v>
      </c>
      <c r="B412" s="9" t="s">
        <v>1353</v>
      </c>
      <c r="C412" s="21">
        <v>67320144.75</v>
      </c>
      <c r="D412" s="7"/>
      <c r="E412" s="22"/>
      <c r="F412" s="7"/>
      <c r="G412" s="24"/>
      <c r="H412" s="7"/>
      <c r="I412" s="23"/>
      <c r="J412" s="7"/>
      <c r="K412" s="22"/>
      <c r="L412" s="7"/>
      <c r="M412" s="24"/>
    </row>
    <row r="413" spans="1:13">
      <c r="A413">
        <v>2015</v>
      </c>
      <c r="B413" s="9" t="s">
        <v>1354</v>
      </c>
      <c r="C413" s="21">
        <v>4109.16</v>
      </c>
      <c r="D413" s="7"/>
      <c r="E413" s="22"/>
      <c r="F413" s="7"/>
      <c r="G413" s="24"/>
      <c r="H413" s="7"/>
      <c r="I413" s="23"/>
      <c r="J413" s="7"/>
      <c r="K413" s="22"/>
      <c r="L413" s="7"/>
      <c r="M413" s="24"/>
    </row>
    <row r="414" spans="1:13">
      <c r="A414">
        <v>2015</v>
      </c>
      <c r="B414" s="9" t="s">
        <v>1355</v>
      </c>
      <c r="C414" s="21">
        <v>45502.93</v>
      </c>
      <c r="D414" s="7"/>
      <c r="E414" s="22"/>
      <c r="F414" s="7"/>
      <c r="G414" s="24"/>
      <c r="H414" s="7"/>
      <c r="I414" s="23"/>
      <c r="J414" s="7"/>
      <c r="K414" s="22"/>
      <c r="L414" s="7"/>
      <c r="M414" s="24"/>
    </row>
    <row r="415" spans="1:13">
      <c r="A415">
        <v>2015</v>
      </c>
      <c r="B415" s="9" t="s">
        <v>1356</v>
      </c>
      <c r="C415" s="21">
        <v>34323.08</v>
      </c>
      <c r="D415" s="7"/>
      <c r="E415" s="22"/>
      <c r="F415" s="7"/>
      <c r="G415" s="24"/>
      <c r="H415" s="7"/>
      <c r="I415" s="23"/>
      <c r="J415" s="7"/>
      <c r="K415" s="22"/>
      <c r="L415" s="7"/>
      <c r="M415" s="24"/>
    </row>
    <row r="416" spans="1:13">
      <c r="A416">
        <v>2015</v>
      </c>
      <c r="B416" s="9" t="s">
        <v>1357</v>
      </c>
      <c r="C416" s="21">
        <v>72699.22</v>
      </c>
      <c r="D416" s="7"/>
      <c r="E416" s="22"/>
      <c r="F416" s="7"/>
      <c r="G416" s="24"/>
      <c r="H416" s="7"/>
      <c r="I416" s="23"/>
      <c r="J416" s="7"/>
      <c r="K416" s="22"/>
      <c r="L416" s="7"/>
      <c r="M416" s="24"/>
    </row>
    <row r="417" spans="1:13">
      <c r="A417">
        <v>2015</v>
      </c>
      <c r="B417" s="9" t="s">
        <v>1358</v>
      </c>
      <c r="C417" s="21">
        <v>2338940.52</v>
      </c>
      <c r="D417" s="7"/>
      <c r="E417" s="22"/>
      <c r="F417" s="7"/>
      <c r="G417" s="24"/>
      <c r="H417" s="7"/>
      <c r="I417" s="23"/>
      <c r="J417" s="7"/>
      <c r="K417" s="22"/>
      <c r="L417" s="7"/>
      <c r="M417" s="24"/>
    </row>
    <row r="418" spans="1:13">
      <c r="A418">
        <v>2015</v>
      </c>
      <c r="B418" s="9" t="s">
        <v>1359</v>
      </c>
      <c r="C418" s="21">
        <v>362091.41</v>
      </c>
      <c r="D418" s="7"/>
      <c r="E418" s="22"/>
      <c r="F418" s="7"/>
      <c r="G418" s="24"/>
      <c r="H418" s="7"/>
      <c r="I418" s="23"/>
      <c r="J418" s="7"/>
      <c r="K418" s="22"/>
      <c r="L418" s="7"/>
      <c r="M418" s="24"/>
    </row>
    <row r="419" spans="1:13">
      <c r="A419">
        <v>2015</v>
      </c>
      <c r="B419" s="9" t="s">
        <v>1360</v>
      </c>
      <c r="C419" s="21">
        <v>7532.06</v>
      </c>
      <c r="D419" s="7"/>
      <c r="E419" s="22"/>
      <c r="F419" s="7"/>
      <c r="G419" s="24"/>
      <c r="H419" s="7"/>
      <c r="I419" s="23"/>
      <c r="J419" s="7"/>
      <c r="K419" s="22"/>
      <c r="L419" s="7"/>
      <c r="M419" s="24"/>
    </row>
    <row r="420" spans="1:13">
      <c r="A420">
        <v>2015</v>
      </c>
      <c r="B420" s="9" t="s">
        <v>1361</v>
      </c>
      <c r="C420" s="21">
        <v>64505.09</v>
      </c>
      <c r="D420" s="7"/>
      <c r="E420" s="22"/>
      <c r="F420" s="7"/>
      <c r="G420" s="24"/>
      <c r="H420" s="7"/>
      <c r="I420" s="23"/>
      <c r="J420" s="7"/>
      <c r="K420" s="22"/>
      <c r="L420" s="7"/>
      <c r="M420" s="24"/>
    </row>
    <row r="421" spans="1:13">
      <c r="A421">
        <v>2015</v>
      </c>
      <c r="B421" s="9" t="s">
        <v>1362</v>
      </c>
      <c r="C421" s="21">
        <v>281876.98</v>
      </c>
      <c r="D421" s="7"/>
      <c r="E421" s="22"/>
      <c r="F421" s="7"/>
      <c r="G421" s="24"/>
      <c r="H421" s="7"/>
      <c r="I421" s="23"/>
      <c r="J421" s="7"/>
      <c r="K421" s="22"/>
      <c r="L421" s="7"/>
      <c r="M421" s="24"/>
    </row>
    <row r="422" spans="1:13">
      <c r="A422">
        <v>2015</v>
      </c>
      <c r="B422" s="9" t="s">
        <v>1363</v>
      </c>
      <c r="C422" s="21">
        <v>540004.85</v>
      </c>
      <c r="D422" s="7"/>
      <c r="E422" s="22"/>
      <c r="F422" s="7"/>
      <c r="G422" s="24"/>
      <c r="H422" s="7"/>
      <c r="I422" s="23"/>
      <c r="J422" s="7"/>
      <c r="K422" s="22"/>
      <c r="L422" s="7"/>
      <c r="M422" s="24"/>
    </row>
    <row r="423" spans="1:13">
      <c r="A423">
        <v>2015</v>
      </c>
      <c r="B423" s="9" t="s">
        <v>1364</v>
      </c>
      <c r="C423" s="21">
        <v>30641.88</v>
      </c>
      <c r="D423" s="7"/>
      <c r="E423" s="22"/>
      <c r="F423" s="7"/>
      <c r="G423" s="24"/>
      <c r="H423" s="7"/>
      <c r="I423" s="23"/>
      <c r="J423" s="7"/>
      <c r="K423" s="22"/>
      <c r="L423" s="7"/>
      <c r="M423" s="24"/>
    </row>
    <row r="424" spans="1:13">
      <c r="A424">
        <v>2015</v>
      </c>
      <c r="B424" s="9" t="s">
        <v>1365</v>
      </c>
      <c r="C424" s="21">
        <v>1111733.1000000001</v>
      </c>
      <c r="D424" s="7"/>
      <c r="E424" s="22"/>
      <c r="F424" s="7"/>
      <c r="G424" s="24"/>
      <c r="H424" s="7"/>
      <c r="I424" s="23"/>
      <c r="J424" s="7"/>
      <c r="K424" s="22"/>
      <c r="L424" s="7"/>
      <c r="M424" s="24"/>
    </row>
    <row r="425" spans="1:13">
      <c r="A425">
        <v>2015</v>
      </c>
      <c r="B425" s="9" t="s">
        <v>1366</v>
      </c>
      <c r="C425" s="21">
        <v>222338.13</v>
      </c>
      <c r="D425" s="7"/>
      <c r="E425" s="22"/>
      <c r="F425" s="7"/>
      <c r="G425" s="24"/>
      <c r="H425" s="7"/>
      <c r="I425" s="23"/>
      <c r="J425" s="7"/>
      <c r="K425" s="22"/>
      <c r="L425" s="7"/>
      <c r="M425" s="24"/>
    </row>
    <row r="426" spans="1:13">
      <c r="A426">
        <v>2015</v>
      </c>
      <c r="B426" s="9" t="s">
        <v>1367</v>
      </c>
      <c r="C426" s="21">
        <v>599870.01</v>
      </c>
      <c r="D426" s="7"/>
      <c r="E426" s="22"/>
      <c r="F426" s="7"/>
      <c r="G426" s="24"/>
      <c r="H426" s="7"/>
      <c r="I426" s="23"/>
      <c r="J426" s="7"/>
      <c r="K426" s="22"/>
      <c r="L426" s="7"/>
      <c r="M426" s="24"/>
    </row>
    <row r="427" spans="1:13">
      <c r="A427">
        <v>2015</v>
      </c>
      <c r="B427" s="9" t="s">
        <v>1368</v>
      </c>
      <c r="C427" s="21">
        <v>14684.61</v>
      </c>
      <c r="D427" s="7"/>
      <c r="E427" s="22"/>
      <c r="F427" s="7"/>
      <c r="G427" s="24"/>
      <c r="H427" s="7"/>
      <c r="I427" s="23"/>
      <c r="J427" s="7"/>
      <c r="K427" s="22"/>
      <c r="L427" s="7"/>
      <c r="M427" s="24"/>
    </row>
    <row r="428" spans="1:13">
      <c r="A428">
        <v>2015</v>
      </c>
      <c r="B428" s="9" t="s">
        <v>1369</v>
      </c>
      <c r="C428" s="21">
        <v>35839.43</v>
      </c>
      <c r="D428" s="7"/>
      <c r="E428" s="22"/>
      <c r="F428" s="7"/>
      <c r="G428" s="24"/>
      <c r="H428" s="7"/>
      <c r="I428" s="23"/>
      <c r="J428" s="7"/>
      <c r="K428" s="22"/>
      <c r="L428" s="7"/>
      <c r="M428" s="24"/>
    </row>
    <row r="429" spans="1:13">
      <c r="A429">
        <v>2015</v>
      </c>
      <c r="B429" s="9" t="s">
        <v>1370</v>
      </c>
      <c r="C429" s="21">
        <v>160496.28</v>
      </c>
      <c r="D429" s="7"/>
      <c r="E429" s="22"/>
      <c r="F429" s="7"/>
      <c r="G429" s="24"/>
      <c r="H429" s="7"/>
      <c r="I429" s="23"/>
      <c r="J429" s="7"/>
      <c r="K429" s="22"/>
      <c r="L429" s="7"/>
      <c r="M429" s="24"/>
    </row>
    <row r="430" spans="1:13">
      <c r="A430">
        <v>2015</v>
      </c>
      <c r="B430" s="9" t="s">
        <v>1371</v>
      </c>
      <c r="C430" s="21">
        <v>111564.67</v>
      </c>
      <c r="D430" s="7"/>
      <c r="E430" s="22"/>
      <c r="F430" s="7"/>
      <c r="G430" s="24"/>
      <c r="H430" s="7"/>
      <c r="I430" s="23"/>
      <c r="J430" s="7"/>
      <c r="K430" s="22"/>
      <c r="L430" s="7"/>
      <c r="M430" s="24"/>
    </row>
    <row r="431" spans="1:13">
      <c r="A431">
        <v>2015</v>
      </c>
      <c r="B431" s="9" t="s">
        <v>1372</v>
      </c>
      <c r="C431" s="21">
        <v>82231.73</v>
      </c>
      <c r="D431" s="7"/>
      <c r="E431" s="22"/>
      <c r="F431" s="7"/>
      <c r="G431" s="24"/>
      <c r="H431" s="7"/>
      <c r="I431" s="23"/>
      <c r="J431" s="7"/>
      <c r="K431" s="22"/>
      <c r="L431" s="7"/>
      <c r="M431" s="24"/>
    </row>
    <row r="432" spans="1:13">
      <c r="A432">
        <v>2015</v>
      </c>
      <c r="B432" s="9" t="s">
        <v>1373</v>
      </c>
      <c r="C432" s="21">
        <v>270087.62</v>
      </c>
      <c r="D432" s="7"/>
      <c r="E432" s="22"/>
      <c r="F432" s="7"/>
      <c r="G432" s="24"/>
      <c r="H432" s="7"/>
      <c r="I432" s="23"/>
      <c r="J432" s="7"/>
      <c r="K432" s="22"/>
      <c r="L432" s="7"/>
      <c r="M432" s="24"/>
    </row>
    <row r="433" spans="1:13">
      <c r="A433">
        <v>2015</v>
      </c>
      <c r="B433" s="9" t="s">
        <v>1374</v>
      </c>
      <c r="C433" s="21">
        <v>76227.679999999993</v>
      </c>
      <c r="D433" s="7"/>
      <c r="E433" s="22"/>
      <c r="F433" s="7"/>
      <c r="G433" s="24"/>
      <c r="H433" s="7"/>
      <c r="I433" s="23"/>
      <c r="J433" s="7"/>
      <c r="K433" s="22"/>
      <c r="L433" s="7"/>
      <c r="M433" s="24"/>
    </row>
    <row r="434" spans="1:13">
      <c r="A434">
        <v>2015</v>
      </c>
      <c r="B434" s="9" t="s">
        <v>1375</v>
      </c>
      <c r="C434" s="21">
        <v>215281.37</v>
      </c>
      <c r="D434" s="7"/>
      <c r="E434" s="22"/>
      <c r="F434" s="7"/>
      <c r="G434" s="24"/>
      <c r="H434" s="7"/>
      <c r="I434" s="23"/>
      <c r="J434" s="7"/>
      <c r="K434" s="22"/>
      <c r="L434" s="7"/>
      <c r="M434" s="24"/>
    </row>
    <row r="435" spans="1:13">
      <c r="A435">
        <v>2015</v>
      </c>
      <c r="B435" s="9" t="s">
        <v>1376</v>
      </c>
      <c r="C435" s="21">
        <v>310966.36</v>
      </c>
      <c r="D435" s="7"/>
      <c r="E435" s="22"/>
      <c r="F435" s="7"/>
      <c r="G435" s="24"/>
      <c r="H435" s="7"/>
      <c r="I435" s="23"/>
      <c r="J435" s="7"/>
      <c r="K435" s="22"/>
      <c r="L435" s="7"/>
      <c r="M435" s="24"/>
    </row>
    <row r="436" spans="1:13">
      <c r="A436">
        <v>2015</v>
      </c>
      <c r="B436" s="9" t="s">
        <v>1377</v>
      </c>
      <c r="C436" s="21">
        <v>197042.51</v>
      </c>
      <c r="D436" s="7"/>
      <c r="E436" s="22"/>
      <c r="F436" s="7"/>
      <c r="G436" s="24"/>
      <c r="H436" s="7"/>
      <c r="I436" s="23"/>
      <c r="J436" s="7"/>
      <c r="K436" s="22"/>
      <c r="L436" s="7"/>
      <c r="M436" s="24"/>
    </row>
    <row r="437" spans="1:13">
      <c r="A437">
        <v>2015</v>
      </c>
      <c r="B437" s="9" t="s">
        <v>1378</v>
      </c>
      <c r="C437" s="21">
        <v>3659664.35</v>
      </c>
      <c r="D437" s="7"/>
      <c r="E437" s="22"/>
      <c r="F437" s="7"/>
      <c r="G437" s="24"/>
      <c r="H437" s="7"/>
      <c r="I437" s="23"/>
      <c r="J437" s="7"/>
      <c r="K437" s="22"/>
      <c r="L437" s="7"/>
      <c r="M437" s="24"/>
    </row>
    <row r="438" spans="1:13">
      <c r="A438">
        <v>2015</v>
      </c>
      <c r="B438" s="9" t="s">
        <v>1379</v>
      </c>
      <c r="C438" s="21">
        <v>59124.31</v>
      </c>
      <c r="D438" s="7"/>
      <c r="E438" s="22"/>
      <c r="F438" s="7"/>
      <c r="G438" s="24"/>
      <c r="H438" s="7"/>
      <c r="I438" s="23"/>
      <c r="J438" s="7"/>
      <c r="K438" s="22"/>
      <c r="L438" s="7"/>
      <c r="M438" s="24"/>
    </row>
    <row r="439" spans="1:13">
      <c r="A439">
        <v>2015</v>
      </c>
      <c r="B439" s="9" t="s">
        <v>1380</v>
      </c>
      <c r="C439" s="21">
        <v>14401.9</v>
      </c>
      <c r="D439" s="7"/>
      <c r="E439" s="22"/>
      <c r="F439" s="7"/>
      <c r="G439" s="24"/>
      <c r="H439" s="7"/>
      <c r="I439" s="23"/>
      <c r="J439" s="7"/>
      <c r="K439" s="22"/>
      <c r="L439" s="7"/>
      <c r="M439" s="24"/>
    </row>
    <row r="440" spans="1:13">
      <c r="A440">
        <v>2015</v>
      </c>
      <c r="B440" s="9" t="s">
        <v>1381</v>
      </c>
      <c r="C440" s="21">
        <v>112184.99</v>
      </c>
      <c r="D440" s="7"/>
      <c r="E440" s="22"/>
      <c r="F440" s="7"/>
      <c r="G440" s="24"/>
      <c r="H440" s="7"/>
      <c r="I440" s="23"/>
      <c r="J440" s="7"/>
      <c r="K440" s="22"/>
      <c r="L440" s="7"/>
      <c r="M440" s="24"/>
    </row>
    <row r="441" spans="1:13">
      <c r="A441">
        <v>2015</v>
      </c>
      <c r="B441" s="9" t="s">
        <v>1382</v>
      </c>
      <c r="C441" s="21">
        <v>12720.58</v>
      </c>
      <c r="D441" s="7"/>
      <c r="E441" s="22"/>
      <c r="F441" s="7"/>
      <c r="G441" s="24"/>
      <c r="H441" s="7"/>
      <c r="I441" s="23"/>
      <c r="J441" s="7"/>
      <c r="K441" s="22"/>
      <c r="L441" s="7"/>
      <c r="M441" s="24"/>
    </row>
    <row r="442" spans="1:13">
      <c r="A442">
        <v>2015</v>
      </c>
      <c r="B442" s="9" t="s">
        <v>1383</v>
      </c>
      <c r="C442" s="21">
        <v>61419.67</v>
      </c>
      <c r="D442" s="7"/>
      <c r="E442" s="22"/>
      <c r="F442" s="7"/>
      <c r="G442" s="24"/>
      <c r="H442" s="7"/>
      <c r="I442" s="23"/>
      <c r="J442" s="7"/>
      <c r="K442" s="22"/>
      <c r="L442" s="7"/>
      <c r="M442" s="24"/>
    </row>
    <row r="443" spans="1:13">
      <c r="A443">
        <v>2015</v>
      </c>
      <c r="B443" s="9" t="s">
        <v>1384</v>
      </c>
      <c r="C443" s="21">
        <v>18421.740000000002</v>
      </c>
      <c r="D443" s="7"/>
      <c r="E443" s="22"/>
      <c r="F443" s="7"/>
      <c r="G443" s="24"/>
      <c r="H443" s="7"/>
      <c r="I443" s="23"/>
      <c r="J443" s="7"/>
      <c r="K443" s="22"/>
      <c r="L443" s="7"/>
      <c r="M443" s="24"/>
    </row>
    <row r="444" spans="1:13">
      <c r="A444">
        <v>2015</v>
      </c>
      <c r="B444" s="9" t="s">
        <v>1385</v>
      </c>
      <c r="C444" s="21">
        <v>4076.99</v>
      </c>
      <c r="D444" s="7"/>
      <c r="E444" s="22"/>
      <c r="F444" s="7"/>
      <c r="G444" s="24"/>
      <c r="H444" s="7"/>
      <c r="I444" s="23"/>
      <c r="J444" s="7"/>
      <c r="K444" s="22"/>
      <c r="L444" s="7"/>
      <c r="M444" s="24"/>
    </row>
    <row r="445" spans="1:13">
      <c r="A445">
        <v>2015</v>
      </c>
      <c r="B445" s="9" t="s">
        <v>1386</v>
      </c>
      <c r="C445" s="21">
        <v>219872.78</v>
      </c>
      <c r="D445" s="7"/>
      <c r="E445" s="22"/>
      <c r="F445" s="7"/>
      <c r="G445" s="24"/>
      <c r="H445" s="7"/>
      <c r="I445" s="23"/>
      <c r="J445" s="7"/>
      <c r="K445" s="22"/>
      <c r="L445" s="7"/>
      <c r="M445" s="24"/>
    </row>
    <row r="446" spans="1:13">
      <c r="A446">
        <v>2015</v>
      </c>
      <c r="B446" s="9" t="s">
        <v>1387</v>
      </c>
      <c r="C446" s="21">
        <v>245483.97</v>
      </c>
      <c r="D446" s="7"/>
      <c r="E446" s="22"/>
      <c r="F446" s="7"/>
      <c r="G446" s="24"/>
      <c r="H446" s="7"/>
      <c r="I446" s="23"/>
      <c r="J446" s="7"/>
      <c r="K446" s="22"/>
      <c r="L446" s="7"/>
      <c r="M446" s="24"/>
    </row>
    <row r="447" spans="1:13">
      <c r="A447">
        <v>2015</v>
      </c>
      <c r="B447" s="9" t="s">
        <v>1388</v>
      </c>
      <c r="C447" s="21">
        <v>328565.62</v>
      </c>
      <c r="D447" s="7"/>
      <c r="E447" s="22"/>
      <c r="F447" s="7"/>
      <c r="G447" s="24"/>
      <c r="H447" s="7"/>
      <c r="I447" s="23"/>
      <c r="J447" s="7"/>
      <c r="K447" s="22"/>
      <c r="L447" s="7"/>
      <c r="M447" s="24"/>
    </row>
    <row r="448" spans="1:13">
      <c r="A448">
        <v>2015</v>
      </c>
      <c r="B448" s="9" t="s">
        <v>1389</v>
      </c>
      <c r="C448" s="21">
        <v>106355.79</v>
      </c>
      <c r="D448" s="7"/>
      <c r="E448" s="22"/>
      <c r="F448" s="7"/>
      <c r="G448" s="24"/>
      <c r="H448" s="7"/>
      <c r="I448" s="23"/>
      <c r="J448" s="7"/>
      <c r="K448" s="22"/>
      <c r="L448" s="7"/>
      <c r="M448" s="24"/>
    </row>
    <row r="449" spans="1:13">
      <c r="A449">
        <v>2015</v>
      </c>
      <c r="B449" s="9" t="s">
        <v>1390</v>
      </c>
      <c r="C449" s="21">
        <v>103042.73</v>
      </c>
      <c r="D449" s="7"/>
      <c r="E449" s="22"/>
      <c r="F449" s="7"/>
      <c r="G449" s="24"/>
      <c r="H449" s="7"/>
      <c r="I449" s="23"/>
      <c r="J449" s="7"/>
      <c r="K449" s="22"/>
      <c r="L449" s="7"/>
      <c r="M449" s="24"/>
    </row>
    <row r="450" spans="1:13">
      <c r="A450">
        <v>2015</v>
      </c>
      <c r="B450" s="9" t="s">
        <v>1391</v>
      </c>
      <c r="C450" s="21">
        <v>7447.96</v>
      </c>
      <c r="D450" s="7"/>
      <c r="E450" s="22"/>
      <c r="F450" s="7"/>
      <c r="G450" s="24"/>
      <c r="H450" s="7"/>
      <c r="I450" s="23"/>
      <c r="J450" s="7"/>
      <c r="K450" s="22"/>
      <c r="L450" s="7"/>
      <c r="M450" s="24"/>
    </row>
    <row r="451" spans="1:13">
      <c r="A451">
        <v>2015</v>
      </c>
      <c r="B451" s="9" t="s">
        <v>1392</v>
      </c>
      <c r="C451" s="21">
        <v>72683.12</v>
      </c>
      <c r="D451" s="8"/>
      <c r="E451" s="22"/>
      <c r="F451" s="8"/>
      <c r="G451" s="24"/>
      <c r="H451" s="8"/>
      <c r="I451" s="23"/>
      <c r="J451" s="8"/>
      <c r="K451" s="22"/>
      <c r="L451" s="8"/>
      <c r="M451" s="24"/>
    </row>
    <row r="452" spans="1:13">
      <c r="A452">
        <v>2015</v>
      </c>
      <c r="B452" s="9" t="s">
        <v>1393</v>
      </c>
      <c r="C452" s="21">
        <v>39605.129999999997</v>
      </c>
      <c r="D452" s="8"/>
      <c r="E452" s="22"/>
      <c r="F452" s="8"/>
      <c r="G452" s="17"/>
      <c r="H452" s="8"/>
      <c r="I452" s="17"/>
      <c r="J452" s="8"/>
      <c r="K452" s="22"/>
      <c r="L452" s="8"/>
      <c r="M452" s="17"/>
    </row>
    <row r="453" spans="1:13">
      <c r="A453">
        <v>2015</v>
      </c>
      <c r="B453" s="9" t="s">
        <v>1394</v>
      </c>
      <c r="C453" s="21">
        <v>31170.19</v>
      </c>
      <c r="D453" s="7"/>
      <c r="E453" s="22"/>
      <c r="F453" s="7"/>
      <c r="G453" s="24"/>
      <c r="H453" s="7"/>
      <c r="I453" s="23"/>
      <c r="J453" s="7"/>
      <c r="K453" s="22"/>
      <c r="L453" s="7"/>
      <c r="M453" s="24"/>
    </row>
    <row r="454" spans="1:13">
      <c r="A454">
        <v>2015</v>
      </c>
      <c r="B454" s="9" t="s">
        <v>1395</v>
      </c>
      <c r="C454" s="21">
        <v>24577.84</v>
      </c>
      <c r="D454" s="7"/>
      <c r="E454" s="22"/>
      <c r="F454" s="7"/>
      <c r="G454" s="24"/>
      <c r="H454" s="7"/>
      <c r="I454" s="23"/>
      <c r="J454" s="7"/>
      <c r="K454" s="22"/>
      <c r="L454" s="7"/>
      <c r="M454" s="24"/>
    </row>
    <row r="455" spans="1:13">
      <c r="A455">
        <v>2015</v>
      </c>
      <c r="B455" s="9" t="s">
        <v>1396</v>
      </c>
      <c r="C455" s="21">
        <v>154327.45000000001</v>
      </c>
      <c r="D455" s="7"/>
      <c r="E455" s="22"/>
      <c r="F455" s="7"/>
      <c r="G455" s="24"/>
      <c r="H455" s="7"/>
      <c r="I455" s="23"/>
      <c r="J455" s="7"/>
      <c r="K455" s="22"/>
      <c r="L455" s="7"/>
      <c r="M455" s="24"/>
    </row>
    <row r="456" spans="1:13">
      <c r="A456">
        <v>2015</v>
      </c>
      <c r="B456" s="9" t="s">
        <v>1397</v>
      </c>
      <c r="C456" s="21">
        <v>46198.96</v>
      </c>
      <c r="D456" s="7"/>
      <c r="E456" s="22"/>
      <c r="F456" s="7"/>
      <c r="G456" s="24"/>
      <c r="H456" s="7"/>
      <c r="I456" s="23"/>
      <c r="J456" s="7"/>
      <c r="K456" s="22"/>
      <c r="L456" s="7"/>
      <c r="M456" s="24"/>
    </row>
    <row r="457" spans="1:13">
      <c r="A457">
        <v>2015</v>
      </c>
      <c r="B457" s="9" t="s">
        <v>1398</v>
      </c>
      <c r="C457" s="21">
        <v>249817.38</v>
      </c>
      <c r="D457" s="7"/>
      <c r="E457" s="22"/>
      <c r="F457" s="7"/>
      <c r="G457" s="24"/>
      <c r="H457" s="7"/>
      <c r="I457" s="23"/>
      <c r="J457" s="7"/>
      <c r="K457" s="22"/>
      <c r="L457" s="7"/>
      <c r="M457" s="24"/>
    </row>
    <row r="458" spans="1:13">
      <c r="A458">
        <v>2015</v>
      </c>
      <c r="B458" s="9" t="s">
        <v>1399</v>
      </c>
      <c r="C458" s="21">
        <v>577140.80000000005</v>
      </c>
      <c r="D458" s="7"/>
      <c r="E458" s="22"/>
      <c r="F458" s="7"/>
      <c r="G458" s="24"/>
      <c r="H458" s="7"/>
      <c r="I458" s="23"/>
      <c r="J458" s="7"/>
      <c r="K458" s="22"/>
      <c r="L458" s="7"/>
      <c r="M458" s="24"/>
    </row>
    <row r="459" spans="1:13">
      <c r="A459">
        <v>2015</v>
      </c>
      <c r="B459" s="9" t="s">
        <v>1400</v>
      </c>
      <c r="C459" s="21">
        <v>33867.08</v>
      </c>
      <c r="D459" s="8"/>
      <c r="E459" s="22"/>
      <c r="F459" s="8"/>
      <c r="G459" s="24"/>
      <c r="H459" s="8"/>
      <c r="I459" s="23"/>
      <c r="J459" s="8"/>
      <c r="K459" s="22"/>
      <c r="L459" s="8"/>
      <c r="M459" s="24"/>
    </row>
    <row r="460" spans="1:13">
      <c r="A460">
        <v>2015</v>
      </c>
      <c r="B460" s="9" t="s">
        <v>1401</v>
      </c>
      <c r="C460" s="21">
        <v>9259.35</v>
      </c>
      <c r="D460" s="7"/>
      <c r="E460" s="22"/>
      <c r="F460" s="7"/>
      <c r="G460" s="24"/>
      <c r="H460" s="7"/>
      <c r="I460" s="23"/>
      <c r="J460" s="7"/>
      <c r="K460" s="22"/>
      <c r="L460" s="7"/>
      <c r="M460" s="24"/>
    </row>
    <row r="461" spans="1:13">
      <c r="A461">
        <v>2015</v>
      </c>
      <c r="B461" s="9" t="s">
        <v>1402</v>
      </c>
      <c r="C461" s="21">
        <v>38036.089999999997</v>
      </c>
      <c r="D461" s="7"/>
      <c r="E461" s="22"/>
      <c r="F461" s="7"/>
      <c r="G461" s="24"/>
      <c r="H461" s="7"/>
      <c r="I461" s="23"/>
      <c r="J461" s="7"/>
      <c r="K461" s="22"/>
      <c r="L461" s="7"/>
      <c r="M461" s="24"/>
    </row>
    <row r="462" spans="1:13">
      <c r="A462">
        <v>2015</v>
      </c>
      <c r="B462" s="9" t="s">
        <v>1403</v>
      </c>
      <c r="C462" s="21">
        <v>20666.419999999998</v>
      </c>
      <c r="D462" s="7"/>
      <c r="E462" s="22"/>
      <c r="F462" s="7"/>
      <c r="G462" s="24"/>
      <c r="H462" s="7"/>
      <c r="I462" s="23"/>
      <c r="J462" s="7"/>
      <c r="K462" s="22"/>
      <c r="L462" s="7"/>
      <c r="M462" s="24"/>
    </row>
    <row r="463" spans="1:13">
      <c r="A463">
        <v>2015</v>
      </c>
      <c r="B463" s="9" t="s">
        <v>1404</v>
      </c>
      <c r="C463" s="21">
        <v>97516.09</v>
      </c>
      <c r="D463" s="7"/>
      <c r="E463" s="22"/>
      <c r="F463" s="7"/>
      <c r="G463" s="24"/>
      <c r="H463" s="7"/>
      <c r="I463" s="23"/>
      <c r="J463" s="7"/>
      <c r="K463" s="22"/>
      <c r="L463" s="7"/>
      <c r="M463" s="24"/>
    </row>
    <row r="464" spans="1:13">
      <c r="A464">
        <v>2015</v>
      </c>
      <c r="B464" s="9" t="s">
        <v>1405</v>
      </c>
      <c r="C464" s="21">
        <v>1022684.65</v>
      </c>
      <c r="D464" s="8"/>
      <c r="E464" s="22"/>
      <c r="F464" s="8"/>
      <c r="G464" s="24"/>
      <c r="H464" s="8"/>
      <c r="I464" s="23"/>
      <c r="J464" s="8"/>
      <c r="K464" s="22"/>
      <c r="L464" s="8"/>
      <c r="M464" s="24"/>
    </row>
    <row r="465" spans="1:13">
      <c r="A465">
        <v>2015</v>
      </c>
      <c r="B465" s="9" t="s">
        <v>1406</v>
      </c>
      <c r="C465" s="21">
        <v>112702.23</v>
      </c>
      <c r="D465" s="7"/>
      <c r="E465" s="22"/>
      <c r="F465" s="7"/>
      <c r="G465" s="24"/>
      <c r="H465" s="7"/>
      <c r="I465" s="23"/>
      <c r="J465" s="7"/>
      <c r="K465" s="22"/>
      <c r="L465" s="7"/>
      <c r="M465" s="24"/>
    </row>
    <row r="466" spans="1:13">
      <c r="A466">
        <v>2015</v>
      </c>
      <c r="B466" s="9" t="s">
        <v>1407</v>
      </c>
      <c r="C466" s="21">
        <v>34349.040000000001</v>
      </c>
      <c r="D466" s="7"/>
      <c r="E466" s="22"/>
      <c r="F466" s="7"/>
      <c r="G466" s="24"/>
      <c r="H466" s="7"/>
      <c r="I466" s="23"/>
      <c r="J466" s="7"/>
      <c r="K466" s="22"/>
      <c r="L466" s="7"/>
      <c r="M466" s="24"/>
    </row>
    <row r="467" spans="1:13">
      <c r="A467">
        <v>2015</v>
      </c>
      <c r="B467" s="9" t="s">
        <v>1408</v>
      </c>
      <c r="C467" s="21">
        <v>98832.75</v>
      </c>
      <c r="D467" s="7"/>
      <c r="E467" s="22"/>
      <c r="F467" s="7"/>
      <c r="G467" s="24"/>
      <c r="H467" s="7"/>
      <c r="I467" s="23"/>
      <c r="J467" s="7"/>
      <c r="K467" s="22"/>
      <c r="L467" s="7"/>
      <c r="M467" s="24"/>
    </row>
    <row r="468" spans="1:13">
      <c r="A468">
        <v>2015</v>
      </c>
      <c r="B468" s="9" t="s">
        <v>1409</v>
      </c>
      <c r="C468" s="21">
        <v>574956.57999999996</v>
      </c>
      <c r="D468" s="7"/>
      <c r="E468" s="22"/>
      <c r="F468" s="7"/>
      <c r="G468" s="24"/>
      <c r="H468" s="7"/>
      <c r="I468" s="23"/>
      <c r="J468" s="7"/>
      <c r="K468" s="22"/>
      <c r="L468" s="7"/>
      <c r="M468" s="24"/>
    </row>
    <row r="469" spans="1:13">
      <c r="A469">
        <v>2015</v>
      </c>
      <c r="B469" s="9" t="s">
        <v>1410</v>
      </c>
      <c r="C469" s="21">
        <v>152002.96</v>
      </c>
      <c r="D469" s="7"/>
      <c r="E469" s="22"/>
      <c r="F469" s="7"/>
      <c r="G469" s="24"/>
      <c r="H469" s="7"/>
      <c r="I469" s="23"/>
      <c r="J469" s="7"/>
      <c r="K469" s="22"/>
      <c r="L469" s="7"/>
      <c r="M469" s="24"/>
    </row>
    <row r="470" spans="1:13">
      <c r="A470">
        <v>2015</v>
      </c>
      <c r="B470" s="9" t="s">
        <v>1411</v>
      </c>
      <c r="C470" s="21">
        <v>323606.02</v>
      </c>
      <c r="D470" s="7"/>
      <c r="E470" s="22"/>
      <c r="F470" s="7"/>
      <c r="G470" s="24"/>
      <c r="H470" s="7"/>
      <c r="I470" s="23"/>
      <c r="J470" s="7"/>
      <c r="K470" s="22"/>
      <c r="L470" s="7"/>
      <c r="M470" s="24"/>
    </row>
    <row r="471" spans="1:13">
      <c r="A471">
        <v>2015</v>
      </c>
      <c r="B471" s="9" t="s">
        <v>1412</v>
      </c>
      <c r="C471" s="21">
        <v>1064217.26</v>
      </c>
      <c r="D471" s="8"/>
      <c r="E471" s="22"/>
      <c r="F471" s="8"/>
      <c r="G471" s="24"/>
      <c r="H471" s="8"/>
      <c r="I471" s="23"/>
      <c r="J471" s="8"/>
      <c r="K471" s="22"/>
      <c r="L471" s="8"/>
      <c r="M471" s="24"/>
    </row>
    <row r="472" spans="1:13">
      <c r="A472">
        <v>2015</v>
      </c>
      <c r="B472" s="9" t="s">
        <v>1413</v>
      </c>
      <c r="C472" s="21">
        <v>2099139.42</v>
      </c>
      <c r="D472" s="7"/>
      <c r="E472" s="22"/>
      <c r="F472" s="7"/>
      <c r="G472" s="24"/>
      <c r="H472" s="7"/>
      <c r="I472" s="23"/>
      <c r="J472" s="7"/>
      <c r="K472" s="22"/>
      <c r="L472" s="7"/>
      <c r="M472" s="24"/>
    </row>
    <row r="473" spans="1:13">
      <c r="A473">
        <v>2015</v>
      </c>
      <c r="B473" s="9" t="s">
        <v>1414</v>
      </c>
      <c r="C473" s="21">
        <v>1207829.3</v>
      </c>
      <c r="D473" s="7"/>
      <c r="E473" s="22"/>
      <c r="F473" s="7"/>
      <c r="G473" s="24"/>
      <c r="H473" s="7"/>
      <c r="I473" s="23"/>
      <c r="J473" s="7"/>
      <c r="K473" s="22"/>
      <c r="L473" s="7"/>
      <c r="M473" s="24"/>
    </row>
    <row r="474" spans="1:13">
      <c r="A474">
        <v>2015</v>
      </c>
      <c r="B474" s="9" t="s">
        <v>1415</v>
      </c>
      <c r="C474" s="21">
        <v>1166288.6599999999</v>
      </c>
      <c r="D474" s="7"/>
      <c r="E474" s="22"/>
      <c r="F474" s="7"/>
      <c r="G474" s="24"/>
      <c r="H474" s="7"/>
      <c r="I474" s="23"/>
      <c r="J474" s="7"/>
      <c r="K474" s="22"/>
      <c r="L474" s="7"/>
      <c r="M474" s="24"/>
    </row>
    <row r="475" spans="1:13">
      <c r="A475">
        <v>2015</v>
      </c>
      <c r="B475" s="9" t="s">
        <v>1416</v>
      </c>
      <c r="C475" s="21">
        <v>611969.44999999995</v>
      </c>
      <c r="D475" s="7"/>
      <c r="E475" s="22"/>
      <c r="F475" s="7"/>
      <c r="G475" s="24"/>
      <c r="H475" s="7"/>
      <c r="I475" s="23"/>
      <c r="J475" s="7"/>
      <c r="K475" s="22"/>
      <c r="L475" s="7"/>
      <c r="M475" s="24"/>
    </row>
    <row r="476" spans="1:13">
      <c r="A476">
        <v>2015</v>
      </c>
      <c r="B476" s="9" t="s">
        <v>1417</v>
      </c>
      <c r="C476" s="21">
        <v>97396.45</v>
      </c>
      <c r="D476" s="7"/>
      <c r="E476" s="22"/>
      <c r="F476" s="7"/>
      <c r="G476" s="24"/>
      <c r="H476" s="7"/>
      <c r="I476" s="23"/>
      <c r="J476" s="7"/>
      <c r="K476" s="22"/>
      <c r="L476" s="7"/>
      <c r="M476" s="24"/>
    </row>
    <row r="477" spans="1:13">
      <c r="A477">
        <v>2015</v>
      </c>
      <c r="B477" s="9" t="s">
        <v>1418</v>
      </c>
      <c r="C477" s="21">
        <v>29861.74</v>
      </c>
      <c r="D477" s="7"/>
      <c r="E477" s="22"/>
      <c r="F477" s="7"/>
      <c r="G477" s="24"/>
      <c r="H477" s="7"/>
      <c r="I477" s="23"/>
      <c r="J477" s="7"/>
      <c r="K477" s="22"/>
      <c r="L477" s="7"/>
      <c r="M477" s="24"/>
    </row>
    <row r="478" spans="1:13">
      <c r="A478">
        <v>2015</v>
      </c>
      <c r="B478" s="9" t="s">
        <v>1419</v>
      </c>
      <c r="C478" s="21">
        <v>39776.86</v>
      </c>
      <c r="D478" s="8"/>
      <c r="E478" s="22"/>
      <c r="F478" s="8"/>
      <c r="G478" s="24"/>
      <c r="H478" s="8"/>
      <c r="I478" s="23"/>
      <c r="J478" s="8"/>
      <c r="K478" s="22"/>
      <c r="L478" s="8"/>
      <c r="M478" s="24"/>
    </row>
    <row r="480" spans="1:13">
      <c r="B480" s="9" t="s">
        <v>932</v>
      </c>
      <c r="C480" s="10">
        <f>SUM(C2:C478)</f>
        <v>335488144.89000034</v>
      </c>
    </row>
    <row r="482" spans="2:3">
      <c r="B482" s="9" t="s">
        <v>931</v>
      </c>
      <c r="C482" s="18">
        <v>335488145</v>
      </c>
    </row>
    <row r="484" spans="2:3">
      <c r="B484" s="19" t="s">
        <v>930</v>
      </c>
      <c r="C484" s="26">
        <f>C480-C482</f>
        <v>-0.10999965667724609</v>
      </c>
    </row>
  </sheetData>
  <pageMargins left="0.7" right="0.7" top="0.75" bottom="0.75" header="0.3" footer="0.3"/>
  <ignoredErrors>
    <ignoredError sqref="C480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674C2-9C4F-504E-AA03-40287F259E6A}">
  <sheetPr>
    <tabColor rgb="FFFF0000"/>
  </sheetPr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6D35E-475C-724C-A1C9-FAD585C18B19}">
  <sheetPr>
    <tabColor rgb="FFFFFF00"/>
  </sheetPr>
  <dimension ref="A1:B168"/>
  <sheetViews>
    <sheetView topLeftCell="A135" workbookViewId="0">
      <selection activeCell="D12" sqref="D12"/>
    </sheetView>
  </sheetViews>
  <sheetFormatPr baseColWidth="10" defaultRowHeight="16"/>
  <cols>
    <col min="1" max="1" width="26" bestFit="1" customWidth="1"/>
  </cols>
  <sheetData>
    <row r="1" spans="1:2">
      <c r="A1" t="s">
        <v>1423</v>
      </c>
      <c r="B1" t="s">
        <v>1424</v>
      </c>
    </row>
    <row r="2" spans="1:2">
      <c r="A2" t="s">
        <v>0</v>
      </c>
      <c r="B2">
        <v>3301380</v>
      </c>
    </row>
    <row r="3" spans="1:2">
      <c r="A3" t="s">
        <v>1</v>
      </c>
      <c r="B3">
        <v>3301440</v>
      </c>
    </row>
    <row r="4" spans="1:2">
      <c r="A4" t="s">
        <v>2</v>
      </c>
      <c r="B4">
        <v>3399939</v>
      </c>
    </row>
    <row r="5" spans="1:2">
      <c r="A5" t="s">
        <v>3</v>
      </c>
      <c r="B5">
        <v>3301500</v>
      </c>
    </row>
    <row r="6" spans="1:2">
      <c r="A6" t="s">
        <v>5</v>
      </c>
      <c r="B6">
        <v>3301560</v>
      </c>
    </row>
    <row r="7" spans="1:2">
      <c r="A7" t="s">
        <v>6</v>
      </c>
      <c r="B7">
        <v>3301590</v>
      </c>
    </row>
    <row r="8" spans="1:2">
      <c r="A8" t="s">
        <v>7</v>
      </c>
      <c r="B8">
        <v>3301620</v>
      </c>
    </row>
    <row r="9" spans="1:2">
      <c r="A9" t="s">
        <v>8</v>
      </c>
      <c r="B9">
        <v>3301650</v>
      </c>
    </row>
    <row r="10" spans="1:2">
      <c r="A10" t="s">
        <v>9</v>
      </c>
      <c r="B10">
        <v>3301680</v>
      </c>
    </row>
    <row r="11" spans="1:2">
      <c r="A11" t="s">
        <v>10</v>
      </c>
      <c r="B11">
        <v>3301710</v>
      </c>
    </row>
    <row r="12" spans="1:2">
      <c r="A12" t="s">
        <v>12</v>
      </c>
      <c r="B12">
        <v>3301740</v>
      </c>
    </row>
    <row r="13" spans="1:2">
      <c r="A13" t="s">
        <v>17</v>
      </c>
      <c r="B13">
        <v>3301890</v>
      </c>
    </row>
    <row r="14" spans="1:2">
      <c r="A14" t="s">
        <v>18</v>
      </c>
      <c r="B14">
        <v>3301950</v>
      </c>
    </row>
    <row r="15" spans="1:2">
      <c r="A15" t="s">
        <v>19</v>
      </c>
      <c r="B15">
        <v>3302010</v>
      </c>
    </row>
    <row r="16" spans="1:2">
      <c r="A16" t="s">
        <v>21</v>
      </c>
      <c r="B16">
        <v>3302070</v>
      </c>
    </row>
    <row r="17" spans="1:2">
      <c r="A17" t="s">
        <v>22</v>
      </c>
      <c r="B17">
        <v>3302100</v>
      </c>
    </row>
    <row r="18" spans="1:2">
      <c r="A18" t="s">
        <v>23</v>
      </c>
      <c r="B18">
        <v>3302130</v>
      </c>
    </row>
    <row r="19" spans="1:2">
      <c r="A19" t="s">
        <v>549</v>
      </c>
      <c r="B19">
        <v>3302250</v>
      </c>
    </row>
    <row r="20" spans="1:2">
      <c r="A20" t="s">
        <v>29</v>
      </c>
      <c r="B20">
        <v>3302280</v>
      </c>
    </row>
    <row r="21" spans="1:2">
      <c r="A21" t="s">
        <v>30</v>
      </c>
      <c r="B21">
        <v>3302310</v>
      </c>
    </row>
    <row r="22" spans="1:2">
      <c r="A22" t="s">
        <v>44</v>
      </c>
      <c r="B22">
        <v>3302340</v>
      </c>
    </row>
    <row r="23" spans="1:2">
      <c r="A23" t="s">
        <v>46</v>
      </c>
      <c r="B23">
        <v>3302400</v>
      </c>
    </row>
    <row r="24" spans="1:2">
      <c r="A24" t="s">
        <v>48</v>
      </c>
      <c r="B24">
        <v>3302460</v>
      </c>
    </row>
    <row r="25" spans="1:2">
      <c r="A25" t="s">
        <v>49</v>
      </c>
      <c r="B25">
        <v>3302480</v>
      </c>
    </row>
    <row r="26" spans="1:2">
      <c r="A26" t="s">
        <v>50</v>
      </c>
      <c r="B26">
        <v>3302490</v>
      </c>
    </row>
    <row r="27" spans="1:2">
      <c r="A27" t="s">
        <v>55</v>
      </c>
      <c r="B27">
        <v>3302520</v>
      </c>
    </row>
    <row r="28" spans="1:2">
      <c r="A28" t="s">
        <v>570</v>
      </c>
      <c r="B28">
        <v>3302550</v>
      </c>
    </row>
    <row r="29" spans="1:2">
      <c r="A29" t="s">
        <v>574</v>
      </c>
      <c r="B29">
        <v>3302580</v>
      </c>
    </row>
    <row r="30" spans="1:2">
      <c r="A30" t="s">
        <v>59</v>
      </c>
      <c r="B30">
        <v>3302610</v>
      </c>
    </row>
    <row r="31" spans="1:2">
      <c r="A31" t="s">
        <v>62</v>
      </c>
      <c r="B31">
        <v>3302670</v>
      </c>
    </row>
    <row r="32" spans="1:2">
      <c r="A32" t="s">
        <v>63</v>
      </c>
      <c r="B32">
        <v>3302760</v>
      </c>
    </row>
    <row r="33" spans="1:2">
      <c r="A33" t="s">
        <v>64</v>
      </c>
      <c r="B33">
        <v>3302790</v>
      </c>
    </row>
    <row r="34" spans="1:2">
      <c r="A34" t="s">
        <v>65</v>
      </c>
      <c r="B34">
        <v>3302880</v>
      </c>
    </row>
    <row r="35" spans="1:2">
      <c r="A35" t="s">
        <v>66</v>
      </c>
      <c r="B35">
        <v>3302910</v>
      </c>
    </row>
    <row r="36" spans="1:2">
      <c r="A36" t="s">
        <v>67</v>
      </c>
      <c r="B36">
        <v>3302940</v>
      </c>
    </row>
    <row r="37" spans="1:2">
      <c r="A37" t="s">
        <v>68</v>
      </c>
      <c r="B37">
        <v>3300017</v>
      </c>
    </row>
    <row r="38" spans="1:2">
      <c r="A38" t="s">
        <v>69</v>
      </c>
      <c r="B38">
        <v>3302970</v>
      </c>
    </row>
    <row r="39" spans="1:2">
      <c r="A39" t="s">
        <v>597</v>
      </c>
      <c r="B39">
        <v>3302990</v>
      </c>
    </row>
    <row r="40" spans="1:2">
      <c r="A40" t="s">
        <v>599</v>
      </c>
      <c r="B40">
        <v>3303000</v>
      </c>
    </row>
    <row r="41" spans="1:2">
      <c r="A41" t="s">
        <v>72</v>
      </c>
      <c r="B41">
        <v>3303090</v>
      </c>
    </row>
    <row r="42" spans="1:2">
      <c r="A42" t="s">
        <v>73</v>
      </c>
      <c r="B42">
        <v>3303120</v>
      </c>
    </row>
    <row r="43" spans="1:2">
      <c r="A43" t="s">
        <v>607</v>
      </c>
      <c r="B43">
        <v>3303150</v>
      </c>
    </row>
    <row r="44" spans="1:2">
      <c r="A44" t="s">
        <v>75</v>
      </c>
      <c r="B44">
        <v>3303180</v>
      </c>
    </row>
    <row r="45" spans="1:2">
      <c r="A45" t="s">
        <v>76</v>
      </c>
      <c r="B45">
        <v>3303210</v>
      </c>
    </row>
    <row r="46" spans="1:2">
      <c r="A46" t="s">
        <v>77</v>
      </c>
      <c r="B46">
        <v>3303240</v>
      </c>
    </row>
    <row r="47" spans="1:2">
      <c r="A47" t="s">
        <v>617</v>
      </c>
      <c r="B47">
        <v>3303300</v>
      </c>
    </row>
    <row r="48" spans="1:2">
      <c r="A48" t="s">
        <v>79</v>
      </c>
      <c r="B48">
        <v>3303330</v>
      </c>
    </row>
    <row r="49" spans="1:2">
      <c r="A49" t="s">
        <v>81</v>
      </c>
      <c r="B49">
        <v>3303360</v>
      </c>
    </row>
    <row r="50" spans="1:2">
      <c r="A50" t="s">
        <v>82</v>
      </c>
      <c r="B50">
        <v>3300048</v>
      </c>
    </row>
    <row r="51" spans="1:2">
      <c r="A51" t="s">
        <v>83</v>
      </c>
      <c r="B51">
        <v>3303420</v>
      </c>
    </row>
    <row r="52" spans="1:2">
      <c r="A52" t="s">
        <v>84</v>
      </c>
      <c r="B52">
        <v>3300035</v>
      </c>
    </row>
    <row r="53" spans="1:2">
      <c r="A53" t="s">
        <v>85</v>
      </c>
      <c r="B53">
        <v>3303480</v>
      </c>
    </row>
    <row r="54" spans="1:2">
      <c r="A54" t="s">
        <v>86</v>
      </c>
      <c r="B54">
        <v>3303540</v>
      </c>
    </row>
    <row r="55" spans="1:2">
      <c r="A55" t="s">
        <v>87</v>
      </c>
      <c r="B55">
        <v>3303510</v>
      </c>
    </row>
    <row r="56" spans="1:2">
      <c r="A56" t="s">
        <v>88</v>
      </c>
      <c r="B56">
        <v>3303600</v>
      </c>
    </row>
    <row r="57" spans="1:2">
      <c r="A57" t="s">
        <v>89</v>
      </c>
      <c r="B57">
        <v>3303630</v>
      </c>
    </row>
    <row r="58" spans="1:2">
      <c r="A58" t="s">
        <v>90</v>
      </c>
      <c r="B58">
        <v>3303660</v>
      </c>
    </row>
    <row r="59" spans="1:2">
      <c r="A59" t="s">
        <v>91</v>
      </c>
      <c r="B59">
        <v>3303690</v>
      </c>
    </row>
    <row r="60" spans="1:2">
      <c r="A60" t="s">
        <v>92</v>
      </c>
      <c r="B60">
        <v>3303720</v>
      </c>
    </row>
    <row r="61" spans="1:2">
      <c r="A61" t="s">
        <v>428</v>
      </c>
      <c r="B61">
        <v>3303750</v>
      </c>
    </row>
    <row r="62" spans="1:2">
      <c r="A62" t="s">
        <v>430</v>
      </c>
      <c r="B62">
        <v>3303780</v>
      </c>
    </row>
    <row r="63" spans="1:2">
      <c r="A63" t="s">
        <v>431</v>
      </c>
      <c r="B63">
        <v>3303810</v>
      </c>
    </row>
    <row r="64" spans="1:2">
      <c r="A64" t="s">
        <v>432</v>
      </c>
      <c r="B64">
        <v>3303840</v>
      </c>
    </row>
    <row r="65" spans="1:2">
      <c r="A65" t="s">
        <v>433</v>
      </c>
      <c r="B65">
        <v>3303850</v>
      </c>
    </row>
    <row r="66" spans="1:2">
      <c r="A66" t="s">
        <v>435</v>
      </c>
      <c r="B66">
        <v>3303870</v>
      </c>
    </row>
    <row r="67" spans="1:2">
      <c r="A67" t="s">
        <v>438</v>
      </c>
      <c r="B67">
        <v>3303900</v>
      </c>
    </row>
    <row r="68" spans="1:2">
      <c r="A68" t="s">
        <v>439</v>
      </c>
      <c r="B68">
        <v>3303930</v>
      </c>
    </row>
    <row r="69" spans="1:2">
      <c r="A69" t="s">
        <v>440</v>
      </c>
      <c r="B69">
        <v>3303960</v>
      </c>
    </row>
    <row r="70" spans="1:2">
      <c r="A70" t="s">
        <v>441</v>
      </c>
      <c r="B70">
        <v>3303990</v>
      </c>
    </row>
    <row r="71" spans="1:2">
      <c r="A71" t="s">
        <v>442</v>
      </c>
      <c r="B71">
        <v>3304030</v>
      </c>
    </row>
    <row r="72" spans="1:2">
      <c r="A72" t="s">
        <v>443</v>
      </c>
      <c r="B72">
        <v>3300003</v>
      </c>
    </row>
    <row r="73" spans="1:2">
      <c r="A73" t="s">
        <v>672</v>
      </c>
      <c r="B73">
        <v>3304040</v>
      </c>
    </row>
    <row r="74" spans="1:2">
      <c r="A74" t="s">
        <v>445</v>
      </c>
      <c r="B74">
        <v>3304050</v>
      </c>
    </row>
    <row r="75" spans="1:2">
      <c r="A75" t="s">
        <v>446</v>
      </c>
      <c r="B75">
        <v>3304080</v>
      </c>
    </row>
    <row r="76" spans="1:2">
      <c r="A76" t="s">
        <v>448</v>
      </c>
      <c r="B76">
        <v>3304140</v>
      </c>
    </row>
    <row r="77" spans="1:2">
      <c r="A77" t="s">
        <v>450</v>
      </c>
      <c r="B77">
        <v>3304150</v>
      </c>
    </row>
    <row r="78" spans="1:2">
      <c r="A78" t="s">
        <v>454</v>
      </c>
      <c r="B78">
        <v>3304170</v>
      </c>
    </row>
    <row r="79" spans="1:2">
      <c r="A79" t="s">
        <v>456</v>
      </c>
      <c r="B79">
        <v>3304230</v>
      </c>
    </row>
    <row r="80" spans="1:2">
      <c r="A80" t="s">
        <v>457</v>
      </c>
      <c r="B80">
        <v>3303303</v>
      </c>
    </row>
    <row r="81" spans="1:2">
      <c r="A81" t="s">
        <v>458</v>
      </c>
      <c r="B81">
        <v>3304260</v>
      </c>
    </row>
    <row r="82" spans="1:2">
      <c r="A82" t="s">
        <v>459</v>
      </c>
      <c r="B82">
        <v>3304290</v>
      </c>
    </row>
    <row r="83" spans="1:2">
      <c r="A83" t="s">
        <v>460</v>
      </c>
      <c r="B83">
        <v>3304350</v>
      </c>
    </row>
    <row r="84" spans="1:2">
      <c r="A84" t="s">
        <v>462</v>
      </c>
      <c r="B84">
        <v>3304380</v>
      </c>
    </row>
    <row r="85" spans="1:2">
      <c r="A85" t="s">
        <v>464</v>
      </c>
      <c r="B85">
        <v>3304410</v>
      </c>
    </row>
    <row r="86" spans="1:2">
      <c r="A86" t="s">
        <v>466</v>
      </c>
      <c r="B86">
        <v>3304500</v>
      </c>
    </row>
    <row r="87" spans="1:2">
      <c r="A87" t="s">
        <v>468</v>
      </c>
      <c r="B87">
        <v>3304560</v>
      </c>
    </row>
    <row r="88" spans="1:2">
      <c r="A88" t="s">
        <v>469</v>
      </c>
      <c r="B88">
        <v>3304590</v>
      </c>
    </row>
    <row r="89" spans="1:2">
      <c r="A89" t="s">
        <v>470</v>
      </c>
      <c r="B89">
        <v>3304620</v>
      </c>
    </row>
    <row r="90" spans="1:2">
      <c r="A90" t="s">
        <v>471</v>
      </c>
      <c r="B90">
        <v>3304650</v>
      </c>
    </row>
    <row r="91" spans="1:2">
      <c r="A91" t="s">
        <v>472</v>
      </c>
      <c r="B91">
        <v>3304670</v>
      </c>
    </row>
    <row r="92" spans="1:2">
      <c r="A92" t="s">
        <v>473</v>
      </c>
      <c r="B92">
        <v>3304680</v>
      </c>
    </row>
    <row r="93" spans="1:2">
      <c r="A93" t="s">
        <v>474</v>
      </c>
      <c r="B93">
        <v>3303276</v>
      </c>
    </row>
    <row r="94" spans="1:2">
      <c r="A94" t="s">
        <v>477</v>
      </c>
      <c r="B94">
        <v>3304740</v>
      </c>
    </row>
    <row r="95" spans="1:2">
      <c r="A95" t="s">
        <v>478</v>
      </c>
      <c r="B95">
        <v>3304760</v>
      </c>
    </row>
    <row r="96" spans="1:2">
      <c r="A96" t="s">
        <v>94</v>
      </c>
      <c r="B96">
        <v>3304770</v>
      </c>
    </row>
    <row r="97" spans="1:2">
      <c r="A97" t="s">
        <v>95</v>
      </c>
      <c r="B97">
        <v>3304800</v>
      </c>
    </row>
    <row r="98" spans="1:2">
      <c r="A98" t="s">
        <v>97</v>
      </c>
      <c r="B98">
        <v>3304830</v>
      </c>
    </row>
    <row r="99" spans="1:2">
      <c r="A99" t="s">
        <v>98</v>
      </c>
      <c r="B99">
        <v>3300616</v>
      </c>
    </row>
    <row r="100" spans="1:2">
      <c r="A100" t="s">
        <v>99</v>
      </c>
      <c r="B100">
        <v>3304890</v>
      </c>
    </row>
    <row r="101" spans="1:2">
      <c r="A101" t="s">
        <v>100</v>
      </c>
      <c r="B101">
        <v>3304920</v>
      </c>
    </row>
    <row r="102" spans="1:2">
      <c r="A102" t="s">
        <v>101</v>
      </c>
      <c r="B102">
        <v>3304950</v>
      </c>
    </row>
    <row r="103" spans="1:2">
      <c r="A103" t="s">
        <v>102</v>
      </c>
      <c r="B103">
        <v>3304960</v>
      </c>
    </row>
    <row r="104" spans="1:2">
      <c r="A104" t="s">
        <v>106</v>
      </c>
      <c r="B104">
        <v>3305010</v>
      </c>
    </row>
    <row r="105" spans="1:2">
      <c r="A105" t="s">
        <v>107</v>
      </c>
      <c r="B105">
        <v>3305040</v>
      </c>
    </row>
    <row r="106" spans="1:2">
      <c r="A106" t="s">
        <v>108</v>
      </c>
      <c r="B106">
        <v>3305070</v>
      </c>
    </row>
    <row r="107" spans="1:2">
      <c r="A107" t="s">
        <v>110</v>
      </c>
      <c r="B107">
        <v>3305190</v>
      </c>
    </row>
    <row r="108" spans="1:2">
      <c r="A108" t="s">
        <v>111</v>
      </c>
      <c r="B108">
        <v>3305220</v>
      </c>
    </row>
    <row r="109" spans="1:2">
      <c r="A109" t="s">
        <v>112</v>
      </c>
      <c r="B109">
        <v>3305250</v>
      </c>
    </row>
    <row r="110" spans="1:2">
      <c r="A110" t="s">
        <v>114</v>
      </c>
      <c r="B110">
        <v>3305280</v>
      </c>
    </row>
    <row r="111" spans="1:2">
      <c r="A111" t="s">
        <v>115</v>
      </c>
      <c r="B111">
        <v>3305310</v>
      </c>
    </row>
    <row r="112" spans="1:2">
      <c r="A112" t="s">
        <v>116</v>
      </c>
      <c r="B112">
        <v>3303291</v>
      </c>
    </row>
    <row r="113" spans="1:2">
      <c r="A113" t="s">
        <v>124</v>
      </c>
      <c r="B113">
        <v>3305370</v>
      </c>
    </row>
    <row r="114" spans="1:2">
      <c r="A114" t="s">
        <v>125</v>
      </c>
      <c r="B114">
        <v>3305400</v>
      </c>
    </row>
    <row r="115" spans="1:2">
      <c r="A115" t="s">
        <v>126</v>
      </c>
      <c r="B115">
        <v>3305430</v>
      </c>
    </row>
    <row r="116" spans="1:2">
      <c r="A116" t="s">
        <v>127</v>
      </c>
      <c r="B116">
        <v>3305460</v>
      </c>
    </row>
    <row r="117" spans="1:2">
      <c r="A117" t="s">
        <v>128</v>
      </c>
      <c r="B117">
        <v>3305520</v>
      </c>
    </row>
    <row r="118" spans="1:2">
      <c r="A118" t="s">
        <v>130</v>
      </c>
      <c r="B118">
        <v>3305550</v>
      </c>
    </row>
    <row r="119" spans="1:2">
      <c r="A119" t="s">
        <v>131</v>
      </c>
      <c r="B119">
        <v>3305580</v>
      </c>
    </row>
    <row r="120" spans="1:2">
      <c r="A120" t="s">
        <v>132</v>
      </c>
      <c r="B120">
        <v>3399965</v>
      </c>
    </row>
    <row r="121" spans="1:2">
      <c r="A121" t="s">
        <v>133</v>
      </c>
      <c r="B121">
        <v>3305670</v>
      </c>
    </row>
    <row r="122" spans="1:2">
      <c r="A122" t="s">
        <v>134</v>
      </c>
      <c r="B122">
        <v>3305700</v>
      </c>
    </row>
    <row r="123" spans="1:2">
      <c r="A123" t="s">
        <v>135</v>
      </c>
      <c r="B123">
        <v>3305730</v>
      </c>
    </row>
    <row r="124" spans="1:2">
      <c r="A124" t="s">
        <v>136</v>
      </c>
      <c r="B124">
        <v>3305760</v>
      </c>
    </row>
    <row r="125" spans="1:2">
      <c r="A125" t="s">
        <v>138</v>
      </c>
      <c r="B125">
        <v>3305790</v>
      </c>
    </row>
    <row r="126" spans="1:2">
      <c r="A126" t="s">
        <v>141</v>
      </c>
      <c r="B126">
        <v>3305820</v>
      </c>
    </row>
    <row r="127" spans="1:2">
      <c r="A127" t="s">
        <v>142</v>
      </c>
      <c r="B127">
        <v>3305830</v>
      </c>
    </row>
    <row r="128" spans="1:2">
      <c r="A128" t="s">
        <v>143</v>
      </c>
      <c r="B128">
        <v>3300049</v>
      </c>
    </row>
    <row r="129" spans="1:2">
      <c r="A129" t="s">
        <v>144</v>
      </c>
      <c r="B129">
        <v>3305880</v>
      </c>
    </row>
    <row r="130" spans="1:2">
      <c r="A130" t="s">
        <v>145</v>
      </c>
    </row>
    <row r="131" spans="1:2">
      <c r="A131" t="s">
        <v>146</v>
      </c>
      <c r="B131">
        <v>3305940</v>
      </c>
    </row>
    <row r="132" spans="1:2">
      <c r="A132" t="s">
        <v>149</v>
      </c>
      <c r="B132">
        <v>3305970</v>
      </c>
    </row>
    <row r="133" spans="1:2">
      <c r="A133" t="s">
        <v>150</v>
      </c>
      <c r="B133">
        <v>3306000</v>
      </c>
    </row>
    <row r="134" spans="1:2">
      <c r="A134" t="s">
        <v>151</v>
      </c>
      <c r="B134">
        <v>3306030</v>
      </c>
    </row>
    <row r="135" spans="1:2">
      <c r="A135" t="s">
        <v>154</v>
      </c>
      <c r="B135">
        <v>3306060</v>
      </c>
    </row>
    <row r="136" spans="1:2">
      <c r="A136" t="s">
        <v>155</v>
      </c>
      <c r="B136">
        <v>3306080</v>
      </c>
    </row>
    <row r="137" spans="1:2">
      <c r="A137" t="s">
        <v>823</v>
      </c>
      <c r="B137">
        <v>3302610</v>
      </c>
    </row>
    <row r="138" spans="1:2">
      <c r="A138" t="s">
        <v>846</v>
      </c>
      <c r="B138">
        <v>3305940</v>
      </c>
    </row>
    <row r="139" spans="1:2">
      <c r="A139" t="s">
        <v>185</v>
      </c>
      <c r="B139">
        <v>3306150</v>
      </c>
    </row>
    <row r="140" spans="1:2">
      <c r="A140" t="s">
        <v>858</v>
      </c>
      <c r="B140">
        <v>3306180</v>
      </c>
    </row>
    <row r="141" spans="1:2">
      <c r="A141" t="s">
        <v>189</v>
      </c>
      <c r="B141">
        <v>3306240</v>
      </c>
    </row>
    <row r="142" spans="1:2">
      <c r="A142" t="s">
        <v>190</v>
      </c>
      <c r="B142">
        <v>3306260</v>
      </c>
    </row>
    <row r="143" spans="1:2">
      <c r="A143" t="s">
        <v>191</v>
      </c>
      <c r="B143">
        <v>3306270</v>
      </c>
    </row>
    <row r="144" spans="1:2">
      <c r="A144" t="s">
        <v>193</v>
      </c>
      <c r="B144">
        <v>3306330</v>
      </c>
    </row>
    <row r="145" spans="1:2">
      <c r="A145" t="s">
        <v>195</v>
      </c>
      <c r="B145">
        <v>3306360</v>
      </c>
    </row>
    <row r="146" spans="1:2">
      <c r="A146" t="s">
        <v>196</v>
      </c>
      <c r="B146">
        <v>3306390</v>
      </c>
    </row>
    <row r="147" spans="1:2">
      <c r="A147" t="s">
        <v>198</v>
      </c>
      <c r="B147">
        <v>3306420</v>
      </c>
    </row>
    <row r="148" spans="1:2">
      <c r="A148" t="s">
        <v>199</v>
      </c>
      <c r="B148">
        <v>3306450</v>
      </c>
    </row>
    <row r="149" spans="1:2">
      <c r="A149" t="s">
        <v>200</v>
      </c>
      <c r="B149">
        <v>3306480</v>
      </c>
    </row>
    <row r="150" spans="1:2">
      <c r="A150" t="s">
        <v>202</v>
      </c>
      <c r="B150">
        <v>3306540</v>
      </c>
    </row>
    <row r="151" spans="1:2">
      <c r="A151" t="s">
        <v>490</v>
      </c>
      <c r="B151">
        <v>3300039</v>
      </c>
    </row>
    <row r="152" spans="1:2">
      <c r="A152" t="s">
        <v>204</v>
      </c>
      <c r="B152">
        <v>3306600</v>
      </c>
    </row>
    <row r="153" spans="1:2">
      <c r="A153" t="s">
        <v>206</v>
      </c>
      <c r="B153">
        <v>3306660</v>
      </c>
    </row>
    <row r="154" spans="1:2">
      <c r="A154" t="s">
        <v>208</v>
      </c>
      <c r="B154">
        <v>3306720</v>
      </c>
    </row>
    <row r="155" spans="1:2">
      <c r="A155" t="s">
        <v>397</v>
      </c>
      <c r="B155">
        <v>3306750</v>
      </c>
    </row>
    <row r="156" spans="1:2">
      <c r="A156" t="s">
        <v>401</v>
      </c>
      <c r="B156">
        <v>3306780</v>
      </c>
    </row>
    <row r="157" spans="1:2">
      <c r="A157" t="s">
        <v>403</v>
      </c>
      <c r="B157">
        <v>3306870</v>
      </c>
    </row>
    <row r="158" spans="1:2">
      <c r="A158" t="s">
        <v>404</v>
      </c>
      <c r="B158">
        <v>3306900</v>
      </c>
    </row>
    <row r="159" spans="1:2">
      <c r="A159" t="s">
        <v>406</v>
      </c>
      <c r="B159">
        <v>3306910</v>
      </c>
    </row>
    <row r="160" spans="1:2">
      <c r="A160" t="s">
        <v>407</v>
      </c>
      <c r="B160">
        <v>3306930</v>
      </c>
    </row>
    <row r="161" spans="1:2">
      <c r="A161" t="s">
        <v>409</v>
      </c>
      <c r="B161">
        <v>3306990</v>
      </c>
    </row>
    <row r="162" spans="1:2">
      <c r="A162" t="s">
        <v>410</v>
      </c>
      <c r="B162">
        <v>3307020</v>
      </c>
    </row>
    <row r="163" spans="1:2">
      <c r="A163" t="s">
        <v>411</v>
      </c>
      <c r="B163">
        <v>3307050</v>
      </c>
    </row>
    <row r="164" spans="1:2">
      <c r="A164" t="s">
        <v>412</v>
      </c>
      <c r="B164">
        <v>3307115</v>
      </c>
    </row>
    <row r="165" spans="1:2">
      <c r="A165" t="s">
        <v>413</v>
      </c>
      <c r="B165">
        <v>3307140</v>
      </c>
    </row>
    <row r="166" spans="1:2">
      <c r="A166" t="s">
        <v>414</v>
      </c>
      <c r="B166">
        <v>3307170</v>
      </c>
    </row>
    <row r="167" spans="1:2">
      <c r="A167" t="s">
        <v>415</v>
      </c>
      <c r="B167">
        <v>3307230</v>
      </c>
    </row>
    <row r="168" spans="1:2">
      <c r="A168" t="s">
        <v>927</v>
      </c>
      <c r="B168">
        <v>3307300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GASB 68 Data --&gt;</vt:lpstr>
      <vt:lpstr>2022 &amp; 2023</vt:lpstr>
      <vt:lpstr>2020 &amp; 2021</vt:lpstr>
      <vt:lpstr>2018 &amp; 2019</vt:lpstr>
      <vt:lpstr>2016 &amp; 2017</vt:lpstr>
      <vt:lpstr>2015</vt:lpstr>
      <vt:lpstr>NCES Match --&gt;</vt:lpstr>
      <vt:lpstr>LEAID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2025-02-20T19:38:16Z</dcterms:created>
  <dcterms:modified xsi:type="dcterms:W3CDTF">2025-02-21T00:32:43Z</dcterms:modified>
</cp:coreProperties>
</file>