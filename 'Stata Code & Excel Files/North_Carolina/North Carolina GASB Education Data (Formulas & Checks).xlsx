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orth Carolina/"/>
    </mc:Choice>
  </mc:AlternateContent>
  <xr:revisionPtr revIDLastSave="0" documentId="13_ncr:1_{9F969471-29E8-5B4A-A7DC-84467CB9FA35}" xr6:coauthVersionLast="47" xr6:coauthVersionMax="47" xr10:uidLastSave="{00000000-0000-0000-0000-000000000000}"/>
  <bookViews>
    <workbookView xWindow="240" yWindow="-21100" windowWidth="27500" windowHeight="21100" xr2:uid="{10825210-43E3-0848-AD11-8254C46B34E4}"/>
  </bookViews>
  <sheets>
    <sheet name="Summary" sheetId="4" r:id="rId1"/>
    <sheet name="GASB Data --&gt;" sheetId="8" r:id="rId2"/>
    <sheet name="Final Check" sheetId="5" r:id="rId3"/>
    <sheet name="GASB Data" sheetId="1" r:id="rId4"/>
    <sheet name="Check" sheetId="2" r:id="rId5"/>
    <sheet name="NCES Data --&gt;" sheetId="7" r:id="rId6"/>
    <sheet name="LEAID Match" sheetId="6" r:id="rId7"/>
  </sheets>
  <definedNames>
    <definedName name="_xlnm._FilterDatabase" localSheetId="6" hidden="1">'LEAID Match'!$A$1:$B$1</definedName>
    <definedName name="_xlnm._FilterDatabase" localSheetId="0" hidden="1">Summary!$B$1:$H$1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" i="4"/>
  <c r="G4" i="5"/>
  <c r="J4" i="5" s="1"/>
  <c r="G5" i="5"/>
  <c r="J5" i="5" s="1"/>
  <c r="G6" i="5"/>
  <c r="J6" i="5" s="1"/>
  <c r="G7" i="5"/>
  <c r="J7" i="5" s="1"/>
  <c r="G8" i="5"/>
  <c r="J8" i="5" s="1"/>
  <c r="G9" i="5"/>
  <c r="J9" i="5" s="1"/>
  <c r="G10" i="5"/>
  <c r="J10" i="5" s="1"/>
  <c r="G11" i="5"/>
  <c r="J11" i="5" s="1"/>
  <c r="G3" i="5"/>
  <c r="J3" i="5" s="1"/>
  <c r="E11" i="5"/>
  <c r="I11" i="5" s="1"/>
  <c r="E4" i="5"/>
  <c r="I4" i="5" s="1"/>
  <c r="E5" i="5"/>
  <c r="I5" i="5" s="1"/>
  <c r="E6" i="5"/>
  <c r="I6" i="5" s="1"/>
  <c r="E7" i="5"/>
  <c r="I7" i="5" s="1"/>
  <c r="E8" i="5"/>
  <c r="I8" i="5" s="1"/>
  <c r="E9" i="5"/>
  <c r="I9" i="5" s="1"/>
  <c r="E10" i="5"/>
  <c r="I10" i="5" s="1"/>
  <c r="E3" i="5"/>
  <c r="I3" i="5" s="1"/>
  <c r="C4" i="5"/>
  <c r="H4" i="5" s="1"/>
  <c r="C5" i="5"/>
  <c r="H5" i="5" s="1"/>
  <c r="C6" i="5"/>
  <c r="H6" i="5" s="1"/>
  <c r="C7" i="5"/>
  <c r="H7" i="5" s="1"/>
  <c r="C8" i="5"/>
  <c r="H8" i="5" s="1"/>
  <c r="C9" i="5"/>
  <c r="H9" i="5" s="1"/>
  <c r="C10" i="5"/>
  <c r="H10" i="5" s="1"/>
  <c r="C11" i="5"/>
  <c r="H11" i="5" s="1"/>
  <c r="C3" i="5"/>
  <c r="H3" i="5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6" i="2" s="1"/>
  <c r="J6" i="2" s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7" i="2" s="1"/>
  <c r="J7" i="2" s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8" i="2" s="1"/>
  <c r="J8" i="2" s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9" i="2" s="1"/>
  <c r="J9" i="2" s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10" i="2" s="1"/>
  <c r="J10" i="2" s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" i="1"/>
  <c r="G3" i="2" s="1"/>
  <c r="J3" i="2" s="1"/>
  <c r="I4" i="2"/>
  <c r="E4" i="2"/>
  <c r="E5" i="2"/>
  <c r="I5" i="2" s="1"/>
  <c r="E6" i="2"/>
  <c r="I6" i="2" s="1"/>
  <c r="E7" i="2"/>
  <c r="I7" i="2" s="1"/>
  <c r="E8" i="2"/>
  <c r="I8" i="2" s="1"/>
  <c r="E9" i="2"/>
  <c r="I9" i="2" s="1"/>
  <c r="E10" i="2"/>
  <c r="I10" i="2" s="1"/>
  <c r="E11" i="2"/>
  <c r="I11" i="2" s="1"/>
  <c r="E3" i="2"/>
  <c r="I3" i="2" s="1"/>
  <c r="C4" i="2"/>
  <c r="H4" i="2" s="1"/>
  <c r="C5" i="2"/>
  <c r="H5" i="2" s="1"/>
  <c r="C6" i="2"/>
  <c r="H6" i="2" s="1"/>
  <c r="C7" i="2"/>
  <c r="H7" i="2" s="1"/>
  <c r="C8" i="2"/>
  <c r="H8" i="2" s="1"/>
  <c r="C9" i="2"/>
  <c r="H9" i="2" s="1"/>
  <c r="C10" i="2"/>
  <c r="H10" i="2" s="1"/>
  <c r="C11" i="2"/>
  <c r="H11" i="2" s="1"/>
  <c r="C3" i="2"/>
  <c r="H3" i="2" s="1"/>
  <c r="G5" i="2" l="1"/>
  <c r="J5" i="2" s="1"/>
  <c r="G11" i="2"/>
  <c r="J11" i="2" s="1"/>
  <c r="G4" i="2"/>
  <c r="J4" i="2" s="1"/>
</calcChain>
</file>

<file path=xl/sharedStrings.xml><?xml version="1.0" encoding="utf-8"?>
<sst xmlns="http://schemas.openxmlformats.org/spreadsheetml/2006/main" count="15792" uniqueCount="960">
  <si>
    <t>North Carolina Education Lottery</t>
  </si>
  <si>
    <t>Department Of Justice</t>
  </si>
  <si>
    <t>State Auditor</t>
  </si>
  <si>
    <t>Department Of Cultural Resources</t>
  </si>
  <si>
    <t>Administrative Office Of The Courts</t>
  </si>
  <si>
    <t>Office Of Administrative Hearing</t>
  </si>
  <si>
    <t>Department Of Administration</t>
  </si>
  <si>
    <t>Office Of State Budget &amp; Management</t>
  </si>
  <si>
    <t>Information Technology Services</t>
  </si>
  <si>
    <t>Office Of State Controller</t>
  </si>
  <si>
    <t>N.C. School Of Science &amp; Mathematics</t>
  </si>
  <si>
    <t>Environment And Natural Resources</t>
  </si>
  <si>
    <t>N.C. Housing Finance Agency</t>
  </si>
  <si>
    <t>Wildlife Resources Commission</t>
  </si>
  <si>
    <t>State Board Of Elections</t>
  </si>
  <si>
    <t>Governor's Office</t>
  </si>
  <si>
    <t>Lt. Governor's Office</t>
  </si>
  <si>
    <t>General Assembly</t>
  </si>
  <si>
    <t>Health &amp; Human Services</t>
  </si>
  <si>
    <t>Department Of Commerce</t>
  </si>
  <si>
    <t>Insurance Department</t>
  </si>
  <si>
    <t>Labor Department</t>
  </si>
  <si>
    <t>Revenue Department</t>
  </si>
  <si>
    <t>Secretary Of State</t>
  </si>
  <si>
    <t>State Treasurer</t>
  </si>
  <si>
    <t>Department Of Agriculture</t>
  </si>
  <si>
    <t>Barber Examiners, State Board Of</t>
  </si>
  <si>
    <t>N.C. Real Estate Commission</t>
  </si>
  <si>
    <t>N.C. Auctioneers Licensing Board</t>
  </si>
  <si>
    <t>N.C. State Board Of Examiners Of Practicing Psychol</t>
  </si>
  <si>
    <t>Community Colleges Administration</t>
  </si>
  <si>
    <t>Department Of Public Safety</t>
  </si>
  <si>
    <t>Appalachian State University</t>
  </si>
  <si>
    <t>N.C. School Of The Arts</t>
  </si>
  <si>
    <t>East Carolina University</t>
  </si>
  <si>
    <t>Elizabeth City State University</t>
  </si>
  <si>
    <t>Fayetteville State University</t>
  </si>
  <si>
    <t>N.C. A&amp;T University</t>
  </si>
  <si>
    <t>N.C. Central University</t>
  </si>
  <si>
    <t>University Of North Carolina At Greensboro</t>
  </si>
  <si>
    <t>UNC - Pembroke</t>
  </si>
  <si>
    <t>N.C. State University</t>
  </si>
  <si>
    <t>UNC-CH CB 1260</t>
  </si>
  <si>
    <t>UNC-General Administration</t>
  </si>
  <si>
    <t>UNC Health Care System</t>
  </si>
  <si>
    <t>University Of North Carolina Press</t>
  </si>
  <si>
    <t>Western Carolina University</t>
  </si>
  <si>
    <t>Winston-Salem State University</t>
  </si>
  <si>
    <t>Department Of Public Instruction</t>
  </si>
  <si>
    <t>University Of North Carolina At Asheville</t>
  </si>
  <si>
    <t>University Of North Carolina At Charlotte</t>
  </si>
  <si>
    <t>University Of North Carolina At Wilmington</t>
  </si>
  <si>
    <t>Yancey County Schools</t>
  </si>
  <si>
    <t>Alamance County Schools</t>
  </si>
  <si>
    <t>year</t>
  </si>
  <si>
    <t>employer_contribution</t>
  </si>
  <si>
    <t>employer_allocation</t>
  </si>
  <si>
    <t>employer_name</t>
  </si>
  <si>
    <t>10200</t>
  </si>
  <si>
    <t>10400</t>
  </si>
  <si>
    <t>10500</t>
  </si>
  <si>
    <t>10700</t>
  </si>
  <si>
    <t>10800</t>
  </si>
  <si>
    <t>10850</t>
  </si>
  <si>
    <t>10900</t>
  </si>
  <si>
    <t>10910</t>
  </si>
  <si>
    <t>10930</t>
  </si>
  <si>
    <t>10940</t>
  </si>
  <si>
    <t>10950</t>
  </si>
  <si>
    <t>11300</t>
  </si>
  <si>
    <t>11310</t>
  </si>
  <si>
    <t>11600</t>
  </si>
  <si>
    <t>11900</t>
  </si>
  <si>
    <t>12100</t>
  </si>
  <si>
    <t>12150</t>
  </si>
  <si>
    <t>12160</t>
  </si>
  <si>
    <t>12220</t>
  </si>
  <si>
    <t>12510</t>
  </si>
  <si>
    <t>12600</t>
  </si>
  <si>
    <t>12700</t>
  </si>
  <si>
    <t>13500</t>
  </si>
  <si>
    <t>13700</t>
  </si>
  <si>
    <t>14300</t>
  </si>
  <si>
    <t>18400</t>
  </si>
  <si>
    <t>18600</t>
  </si>
  <si>
    <t>18690</t>
  </si>
  <si>
    <t>18740</t>
  </si>
  <si>
    <t>18780</t>
  </si>
  <si>
    <t>19005</t>
  </si>
  <si>
    <t>19100</t>
  </si>
  <si>
    <t>20100</t>
  </si>
  <si>
    <t>20200</t>
  </si>
  <si>
    <t>20300</t>
  </si>
  <si>
    <t>20400</t>
  </si>
  <si>
    <t>20600</t>
  </si>
  <si>
    <t>20700</t>
  </si>
  <si>
    <t>20800</t>
  </si>
  <si>
    <t>20900</t>
  </si>
  <si>
    <t>21200</t>
  </si>
  <si>
    <t>21300</t>
  </si>
  <si>
    <t>21520</t>
  </si>
  <si>
    <t>21525</t>
  </si>
  <si>
    <t>21550</t>
  </si>
  <si>
    <t>21570</t>
  </si>
  <si>
    <t>21800</t>
  </si>
  <si>
    <t>21900</t>
  </si>
  <si>
    <t>22000</t>
  </si>
  <si>
    <t>23000</t>
  </si>
  <si>
    <t>23100</t>
  </si>
  <si>
    <t>23200</t>
  </si>
  <si>
    <t>30000</t>
  </si>
  <si>
    <t>30100</t>
  </si>
  <si>
    <t>Clover Garden Charter School</t>
  </si>
  <si>
    <t>River Mill Academy Charter</t>
  </si>
  <si>
    <t>The Hawbridge School</t>
  </si>
  <si>
    <t>Alamance Community College</t>
  </si>
  <si>
    <t>Alexander County Schools</t>
  </si>
  <si>
    <t>Alleghany County Schools</t>
  </si>
  <si>
    <t>Anson County Schools</t>
  </si>
  <si>
    <t>South Piedmont Community College</t>
  </si>
  <si>
    <t>Ashe County Schools</t>
  </si>
  <si>
    <t>Avery County Schools</t>
  </si>
  <si>
    <t>Grandfather Academy</t>
  </si>
  <si>
    <t>Beaufort County Schools</t>
  </si>
  <si>
    <t>Beaufort County Community College</t>
  </si>
  <si>
    <t>Bertie County Schools</t>
  </si>
  <si>
    <t>Bladen County Schools</t>
  </si>
  <si>
    <t>Bladen Community College</t>
  </si>
  <si>
    <t>Brunswick County Schools</t>
  </si>
  <si>
    <t>Brunswick Community College</t>
  </si>
  <si>
    <t>Buncombe County Schools</t>
  </si>
  <si>
    <t>F. Delany New School For Children</t>
  </si>
  <si>
    <t>Evergreen Community Charter School</t>
  </si>
  <si>
    <t>Asheville-Buncombe Technical College</t>
  </si>
  <si>
    <t>Asheville City Schools</t>
  </si>
  <si>
    <t>Burke County Schools</t>
  </si>
  <si>
    <t>Western Piedmont Community College</t>
  </si>
  <si>
    <t>Cabarrus County Schools</t>
  </si>
  <si>
    <t>Carolina International School</t>
  </si>
  <si>
    <t>Kannapolis City Schools</t>
  </si>
  <si>
    <t>Caldwell County Schools</t>
  </si>
  <si>
    <t>Caldwell Community College</t>
  </si>
  <si>
    <t>Camden County Schools</t>
  </si>
  <si>
    <t>Carteret County Schools</t>
  </si>
  <si>
    <t>Carteret Community College</t>
  </si>
  <si>
    <t>Caswell County Schools</t>
  </si>
  <si>
    <t>Catawba County Schools</t>
  </si>
  <si>
    <t>Catawba Valley Community College</t>
  </si>
  <si>
    <t>Hickory City Schools</t>
  </si>
  <si>
    <t>Newton-Conover City Schools</t>
  </si>
  <si>
    <t>Chatham County Schools</t>
  </si>
  <si>
    <t>Cherokee County Schools</t>
  </si>
  <si>
    <t>Tri-County Community College</t>
  </si>
  <si>
    <t>Edenton-Chowan County Schools</t>
  </si>
  <si>
    <t>Clay County Schools</t>
  </si>
  <si>
    <t>Cleveland County Schools</t>
  </si>
  <si>
    <t>Cleveland Technical College</t>
  </si>
  <si>
    <t>Columbus County Schools</t>
  </si>
  <si>
    <t>Southeastern Community College</t>
  </si>
  <si>
    <t>Whiteville City Schools</t>
  </si>
  <si>
    <t>SEGS Academy</t>
  </si>
  <si>
    <t>New Bern/Craven County Board Of Education</t>
  </si>
  <si>
    <t>Craven Community College</t>
  </si>
  <si>
    <t>Cumberland County Schools</t>
  </si>
  <si>
    <t>Fayetteville Technical Community College</t>
  </si>
  <si>
    <t>Currituck County Schools</t>
  </si>
  <si>
    <t>30102</t>
  </si>
  <si>
    <t>30103</t>
  </si>
  <si>
    <t>30104</t>
  </si>
  <si>
    <t>30105</t>
  </si>
  <si>
    <t>30200</t>
  </si>
  <si>
    <t>30300</t>
  </si>
  <si>
    <t>30400</t>
  </si>
  <si>
    <t>30405</t>
  </si>
  <si>
    <t>30500</t>
  </si>
  <si>
    <t>30600</t>
  </si>
  <si>
    <t>30601</t>
  </si>
  <si>
    <t>30700</t>
  </si>
  <si>
    <t>30705</t>
  </si>
  <si>
    <t>30800</t>
  </si>
  <si>
    <t>30900</t>
  </si>
  <si>
    <t>30905</t>
  </si>
  <si>
    <t>31000</t>
  </si>
  <si>
    <t>31005</t>
  </si>
  <si>
    <t>31100</t>
  </si>
  <si>
    <t>31101</t>
  </si>
  <si>
    <t>31102</t>
  </si>
  <si>
    <t>31105</t>
  </si>
  <si>
    <t>31110</t>
  </si>
  <si>
    <t>31200</t>
  </si>
  <si>
    <t>31205</t>
  </si>
  <si>
    <t>31300</t>
  </si>
  <si>
    <t>31301</t>
  </si>
  <si>
    <t>31320</t>
  </si>
  <si>
    <t>31400</t>
  </si>
  <si>
    <t>31405</t>
  </si>
  <si>
    <t>31500</t>
  </si>
  <si>
    <t>31600</t>
  </si>
  <si>
    <t>31605</t>
  </si>
  <si>
    <t>31700</t>
  </si>
  <si>
    <t>31800</t>
  </si>
  <si>
    <t>31805</t>
  </si>
  <si>
    <t>31810</t>
  </si>
  <si>
    <t>31820</t>
  </si>
  <si>
    <t>31900</t>
  </si>
  <si>
    <t>32000</t>
  </si>
  <si>
    <t>32005</t>
  </si>
  <si>
    <t>32100</t>
  </si>
  <si>
    <t>32200</t>
  </si>
  <si>
    <t>32300</t>
  </si>
  <si>
    <t>32305</t>
  </si>
  <si>
    <t>32400</t>
  </si>
  <si>
    <t>32405</t>
  </si>
  <si>
    <t>32410</t>
  </si>
  <si>
    <t>32420</t>
  </si>
  <si>
    <t>32500</t>
  </si>
  <si>
    <t>32505</t>
  </si>
  <si>
    <t>32600</t>
  </si>
  <si>
    <t>32605</t>
  </si>
  <si>
    <t>32700</t>
  </si>
  <si>
    <t>Dare County Schools</t>
  </si>
  <si>
    <t>Davidson County Schools</t>
  </si>
  <si>
    <t>Invest Collegiate Charter School</t>
  </si>
  <si>
    <t>Davidson County Community College</t>
  </si>
  <si>
    <t>Lexington City Schools</t>
  </si>
  <si>
    <t>Thomasville City Schools</t>
  </si>
  <si>
    <t>Davie County Schools</t>
  </si>
  <si>
    <t>N.E. Regional School For Biotechnology</t>
  </si>
  <si>
    <t>Cornerstone Academy</t>
  </si>
  <si>
    <t>Duplin County Schools</t>
  </si>
  <si>
    <t>James Sprunt Technical College</t>
  </si>
  <si>
    <t>Durham Public Schools</t>
  </si>
  <si>
    <t>Central Park School For Children</t>
  </si>
  <si>
    <t>Healthy Start Academy</t>
  </si>
  <si>
    <t>Voyager Academy</t>
  </si>
  <si>
    <t>Durham Technical Institute</t>
  </si>
  <si>
    <t>Bear Grass Charter School</t>
  </si>
  <si>
    <t>Invest Collegiate Charter (Buncombe)</t>
  </si>
  <si>
    <t>Kipp Halifax College Prep Charter</t>
  </si>
  <si>
    <t>Pioneer Springs Community Charter</t>
  </si>
  <si>
    <t>Edgecombe County Schools</t>
  </si>
  <si>
    <t>Edgecombe Technical College</t>
  </si>
  <si>
    <t>Winston-Salem-Forsyth County Schools</t>
  </si>
  <si>
    <t>Arts Based Elementary Charter</t>
  </si>
  <si>
    <t>Forsyth Technical Institute</t>
  </si>
  <si>
    <t>Franklin County Schools</t>
  </si>
  <si>
    <t>A Childs Garden Charter (AKA Cross Creek Charter)</t>
  </si>
  <si>
    <t>Gaston County Schools</t>
  </si>
  <si>
    <t>Gaston College</t>
  </si>
  <si>
    <t>Gates County Schools</t>
  </si>
  <si>
    <t>Graham County Schools</t>
  </si>
  <si>
    <t>Granville County Schools And Oxford Orphanage</t>
  </si>
  <si>
    <t>Greene County Schools</t>
  </si>
  <si>
    <t>Guilford County Schools</t>
  </si>
  <si>
    <t>Guilford Technical Community College</t>
  </si>
  <si>
    <t>Halifax County Schools</t>
  </si>
  <si>
    <t>Halifax Community College</t>
  </si>
  <si>
    <t>Roanoke Rapids City Schools</t>
  </si>
  <si>
    <t>Weldon City Schools</t>
  </si>
  <si>
    <t>Harnett County Schools</t>
  </si>
  <si>
    <t>Haywood County Schools</t>
  </si>
  <si>
    <t>Haywood Technical College</t>
  </si>
  <si>
    <t>Henderson County Schools</t>
  </si>
  <si>
    <t>Mountain Community School</t>
  </si>
  <si>
    <t>Blue Ridge Community College</t>
  </si>
  <si>
    <t>Hertford County Schools</t>
  </si>
  <si>
    <t>Roanoke-Chowan Community College</t>
  </si>
  <si>
    <t>Hoke County Schools</t>
  </si>
  <si>
    <t>Hyde County Schools</t>
  </si>
  <si>
    <t>Iredell County Schools</t>
  </si>
  <si>
    <t>American Renaissance Middle School</t>
  </si>
  <si>
    <t>Success Institute</t>
  </si>
  <si>
    <t>Mitchell Community College</t>
  </si>
  <si>
    <t>Mooresville City Schools</t>
  </si>
  <si>
    <t>32800</t>
  </si>
  <si>
    <t>32900</t>
  </si>
  <si>
    <t>32901</t>
  </si>
  <si>
    <t>32905</t>
  </si>
  <si>
    <t>32910</t>
  </si>
  <si>
    <t>32920</t>
  </si>
  <si>
    <t>33000</t>
  </si>
  <si>
    <t>33001</t>
  </si>
  <si>
    <t>33027</t>
  </si>
  <si>
    <t>33100</t>
  </si>
  <si>
    <t>33105</t>
  </si>
  <si>
    <t>33200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</si>
  <si>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</si>
  <si>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</si>
  <si>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</si>
  <si>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</si>
  <si>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</si>
  <si>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</si>
  <si>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</si>
  <si>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</si>
  <si>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33300</t>
  </si>
  <si>
    <t>33305</t>
  </si>
  <si>
    <t>33400</t>
  </si>
  <si>
    <t>33402</t>
  </si>
  <si>
    <t>33405</t>
  </si>
  <si>
    <t>33500</t>
  </si>
  <si>
    <t>33501</t>
  </si>
  <si>
    <t>33600</t>
  </si>
  <si>
    <t>33605</t>
  </si>
  <si>
    <t>33700</t>
  </si>
  <si>
    <t>33800</t>
  </si>
  <si>
    <t>33900</t>
  </si>
  <si>
    <t>34000</t>
  </si>
  <si>
    <t>34100</t>
  </si>
  <si>
    <t>34105</t>
  </si>
  <si>
    <t>34200</t>
  </si>
  <si>
    <t>34205</t>
  </si>
  <si>
    <t>34220</t>
  </si>
  <si>
    <t>34230</t>
  </si>
  <si>
    <t>34300</t>
  </si>
  <si>
    <t>34400</t>
  </si>
  <si>
    <t>34405</t>
  </si>
  <si>
    <t>34500</t>
  </si>
  <si>
    <t>34501</t>
  </si>
  <si>
    <t>34505</t>
  </si>
  <si>
    <t>34600</t>
  </si>
  <si>
    <t>34605</t>
  </si>
  <si>
    <t>34700</t>
  </si>
  <si>
    <t>34800</t>
  </si>
  <si>
    <t>34900</t>
  </si>
  <si>
    <t>34901</t>
  </si>
  <si>
    <t>34903</t>
  </si>
  <si>
    <t>34905</t>
  </si>
  <si>
    <t>34910</t>
  </si>
  <si>
    <t>Jackson County Schools</t>
  </si>
  <si>
    <t>Southwestern Community College</t>
  </si>
  <si>
    <t>Johnston County Schools</t>
  </si>
  <si>
    <t>Johnston Technical College</t>
  </si>
  <si>
    <t>Neuse Charter School</t>
  </si>
  <si>
    <t>Jones County Schools</t>
  </si>
  <si>
    <t>Sanford-Lee County Board Of Education</t>
  </si>
  <si>
    <t>Central Carolina Community College</t>
  </si>
  <si>
    <t>Lenoir County Schools</t>
  </si>
  <si>
    <t>Childrens Village Academy</t>
  </si>
  <si>
    <t>Lenoir County Community College</t>
  </si>
  <si>
    <t>Lincoln County Schools</t>
  </si>
  <si>
    <t>Macon County Schools</t>
  </si>
  <si>
    <t>Madison County Schools</t>
  </si>
  <si>
    <t>Martin County Schools</t>
  </si>
  <si>
    <t>Martin Community College</t>
  </si>
  <si>
    <t>Mcdowell County Schools</t>
  </si>
  <si>
    <t>Mcdowell Technical College</t>
  </si>
  <si>
    <t>Charlotte-Mecklenburg County Schools</t>
  </si>
  <si>
    <t>Community Charter School</t>
  </si>
  <si>
    <t>Kennedy Charter</t>
  </si>
  <si>
    <t>Community School Of Davidson</t>
  </si>
  <si>
    <t>Corvian Community School</t>
  </si>
  <si>
    <t>Central Piedmont Community College</t>
  </si>
  <si>
    <t>Lake Norman Charter School</t>
  </si>
  <si>
    <t>Socrates Academy</t>
  </si>
  <si>
    <t>Pine Lake Prep Charter</t>
  </si>
  <si>
    <t>Charlotte Secondary Charter</t>
  </si>
  <si>
    <t>Mitchell County Schools</t>
  </si>
  <si>
    <t>Kipp Charlotte Charter</t>
  </si>
  <si>
    <t>Mayland Technical College</t>
  </si>
  <si>
    <t>Montgomery County Schools</t>
  </si>
  <si>
    <t>Montgomery Community College</t>
  </si>
  <si>
    <t>Moore County Schools</t>
  </si>
  <si>
    <t>Academy Of Moore County</t>
  </si>
  <si>
    <t>Stars Charter School</t>
  </si>
  <si>
    <t>Sandhills Community College</t>
  </si>
  <si>
    <t>Nash-Rocky Mount Schools</t>
  </si>
  <si>
    <t>Nash Technical College</t>
  </si>
  <si>
    <t>New Hanover County Schools</t>
  </si>
  <si>
    <t>Cape Fear Center For Inquiry</t>
  </si>
  <si>
    <t>Wilmington Preparatory Academy</t>
  </si>
  <si>
    <t>Cape Fear Community College</t>
  </si>
  <si>
    <t>Northampton County Schools</t>
  </si>
  <si>
    <t>Gaston College Preparatory Charter</t>
  </si>
  <si>
    <t>Onslow County Schools</t>
  </si>
  <si>
    <t>Zeca School Of The Arts And Technology</t>
  </si>
  <si>
    <t>Coastal Carolina Community College</t>
  </si>
  <si>
    <t>Orange County Schools</t>
  </si>
  <si>
    <t>Pace Academy</t>
  </si>
  <si>
    <t>Orange Charter School</t>
  </si>
  <si>
    <t>Chapel Hill - Carboro City Schools</t>
  </si>
  <si>
    <t>Pamlico County Schools</t>
  </si>
  <si>
    <t>Arapahoe Charter School</t>
  </si>
  <si>
    <t>35000</t>
  </si>
  <si>
    <t>35005</t>
  </si>
  <si>
    <t>35100</t>
  </si>
  <si>
    <t>35105</t>
  </si>
  <si>
    <t>35106</t>
  </si>
  <si>
    <t>35200</t>
  </si>
  <si>
    <t>35300</t>
  </si>
  <si>
    <t>35305</t>
  </si>
  <si>
    <t>35400</t>
  </si>
  <si>
    <t>35401</t>
  </si>
  <si>
    <t>35405</t>
  </si>
  <si>
    <t>35500</t>
  </si>
  <si>
    <t>35600</t>
  </si>
  <si>
    <t>35700</t>
  </si>
  <si>
    <t>35800</t>
  </si>
  <si>
    <t>35805</t>
  </si>
  <si>
    <t>35900</t>
  </si>
  <si>
    <t>35905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</si>
  <si>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</si>
  <si>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</si>
  <si>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</si>
  <si>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</si>
  <si>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</si>
  <si>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</si>
  <si>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</si>
  <si>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</si>
  <si>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</si>
  <si>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</si>
  <si>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36100</t>
  </si>
  <si>
    <t>36102</t>
  </si>
  <si>
    <t>36105</t>
  </si>
  <si>
    <t>36200</t>
  </si>
  <si>
    <t>36205</t>
  </si>
  <si>
    <t>36300</t>
  </si>
  <si>
    <t>36301</t>
  </si>
  <si>
    <t>36302</t>
  </si>
  <si>
    <t>36305</t>
  </si>
  <si>
    <t>36400</t>
  </si>
  <si>
    <t>36405</t>
  </si>
  <si>
    <t>36500</t>
  </si>
  <si>
    <t>36501</t>
  </si>
  <si>
    <t>36502</t>
  </si>
  <si>
    <t>36505</t>
  </si>
  <si>
    <t>36600</t>
  </si>
  <si>
    <t>36601</t>
  </si>
  <si>
    <t>36700</t>
  </si>
  <si>
    <t>36701</t>
  </si>
  <si>
    <t>36705</t>
  </si>
  <si>
    <t>36800</t>
  </si>
  <si>
    <t>36801</t>
  </si>
  <si>
    <t>36802</t>
  </si>
  <si>
    <t>36810</t>
  </si>
  <si>
    <t>36900</t>
  </si>
  <si>
    <t>36901</t>
  </si>
  <si>
    <t>Pamlico Community College</t>
  </si>
  <si>
    <t>Elizabeth City And Pasquotank County Schools</t>
  </si>
  <si>
    <t>College Of The Albemarle</t>
  </si>
  <si>
    <t>Pender County Schools</t>
  </si>
  <si>
    <t>Perquimans County Schools</t>
  </si>
  <si>
    <t>Person County Schools</t>
  </si>
  <si>
    <t>Roxboro Community School</t>
  </si>
  <si>
    <t>Piedmont Community College</t>
  </si>
  <si>
    <t>Pitt County Schools</t>
  </si>
  <si>
    <t>Pitt Community College</t>
  </si>
  <si>
    <t>Polk County Schools</t>
  </si>
  <si>
    <t>Randolph County Schools</t>
  </si>
  <si>
    <t>Uwharrie Charter Academy</t>
  </si>
  <si>
    <t>Randolph Community College</t>
  </si>
  <si>
    <t>Asheboro City Schools</t>
  </si>
  <si>
    <t>Richmond County Schools</t>
  </si>
  <si>
    <t>Richmond Technical College</t>
  </si>
  <si>
    <t>Robeson County Schools</t>
  </si>
  <si>
    <t>Southeastern Academy Charter School</t>
  </si>
  <si>
    <t>Robeson Community College</t>
  </si>
  <si>
    <t>Rockingham County Schools</t>
  </si>
  <si>
    <t>Bethany Community Middle School</t>
  </si>
  <si>
    <t>Rockingham Community College</t>
  </si>
  <si>
    <t>Rowan-Salisbury School System</t>
  </si>
  <si>
    <t>Rowan-Cabarrus Community College</t>
  </si>
  <si>
    <t>Rutherford County Schools</t>
  </si>
  <si>
    <t>Isothermal Community College</t>
  </si>
  <si>
    <t>Sampson County Schools</t>
  </si>
  <si>
    <t>Sampson Community College</t>
  </si>
  <si>
    <t>Clinton City Schools</t>
  </si>
  <si>
    <t>Scotland County Schools</t>
  </si>
  <si>
    <t>Stanly County Schools</t>
  </si>
  <si>
    <t>Gray Stone Day School</t>
  </si>
  <si>
    <t>Stanly Community College</t>
  </si>
  <si>
    <t>Stokes County Schools</t>
  </si>
  <si>
    <t>Surry County Schools</t>
  </si>
  <si>
    <t>Bridges Charter Schools</t>
  </si>
  <si>
    <t>Millennium Charter Academy</t>
  </si>
  <si>
    <t>Surry Community College</t>
  </si>
  <si>
    <t>Mount Airy City Schools</t>
  </si>
  <si>
    <t>Elkin City Schools</t>
  </si>
  <si>
    <t>Swain County Schools</t>
  </si>
  <si>
    <t>Mountain Discovery Charter</t>
  </si>
  <si>
    <t>Transylvania County Schools</t>
  </si>
  <si>
    <t>Brevard Academy Charter School</t>
  </si>
  <si>
    <t>Tyrrell County Schools</t>
  </si>
  <si>
    <t>Union County Schools</t>
  </si>
  <si>
    <t>Vance County Schools</t>
  </si>
  <si>
    <t>Vance Charter School</t>
  </si>
  <si>
    <t>Vance-Granville Community College</t>
  </si>
  <si>
    <t>Wake County Schools</t>
  </si>
  <si>
    <t>Endeavor Charter School</t>
  </si>
  <si>
    <t>Southern Wake Academy</t>
  </si>
  <si>
    <t>Wake Technical College</t>
  </si>
  <si>
    <t>36905</t>
  </si>
  <si>
    <t>37000</t>
  </si>
  <si>
    <t>37005</t>
  </si>
  <si>
    <t>37100</t>
  </si>
  <si>
    <t>37200</t>
  </si>
  <si>
    <t>37300</t>
  </si>
  <si>
    <t>37301</t>
  </si>
  <si>
    <t>37305</t>
  </si>
  <si>
    <t>37400</t>
  </si>
  <si>
    <t>37405</t>
  </si>
  <si>
    <t>37500</t>
  </si>
  <si>
    <t>37600</t>
  </si>
  <si>
    <t>37601</t>
  </si>
  <si>
    <t>37605</t>
  </si>
  <si>
    <t>37610</t>
  </si>
  <si>
    <t>37700</t>
  </si>
  <si>
    <t>37705</t>
  </si>
  <si>
    <t>37800</t>
  </si>
  <si>
    <t>37801</t>
  </si>
  <si>
    <t>37805</t>
  </si>
  <si>
    <t>37900</t>
  </si>
  <si>
    <t>37901</t>
  </si>
  <si>
    <t>37905</t>
  </si>
  <si>
    <t>38000</t>
  </si>
  <si>
    <t>38005</t>
  </si>
  <si>
    <t>38100</t>
  </si>
  <si>
    <t>38105</t>
  </si>
  <si>
    <t>38200</t>
  </si>
  <si>
    <t>38205</t>
  </si>
  <si>
    <t>38210</t>
  </si>
  <si>
    <t>38300</t>
  </si>
  <si>
    <t>38400</t>
  </si>
  <si>
    <t>38402</t>
  </si>
  <si>
    <t>38405</t>
  </si>
  <si>
    <t>38500</t>
  </si>
  <si>
    <t>38600</t>
  </si>
  <si>
    <t>38601</t>
  </si>
  <si>
    <t>38602</t>
  </si>
  <si>
    <t>38605</t>
  </si>
  <si>
    <t>38610</t>
  </si>
  <si>
    <t>38620</t>
  </si>
  <si>
    <t>38700</t>
  </si>
  <si>
    <t>38701</t>
  </si>
  <si>
    <t>38800</t>
  </si>
  <si>
    <t>38801</t>
  </si>
  <si>
    <t>38900</t>
  </si>
  <si>
    <t>39000</t>
  </si>
  <si>
    <t>39100</t>
  </si>
  <si>
    <t>39101</t>
  </si>
  <si>
    <t>39105</t>
  </si>
  <si>
    <t>39200</t>
  </si>
  <si>
    <t>39201</t>
  </si>
  <si>
    <t>39204</t>
  </si>
  <si>
    <t>39205</t>
  </si>
  <si>
    <t>East Wake Academy</t>
  </si>
  <si>
    <t>Casa Esperanza Montessori</t>
  </si>
  <si>
    <t>Warren County Schools</t>
  </si>
  <si>
    <t>Haliwa-Saponi Tribal Charter</t>
  </si>
  <si>
    <t>Washington County Schools</t>
  </si>
  <si>
    <t>Henderson Collegiate Charter School</t>
  </si>
  <si>
    <t>Watauga County Schools</t>
  </si>
  <si>
    <t>Two Rivers Community School</t>
  </si>
  <si>
    <t>Wayne County Schools</t>
  </si>
  <si>
    <t>Wayne Community College</t>
  </si>
  <si>
    <t>Wilkes County Schools</t>
  </si>
  <si>
    <t>Pinnacle Classical Academy</t>
  </si>
  <si>
    <t>Wilkes Community College</t>
  </si>
  <si>
    <t>Wilson County Schools</t>
  </si>
  <si>
    <t>Wilson Community College</t>
  </si>
  <si>
    <t>Yadkin County Schools</t>
  </si>
  <si>
    <t>Highway - Administrative</t>
  </si>
  <si>
    <t>39208</t>
  </si>
  <si>
    <t>39209</t>
  </si>
  <si>
    <t>39300</t>
  </si>
  <si>
    <t>39301</t>
  </si>
  <si>
    <t>39400</t>
  </si>
  <si>
    <t>39401</t>
  </si>
  <si>
    <t>39500</t>
  </si>
  <si>
    <t>39501</t>
  </si>
  <si>
    <t>39600</t>
  </si>
  <si>
    <t>39605</t>
  </si>
  <si>
    <t>39700</t>
  </si>
  <si>
    <t>39703</t>
  </si>
  <si>
    <t>39705</t>
  </si>
  <si>
    <t>39800</t>
  </si>
  <si>
    <t>39805</t>
  </si>
  <si>
    <t>39900</t>
  </si>
  <si>
    <t>51000</t>
  </si>
  <si>
    <t>NORTH CAROLINA EDUCATION LOTTERY</t>
  </si>
  <si>
    <t>DEPARTMENT OF JUSTICE</t>
  </si>
  <si>
    <t>STATE AUDITOR</t>
  </si>
  <si>
    <t>DEPARTMENT OF NATURAL AND CULTURAL RESOURCES</t>
  </si>
  <si>
    <t>ADMINISTRATIVE OFFICE OF THE COURTS</t>
  </si>
  <si>
    <t>OFFICE OF ADMINISTRATIVE HEARING</t>
  </si>
  <si>
    <t>DEPARTMENT OF ADMINISTRATION</t>
  </si>
  <si>
    <t>OFFICE OF STATE BUDGET &amp; MANAGEMENT</t>
  </si>
  <si>
    <t>DEPARTMENT OF INFORMATION TECHNOLOGY</t>
  </si>
  <si>
    <t>OFFICE OF STATE CONTROLLER</t>
  </si>
  <si>
    <t>N C SCHOOL OF SCIENCE &amp; MATHEMATICS</t>
  </si>
  <si>
    <t>DEPARTMENT OF ENVIRONMENTALY QUALITY</t>
  </si>
  <si>
    <t>NC HOUSING FINANCE AGENCY</t>
  </si>
  <si>
    <t>WILDLIFE RESOURCES COMMISSION</t>
  </si>
  <si>
    <t>STATE BOARD OF ELECTIONS</t>
  </si>
  <si>
    <t>GOVERNOR'S OFFICE</t>
  </si>
  <si>
    <t>LT GOVERNOR'S OFFICE</t>
  </si>
  <si>
    <t>GENERAL ASSEMBLY</t>
  </si>
  <si>
    <t>HEALTH &amp; HUMAN SVCS</t>
  </si>
  <si>
    <t>DEPARTMENT OF COMMERCE</t>
  </si>
  <si>
    <t>INSURANCE DEPARTMENT</t>
  </si>
  <si>
    <t>LABOR DEPARTMENT</t>
  </si>
  <si>
    <t>REVENUE DEPARTMENT</t>
  </si>
  <si>
    <t>SECRETARY OF STATE</t>
  </si>
  <si>
    <t>STATE TREASURER (w/o State Health Plan)</t>
  </si>
  <si>
    <t>STATE TREASURER (State Health Plan Only)</t>
  </si>
  <si>
    <t>DEPT OF AGRICULTURE &amp; CONSUMER SVCS.</t>
  </si>
  <si>
    <t>BARBER EXAMINERS, STATE BOARD OF</t>
  </si>
  <si>
    <t>N C REAL ESTATE COMMISSION</t>
  </si>
  <si>
    <t>N C AUCTIONEERS LICENSING BOARD</t>
  </si>
  <si>
    <t>N C STATE BOARD OF EXAMINERS OF PRACTICING PSYCHOLGISTS</t>
  </si>
  <si>
    <t>COMMUNITY COLLEGES ADMINISTRATION</t>
  </si>
  <si>
    <t>DEPARTMENT OF PUBLIC SAFETY</t>
  </si>
  <si>
    <t>APPALACHIAN STATE UNIVERSITY</t>
  </si>
  <si>
    <t>N C SCHOOL OF THE ARTS</t>
  </si>
  <si>
    <t>EAST CAROLINA UNIVERSITY</t>
  </si>
  <si>
    <t>ELIZABETH CITY STATE UNIVERSITY</t>
  </si>
  <si>
    <t>FAYETTEVILLE STATE UNIVERSITY</t>
  </si>
  <si>
    <t>NC A&amp;T UNIVERSITY</t>
  </si>
  <si>
    <t>N C CENTRAL UNIVERSITY</t>
  </si>
  <si>
    <t>UNIVERSITY OF NORTH CAROLINA AT GREENSBORO</t>
  </si>
  <si>
    <t>UNC - PEMBROKE</t>
  </si>
  <si>
    <t>N C STATE UNIVERSITY</t>
  </si>
  <si>
    <t>UNC-CHAPEL HILL CB1260</t>
  </si>
  <si>
    <t>UNC-GENERAL ADMINISTRATION (w/o SEAA)</t>
  </si>
  <si>
    <t>UNC-GENERAL ADMINISTRATION (SEAA Only)</t>
  </si>
  <si>
    <t>UNC HEALTH CARE SYSTEM</t>
  </si>
  <si>
    <t>UNIVERSITY OF NORTH CAROLINA PRESS</t>
  </si>
  <si>
    <t>WESTERN CAROLINA UNIVERSITY</t>
  </si>
  <si>
    <t>WINSTON-SALEM STATE UNIVERSITY</t>
  </si>
  <si>
    <t>DEPARTMENT OF PUBLIC INSTRUCTION</t>
  </si>
  <si>
    <t>UNIVERSITY OF NORTH CAROLINA AT ASHEVILLE</t>
  </si>
  <si>
    <t>UNIVERSITY OF NORTH CAROLINA AT CHARLOTTE</t>
  </si>
  <si>
    <t>UNIVERSITY OF NORTH CAROLINA AT WILMINGTON</t>
  </si>
  <si>
    <t>14300.2</t>
  </si>
  <si>
    <t>21525.2</t>
  </si>
  <si>
    <t>YANCEY COUNTY SCHOOLS</t>
  </si>
  <si>
    <t>ALAMANCE COUNTY SCHOOLS</t>
  </si>
  <si>
    <t>CLOVER GARDEN CHARTER SCHOOL</t>
  </si>
  <si>
    <t>RIVER MILL ACADEMY CHARTER</t>
  </si>
  <si>
    <t>THE HAWBRIDGE SCHOOL</t>
  </si>
  <si>
    <t>ALAMANCE COMMUNITY COLLEGE</t>
  </si>
  <si>
    <t>ALEXANDER COUNTY SCHOOLS</t>
  </si>
  <si>
    <t>ALLEGHANY COUNTY SCHOOLS</t>
  </si>
  <si>
    <t>ANSON COUNTY SCHOOLS</t>
  </si>
  <si>
    <t>SOUTH PIEDMONT COMMUNITY COLLEGE</t>
  </si>
  <si>
    <t>ASHE COUNTY SCHOOLS</t>
  </si>
  <si>
    <t>AVERY COUNTY SCHOOLS</t>
  </si>
  <si>
    <t>GRANDFATHER ACADEMY</t>
  </si>
  <si>
    <t>BEAUFORT COUNTY SCHOOLS</t>
  </si>
  <si>
    <t>BEAUFORT COUNTY COMMUNITY COLLEGE</t>
  </si>
  <si>
    <t>BERTIE COUNTY SCHOOLS</t>
  </si>
  <si>
    <t>BLADEN COUNTY SCHOOLS</t>
  </si>
  <si>
    <t>BLADEN COMMUNITY COLLEGE</t>
  </si>
  <si>
    <t>BRUNSWICK COUNTY SCHOOLS</t>
  </si>
  <si>
    <t>BRUNSWICK COMMUNITY COLLEGE</t>
  </si>
  <si>
    <t>BUNCOMBE COUNTY SCHOOLS</t>
  </si>
  <si>
    <t>F DELANY NEW SCHOOL FOR CHILDREN</t>
  </si>
  <si>
    <t>EVERGREEN COMMUNITY CHARTER SCHOOL</t>
  </si>
  <si>
    <t>ASHEVILLE-BUNCOMBE TECHNICAL COLLEGE</t>
  </si>
  <si>
    <t>ASHEVILLE CITY SCHOOLS</t>
  </si>
  <si>
    <t>BURKE COUNTY SCHOOLS</t>
  </si>
  <si>
    <t>WESTERN PIEDMONT COMM COLLEGE</t>
  </si>
  <si>
    <t>CABARRUS COUNTY SCHOOLS</t>
  </si>
  <si>
    <t>CAROLINA INTERNATIONAL SCHOOL</t>
  </si>
  <si>
    <t>KANNAPOLIS CITY SCHOOLS</t>
  </si>
  <si>
    <t>CALDWELL COUNTY SCHOOLS</t>
  </si>
  <si>
    <t>CALDWELL COMMUNITY COLLEGE</t>
  </si>
  <si>
    <t>CAMDEN COUNTY SCHOOLS</t>
  </si>
  <si>
    <t>CARTERET COUNTY SCHOOLS</t>
  </si>
  <si>
    <t>CARTERET COMMUNITY COLLEGE</t>
  </si>
  <si>
    <t>CASWELL COUNTY SCHOOLS</t>
  </si>
  <si>
    <t>CATAWBA COUNTY SCHOOLS</t>
  </si>
  <si>
    <t>CATAWBA VALLEY COMMUNITY COLLEGE</t>
  </si>
  <si>
    <t>HICKORY CITY SCHOOLS</t>
  </si>
  <si>
    <t>NEWTON-CONOVER CITY SCHOOLS</t>
  </si>
  <si>
    <t>CHATHAM COUNTY SCHOOLS</t>
  </si>
  <si>
    <t>CHEROKEE COUNTY SCHOOLS</t>
  </si>
  <si>
    <t>TRI-COUNTY COMMUNITY COLLEGE</t>
  </si>
  <si>
    <t>EDENTON-CHOWAN COUNTY SCHOOLS</t>
  </si>
  <si>
    <t>CLAY COUNTY SCHOOLS</t>
  </si>
  <si>
    <t>CLEVELAND COUNTY SCHOOLS</t>
  </si>
  <si>
    <t>CLEVELAND TECHNICAL COLLEGE</t>
  </si>
  <si>
    <t>COLUMBUS COUNTY SCHOOLS</t>
  </si>
  <si>
    <t>SOUTHEASTERN COMMUNITY COLLEGE</t>
  </si>
  <si>
    <t>WHITEVILLE CITY SCHOOLS</t>
  </si>
  <si>
    <t>NEW BERN CRAVEN COUNTY BOARD OF EDUCATION</t>
  </si>
  <si>
    <t>CRAVEN COMMUNITY COLLEGE</t>
  </si>
  <si>
    <t>CUMBERLAND COUNTY SCHOOLS</t>
  </si>
  <si>
    <t>FAYETTEVILLE TECHNICAL COMMUNITY COLLEGE</t>
  </si>
  <si>
    <t>CURRITUCK COUNTY SCHOOLS</t>
  </si>
  <si>
    <t>DARE COUNTY SCHOOLS</t>
  </si>
  <si>
    <t>DAVIDSON COUNTY SCHOOLS</t>
  </si>
  <si>
    <t>INVEST COLLEGIATE CHARTER (DAVIDSON)</t>
  </si>
  <si>
    <t>DAVIDSON COUNTY COMMUNITY COLLEGE</t>
  </si>
  <si>
    <t>LEXINGTON CITY SCHOOLS</t>
  </si>
  <si>
    <t>THOMASVILLE CITY SCHOOLS</t>
  </si>
  <si>
    <t>DAVIE COUNTY SCHOOLS</t>
  </si>
  <si>
    <t>N.E. REGIONAL SCHOOL FOR BIOTECHNOLOGY</t>
  </si>
  <si>
    <t>CORNERSTONE ACADEMY</t>
  </si>
  <si>
    <t>DUPLIN COUNTY SCHOOLS</t>
  </si>
  <si>
    <t>JAMES SPRUNT TECHNICAL COLLEGE</t>
  </si>
  <si>
    <t>DURHAM PUBLIC SCHOOLS</t>
  </si>
  <si>
    <t>CENTRAL PARK SCH FOR CHILDREN</t>
  </si>
  <si>
    <t>HEALTHY START ACADEMY</t>
  </si>
  <si>
    <t>VOYAGER ACADEMY</t>
  </si>
  <si>
    <t>DURHAM TECHNICAL INSTITUTE</t>
  </si>
  <si>
    <t>BEAR GRASS CHARTER SCHOOL</t>
  </si>
  <si>
    <t>INVEST COLLEGIATE CHARTER (BUNCOMBE)</t>
  </si>
  <si>
    <t>KIPP HALIFAX COLLEGE PREP CHARTER</t>
  </si>
  <si>
    <t>PIONEER SPRINGS COMMUNITY CHARTER</t>
  </si>
  <si>
    <t>EDGECOMBE COUNTY SCHOOLS</t>
  </si>
  <si>
    <t>EDGECOMBE TECHNICAL COLLEGE</t>
  </si>
  <si>
    <t>WINSTON-SALEM-FORSYTH COUNTY SCHOOLS</t>
  </si>
  <si>
    <t>ARTS BASED ELEMENTARY CHARTER</t>
  </si>
  <si>
    <t>FORSYTH TECHNICAL INSTITUTE</t>
  </si>
  <si>
    <t>FRANKLIN COUNTY SCHOOLS</t>
  </si>
  <si>
    <t>A CHILDS GARDEN CHARTER (AKA CROSS CREEK CHARTER)</t>
  </si>
  <si>
    <t>GASTON COUNTY SCHOOLS</t>
  </si>
  <si>
    <t>GASTON COLLEGE</t>
  </si>
  <si>
    <t>GATES COUNTY SCHOOLS</t>
  </si>
  <si>
    <t>GRAHAM COUNTY SCHOOLS</t>
  </si>
  <si>
    <t>GRANVILLE COUNTY SCHOOLS AND OXFORD ORPHANAGE</t>
  </si>
  <si>
    <t>GREENE COUNTY SCHOOLS</t>
  </si>
  <si>
    <t>GUILFORD COUNTY SCHOOLS</t>
  </si>
  <si>
    <t>GUILFORD TECHNICAL COMMUNITY COLLEGE</t>
  </si>
  <si>
    <t>HALIFAX COUNTY SCHOOLS</t>
  </si>
  <si>
    <t>HALIFAX COMMUNITY COLLEGE</t>
  </si>
  <si>
    <t>ROANOKE RAPIDS CITY SCHOOLS</t>
  </si>
  <si>
    <t>WELDON CITY SCHOOLS</t>
  </si>
  <si>
    <t>HARNETT COUNTY SCHOOLS</t>
  </si>
  <si>
    <t>HAYWOOD COUNTY SCHOOLS</t>
  </si>
  <si>
    <t>HAYWOOD TECHNICAL COLLEGE</t>
  </si>
  <si>
    <t>HENDERSON COUNTY SCHOOLS</t>
  </si>
  <si>
    <t>MOUNTAIN COMMUNITY SCHOOL</t>
  </si>
  <si>
    <t>BLUE RIDGE COMMUNITY COLLEGE</t>
  </si>
  <si>
    <t>HERTFORD COUNTY SCHOOLS</t>
  </si>
  <si>
    <t>ROANOKE-CHOWAN COMMUNITY COLLEGE</t>
  </si>
  <si>
    <t>HOKE COUNTY SCHOOLS</t>
  </si>
  <si>
    <t>HYDE COUNTY SCHOOLS</t>
  </si>
  <si>
    <t>IREDELL-STATESVILLE SCHOOLS</t>
  </si>
  <si>
    <t>AMERICAN RENAISSANCE MID SCHOOL</t>
  </si>
  <si>
    <t>SUCCESS INSTITUTE</t>
  </si>
  <si>
    <t>MITCHELL COMMUNITY COLLEGE</t>
  </si>
  <si>
    <t>MOORESVILLE CITY SCHOOLS</t>
  </si>
  <si>
    <t>JACKSON COUNTY SCHOOLS</t>
  </si>
  <si>
    <t>SOUTHWESTERN COMMUNITY COLLEGE</t>
  </si>
  <si>
    <t>JOHNSTON COUNTY SCHOOLS</t>
  </si>
  <si>
    <t>JOHNSTON TECHNICAL COLLEGE</t>
  </si>
  <si>
    <t>NEUSE CHARTER SCHOOL</t>
  </si>
  <si>
    <t>JONES COUNTY SCHOOLS</t>
  </si>
  <si>
    <t>SANFORD-LEE COUNTY BOARD OF EDUCATION</t>
  </si>
  <si>
    <t>CENTRAL CAROLINA COMMUNITY COLLEGE</t>
  </si>
  <si>
    <t>LENOIR COUNTY SCHOOLS</t>
  </si>
  <si>
    <t>CHILDRENS VILLAGE ACADEMY</t>
  </si>
  <si>
    <t>LENOIR COUNTY COMMUNITY COLLEGE</t>
  </si>
  <si>
    <t>LINCOLN COUNTY SCHOOLS</t>
  </si>
  <si>
    <t>MACON COUNTY SCHOOLS</t>
  </si>
  <si>
    <t>MADISON COUNTY SCHOOLS</t>
  </si>
  <si>
    <t>MARTIN COUNTY SCHOOLS</t>
  </si>
  <si>
    <t>MARTIN COMMUNITY COLLEGE</t>
  </si>
  <si>
    <t>MCDOWELL COUNTY SCHOOLS</t>
  </si>
  <si>
    <t>MCDOWELL TECHNICAL COLLEGE</t>
  </si>
  <si>
    <t>CHARLOTTE-MECKLENBURG COUNTY SCHOOLS</t>
  </si>
  <si>
    <t>COMMUNITY CHARTER SCHOOL</t>
  </si>
  <si>
    <t>KENNEDY CHARTER</t>
  </si>
  <si>
    <t>COMMUNITY SCHOOL OF DAVIDSON</t>
  </si>
  <si>
    <t>CORVIAN COMMUNITY CHARTER SCHOOL</t>
  </si>
  <si>
    <t>CENTRAL PIEDMONT COMMUNITY COLLEGE</t>
  </si>
  <si>
    <t>LAKE NORMAN CHARTER SCHOOL</t>
  </si>
  <si>
    <t>SOCRATES ACADEMY</t>
  </si>
  <si>
    <t>PINE LAKE PREP CHARTER</t>
  </si>
  <si>
    <t>CHARLOTTE SECONDARY CHARTER</t>
  </si>
  <si>
    <t>MITCHELL COUNTY SCHOOLS</t>
  </si>
  <si>
    <t>KIPP CHARLOTTE CHARTER</t>
  </si>
  <si>
    <t>MAYLAND TECHNICAL COLLEGE</t>
  </si>
  <si>
    <t>MONTGOMERY COUNTY SCHOOLS</t>
  </si>
  <si>
    <t>MONTGOMERY COMMUNITY COLLEGE</t>
  </si>
  <si>
    <t>MOORE COUNTY SCHOOLS</t>
  </si>
  <si>
    <t>ACADEMY OF MOORE COUNTY</t>
  </si>
  <si>
    <t>STARS CHARTER SCHOOL</t>
  </si>
  <si>
    <t>SANDHILLS COMMUNITY COLLEGE</t>
  </si>
  <si>
    <t>NASH-ROCKY MOUNT SCHOOLS</t>
  </si>
  <si>
    <t>NASH TECHNICAL COLLEGE</t>
  </si>
  <si>
    <t>NEW HANOVER COUNTY SCHOOLS</t>
  </si>
  <si>
    <t>CAPE FEAR CTR FOR INQUIRY</t>
  </si>
  <si>
    <t>WILMINGTON PREP ACADEMY</t>
  </si>
  <si>
    <t>CAPE FEAR COMMUNITY COLLEGE</t>
  </si>
  <si>
    <t>NORTHAMPTON COUNTY SCHOOLS</t>
  </si>
  <si>
    <t>GASTON COLLEGE PREPARATORY CHARTER</t>
  </si>
  <si>
    <t>ONSLOW COUNTY SCHOOLS</t>
  </si>
  <si>
    <t>ZECA SCHOOL OF THE ARTS AND TECHNOLOGY</t>
  </si>
  <si>
    <t>COASTAL CAROLINA COMMUNITY COLLEGE</t>
  </si>
  <si>
    <t>ORANGE COUNTY SCHOOLS</t>
  </si>
  <si>
    <t>ORANGE CHARTER SCHOOL</t>
  </si>
  <si>
    <t>CHAPEL HILL - CARRBORO CITY SCHOOLS</t>
  </si>
  <si>
    <t>PAMLICO COUNTY SCHOOLS</t>
  </si>
  <si>
    <t>ARAPAHOE CHARTER SCHOOL</t>
  </si>
  <si>
    <t>PAMLICO COMMUNITY COLLEGE</t>
  </si>
  <si>
    <t>ELIZABETH CITY AND PASQUOTANK COUNTY SCHOOLS</t>
  </si>
  <si>
    <t>N.E. ACADEMY OF AEROSPACE &amp; ADV.TECH</t>
  </si>
  <si>
    <t>COLLEGE OF THE ALBEMARLE</t>
  </si>
  <si>
    <t>PENDER COUNTY SCHOOLS</t>
  </si>
  <si>
    <t>PERQUIMANS COUNTY SCHOOLS</t>
  </si>
  <si>
    <t>PERSON COUNTY SCHOOLS</t>
  </si>
  <si>
    <t>ROXBORO COMMUNITY SCHOOL</t>
  </si>
  <si>
    <t>PIEDMONT COMMUNITY COLLEGE</t>
  </si>
  <si>
    <t>PITT COUNTY SCHOOLS</t>
  </si>
  <si>
    <t>PITT COMMUNITY COLLEGE</t>
  </si>
  <si>
    <t>POLK COUNTY SCHOOLS</t>
  </si>
  <si>
    <t>RANDOLPH COUNTY SCHOOLS</t>
  </si>
  <si>
    <t>UWHARRIE CHARTER ACADEMY</t>
  </si>
  <si>
    <t>RANDOLPH COMMUNITY COLLEGE</t>
  </si>
  <si>
    <t>ASHEBORO CITY SCHOOLS</t>
  </si>
  <si>
    <t>RICHMOND COUNTY SCHOOLS</t>
  </si>
  <si>
    <t>RICHMOND TECHNICAL COLLEGE</t>
  </si>
  <si>
    <t>ROBESON COUNTY SCHOOLS</t>
  </si>
  <si>
    <t>SOUTHEASTERN ACADEMY CHARTER SCHOOL</t>
  </si>
  <si>
    <t>ROBESON COMMUNITY COLLEGE</t>
  </si>
  <si>
    <t>ROCKINGHAM COUNTY SCHOOLS</t>
  </si>
  <si>
    <t>BETHANY COMMUNITY MIDDLE SCHOOL</t>
  </si>
  <si>
    <t>ROCKINGHAM COMMUNITY COLLEGE</t>
  </si>
  <si>
    <t>ROWAN-SALISBURY SCHOOL SYSTEM</t>
  </si>
  <si>
    <t>ROWAN-CABARRUS COMMUNITY COLLEGE</t>
  </si>
  <si>
    <t>RUTHERFORD COUNTY SCHOOLS</t>
  </si>
  <si>
    <t>ISOTHERMAL COMMUNITY COLLEGE</t>
  </si>
  <si>
    <t>SAMPSON COUNTY SCHOOLS</t>
  </si>
  <si>
    <t>SAMPSON COMMUNITY COLLEGE</t>
  </si>
  <si>
    <t>CLINTON CITY SCHOOLS</t>
  </si>
  <si>
    <t>SCOTLAND COUNTY SCHOOLS</t>
  </si>
  <si>
    <t>STANLY COUNTY SCHOOLS</t>
  </si>
  <si>
    <t>GRAY STONE DAY SCHOOL</t>
  </si>
  <si>
    <t>STANLY COMMUNITY COLLEGE</t>
  </si>
  <si>
    <t>STOKES COUNTY SCHOOLS</t>
  </si>
  <si>
    <t>SURRY COUNTY SCHOOLS</t>
  </si>
  <si>
    <t>BRIDGES CHARTER SCHOOLS</t>
  </si>
  <si>
    <t>MILLENNIUM CHARTER ACADEMY</t>
  </si>
  <si>
    <t>SURRY COMMUNITY COLLEGE</t>
  </si>
  <si>
    <t>MOUNT AIRY CITY SCHOOLS</t>
  </si>
  <si>
    <t>ELKIN CITY SCHOOLS</t>
  </si>
  <si>
    <t>SWAIN COUNTY SCHOOLS</t>
  </si>
  <si>
    <t>MTN DISCOVERY CHARTER</t>
  </si>
  <si>
    <t>TRANSYLVANIA COUNTY SCHOOLS</t>
  </si>
  <si>
    <t>BREVARD ACADEMY CHARTER SCHOOL</t>
  </si>
  <si>
    <t>TYRRELL COUNTY SCHOOLS</t>
  </si>
  <si>
    <t>UNION COUNTY SCHOOLS</t>
  </si>
  <si>
    <t>VANCE COUNTY SCHOOLS</t>
  </si>
  <si>
    <t>VANCE CHARTER SCHOOL</t>
  </si>
  <si>
    <t>VANCE-GRANVILLE COMMUNITY COLLEGE</t>
  </si>
  <si>
    <t>WAKE COUNTY PUBLIC SCHOOLS SYSTEM</t>
  </si>
  <si>
    <t>ENDEAVOR CHARTER SCHOOL</t>
  </si>
  <si>
    <t>SOUTHERN WAKE ACADEMY</t>
  </si>
  <si>
    <t>37001</t>
  </si>
  <si>
    <t>WAKE TECHNICAL COLLEGE</t>
  </si>
  <si>
    <t>EAST WAKE FIRST ACADEMY</t>
  </si>
  <si>
    <t>CASA ESPERANZA MONTESSORI</t>
  </si>
  <si>
    <t>WARREN COUNTY SCHOOLS</t>
  </si>
  <si>
    <t>HALIWA-SAPONI TRIBAL CHARTER</t>
  </si>
  <si>
    <t>WASHINGTON COUNTY SCHOOLS</t>
  </si>
  <si>
    <t>HENDERSON COLLEGIATE CHARTER SCHOOL</t>
  </si>
  <si>
    <t>WATAUGA COUNTY SCHOOLS</t>
  </si>
  <si>
    <t>TWO RIVERS COMM SCHOOL</t>
  </si>
  <si>
    <t>WAYNE COUNTY SCHOOLS</t>
  </si>
  <si>
    <t>WAYNE COMMUNITY COLLEGE</t>
  </si>
  <si>
    <t>WILKES COUNTY SCHOOLS</t>
  </si>
  <si>
    <t>PINNACLE CLASSICAL ACADEMY</t>
  </si>
  <si>
    <t>WILKES COMMUNITY COLLEGE</t>
  </si>
  <si>
    <t>WILSON COUNTY SCHOOLS</t>
  </si>
  <si>
    <t>WILSON COMMUNITY COLLEGE</t>
  </si>
  <si>
    <t>YADKIN COUNTY SCHOOLS</t>
  </si>
  <si>
    <t>HIGHWAY - ADMINISTRATIVE (w/o Global Transpark or Ports Authority)</t>
  </si>
  <si>
    <t>HIGHWAY - ADMINISTRATIVE (Global Transpark Only)</t>
  </si>
  <si>
    <t>HIGHWAY - ADMINISTRATIVE (Ports Authority Only)</t>
  </si>
  <si>
    <t>51000.2</t>
  </si>
  <si>
    <t>51000.3</t>
  </si>
  <si>
    <t>NORTH CAROLINA EDUCATION LOTTERY $</t>
  </si>
  <si>
    <t>OFFICE OF STATE AUDITOR</t>
  </si>
  <si>
    <t>OFFICE OF ADMINISTRATIVE HEARINGS</t>
  </si>
  <si>
    <t>OFFICE OF STATE BUDGET AND MANAGEMENT</t>
  </si>
  <si>
    <t>OFFICE OF THE STATE CONTROLLER</t>
  </si>
  <si>
    <t>NC SCHOOL OF SCIENCE AND MATHEMATICS</t>
  </si>
  <si>
    <t>DEPARTMENT OF ENVIRONMENTAL QUALITY</t>
  </si>
  <si>
    <t>HOUSING FINANCE AGENCY OF NORTH CAROLINA</t>
  </si>
  <si>
    <t>OFFICE OF GOVERNOR</t>
  </si>
  <si>
    <t>OFFICE OF LIEUTENANT GOVERNOR</t>
  </si>
  <si>
    <t>DEPARTMENT OF HEALTH AND HUMAN SERVICES</t>
  </si>
  <si>
    <t>DEPARTMENT OF INSURANCE</t>
  </si>
  <si>
    <t>DEPARTMENT OF LABOR</t>
  </si>
  <si>
    <t>DEPARTMENT OF REVENUE</t>
  </si>
  <si>
    <t>DEPARTMENT OF SECRETARY OF STATE</t>
  </si>
  <si>
    <t>DEPARTMENT OF STATE TREASURER (w/o State Health Plan)</t>
  </si>
  <si>
    <t>DEPARTMENT OF STATE TREASURER (State Health Plan Only)</t>
  </si>
  <si>
    <t>DEPARTMENT OF AGRICULTURE AND CONSUMER SERVICES</t>
  </si>
  <si>
    <t>STATE BOARD OF BARBER EXAMINERS</t>
  </si>
  <si>
    <t>NC AUCTIONEERS LICENSING BOARD</t>
  </si>
  <si>
    <t>NC STATE BOARD OF EXAMINERS OF PRACTICING PSYCHOLOGIST</t>
  </si>
  <si>
    <t>COMMUNITY COLLEGE SYSTEM OFFICE</t>
  </si>
  <si>
    <t>NORTH CAROLINA SCHOOL OF THE ARTS</t>
  </si>
  <si>
    <t>NORTH CAROLINA A&amp;T UNIVERSITY</t>
  </si>
  <si>
    <t>NORTH CAROLINA CENTRAL UNIVERSITY</t>
  </si>
  <si>
    <t>UNIVERSITY OF NORTH CAROLINA AT PEMBROKE</t>
  </si>
  <si>
    <t>NC STATE UNIVERSITY</t>
  </si>
  <si>
    <t>FRANCINE DELANY NEW SCHOOL FOR CHILDREN</t>
  </si>
  <si>
    <t>WESTERN PIEDMONT COMMUNITY COLLEGE</t>
  </si>
  <si>
    <t>NEW BERN/CRAVEN COUNTY BOARD OF EDUCATION</t>
  </si>
  <si>
    <t>INVEST COLLEGIATE CHARTER SCHOOL</t>
  </si>
  <si>
    <t>NORTHEAST REGIONAL SCHOOL FOR BIOTECHNOLOGY</t>
  </si>
  <si>
    <t>CENTRAL PARK SCHOOL FOR CHILDREN</t>
  </si>
  <si>
    <t>IREDELL COUNTY SCHOOLS</t>
  </si>
  <si>
    <t>AMERICAN RENAISSANCE MIDDLE SCHOOL</t>
  </si>
  <si>
    <t>CORVIAN COMMUNITY SCHOOL</t>
  </si>
  <si>
    <t>FERNLEAF COMMUNITY CHARTER</t>
  </si>
  <si>
    <t>CAPE FEAR CENTER FOR INQUIRY</t>
  </si>
  <si>
    <t>CHAPEL HILL - CARBORO CITY SCHOOLS</t>
  </si>
  <si>
    <t>36310</t>
  </si>
  <si>
    <t>N.E. ACADEMY OF AEROSPACE &amp; ADVANCED TECHNOLOGY</t>
  </si>
  <si>
    <t>MOUNTAIN DISCOVERY CHARTER</t>
  </si>
  <si>
    <t>WAKE COUNTY SCHOOLS</t>
  </si>
  <si>
    <t>EAST WAKE ACADEMY</t>
  </si>
  <si>
    <t>TWO RIVERS COMMUNITY SCHOOL</t>
  </si>
  <si>
    <t>HIGHWAY - ADMIN (w/o Global Transpark or Ports Authority)</t>
  </si>
  <si>
    <t>HIGHWAY - ADMIN (Global Transpark Only)</t>
  </si>
  <si>
    <t>HIGHWAY - ADMIN (Ports Authority Only)</t>
  </si>
  <si>
    <t>NC DEPARTMENT OF MILITARY AND VETERANS AFFAIRS</t>
  </si>
  <si>
    <t>NC BOARD OF OPTICIANS</t>
  </si>
  <si>
    <t>UNC-CH CB1260</t>
  </si>
  <si>
    <t>11050</t>
  </si>
  <si>
    <t>18640</t>
  </si>
  <si>
    <t>THE NORTH CAROLINA LEADERSHIP ACADEMY</t>
  </si>
  <si>
    <t>36303</t>
  </si>
  <si>
    <t>NORTH CAROLINA BOARD OF OPTICIANS</t>
  </si>
  <si>
    <t>NC STATE BOARD OF EXAMINERS OF PRACTICING PSYCHOLOGISTS</t>
  </si>
  <si>
    <t>CLEVELAND COMMUNITY COLLEGE</t>
  </si>
  <si>
    <t>NASH COMMUNITY COLLEGE</t>
  </si>
  <si>
    <t>NORTH CAROLINA INNOVATIVE SCHOOL DISTRICT</t>
  </si>
  <si>
    <t>39220</t>
  </si>
  <si>
    <t>DISCOVERY CHARTER</t>
  </si>
  <si>
    <t>32904</t>
  </si>
  <si>
    <t>ALAMANCE COMMUNITY SCHOOLS</t>
  </si>
  <si>
    <t>32915</t>
  </si>
  <si>
    <t>GRANVILLE COUNTY SCHOOLS</t>
  </si>
  <si>
    <t>WHARRIE CHARTER ACADEMY</t>
  </si>
  <si>
    <t>HIGHWAY - ADMINISTRATIVE (Wo Global Transpark or Ports Authority)</t>
  </si>
  <si>
    <t>HIGHWAY - ADMINISTRATIVE (Ports Authority Onlv)</t>
  </si>
  <si>
    <t>DEPARTMENT OF ADULT CORRECTION</t>
  </si>
  <si>
    <t>19120</t>
  </si>
  <si>
    <t>Check</t>
  </si>
  <si>
    <t>employer_code</t>
  </si>
  <si>
    <t>Reported Employer PV</t>
  </si>
  <si>
    <t>Employer PV from Total</t>
  </si>
  <si>
    <t>Allocation Percent Reported</t>
  </si>
  <si>
    <t>Allocation Percent from Formula</t>
  </si>
  <si>
    <t>Reported Employer Contribution (GASB 68)</t>
  </si>
  <si>
    <t>Employer Contribution from Formula</t>
  </si>
  <si>
    <t>Employer PV Difference</t>
  </si>
  <si>
    <t>Allocation Percent Difference</t>
  </si>
  <si>
    <t>Employer Contribution Difference</t>
  </si>
  <si>
    <t>Year</t>
  </si>
  <si>
    <t>employer_pv_future_salary</t>
  </si>
  <si>
    <t>standardized_employer_name</t>
  </si>
  <si>
    <t>district_contributions</t>
  </si>
  <si>
    <t>LEAID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</si>
</sst>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0" fillId="0" borderId="0" xfId="1" applyNumberFormat="1" applyFont="1"/>
    <xf numFmtId="164" fontId="2" fillId="0" borderId="0" xfId="1" applyNumberFormat="1" applyFont="1"/>
    <xf numFmtId="9" fontId="0" fillId="0" borderId="0" xfId="3" applyFont="1"/>
    <xf numFmtId="165" fontId="0" fillId="0" borderId="0" xfId="2" applyNumberFormat="1" applyFont="1"/>
    <xf numFmtId="43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164" fontId="3" fillId="0" borderId="0" xfId="1" applyNumberFormat="1" applyFont="1"/>
    <xf numFmtId="1" fontId="0" fillId="0" borderId="0" xfId="0" applyNumberFormat="1"/>
    <xf numFmtId="166" fontId="0" fillId="0" borderId="0" xfId="3" applyNumberFormat="1" applyFont="1"/>
    <xf numFmtId="165" fontId="3" fillId="0" borderId="0" xfId="2" applyNumberFormat="1" applyFont="1"/>
    <xf numFmtId="166" fontId="3" fillId="0" borderId="0" xfId="3" applyNumberFormat="1" applyFont="1"/>
    <xf numFmtId="0" fontId="3" fillId="0" borderId="0" xfId="0" applyFont="1" applyAlignment="1">
      <alignment horizontal="center"/>
    </xf>
    <xf numFmtId="0" fontId="0" fillId="0" borderId="0" xfId="0" applyFont="1"/>
    <xf numFmtId="0" fontId="4" fillId="0" borderId="0" xfId="0" applyFont="1"/>
    <xf numFmtId="1" fontId="4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B366-306D-FA42-9F80-22196E1993DE}">
  <sheetPr>
    <tabColor rgb="FF002060"/>
  </sheetPr>
  <dimension ref="A1:I2596"/>
  <sheetViews>
    <sheetView tabSelected="1" workbookViewId="0">
      <selection activeCell="D29" sqref="D29"/>
    </sheetView>
  </sheetViews>
  <sheetFormatPr baseColWidth="10" defaultRowHeight="16" x14ac:dyDescent="0.2"/>
  <cols>
    <col min="2" max="2" width="5.1640625" style="23" bestFit="1" customWidth="1"/>
    <col min="3" max="3" width="13.5" bestFit="1" customWidth="1"/>
    <col min="4" max="5" width="58.33203125" bestFit="1" customWidth="1"/>
    <col min="6" max="6" width="23" style="11" bestFit="1" customWidth="1"/>
    <col min="7" max="7" width="17.83203125" style="18" bestFit="1" customWidth="1"/>
    <col min="8" max="8" width="21.1640625" style="11" bestFit="1" customWidth="1"/>
  </cols>
  <sheetData>
    <row r="1" spans="1:9" s="6" customFormat="1" x14ac:dyDescent="0.2">
      <c r="A1" s="6" t="s">
        <v>959</v>
      </c>
      <c r="B1" s="23" t="s">
        <v>955</v>
      </c>
      <c r="C1" s="6" t="s">
        <v>945</v>
      </c>
      <c r="D1" s="6" t="s">
        <v>957</v>
      </c>
      <c r="E1" s="6" t="s">
        <v>57</v>
      </c>
      <c r="F1" s="19" t="s">
        <v>956</v>
      </c>
      <c r="G1" s="20" t="s">
        <v>56</v>
      </c>
      <c r="H1" s="19" t="s">
        <v>958</v>
      </c>
    </row>
    <row r="2" spans="1:9" x14ac:dyDescent="0.2">
      <c r="A2" t="str">
        <f>I2</f>
        <v/>
      </c>
      <c r="B2" s="24">
        <v>2015</v>
      </c>
      <c r="C2" t="s">
        <v>58</v>
      </c>
      <c r="D2" t="s">
        <v>578</v>
      </c>
      <c r="E2" t="s">
        <v>0</v>
      </c>
      <c r="F2" s="11">
        <v>128274391</v>
      </c>
      <c r="G2" s="18">
        <v>1.1215000000000001E-3</v>
      </c>
      <c r="H2" s="11">
        <v>1416441.0420000001</v>
      </c>
      <c r="I2" s="22" t="str">
        <f>IFERROR(VLOOKUP(D2,'LEAID Match'!$A$2:$B$184,2,FALSE),"")</f>
        <v/>
      </c>
    </row>
    <row r="3" spans="1:9" x14ac:dyDescent="0.2">
      <c r="A3" t="str">
        <f t="shared" ref="A3:A66" si="0">I3</f>
        <v/>
      </c>
      <c r="B3" s="24">
        <v>2016</v>
      </c>
      <c r="C3" t="s">
        <v>58</v>
      </c>
      <c r="D3" t="s">
        <v>578</v>
      </c>
      <c r="E3" t="s">
        <v>578</v>
      </c>
      <c r="F3" s="11">
        <v>119702337</v>
      </c>
      <c r="G3" s="18">
        <v>1.1054000000000001E-3</v>
      </c>
      <c r="H3" s="11">
        <v>1409388.3162</v>
      </c>
      <c r="I3" s="22" t="str">
        <f>IFERROR(VLOOKUP(D3,'LEAID Match'!$A$2:$B$184,2,FALSE),"")</f>
        <v/>
      </c>
    </row>
    <row r="4" spans="1:9" x14ac:dyDescent="0.2">
      <c r="A4" t="str">
        <f t="shared" si="0"/>
        <v/>
      </c>
      <c r="B4" s="24">
        <v>2017</v>
      </c>
      <c r="C4" t="s">
        <v>58</v>
      </c>
      <c r="D4" t="s">
        <v>578</v>
      </c>
      <c r="E4" t="s">
        <v>873</v>
      </c>
      <c r="F4" s="11">
        <v>121600639</v>
      </c>
      <c r="G4" s="18">
        <v>1.0897999999999999E-3</v>
      </c>
      <c r="H4" s="11">
        <v>1570613.2211999998</v>
      </c>
      <c r="I4" s="22" t="str">
        <f>IFERROR(VLOOKUP(D4,'LEAID Match'!$A$2:$B$184,2,FALSE),"")</f>
        <v/>
      </c>
    </row>
    <row r="5" spans="1:9" x14ac:dyDescent="0.2">
      <c r="A5" t="str">
        <f t="shared" si="0"/>
        <v/>
      </c>
      <c r="B5" s="24">
        <v>2018</v>
      </c>
      <c r="C5" t="s">
        <v>58</v>
      </c>
      <c r="D5" t="s">
        <v>578</v>
      </c>
      <c r="E5" t="s">
        <v>578</v>
      </c>
      <c r="F5" s="11">
        <v>125491609</v>
      </c>
      <c r="G5" s="18">
        <v>1.0799E-3</v>
      </c>
      <c r="H5" s="11">
        <v>1730972.7899</v>
      </c>
      <c r="I5" s="22" t="str">
        <f>IFERROR(VLOOKUP(D5,'LEAID Match'!$A$2:$B$184,2,FALSE),"")</f>
        <v/>
      </c>
    </row>
    <row r="6" spans="1:9" x14ac:dyDescent="0.2">
      <c r="A6" t="str">
        <f t="shared" si="0"/>
        <v/>
      </c>
      <c r="B6" s="24">
        <v>2019</v>
      </c>
      <c r="C6" t="s">
        <v>58</v>
      </c>
      <c r="D6" t="s">
        <v>578</v>
      </c>
      <c r="E6" t="s">
        <v>578</v>
      </c>
      <c r="F6" s="11">
        <v>128569499</v>
      </c>
      <c r="G6" s="18">
        <v>1.0671000000000001E-3</v>
      </c>
      <c r="H6" s="11">
        <v>2043652.2966000002</v>
      </c>
      <c r="I6" s="22" t="str">
        <f>IFERROR(VLOOKUP(D6,'LEAID Match'!$A$2:$B$184,2,FALSE),"")</f>
        <v/>
      </c>
    </row>
    <row r="7" spans="1:9" x14ac:dyDescent="0.2">
      <c r="A7" t="str">
        <f t="shared" si="0"/>
        <v/>
      </c>
      <c r="B7" s="24">
        <v>2020</v>
      </c>
      <c r="C7" t="s">
        <v>58</v>
      </c>
      <c r="D7" t="s">
        <v>578</v>
      </c>
      <c r="E7" t="s">
        <v>578</v>
      </c>
      <c r="F7" s="11">
        <v>140807753</v>
      </c>
      <c r="G7" s="18">
        <v>1.1367E-3</v>
      </c>
      <c r="H7" s="11">
        <v>2336003.7524999999</v>
      </c>
      <c r="I7" s="22" t="str">
        <f>IFERROR(VLOOKUP(D7,'LEAID Match'!$A$2:$B$184,2,FALSE),"")</f>
        <v/>
      </c>
    </row>
    <row r="8" spans="1:9" x14ac:dyDescent="0.2">
      <c r="A8" t="str">
        <f t="shared" si="0"/>
        <v/>
      </c>
      <c r="B8" s="24">
        <v>2021</v>
      </c>
      <c r="C8" t="s">
        <v>58</v>
      </c>
      <c r="D8" t="s">
        <v>578</v>
      </c>
      <c r="E8" t="s">
        <v>578</v>
      </c>
      <c r="F8" s="11">
        <v>149873305</v>
      </c>
      <c r="G8" s="18">
        <v>1.1975E-3</v>
      </c>
      <c r="H8" s="11">
        <v>2841969.27</v>
      </c>
      <c r="I8" s="22" t="str">
        <f>IFERROR(VLOOKUP(D8,'LEAID Match'!$A$2:$B$184,2,FALSE),"")</f>
        <v/>
      </c>
    </row>
    <row r="9" spans="1:9" x14ac:dyDescent="0.2">
      <c r="A9" t="str">
        <f t="shared" si="0"/>
        <v/>
      </c>
      <c r="B9" s="24">
        <v>2022</v>
      </c>
      <c r="C9" t="s">
        <v>58</v>
      </c>
      <c r="D9" t="s">
        <v>578</v>
      </c>
      <c r="E9" t="s">
        <v>578</v>
      </c>
      <c r="F9" s="11">
        <v>158719318</v>
      </c>
      <c r="G9" s="18">
        <v>1.2585000000000001E-3</v>
      </c>
      <c r="H9" s="11">
        <v>3475909.0410000002</v>
      </c>
      <c r="I9" s="22" t="str">
        <f>IFERROR(VLOOKUP(D9,'LEAID Match'!$A$2:$B$184,2,FALSE),"")</f>
        <v/>
      </c>
    </row>
    <row r="10" spans="1:9" x14ac:dyDescent="0.2">
      <c r="A10" t="str">
        <f t="shared" si="0"/>
        <v/>
      </c>
      <c r="B10" s="24">
        <v>2023</v>
      </c>
      <c r="C10" t="s">
        <v>58</v>
      </c>
      <c r="D10" t="s">
        <v>578</v>
      </c>
      <c r="E10" t="s">
        <v>578</v>
      </c>
      <c r="F10" s="11">
        <v>161395663</v>
      </c>
      <c r="G10" s="18">
        <v>1.2144E-3</v>
      </c>
      <c r="H10" s="11">
        <v>3685578.9168000002</v>
      </c>
      <c r="I10" s="22" t="str">
        <f>IFERROR(VLOOKUP(D10,'LEAID Match'!$A$2:$B$184,2,FALSE),"")</f>
        <v/>
      </c>
    </row>
    <row r="11" spans="1:9" x14ac:dyDescent="0.2">
      <c r="A11" t="str">
        <f t="shared" si="0"/>
        <v/>
      </c>
      <c r="B11" s="24">
        <v>2015</v>
      </c>
      <c r="C11" t="s">
        <v>59</v>
      </c>
      <c r="D11" t="s">
        <v>579</v>
      </c>
      <c r="E11" t="s">
        <v>1</v>
      </c>
      <c r="F11" s="11">
        <v>368586786</v>
      </c>
      <c r="G11" s="18">
        <v>3.2226999999999998E-3</v>
      </c>
      <c r="H11" s="11">
        <v>4070231.4275999996</v>
      </c>
      <c r="I11" s="22" t="str">
        <f>IFERROR(VLOOKUP(D11,'LEAID Match'!$A$2:$B$184,2,FALSE),"")</f>
        <v/>
      </c>
    </row>
    <row r="12" spans="1:9" x14ac:dyDescent="0.2">
      <c r="A12" t="str">
        <f t="shared" si="0"/>
        <v/>
      </c>
      <c r="B12" s="24">
        <v>2016</v>
      </c>
      <c r="C12" t="s">
        <v>59</v>
      </c>
      <c r="D12" t="s">
        <v>579</v>
      </c>
      <c r="E12" t="s">
        <v>579</v>
      </c>
      <c r="F12" s="11">
        <v>351947522</v>
      </c>
      <c r="G12" s="18">
        <v>3.2499999999999999E-3</v>
      </c>
      <c r="H12" s="11">
        <v>4143759.75</v>
      </c>
      <c r="I12" s="22" t="str">
        <f>IFERROR(VLOOKUP(D12,'LEAID Match'!$A$2:$B$184,2,FALSE),"")</f>
        <v/>
      </c>
    </row>
    <row r="13" spans="1:9" x14ac:dyDescent="0.2">
      <c r="A13" t="str">
        <f t="shared" si="0"/>
        <v/>
      </c>
      <c r="B13" s="24">
        <v>2017</v>
      </c>
      <c r="C13" t="s">
        <v>59</v>
      </c>
      <c r="D13" t="s">
        <v>579</v>
      </c>
      <c r="E13" t="s">
        <v>579</v>
      </c>
      <c r="F13" s="11">
        <v>358228511</v>
      </c>
      <c r="G13" s="18">
        <v>3.2104999999999998E-3</v>
      </c>
      <c r="H13" s="11">
        <v>4626953.3369999994</v>
      </c>
      <c r="I13" s="22" t="str">
        <f>IFERROR(VLOOKUP(D13,'LEAID Match'!$A$2:$B$184,2,FALSE),"")</f>
        <v/>
      </c>
    </row>
    <row r="14" spans="1:9" x14ac:dyDescent="0.2">
      <c r="A14" t="str">
        <f t="shared" si="0"/>
        <v/>
      </c>
      <c r="B14" s="24">
        <v>2018</v>
      </c>
      <c r="C14" t="s">
        <v>59</v>
      </c>
      <c r="D14" t="s">
        <v>579</v>
      </c>
      <c r="E14" t="s">
        <v>579</v>
      </c>
      <c r="F14" s="11">
        <v>357392519</v>
      </c>
      <c r="G14" s="18">
        <v>3.0755000000000001E-3</v>
      </c>
      <c r="H14" s="11">
        <v>4929722.0255000005</v>
      </c>
      <c r="I14" s="22" t="str">
        <f>IFERROR(VLOOKUP(D14,'LEAID Match'!$A$2:$B$184,2,FALSE),"")</f>
        <v/>
      </c>
    </row>
    <row r="15" spans="1:9" x14ac:dyDescent="0.2">
      <c r="A15" t="str">
        <f t="shared" si="0"/>
        <v/>
      </c>
      <c r="B15" s="24">
        <v>2019</v>
      </c>
      <c r="C15" t="s">
        <v>59</v>
      </c>
      <c r="D15" t="s">
        <v>579</v>
      </c>
      <c r="E15" t="s">
        <v>579</v>
      </c>
      <c r="F15" s="11">
        <v>377687539</v>
      </c>
      <c r="G15" s="18">
        <v>3.1348000000000001E-3</v>
      </c>
      <c r="H15" s="11">
        <v>6003599.6808000002</v>
      </c>
      <c r="I15" s="22" t="str">
        <f>IFERROR(VLOOKUP(D15,'LEAID Match'!$A$2:$B$184,2,FALSE),"")</f>
        <v/>
      </c>
    </row>
    <row r="16" spans="1:9" x14ac:dyDescent="0.2">
      <c r="A16" t="str">
        <f t="shared" si="0"/>
        <v/>
      </c>
      <c r="B16" s="24">
        <v>2020</v>
      </c>
      <c r="C16" t="s">
        <v>59</v>
      </c>
      <c r="D16" t="s">
        <v>579</v>
      </c>
      <c r="E16" t="s">
        <v>579</v>
      </c>
      <c r="F16" s="11">
        <v>391158529</v>
      </c>
      <c r="G16" s="18">
        <v>3.1578000000000001E-3</v>
      </c>
      <c r="H16" s="11">
        <v>6489515.835</v>
      </c>
      <c r="I16" s="22" t="str">
        <f>IFERROR(VLOOKUP(D16,'LEAID Match'!$A$2:$B$184,2,FALSE),"")</f>
        <v/>
      </c>
    </row>
    <row r="17" spans="1:9" x14ac:dyDescent="0.2">
      <c r="A17" t="str">
        <f t="shared" si="0"/>
        <v/>
      </c>
      <c r="B17" s="24">
        <v>2021</v>
      </c>
      <c r="C17" t="s">
        <v>59</v>
      </c>
      <c r="D17" t="s">
        <v>579</v>
      </c>
      <c r="E17" t="s">
        <v>579</v>
      </c>
      <c r="F17" s="11">
        <v>421704581</v>
      </c>
      <c r="G17" s="18">
        <v>3.3695999999999999E-3</v>
      </c>
      <c r="H17" s="11">
        <v>7996909.9391999999</v>
      </c>
      <c r="I17" s="22" t="str">
        <f>IFERROR(VLOOKUP(D17,'LEAID Match'!$A$2:$B$184,2,FALSE),"")</f>
        <v/>
      </c>
    </row>
    <row r="18" spans="1:9" x14ac:dyDescent="0.2">
      <c r="A18" t="str">
        <f t="shared" si="0"/>
        <v/>
      </c>
      <c r="B18" s="24">
        <v>2022</v>
      </c>
      <c r="C18" t="s">
        <v>59</v>
      </c>
      <c r="D18" t="s">
        <v>579</v>
      </c>
      <c r="E18" t="s">
        <v>579</v>
      </c>
      <c r="F18" s="11">
        <v>420829874</v>
      </c>
      <c r="G18" s="18">
        <v>3.3367000000000002E-3</v>
      </c>
      <c r="H18" s="11">
        <v>9215785.2182</v>
      </c>
      <c r="I18" s="22" t="str">
        <f>IFERROR(VLOOKUP(D18,'LEAID Match'!$A$2:$B$184,2,FALSE),"")</f>
        <v/>
      </c>
    </row>
    <row r="19" spans="1:9" x14ac:dyDescent="0.2">
      <c r="A19" t="str">
        <f t="shared" si="0"/>
        <v/>
      </c>
      <c r="B19" s="24">
        <v>2023</v>
      </c>
      <c r="C19" t="s">
        <v>59</v>
      </c>
      <c r="D19" t="s">
        <v>579</v>
      </c>
      <c r="E19" t="s">
        <v>579</v>
      </c>
      <c r="F19" s="11">
        <v>444306187</v>
      </c>
      <c r="G19" s="18">
        <v>3.3430999999999999E-3</v>
      </c>
      <c r="H19" s="11">
        <v>10145964.160699999</v>
      </c>
      <c r="I19" s="22" t="str">
        <f>IFERROR(VLOOKUP(D19,'LEAID Match'!$A$2:$B$184,2,FALSE),"")</f>
        <v/>
      </c>
    </row>
    <row r="20" spans="1:9" x14ac:dyDescent="0.2">
      <c r="A20" t="str">
        <f t="shared" si="0"/>
        <v/>
      </c>
      <c r="B20" s="24">
        <v>2015</v>
      </c>
      <c r="C20" t="s">
        <v>60</v>
      </c>
      <c r="D20" t="s">
        <v>874</v>
      </c>
      <c r="E20" t="s">
        <v>2</v>
      </c>
      <c r="F20" s="11">
        <v>83394576</v>
      </c>
      <c r="G20" s="18">
        <v>7.291E-4</v>
      </c>
      <c r="H20" s="11">
        <v>920844.55079999997</v>
      </c>
      <c r="I20" s="22" t="str">
        <f>IFERROR(VLOOKUP(D20,'LEAID Match'!$A$2:$B$184,2,FALSE),"")</f>
        <v/>
      </c>
    </row>
    <row r="21" spans="1:9" x14ac:dyDescent="0.2">
      <c r="A21" t="str">
        <f t="shared" si="0"/>
        <v/>
      </c>
      <c r="B21" s="24">
        <v>2016</v>
      </c>
      <c r="C21" t="s">
        <v>60</v>
      </c>
      <c r="D21" t="s">
        <v>874</v>
      </c>
      <c r="E21" t="s">
        <v>580</v>
      </c>
      <c r="F21" s="11">
        <v>78988831</v>
      </c>
      <c r="G21" s="18">
        <v>7.2939999999999995E-4</v>
      </c>
      <c r="H21" s="11">
        <v>929987.18819999998</v>
      </c>
      <c r="I21" s="22" t="str">
        <f>IFERROR(VLOOKUP(D21,'LEAID Match'!$A$2:$B$184,2,FALSE),"")</f>
        <v/>
      </c>
    </row>
    <row r="22" spans="1:9" x14ac:dyDescent="0.2">
      <c r="A22" t="str">
        <f t="shared" si="0"/>
        <v/>
      </c>
      <c r="B22" s="24">
        <v>2017</v>
      </c>
      <c r="C22" t="s">
        <v>60</v>
      </c>
      <c r="D22" t="s">
        <v>874</v>
      </c>
      <c r="E22" t="s">
        <v>874</v>
      </c>
      <c r="F22" s="11">
        <v>86516098</v>
      </c>
      <c r="G22" s="18">
        <v>7.7539999999999998E-4</v>
      </c>
      <c r="H22" s="11">
        <v>1117501.8276</v>
      </c>
      <c r="I22" s="22" t="str">
        <f>IFERROR(VLOOKUP(D22,'LEAID Match'!$A$2:$B$184,2,FALSE),"")</f>
        <v/>
      </c>
    </row>
    <row r="23" spans="1:9" x14ac:dyDescent="0.2">
      <c r="A23" t="str">
        <f t="shared" si="0"/>
        <v/>
      </c>
      <c r="B23" s="24">
        <v>2018</v>
      </c>
      <c r="C23" t="s">
        <v>60</v>
      </c>
      <c r="D23" t="s">
        <v>874</v>
      </c>
      <c r="E23" t="s">
        <v>874</v>
      </c>
      <c r="F23" s="11">
        <v>90769866</v>
      </c>
      <c r="G23" s="18">
        <v>7.8109999999999996E-4</v>
      </c>
      <c r="H23" s="11">
        <v>1252025.9711</v>
      </c>
      <c r="I23" s="22" t="str">
        <f>IFERROR(VLOOKUP(D23,'LEAID Match'!$A$2:$B$184,2,FALSE),"")</f>
        <v/>
      </c>
    </row>
    <row r="24" spans="1:9" x14ac:dyDescent="0.2">
      <c r="A24" t="str">
        <f t="shared" si="0"/>
        <v/>
      </c>
      <c r="B24" s="24">
        <v>2019</v>
      </c>
      <c r="C24" t="s">
        <v>60</v>
      </c>
      <c r="D24" t="s">
        <v>874</v>
      </c>
      <c r="E24" t="s">
        <v>874</v>
      </c>
      <c r="F24" s="11">
        <v>89634238</v>
      </c>
      <c r="G24" s="18">
        <v>7.4399999999999998E-4</v>
      </c>
      <c r="H24" s="11">
        <v>1424868.6240000001</v>
      </c>
      <c r="I24" s="22" t="str">
        <f>IFERROR(VLOOKUP(D24,'LEAID Match'!$A$2:$B$184,2,FALSE),"")</f>
        <v/>
      </c>
    </row>
    <row r="25" spans="1:9" x14ac:dyDescent="0.2">
      <c r="A25" t="str">
        <f t="shared" si="0"/>
        <v/>
      </c>
      <c r="B25" s="24">
        <v>2020</v>
      </c>
      <c r="C25" t="s">
        <v>60</v>
      </c>
      <c r="D25" t="s">
        <v>874</v>
      </c>
      <c r="E25" t="s">
        <v>874</v>
      </c>
      <c r="F25" s="11">
        <v>91932559</v>
      </c>
      <c r="G25" s="18">
        <v>7.4220000000000004E-4</v>
      </c>
      <c r="H25" s="11">
        <v>1525276.665</v>
      </c>
      <c r="I25" s="22" t="str">
        <f>IFERROR(VLOOKUP(D25,'LEAID Match'!$A$2:$B$184,2,FALSE),"")</f>
        <v/>
      </c>
    </row>
    <row r="26" spans="1:9" x14ac:dyDescent="0.2">
      <c r="A26" t="str">
        <f t="shared" si="0"/>
        <v/>
      </c>
      <c r="B26" s="24">
        <v>2021</v>
      </c>
      <c r="C26" t="s">
        <v>60</v>
      </c>
      <c r="D26" t="s">
        <v>874</v>
      </c>
      <c r="E26" t="s">
        <v>874</v>
      </c>
      <c r="F26" s="11">
        <v>97401552</v>
      </c>
      <c r="G26" s="18">
        <v>7.783E-4</v>
      </c>
      <c r="H26" s="11">
        <v>1847102.0316000001</v>
      </c>
      <c r="I26" s="22" t="str">
        <f>IFERROR(VLOOKUP(D26,'LEAID Match'!$A$2:$B$184,2,FALSE),"")</f>
        <v/>
      </c>
    </row>
    <row r="27" spans="1:9" x14ac:dyDescent="0.2">
      <c r="A27" t="str">
        <f t="shared" si="0"/>
        <v/>
      </c>
      <c r="B27" s="24">
        <v>2022</v>
      </c>
      <c r="C27" t="s">
        <v>60</v>
      </c>
      <c r="D27" t="s">
        <v>874</v>
      </c>
      <c r="E27" t="s">
        <v>874</v>
      </c>
      <c r="F27" s="11">
        <v>104936024</v>
      </c>
      <c r="G27" s="18">
        <v>8.3199999999999995E-4</v>
      </c>
      <c r="H27" s="11">
        <v>2297939.0719999997</v>
      </c>
      <c r="I27" s="22" t="str">
        <f>IFERROR(VLOOKUP(D27,'LEAID Match'!$A$2:$B$184,2,FALSE),"")</f>
        <v/>
      </c>
    </row>
    <row r="28" spans="1:9" x14ac:dyDescent="0.2">
      <c r="A28" t="str">
        <f t="shared" si="0"/>
        <v/>
      </c>
      <c r="B28" s="24">
        <v>2023</v>
      </c>
      <c r="C28" t="s">
        <v>60</v>
      </c>
      <c r="D28" t="s">
        <v>874</v>
      </c>
      <c r="E28" t="s">
        <v>874</v>
      </c>
      <c r="F28" s="11">
        <v>100596208</v>
      </c>
      <c r="G28" s="18">
        <v>7.5690000000000002E-4</v>
      </c>
      <c r="H28" s="11">
        <v>2297113.5393000003</v>
      </c>
      <c r="I28" s="22" t="str">
        <f>IFERROR(VLOOKUP(D28,'LEAID Match'!$A$2:$B$184,2,FALSE),"")</f>
        <v/>
      </c>
    </row>
    <row r="29" spans="1:9" x14ac:dyDescent="0.2">
      <c r="A29" t="str">
        <f t="shared" si="0"/>
        <v/>
      </c>
      <c r="B29" s="24">
        <v>2015</v>
      </c>
      <c r="C29" t="s">
        <v>61</v>
      </c>
      <c r="D29" t="s">
        <v>581</v>
      </c>
      <c r="E29" t="s">
        <v>3</v>
      </c>
      <c r="F29" s="11">
        <v>212048928</v>
      </c>
      <c r="G29" s="18">
        <v>1.854E-3</v>
      </c>
      <c r="H29" s="11">
        <v>2341579.7519999999</v>
      </c>
      <c r="I29" s="22" t="str">
        <f>IFERROR(VLOOKUP(D29,'LEAID Match'!$A$2:$B$184,2,FALSE),"")</f>
        <v/>
      </c>
    </row>
    <row r="30" spans="1:9" x14ac:dyDescent="0.2">
      <c r="A30" t="str">
        <f t="shared" si="0"/>
        <v/>
      </c>
      <c r="B30" s="24">
        <v>2016</v>
      </c>
      <c r="C30" t="s">
        <v>61</v>
      </c>
      <c r="D30" t="s">
        <v>581</v>
      </c>
      <c r="E30" t="s">
        <v>581</v>
      </c>
      <c r="F30" s="11">
        <v>490607426</v>
      </c>
      <c r="G30" s="18">
        <v>4.5304999999999998E-3</v>
      </c>
      <c r="H30" s="11">
        <v>5776401.0915000001</v>
      </c>
      <c r="I30" s="22" t="str">
        <f>IFERROR(VLOOKUP(D30,'LEAID Match'!$A$2:$B$184,2,FALSE),"")</f>
        <v/>
      </c>
    </row>
    <row r="31" spans="1:9" x14ac:dyDescent="0.2">
      <c r="A31" t="str">
        <f t="shared" si="0"/>
        <v/>
      </c>
      <c r="B31" s="24">
        <v>2017</v>
      </c>
      <c r="C31" t="s">
        <v>61</v>
      </c>
      <c r="D31" t="s">
        <v>581</v>
      </c>
      <c r="E31" t="s">
        <v>581</v>
      </c>
      <c r="F31" s="11">
        <v>518981540</v>
      </c>
      <c r="G31" s="18">
        <v>4.6511E-3</v>
      </c>
      <c r="H31" s="11">
        <v>6703137.4134</v>
      </c>
      <c r="I31" s="22" t="str">
        <f>IFERROR(VLOOKUP(D31,'LEAID Match'!$A$2:$B$184,2,FALSE),"")</f>
        <v/>
      </c>
    </row>
    <row r="32" spans="1:9" x14ac:dyDescent="0.2">
      <c r="A32" t="str">
        <f t="shared" si="0"/>
        <v/>
      </c>
      <c r="B32" s="24">
        <v>2018</v>
      </c>
      <c r="C32" t="s">
        <v>61</v>
      </c>
      <c r="D32" t="s">
        <v>581</v>
      </c>
      <c r="E32" t="s">
        <v>581</v>
      </c>
      <c r="F32" s="11">
        <v>557282887</v>
      </c>
      <c r="G32" s="18">
        <v>4.7955999999999997E-3</v>
      </c>
      <c r="H32" s="11">
        <v>7686872.0355999991</v>
      </c>
      <c r="I32" s="22" t="str">
        <f>IFERROR(VLOOKUP(D32,'LEAID Match'!$A$2:$B$184,2,FALSE),"")</f>
        <v/>
      </c>
    </row>
    <row r="33" spans="1:9" x14ac:dyDescent="0.2">
      <c r="A33" t="str">
        <f t="shared" si="0"/>
        <v/>
      </c>
      <c r="B33" s="24">
        <v>2019</v>
      </c>
      <c r="C33" t="s">
        <v>61</v>
      </c>
      <c r="D33" t="s">
        <v>581</v>
      </c>
      <c r="E33" t="s">
        <v>581</v>
      </c>
      <c r="F33" s="11">
        <v>603605165</v>
      </c>
      <c r="G33" s="18">
        <v>5.0099000000000003E-3</v>
      </c>
      <c r="H33" s="11">
        <v>9594689.9454000015</v>
      </c>
      <c r="I33" s="22" t="str">
        <f>IFERROR(VLOOKUP(D33,'LEAID Match'!$A$2:$B$184,2,FALSE),"")</f>
        <v/>
      </c>
    </row>
    <row r="34" spans="1:9" x14ac:dyDescent="0.2">
      <c r="A34" t="str">
        <f t="shared" si="0"/>
        <v/>
      </c>
      <c r="B34" s="24">
        <v>2020</v>
      </c>
      <c r="C34" t="s">
        <v>61</v>
      </c>
      <c r="D34" t="s">
        <v>581</v>
      </c>
      <c r="E34" t="s">
        <v>581</v>
      </c>
      <c r="F34" s="11">
        <v>619121945</v>
      </c>
      <c r="G34" s="18">
        <v>4.9981000000000001E-3</v>
      </c>
      <c r="H34" s="11">
        <v>10271470.3575</v>
      </c>
      <c r="I34" s="22" t="str">
        <f>IFERROR(VLOOKUP(D34,'LEAID Match'!$A$2:$B$184,2,FALSE),"")</f>
        <v/>
      </c>
    </row>
    <row r="35" spans="1:9" x14ac:dyDescent="0.2">
      <c r="A35" t="str">
        <f t="shared" si="0"/>
        <v/>
      </c>
      <c r="B35" s="24">
        <v>2021</v>
      </c>
      <c r="C35" t="s">
        <v>61</v>
      </c>
      <c r="D35" t="s">
        <v>581</v>
      </c>
      <c r="E35" t="s">
        <v>581</v>
      </c>
      <c r="F35" s="11">
        <v>645093857</v>
      </c>
      <c r="G35" s="18">
        <v>5.1545999999999996E-3</v>
      </c>
      <c r="H35" s="11">
        <v>12233164.759199999</v>
      </c>
      <c r="I35" s="22" t="str">
        <f>IFERROR(VLOOKUP(D35,'LEAID Match'!$A$2:$B$184,2,FALSE),"")</f>
        <v/>
      </c>
    </row>
    <row r="36" spans="1:9" x14ac:dyDescent="0.2">
      <c r="A36" t="str">
        <f t="shared" si="0"/>
        <v/>
      </c>
      <c r="B36" s="24">
        <v>2022</v>
      </c>
      <c r="C36" t="s">
        <v>61</v>
      </c>
      <c r="D36" t="s">
        <v>581</v>
      </c>
      <c r="E36" t="s">
        <v>581</v>
      </c>
      <c r="F36" s="11">
        <v>645399130</v>
      </c>
      <c r="G36" s="18">
        <v>5.1174000000000002E-3</v>
      </c>
      <c r="H36" s="11">
        <v>14133982.4604</v>
      </c>
      <c r="I36" s="22" t="str">
        <f>IFERROR(VLOOKUP(D36,'LEAID Match'!$A$2:$B$184,2,FALSE),"")</f>
        <v/>
      </c>
    </row>
    <row r="37" spans="1:9" x14ac:dyDescent="0.2">
      <c r="A37" t="str">
        <f t="shared" si="0"/>
        <v/>
      </c>
      <c r="B37" s="24">
        <v>2023</v>
      </c>
      <c r="C37" t="s">
        <v>61</v>
      </c>
      <c r="D37" t="s">
        <v>581</v>
      </c>
      <c r="E37" t="s">
        <v>581</v>
      </c>
      <c r="F37" s="11">
        <v>681915197</v>
      </c>
      <c r="G37" s="18">
        <v>5.1308999999999999E-3</v>
      </c>
      <c r="H37" s="11">
        <v>15571753.0173</v>
      </c>
      <c r="I37" s="22" t="str">
        <f>IFERROR(VLOOKUP(D37,'LEAID Match'!$A$2:$B$184,2,FALSE),"")</f>
        <v/>
      </c>
    </row>
    <row r="38" spans="1:9" x14ac:dyDescent="0.2">
      <c r="A38" t="str">
        <f t="shared" si="0"/>
        <v/>
      </c>
      <c r="B38" s="24">
        <v>2015</v>
      </c>
      <c r="C38" t="s">
        <v>62</v>
      </c>
      <c r="D38" t="s">
        <v>582</v>
      </c>
      <c r="E38" t="s">
        <v>4</v>
      </c>
      <c r="F38" s="11">
        <v>2228024115</v>
      </c>
      <c r="G38" s="18">
        <v>1.9480399999999998E-2</v>
      </c>
      <c r="H38" s="11">
        <v>24603511.435199998</v>
      </c>
      <c r="I38" s="22" t="str">
        <f>IFERROR(VLOOKUP(D38,'LEAID Match'!$A$2:$B$184,2,FALSE),"")</f>
        <v/>
      </c>
    </row>
    <row r="39" spans="1:9" x14ac:dyDescent="0.2">
      <c r="A39" t="str">
        <f t="shared" si="0"/>
        <v/>
      </c>
      <c r="B39" s="24">
        <v>2016</v>
      </c>
      <c r="C39" t="s">
        <v>62</v>
      </c>
      <c r="D39" t="s">
        <v>582</v>
      </c>
      <c r="E39" t="s">
        <v>582</v>
      </c>
      <c r="F39" s="11">
        <v>2073371663</v>
      </c>
      <c r="G39" s="18">
        <v>1.9146300000000002E-2</v>
      </c>
      <c r="H39" s="11">
        <v>24411589.938900001</v>
      </c>
      <c r="I39" s="22" t="str">
        <f>IFERROR(VLOOKUP(D39,'LEAID Match'!$A$2:$B$184,2,FALSE),"")</f>
        <v/>
      </c>
    </row>
    <row r="40" spans="1:9" x14ac:dyDescent="0.2">
      <c r="A40" t="str">
        <f t="shared" si="0"/>
        <v/>
      </c>
      <c r="B40" s="24">
        <v>2017</v>
      </c>
      <c r="C40" t="s">
        <v>62</v>
      </c>
      <c r="D40" t="s">
        <v>582</v>
      </c>
      <c r="E40" t="s">
        <v>582</v>
      </c>
      <c r="F40" s="11">
        <v>2211429832</v>
      </c>
      <c r="G40" s="18">
        <v>1.98189E-2</v>
      </c>
      <c r="H40" s="11">
        <v>28562879.766600002</v>
      </c>
      <c r="I40" s="22" t="str">
        <f>IFERROR(VLOOKUP(D40,'LEAID Match'!$A$2:$B$184,2,FALSE),"")</f>
        <v/>
      </c>
    </row>
    <row r="41" spans="1:9" x14ac:dyDescent="0.2">
      <c r="A41" t="str">
        <f t="shared" si="0"/>
        <v/>
      </c>
      <c r="B41" s="24">
        <v>2018</v>
      </c>
      <c r="C41" t="s">
        <v>62</v>
      </c>
      <c r="D41" t="s">
        <v>582</v>
      </c>
      <c r="E41" t="s">
        <v>582</v>
      </c>
      <c r="F41" s="11">
        <v>2372855741</v>
      </c>
      <c r="G41" s="18">
        <v>2.0419099999999999E-2</v>
      </c>
      <c r="H41" s="11">
        <v>32729795.809099998</v>
      </c>
      <c r="I41" s="22" t="str">
        <f>IFERROR(VLOOKUP(D41,'LEAID Match'!$A$2:$B$184,2,FALSE),"")</f>
        <v/>
      </c>
    </row>
    <row r="42" spans="1:9" x14ac:dyDescent="0.2">
      <c r="A42" t="str">
        <f t="shared" si="0"/>
        <v/>
      </c>
      <c r="B42" s="24">
        <v>2019</v>
      </c>
      <c r="C42" t="s">
        <v>62</v>
      </c>
      <c r="D42" t="s">
        <v>582</v>
      </c>
      <c r="E42" t="s">
        <v>582</v>
      </c>
      <c r="F42" s="11">
        <v>2441304621</v>
      </c>
      <c r="G42" s="18">
        <v>2.0262800000000001E-2</v>
      </c>
      <c r="H42" s="11">
        <v>38806220.368799999</v>
      </c>
      <c r="I42" s="22" t="str">
        <f>IFERROR(VLOOKUP(D42,'LEAID Match'!$A$2:$B$184,2,FALSE),"")</f>
        <v/>
      </c>
    </row>
    <row r="43" spans="1:9" x14ac:dyDescent="0.2">
      <c r="A43" t="str">
        <f t="shared" si="0"/>
        <v/>
      </c>
      <c r="B43" s="24">
        <v>2020</v>
      </c>
      <c r="C43" t="s">
        <v>62</v>
      </c>
      <c r="D43" t="s">
        <v>582</v>
      </c>
      <c r="E43" t="s">
        <v>582</v>
      </c>
      <c r="F43" s="11">
        <v>2515241281</v>
      </c>
      <c r="G43" s="18">
        <v>2.0305199999999999E-2</v>
      </c>
      <c r="H43" s="11">
        <v>41728708.890000001</v>
      </c>
      <c r="I43" s="22" t="str">
        <f>IFERROR(VLOOKUP(D43,'LEAID Match'!$A$2:$B$184,2,FALSE),"")</f>
        <v/>
      </c>
    </row>
    <row r="44" spans="1:9" x14ac:dyDescent="0.2">
      <c r="A44" t="str">
        <f t="shared" si="0"/>
        <v/>
      </c>
      <c r="B44" s="24">
        <v>2021</v>
      </c>
      <c r="C44" t="s">
        <v>62</v>
      </c>
      <c r="D44" t="s">
        <v>582</v>
      </c>
      <c r="E44" t="s">
        <v>582</v>
      </c>
      <c r="F44" s="11">
        <v>2643123693</v>
      </c>
      <c r="G44" s="18">
        <v>2.1119599999999999E-2</v>
      </c>
      <c r="H44" s="11">
        <v>50122132.939199999</v>
      </c>
      <c r="I44" s="22" t="str">
        <f>IFERROR(VLOOKUP(D44,'LEAID Match'!$A$2:$B$184,2,FALSE),"")</f>
        <v/>
      </c>
    </row>
    <row r="45" spans="1:9" x14ac:dyDescent="0.2">
      <c r="A45" t="str">
        <f t="shared" si="0"/>
        <v/>
      </c>
      <c r="B45" s="24">
        <v>2022</v>
      </c>
      <c r="C45" t="s">
        <v>62</v>
      </c>
      <c r="D45" t="s">
        <v>582</v>
      </c>
      <c r="E45" t="s">
        <v>582</v>
      </c>
      <c r="F45" s="11">
        <v>2640686448</v>
      </c>
      <c r="G45" s="18">
        <v>2.0937899999999999E-2</v>
      </c>
      <c r="H45" s="11">
        <v>57829349.153399996</v>
      </c>
      <c r="I45" s="22" t="str">
        <f>IFERROR(VLOOKUP(D45,'LEAID Match'!$A$2:$B$184,2,FALSE),"")</f>
        <v/>
      </c>
    </row>
    <row r="46" spans="1:9" x14ac:dyDescent="0.2">
      <c r="A46" t="str">
        <f t="shared" si="0"/>
        <v/>
      </c>
      <c r="B46" s="24">
        <v>2023</v>
      </c>
      <c r="C46" t="s">
        <v>62</v>
      </c>
      <c r="D46" t="s">
        <v>582</v>
      </c>
      <c r="E46" t="s">
        <v>582</v>
      </c>
      <c r="F46" s="11">
        <v>2939681960</v>
      </c>
      <c r="G46" s="18">
        <v>2.21189E-2</v>
      </c>
      <c r="H46" s="11">
        <v>67128583.253299996</v>
      </c>
      <c r="I46" s="22" t="str">
        <f>IFERROR(VLOOKUP(D46,'LEAID Match'!$A$2:$B$184,2,FALSE),"")</f>
        <v/>
      </c>
    </row>
    <row r="47" spans="1:9" x14ac:dyDescent="0.2">
      <c r="A47" t="str">
        <f t="shared" si="0"/>
        <v/>
      </c>
      <c r="B47" s="24">
        <v>2015</v>
      </c>
      <c r="C47" t="s">
        <v>63</v>
      </c>
      <c r="D47" t="s">
        <v>583</v>
      </c>
      <c r="E47" t="s">
        <v>5</v>
      </c>
      <c r="F47" s="11">
        <v>14189479</v>
      </c>
      <c r="G47" s="18">
        <v>1.2410000000000001E-4</v>
      </c>
      <c r="H47" s="11">
        <v>156736.81080000001</v>
      </c>
      <c r="I47" s="22" t="str">
        <f>IFERROR(VLOOKUP(D47,'LEAID Match'!$A$2:$B$184,2,FALSE),"")</f>
        <v/>
      </c>
    </row>
    <row r="48" spans="1:9" x14ac:dyDescent="0.2">
      <c r="A48" t="str">
        <f t="shared" si="0"/>
        <v/>
      </c>
      <c r="B48" s="24">
        <v>2016</v>
      </c>
      <c r="C48" t="s">
        <v>63</v>
      </c>
      <c r="D48" t="s">
        <v>583</v>
      </c>
      <c r="E48" t="s">
        <v>583</v>
      </c>
      <c r="F48" s="11">
        <v>14973694</v>
      </c>
      <c r="G48" s="18">
        <v>1.383E-4</v>
      </c>
      <c r="H48" s="11">
        <v>176332.9149</v>
      </c>
      <c r="I48" s="22" t="str">
        <f>IFERROR(VLOOKUP(D48,'LEAID Match'!$A$2:$B$184,2,FALSE),"")</f>
        <v/>
      </c>
    </row>
    <row r="49" spans="1:9" x14ac:dyDescent="0.2">
      <c r="A49" t="str">
        <f t="shared" si="0"/>
        <v/>
      </c>
      <c r="B49" s="24">
        <v>2017</v>
      </c>
      <c r="C49" t="s">
        <v>63</v>
      </c>
      <c r="D49" t="s">
        <v>583</v>
      </c>
      <c r="E49" t="s">
        <v>875</v>
      </c>
      <c r="F49" s="11">
        <v>16816359</v>
      </c>
      <c r="G49" s="18">
        <v>1.507E-4</v>
      </c>
      <c r="H49" s="11">
        <v>217187.93580000001</v>
      </c>
      <c r="I49" s="22" t="str">
        <f>IFERROR(VLOOKUP(D49,'LEAID Match'!$A$2:$B$184,2,FALSE),"")</f>
        <v/>
      </c>
    </row>
    <row r="50" spans="1:9" x14ac:dyDescent="0.2">
      <c r="A50" t="str">
        <f t="shared" si="0"/>
        <v/>
      </c>
      <c r="B50" s="24">
        <v>2018</v>
      </c>
      <c r="C50" t="s">
        <v>63</v>
      </c>
      <c r="D50" t="s">
        <v>583</v>
      </c>
      <c r="E50" t="s">
        <v>875</v>
      </c>
      <c r="F50" s="11">
        <v>19321348</v>
      </c>
      <c r="G50" s="18">
        <v>1.663E-4</v>
      </c>
      <c r="H50" s="11">
        <v>266562.4363</v>
      </c>
      <c r="I50" s="22" t="str">
        <f>IFERROR(VLOOKUP(D50,'LEAID Match'!$A$2:$B$184,2,FALSE),"")</f>
        <v/>
      </c>
    </row>
    <row r="51" spans="1:9" x14ac:dyDescent="0.2">
      <c r="A51" t="str">
        <f t="shared" si="0"/>
        <v/>
      </c>
      <c r="B51" s="24">
        <v>2019</v>
      </c>
      <c r="C51" t="s">
        <v>63</v>
      </c>
      <c r="D51" t="s">
        <v>583</v>
      </c>
      <c r="E51" t="s">
        <v>875</v>
      </c>
      <c r="F51" s="11">
        <v>19956428</v>
      </c>
      <c r="G51" s="18">
        <v>1.6559999999999999E-4</v>
      </c>
      <c r="H51" s="11">
        <v>317148.1776</v>
      </c>
      <c r="I51" s="22" t="str">
        <f>IFERROR(VLOOKUP(D51,'LEAID Match'!$A$2:$B$184,2,FALSE),"")</f>
        <v/>
      </c>
    </row>
    <row r="52" spans="1:9" x14ac:dyDescent="0.2">
      <c r="A52" t="str">
        <f t="shared" si="0"/>
        <v/>
      </c>
      <c r="B52" s="24">
        <v>2020</v>
      </c>
      <c r="C52" t="s">
        <v>63</v>
      </c>
      <c r="D52" t="s">
        <v>583</v>
      </c>
      <c r="E52" t="s">
        <v>583</v>
      </c>
      <c r="F52" s="11">
        <v>21396961</v>
      </c>
      <c r="G52" s="18">
        <v>1.727E-4</v>
      </c>
      <c r="H52" s="11">
        <v>354911.45250000001</v>
      </c>
      <c r="I52" s="22" t="str">
        <f>IFERROR(VLOOKUP(D52,'LEAID Match'!$A$2:$B$184,2,FALSE),"")</f>
        <v/>
      </c>
    </row>
    <row r="53" spans="1:9" x14ac:dyDescent="0.2">
      <c r="A53" t="str">
        <f t="shared" si="0"/>
        <v/>
      </c>
      <c r="B53" s="24">
        <v>2021</v>
      </c>
      <c r="C53" t="s">
        <v>63</v>
      </c>
      <c r="D53" t="s">
        <v>583</v>
      </c>
      <c r="E53" t="s">
        <v>583</v>
      </c>
      <c r="F53" s="11">
        <v>22255795</v>
      </c>
      <c r="G53" s="18">
        <v>1.7780000000000001E-4</v>
      </c>
      <c r="H53" s="11">
        <v>421964.20560000004</v>
      </c>
      <c r="I53" s="22" t="str">
        <f>IFERROR(VLOOKUP(D53,'LEAID Match'!$A$2:$B$184,2,FALSE),"")</f>
        <v/>
      </c>
    </row>
    <row r="54" spans="1:9" x14ac:dyDescent="0.2">
      <c r="A54" t="str">
        <f t="shared" si="0"/>
        <v/>
      </c>
      <c r="B54" s="24">
        <v>2022</v>
      </c>
      <c r="C54" t="s">
        <v>63</v>
      </c>
      <c r="D54" t="s">
        <v>583</v>
      </c>
      <c r="E54" t="s">
        <v>583</v>
      </c>
      <c r="F54" s="11">
        <v>19491434</v>
      </c>
      <c r="G54" s="18">
        <v>1.5449999999999999E-4</v>
      </c>
      <c r="H54" s="11">
        <v>426720.65699999995</v>
      </c>
      <c r="I54" s="22" t="str">
        <f>IFERROR(VLOOKUP(D54,'LEAID Match'!$A$2:$B$184,2,FALSE),"")</f>
        <v/>
      </c>
    </row>
    <row r="55" spans="1:9" x14ac:dyDescent="0.2">
      <c r="A55" t="str">
        <f t="shared" si="0"/>
        <v/>
      </c>
      <c r="B55" s="24">
        <v>2023</v>
      </c>
      <c r="C55" t="s">
        <v>63</v>
      </c>
      <c r="D55" t="s">
        <v>583</v>
      </c>
      <c r="E55" t="s">
        <v>583</v>
      </c>
      <c r="F55" s="11">
        <v>24248436</v>
      </c>
      <c r="G55" s="18">
        <v>1.8249999999999999E-4</v>
      </c>
      <c r="H55" s="11">
        <v>553868.70250000001</v>
      </c>
      <c r="I55" s="22" t="str">
        <f>IFERROR(VLOOKUP(D55,'LEAID Match'!$A$2:$B$184,2,FALSE),"")</f>
        <v/>
      </c>
    </row>
    <row r="56" spans="1:9" x14ac:dyDescent="0.2">
      <c r="A56" t="str">
        <f t="shared" si="0"/>
        <v/>
      </c>
      <c r="B56" s="24">
        <v>2015</v>
      </c>
      <c r="C56" t="s">
        <v>64</v>
      </c>
      <c r="D56" t="s">
        <v>584</v>
      </c>
      <c r="E56" t="s">
        <v>6</v>
      </c>
      <c r="F56" s="11">
        <v>220479560</v>
      </c>
      <c r="G56" s="18">
        <v>1.9277000000000001E-3</v>
      </c>
      <c r="H56" s="11">
        <v>2434661.9676000001</v>
      </c>
      <c r="I56" s="22" t="str">
        <f>IFERROR(VLOOKUP(D56,'LEAID Match'!$A$2:$B$184,2,FALSE),"")</f>
        <v/>
      </c>
    </row>
    <row r="57" spans="1:9" x14ac:dyDescent="0.2">
      <c r="A57" t="str">
        <f t="shared" si="0"/>
        <v/>
      </c>
      <c r="B57" s="24">
        <v>2016</v>
      </c>
      <c r="C57" t="s">
        <v>64</v>
      </c>
      <c r="D57" t="s">
        <v>584</v>
      </c>
      <c r="E57" t="s">
        <v>584</v>
      </c>
      <c r="F57" s="11">
        <v>206645328</v>
      </c>
      <c r="G57" s="18">
        <v>1.9082000000000001E-3</v>
      </c>
      <c r="H57" s="11">
        <v>2432960.7246000003</v>
      </c>
      <c r="I57" s="22" t="str">
        <f>IFERROR(VLOOKUP(D57,'LEAID Match'!$A$2:$B$184,2,FALSE),"")</f>
        <v/>
      </c>
    </row>
    <row r="58" spans="1:9" x14ac:dyDescent="0.2">
      <c r="A58" t="str">
        <f t="shared" si="0"/>
        <v/>
      </c>
      <c r="B58" s="24">
        <v>2017</v>
      </c>
      <c r="C58" t="s">
        <v>64</v>
      </c>
      <c r="D58" t="s">
        <v>584</v>
      </c>
      <c r="E58" t="s">
        <v>584</v>
      </c>
      <c r="F58" s="11">
        <v>198324894</v>
      </c>
      <c r="G58" s="18">
        <v>1.7773999999999999E-3</v>
      </c>
      <c r="H58" s="11">
        <v>2561578.2155999998</v>
      </c>
      <c r="I58" s="22" t="str">
        <f>IFERROR(VLOOKUP(D58,'LEAID Match'!$A$2:$B$184,2,FALSE),"")</f>
        <v/>
      </c>
    </row>
    <row r="59" spans="1:9" x14ac:dyDescent="0.2">
      <c r="A59" t="str">
        <f t="shared" si="0"/>
        <v/>
      </c>
      <c r="B59" s="24">
        <v>2018</v>
      </c>
      <c r="C59" t="s">
        <v>64</v>
      </c>
      <c r="D59" t="s">
        <v>584</v>
      </c>
      <c r="E59" t="s">
        <v>584</v>
      </c>
      <c r="F59" s="11">
        <v>178502714</v>
      </c>
      <c r="G59" s="18">
        <v>1.5361000000000001E-3</v>
      </c>
      <c r="H59" s="11">
        <v>2462216.2261000001</v>
      </c>
      <c r="I59" s="22" t="str">
        <f>IFERROR(VLOOKUP(D59,'LEAID Match'!$A$2:$B$184,2,FALSE),"")</f>
        <v/>
      </c>
    </row>
    <row r="60" spans="1:9" x14ac:dyDescent="0.2">
      <c r="A60" t="str">
        <f t="shared" si="0"/>
        <v/>
      </c>
      <c r="B60" s="24">
        <v>2019</v>
      </c>
      <c r="C60" t="s">
        <v>64</v>
      </c>
      <c r="D60" t="s">
        <v>584</v>
      </c>
      <c r="E60" t="s">
        <v>584</v>
      </c>
      <c r="F60" s="11">
        <v>189914033</v>
      </c>
      <c r="G60" s="18">
        <v>1.5763000000000001E-3</v>
      </c>
      <c r="H60" s="11">
        <v>3018844.6398</v>
      </c>
      <c r="I60" s="22" t="str">
        <f>IFERROR(VLOOKUP(D60,'LEAID Match'!$A$2:$B$184,2,FALSE),"")</f>
        <v/>
      </c>
    </row>
    <row r="61" spans="1:9" x14ac:dyDescent="0.2">
      <c r="A61" t="str">
        <f t="shared" si="0"/>
        <v/>
      </c>
      <c r="B61" s="24">
        <v>2020</v>
      </c>
      <c r="C61" t="s">
        <v>64</v>
      </c>
      <c r="D61" t="s">
        <v>584</v>
      </c>
      <c r="E61" t="s">
        <v>584</v>
      </c>
      <c r="F61" s="11">
        <v>195870147</v>
      </c>
      <c r="G61" s="18">
        <v>1.5812000000000001E-3</v>
      </c>
      <c r="H61" s="11">
        <v>3249484.5900000003</v>
      </c>
      <c r="I61" s="22" t="str">
        <f>IFERROR(VLOOKUP(D61,'LEAID Match'!$A$2:$B$184,2,FALSE),"")</f>
        <v/>
      </c>
    </row>
    <row r="62" spans="1:9" x14ac:dyDescent="0.2">
      <c r="A62" t="str">
        <f t="shared" si="0"/>
        <v/>
      </c>
      <c r="B62" s="24">
        <v>2021</v>
      </c>
      <c r="C62" t="s">
        <v>64</v>
      </c>
      <c r="D62" t="s">
        <v>584</v>
      </c>
      <c r="E62" t="s">
        <v>584</v>
      </c>
      <c r="F62" s="11">
        <v>220388389</v>
      </c>
      <c r="G62" s="18">
        <v>1.761E-3</v>
      </c>
      <c r="H62" s="11">
        <v>4179296.7719999999</v>
      </c>
      <c r="I62" s="22" t="str">
        <f>IFERROR(VLOOKUP(D62,'LEAID Match'!$A$2:$B$184,2,FALSE),"")</f>
        <v/>
      </c>
    </row>
    <row r="63" spans="1:9" x14ac:dyDescent="0.2">
      <c r="A63" t="str">
        <f t="shared" si="0"/>
        <v/>
      </c>
      <c r="B63" s="24">
        <v>2022</v>
      </c>
      <c r="C63" t="s">
        <v>64</v>
      </c>
      <c r="D63" t="s">
        <v>584</v>
      </c>
      <c r="E63" t="s">
        <v>584</v>
      </c>
      <c r="F63" s="11">
        <v>220692704</v>
      </c>
      <c r="G63" s="18">
        <v>1.7499E-3</v>
      </c>
      <c r="H63" s="11">
        <v>4833129.3054</v>
      </c>
      <c r="I63" s="22" t="str">
        <f>IFERROR(VLOOKUP(D63,'LEAID Match'!$A$2:$B$184,2,FALSE),"")</f>
        <v/>
      </c>
    </row>
    <row r="64" spans="1:9" x14ac:dyDescent="0.2">
      <c r="A64" t="str">
        <f t="shared" si="0"/>
        <v/>
      </c>
      <c r="B64" s="24">
        <v>2023</v>
      </c>
      <c r="C64" t="s">
        <v>64</v>
      </c>
      <c r="D64" t="s">
        <v>584</v>
      </c>
      <c r="E64" t="s">
        <v>584</v>
      </c>
      <c r="F64" s="11">
        <v>234595076</v>
      </c>
      <c r="G64" s="18">
        <v>1.7652E-3</v>
      </c>
      <c r="H64" s="11">
        <v>5357200.1843999997</v>
      </c>
      <c r="I64" s="22" t="str">
        <f>IFERROR(VLOOKUP(D64,'LEAID Match'!$A$2:$B$184,2,FALSE),"")</f>
        <v/>
      </c>
    </row>
    <row r="65" spans="1:9" x14ac:dyDescent="0.2">
      <c r="A65" t="str">
        <f t="shared" si="0"/>
        <v/>
      </c>
      <c r="B65" s="24">
        <v>2015</v>
      </c>
      <c r="C65" t="s">
        <v>65</v>
      </c>
      <c r="D65" t="s">
        <v>876</v>
      </c>
      <c r="E65" t="s">
        <v>7</v>
      </c>
      <c r="F65" s="11">
        <v>38684391</v>
      </c>
      <c r="G65" s="18">
        <v>3.3819999999999998E-4</v>
      </c>
      <c r="H65" s="11">
        <v>427142.5416</v>
      </c>
      <c r="I65" s="22" t="str">
        <f>IFERROR(VLOOKUP(D65,'LEAID Match'!$A$2:$B$184,2,FALSE),"")</f>
        <v/>
      </c>
    </row>
    <row r="66" spans="1:9" x14ac:dyDescent="0.2">
      <c r="A66" t="str">
        <f t="shared" si="0"/>
        <v/>
      </c>
      <c r="B66" s="24">
        <v>2016</v>
      </c>
      <c r="C66" t="s">
        <v>65</v>
      </c>
      <c r="D66" t="s">
        <v>876</v>
      </c>
      <c r="E66" t="s">
        <v>585</v>
      </c>
      <c r="F66" s="11">
        <v>29157037</v>
      </c>
      <c r="G66" s="18">
        <v>2.6919999999999998E-4</v>
      </c>
      <c r="H66" s="11">
        <v>343230.8076</v>
      </c>
      <c r="I66" s="22" t="str">
        <f>IFERROR(VLOOKUP(D66,'LEAID Match'!$A$2:$B$184,2,FALSE),"")</f>
        <v/>
      </c>
    </row>
    <row r="67" spans="1:9" x14ac:dyDescent="0.2">
      <c r="A67" t="str">
        <f t="shared" ref="A67:A130" si="1">I67</f>
        <v/>
      </c>
      <c r="B67" s="24">
        <v>2017</v>
      </c>
      <c r="C67" t="s">
        <v>65</v>
      </c>
      <c r="D67" t="s">
        <v>876</v>
      </c>
      <c r="E67" t="s">
        <v>876</v>
      </c>
      <c r="F67" s="11">
        <v>33028566</v>
      </c>
      <c r="G67" s="18">
        <v>2.9599999999999998E-4</v>
      </c>
      <c r="H67" s="11">
        <v>426593.424</v>
      </c>
      <c r="I67" s="22" t="str">
        <f>IFERROR(VLOOKUP(D67,'LEAID Match'!$A$2:$B$184,2,FALSE),"")</f>
        <v/>
      </c>
    </row>
    <row r="68" spans="1:9" x14ac:dyDescent="0.2">
      <c r="A68" t="str">
        <f t="shared" si="1"/>
        <v/>
      </c>
      <c r="B68" s="24">
        <v>2018</v>
      </c>
      <c r="C68" t="s">
        <v>65</v>
      </c>
      <c r="D68" t="s">
        <v>876</v>
      </c>
      <c r="E68" t="s">
        <v>876</v>
      </c>
      <c r="F68" s="11">
        <v>35336367</v>
      </c>
      <c r="G68" s="18">
        <v>3.0410000000000002E-4</v>
      </c>
      <c r="H68" s="11">
        <v>487442.19410000002</v>
      </c>
      <c r="I68" s="22" t="str">
        <f>IFERROR(VLOOKUP(D68,'LEAID Match'!$A$2:$B$184,2,FALSE),"")</f>
        <v/>
      </c>
    </row>
    <row r="69" spans="1:9" x14ac:dyDescent="0.2">
      <c r="A69" t="str">
        <f t="shared" si="1"/>
        <v/>
      </c>
      <c r="B69" s="24">
        <v>2019</v>
      </c>
      <c r="C69" t="s">
        <v>65</v>
      </c>
      <c r="D69" t="s">
        <v>876</v>
      </c>
      <c r="E69" t="s">
        <v>876</v>
      </c>
      <c r="F69" s="11">
        <v>40767223</v>
      </c>
      <c r="G69" s="18">
        <v>3.3839999999999999E-4</v>
      </c>
      <c r="H69" s="11">
        <v>648085.40639999998</v>
      </c>
      <c r="I69" s="22" t="str">
        <f>IFERROR(VLOOKUP(D69,'LEAID Match'!$A$2:$B$184,2,FALSE),"")</f>
        <v/>
      </c>
    </row>
    <row r="70" spans="1:9" x14ac:dyDescent="0.2">
      <c r="A70" t="str">
        <f t="shared" si="1"/>
        <v/>
      </c>
      <c r="B70" s="24">
        <v>2020</v>
      </c>
      <c r="C70" t="s">
        <v>65</v>
      </c>
      <c r="D70" t="s">
        <v>876</v>
      </c>
      <c r="E70" t="s">
        <v>876</v>
      </c>
      <c r="F70" s="11">
        <v>46046800</v>
      </c>
      <c r="G70" s="18">
        <v>3.7169999999999998E-4</v>
      </c>
      <c r="H70" s="11">
        <v>763871.37749999994</v>
      </c>
      <c r="I70" s="22" t="str">
        <f>IFERROR(VLOOKUP(D70,'LEAID Match'!$A$2:$B$184,2,FALSE),"")</f>
        <v/>
      </c>
    </row>
    <row r="71" spans="1:9" x14ac:dyDescent="0.2">
      <c r="A71" t="str">
        <f t="shared" si="1"/>
        <v/>
      </c>
      <c r="B71" s="24">
        <v>2021</v>
      </c>
      <c r="C71" t="s">
        <v>65</v>
      </c>
      <c r="D71" t="s">
        <v>876</v>
      </c>
      <c r="E71" t="s">
        <v>876</v>
      </c>
      <c r="F71" s="11">
        <v>57389652</v>
      </c>
      <c r="G71" s="18">
        <v>4.5859999999999998E-4</v>
      </c>
      <c r="H71" s="11">
        <v>1088373.3672</v>
      </c>
      <c r="I71" s="22" t="str">
        <f>IFERROR(VLOOKUP(D71,'LEAID Match'!$A$2:$B$184,2,FALSE),"")</f>
        <v/>
      </c>
    </row>
    <row r="72" spans="1:9" x14ac:dyDescent="0.2">
      <c r="A72" t="str">
        <f t="shared" si="1"/>
        <v/>
      </c>
      <c r="B72" s="24">
        <v>2022</v>
      </c>
      <c r="C72" t="s">
        <v>65</v>
      </c>
      <c r="D72" t="s">
        <v>876</v>
      </c>
      <c r="E72" t="s">
        <v>876</v>
      </c>
      <c r="F72" s="11">
        <v>67197199</v>
      </c>
      <c r="G72" s="18">
        <v>5.3280000000000005E-4</v>
      </c>
      <c r="H72" s="11">
        <v>1471564.8288000003</v>
      </c>
      <c r="I72" s="22" t="str">
        <f>IFERROR(VLOOKUP(D72,'LEAID Match'!$A$2:$B$184,2,FALSE),"")</f>
        <v/>
      </c>
    </row>
    <row r="73" spans="1:9" x14ac:dyDescent="0.2">
      <c r="A73" t="str">
        <f t="shared" si="1"/>
        <v/>
      </c>
      <c r="B73" s="24">
        <v>2023</v>
      </c>
      <c r="C73" t="s">
        <v>65</v>
      </c>
      <c r="D73" t="s">
        <v>876</v>
      </c>
      <c r="E73" t="s">
        <v>876</v>
      </c>
      <c r="F73" s="11">
        <v>81190767</v>
      </c>
      <c r="G73" s="18">
        <v>6.1090000000000005E-4</v>
      </c>
      <c r="H73" s="11">
        <v>1854018.5773000002</v>
      </c>
      <c r="I73" s="22" t="str">
        <f>IFERROR(VLOOKUP(D73,'LEAID Match'!$A$2:$B$184,2,FALSE),"")</f>
        <v/>
      </c>
    </row>
    <row r="74" spans="1:9" x14ac:dyDescent="0.2">
      <c r="A74" t="str">
        <f t="shared" si="1"/>
        <v/>
      </c>
      <c r="B74" s="24">
        <v>2015</v>
      </c>
      <c r="C74" t="s">
        <v>66</v>
      </c>
      <c r="D74" t="s">
        <v>586</v>
      </c>
      <c r="E74" t="s">
        <v>8</v>
      </c>
      <c r="F74" s="11">
        <v>300048782</v>
      </c>
      <c r="G74" s="18">
        <v>2.6234000000000001E-3</v>
      </c>
      <c r="H74" s="11">
        <v>3313322.7192000002</v>
      </c>
      <c r="I74" s="22" t="str">
        <f>IFERROR(VLOOKUP(D74,'LEAID Match'!$A$2:$B$184,2,FALSE),"")</f>
        <v/>
      </c>
    </row>
    <row r="75" spans="1:9" x14ac:dyDescent="0.2">
      <c r="A75" t="str">
        <f t="shared" si="1"/>
        <v/>
      </c>
      <c r="B75" s="24">
        <v>2016</v>
      </c>
      <c r="C75" t="s">
        <v>66</v>
      </c>
      <c r="D75" t="s">
        <v>586</v>
      </c>
      <c r="E75" t="s">
        <v>586</v>
      </c>
      <c r="F75" s="11">
        <v>275364539</v>
      </c>
      <c r="G75" s="18">
        <v>2.5428E-3</v>
      </c>
      <c r="H75" s="11">
        <v>3242077.6283999998</v>
      </c>
      <c r="I75" s="22" t="str">
        <f>IFERROR(VLOOKUP(D75,'LEAID Match'!$A$2:$B$184,2,FALSE),"")</f>
        <v/>
      </c>
    </row>
    <row r="76" spans="1:9" x14ac:dyDescent="0.2">
      <c r="A76" t="str">
        <f t="shared" si="1"/>
        <v/>
      </c>
      <c r="B76" s="24">
        <v>2017</v>
      </c>
      <c r="C76" t="s">
        <v>66</v>
      </c>
      <c r="D76" t="s">
        <v>586</v>
      </c>
      <c r="E76" t="s">
        <v>586</v>
      </c>
      <c r="F76" s="11">
        <v>309756046</v>
      </c>
      <c r="G76" s="18">
        <v>2.7759999999999998E-3</v>
      </c>
      <c r="H76" s="11">
        <v>4000754.5439999998</v>
      </c>
      <c r="I76" s="22" t="str">
        <f>IFERROR(VLOOKUP(D76,'LEAID Match'!$A$2:$B$184,2,FALSE),"")</f>
        <v/>
      </c>
    </row>
    <row r="77" spans="1:9" x14ac:dyDescent="0.2">
      <c r="A77" t="str">
        <f t="shared" si="1"/>
        <v/>
      </c>
      <c r="B77" s="24">
        <v>2018</v>
      </c>
      <c r="C77" t="s">
        <v>66</v>
      </c>
      <c r="D77" t="s">
        <v>586</v>
      </c>
      <c r="E77" t="s">
        <v>586</v>
      </c>
      <c r="F77" s="11">
        <v>313048534</v>
      </c>
      <c r="G77" s="18">
        <v>2.6938999999999999E-3</v>
      </c>
      <c r="H77" s="11">
        <v>4318055.0038999999</v>
      </c>
      <c r="I77" s="22" t="str">
        <f>IFERROR(VLOOKUP(D77,'LEAID Match'!$A$2:$B$184,2,FALSE),"")</f>
        <v/>
      </c>
    </row>
    <row r="78" spans="1:9" x14ac:dyDescent="0.2">
      <c r="A78" t="str">
        <f t="shared" si="1"/>
        <v/>
      </c>
      <c r="B78" s="24">
        <v>2019</v>
      </c>
      <c r="C78" t="s">
        <v>66</v>
      </c>
      <c r="D78" t="s">
        <v>586</v>
      </c>
      <c r="E78" t="s">
        <v>586</v>
      </c>
      <c r="F78" s="11">
        <v>582324652</v>
      </c>
      <c r="G78" s="18">
        <v>4.8332999999999996E-3</v>
      </c>
      <c r="H78" s="11">
        <v>9256475.161799999</v>
      </c>
      <c r="I78" s="22" t="str">
        <f>IFERROR(VLOOKUP(D78,'LEAID Match'!$A$2:$B$184,2,FALSE),"")</f>
        <v/>
      </c>
    </row>
    <row r="79" spans="1:9" x14ac:dyDescent="0.2">
      <c r="A79" t="str">
        <f t="shared" si="1"/>
        <v/>
      </c>
      <c r="B79" s="24">
        <v>2020</v>
      </c>
      <c r="C79" t="s">
        <v>66</v>
      </c>
      <c r="D79" t="s">
        <v>586</v>
      </c>
      <c r="E79" t="s">
        <v>586</v>
      </c>
      <c r="F79" s="11">
        <v>657261039</v>
      </c>
      <c r="G79" s="18">
        <v>5.306E-3</v>
      </c>
      <c r="H79" s="11">
        <v>10904227.949999999</v>
      </c>
      <c r="I79" s="22" t="str">
        <f>IFERROR(VLOOKUP(D79,'LEAID Match'!$A$2:$B$184,2,FALSE),"")</f>
        <v/>
      </c>
    </row>
    <row r="80" spans="1:9" x14ac:dyDescent="0.2">
      <c r="A80" t="str">
        <f t="shared" si="1"/>
        <v/>
      </c>
      <c r="B80" s="24">
        <v>2021</v>
      </c>
      <c r="C80" t="s">
        <v>66</v>
      </c>
      <c r="D80" t="s">
        <v>586</v>
      </c>
      <c r="E80" t="s">
        <v>586</v>
      </c>
      <c r="F80" s="11">
        <v>722891015</v>
      </c>
      <c r="G80" s="18">
        <v>5.7762000000000004E-3</v>
      </c>
      <c r="H80" s="11">
        <v>13708378.202400001</v>
      </c>
      <c r="I80" s="22" t="str">
        <f>IFERROR(VLOOKUP(D80,'LEAID Match'!$A$2:$B$184,2,FALSE),"")</f>
        <v/>
      </c>
    </row>
    <row r="81" spans="1:9" x14ac:dyDescent="0.2">
      <c r="A81" t="str">
        <f t="shared" si="1"/>
        <v/>
      </c>
      <c r="B81" s="24">
        <v>2022</v>
      </c>
      <c r="C81" t="s">
        <v>66</v>
      </c>
      <c r="D81" t="s">
        <v>586</v>
      </c>
      <c r="E81" t="s">
        <v>586</v>
      </c>
      <c r="F81" s="11">
        <v>701998475</v>
      </c>
      <c r="G81" s="18">
        <v>5.5661E-3</v>
      </c>
      <c r="H81" s="11">
        <v>15373267.6306</v>
      </c>
      <c r="I81" s="22" t="str">
        <f>IFERROR(VLOOKUP(D81,'LEAID Match'!$A$2:$B$184,2,FALSE),"")</f>
        <v/>
      </c>
    </row>
    <row r="82" spans="1:9" x14ac:dyDescent="0.2">
      <c r="A82" t="str">
        <f t="shared" si="1"/>
        <v/>
      </c>
      <c r="B82" s="24">
        <v>2023</v>
      </c>
      <c r="C82" t="s">
        <v>66</v>
      </c>
      <c r="D82" t="s">
        <v>586</v>
      </c>
      <c r="E82" t="s">
        <v>586</v>
      </c>
      <c r="F82" s="11">
        <v>771521732</v>
      </c>
      <c r="G82" s="18">
        <v>5.8050999999999997E-3</v>
      </c>
      <c r="H82" s="11">
        <v>17617880.574699998</v>
      </c>
      <c r="I82" s="22" t="str">
        <f>IFERROR(VLOOKUP(D82,'LEAID Match'!$A$2:$B$184,2,FALSE),"")</f>
        <v/>
      </c>
    </row>
    <row r="83" spans="1:9" x14ac:dyDescent="0.2">
      <c r="A83" t="str">
        <f t="shared" si="1"/>
        <v/>
      </c>
      <c r="B83" s="24">
        <v>2015</v>
      </c>
      <c r="C83" t="s">
        <v>67</v>
      </c>
      <c r="D83" t="s">
        <v>587</v>
      </c>
      <c r="E83" t="s">
        <v>9</v>
      </c>
      <c r="F83" s="11">
        <v>82663049</v>
      </c>
      <c r="G83" s="18">
        <v>7.228E-4</v>
      </c>
      <c r="H83" s="11">
        <v>912887.72640000004</v>
      </c>
      <c r="I83" s="22" t="str">
        <f>IFERROR(VLOOKUP(D83,'LEAID Match'!$A$2:$B$184,2,FALSE),"")</f>
        <v/>
      </c>
    </row>
    <row r="84" spans="1:9" x14ac:dyDescent="0.2">
      <c r="A84" t="str">
        <f t="shared" si="1"/>
        <v/>
      </c>
      <c r="B84" s="24">
        <v>2016</v>
      </c>
      <c r="C84" t="s">
        <v>67</v>
      </c>
      <c r="D84" t="s">
        <v>587</v>
      </c>
      <c r="E84" t="s">
        <v>587</v>
      </c>
      <c r="F84" s="11">
        <v>75733002</v>
      </c>
      <c r="G84" s="18">
        <v>6.9930000000000003E-4</v>
      </c>
      <c r="H84" s="11">
        <v>891609.59790000005</v>
      </c>
      <c r="I84" s="22" t="str">
        <f>IFERROR(VLOOKUP(D84,'LEAID Match'!$A$2:$B$184,2,FALSE),"")</f>
        <v/>
      </c>
    </row>
    <row r="85" spans="1:9" x14ac:dyDescent="0.2">
      <c r="A85" t="str">
        <f t="shared" si="1"/>
        <v/>
      </c>
      <c r="B85" s="24">
        <v>2017</v>
      </c>
      <c r="C85" t="s">
        <v>67</v>
      </c>
      <c r="D85" t="s">
        <v>587</v>
      </c>
      <c r="E85" t="s">
        <v>877</v>
      </c>
      <c r="F85" s="11">
        <v>77063640</v>
      </c>
      <c r="G85" s="18">
        <v>6.9059999999999998E-4</v>
      </c>
      <c r="H85" s="11">
        <v>995288.57640000002</v>
      </c>
      <c r="I85" s="22" t="str">
        <f>IFERROR(VLOOKUP(D85,'LEAID Match'!$A$2:$B$184,2,FALSE),"")</f>
        <v/>
      </c>
    </row>
    <row r="86" spans="1:9" x14ac:dyDescent="0.2">
      <c r="A86" t="str">
        <f t="shared" si="1"/>
        <v/>
      </c>
      <c r="B86" s="24">
        <v>2018</v>
      </c>
      <c r="C86" t="s">
        <v>67</v>
      </c>
      <c r="D86" t="s">
        <v>587</v>
      </c>
      <c r="E86" t="s">
        <v>877</v>
      </c>
      <c r="F86" s="11">
        <v>81168298</v>
      </c>
      <c r="G86" s="18">
        <v>6.9850000000000001E-4</v>
      </c>
      <c r="H86" s="11">
        <v>1119626.3485000001</v>
      </c>
      <c r="I86" s="22" t="str">
        <f>IFERROR(VLOOKUP(D86,'LEAID Match'!$A$2:$B$184,2,FALSE),"")</f>
        <v/>
      </c>
    </row>
    <row r="87" spans="1:9" x14ac:dyDescent="0.2">
      <c r="A87" t="str">
        <f t="shared" si="1"/>
        <v/>
      </c>
      <c r="B87" s="24">
        <v>2019</v>
      </c>
      <c r="C87" t="s">
        <v>67</v>
      </c>
      <c r="D87" t="s">
        <v>587</v>
      </c>
      <c r="E87" t="s">
        <v>877</v>
      </c>
      <c r="F87" s="11">
        <v>79125614</v>
      </c>
      <c r="G87" s="18">
        <v>6.5669999999999997E-4</v>
      </c>
      <c r="H87" s="11">
        <v>1257676.3781999999</v>
      </c>
      <c r="I87" s="22" t="str">
        <f>IFERROR(VLOOKUP(D87,'LEAID Match'!$A$2:$B$184,2,FALSE),"")</f>
        <v/>
      </c>
    </row>
    <row r="88" spans="1:9" x14ac:dyDescent="0.2">
      <c r="A88" t="str">
        <f t="shared" si="1"/>
        <v/>
      </c>
      <c r="B88" s="24">
        <v>2020</v>
      </c>
      <c r="C88" t="s">
        <v>67</v>
      </c>
      <c r="D88" t="s">
        <v>587</v>
      </c>
      <c r="E88" t="s">
        <v>587</v>
      </c>
      <c r="F88" s="11">
        <v>85664856</v>
      </c>
      <c r="G88" s="18">
        <v>6.9160000000000001E-4</v>
      </c>
      <c r="H88" s="11">
        <v>1421289.87</v>
      </c>
      <c r="I88" s="22" t="str">
        <f>IFERROR(VLOOKUP(D88,'LEAID Match'!$A$2:$B$184,2,FALSE),"")</f>
        <v/>
      </c>
    </row>
    <row r="89" spans="1:9" x14ac:dyDescent="0.2">
      <c r="A89" t="str">
        <f t="shared" si="1"/>
        <v/>
      </c>
      <c r="B89" s="24">
        <v>2021</v>
      </c>
      <c r="C89" t="s">
        <v>67</v>
      </c>
      <c r="D89" t="s">
        <v>587</v>
      </c>
      <c r="E89" t="s">
        <v>587</v>
      </c>
      <c r="F89" s="11">
        <v>89237628</v>
      </c>
      <c r="G89" s="18">
        <v>7.1299999999999998E-4</v>
      </c>
      <c r="H89" s="11">
        <v>1692128.676</v>
      </c>
      <c r="I89" s="22" t="str">
        <f>IFERROR(VLOOKUP(D89,'LEAID Match'!$A$2:$B$184,2,FALSE),"")</f>
        <v/>
      </c>
    </row>
    <row r="90" spans="1:9" x14ac:dyDescent="0.2">
      <c r="A90" t="str">
        <f t="shared" si="1"/>
        <v/>
      </c>
      <c r="B90" s="24">
        <v>2022</v>
      </c>
      <c r="C90" t="s">
        <v>67</v>
      </c>
      <c r="D90" t="s">
        <v>587</v>
      </c>
      <c r="E90" t="s">
        <v>587</v>
      </c>
      <c r="F90" s="11">
        <v>94571901</v>
      </c>
      <c r="G90" s="18">
        <v>7.4989999999999996E-4</v>
      </c>
      <c r="H90" s="11">
        <v>2071183.3054</v>
      </c>
      <c r="I90" s="22" t="str">
        <f>IFERROR(VLOOKUP(D90,'LEAID Match'!$A$2:$B$184,2,FALSE),"")</f>
        <v/>
      </c>
    </row>
    <row r="91" spans="1:9" x14ac:dyDescent="0.2">
      <c r="A91" t="str">
        <f t="shared" si="1"/>
        <v/>
      </c>
      <c r="B91" s="24">
        <v>2023</v>
      </c>
      <c r="C91" t="s">
        <v>67</v>
      </c>
      <c r="D91" t="s">
        <v>587</v>
      </c>
      <c r="E91" t="s">
        <v>587</v>
      </c>
      <c r="F91" s="11">
        <v>104668291</v>
      </c>
      <c r="G91" s="18">
        <v>7.8759999999999995E-4</v>
      </c>
      <c r="H91" s="11">
        <v>2390284.8772</v>
      </c>
      <c r="I91" s="22" t="str">
        <f>IFERROR(VLOOKUP(D91,'LEAID Match'!$A$2:$B$184,2,FALSE),"")</f>
        <v/>
      </c>
    </row>
    <row r="92" spans="1:9" x14ac:dyDescent="0.2">
      <c r="A92">
        <f t="shared" si="1"/>
        <v>3700002</v>
      </c>
      <c r="B92" s="24">
        <v>2015</v>
      </c>
      <c r="C92" t="s">
        <v>68</v>
      </c>
      <c r="D92" t="s">
        <v>878</v>
      </c>
      <c r="E92" t="s">
        <v>10</v>
      </c>
      <c r="F92" s="11">
        <v>77178893</v>
      </c>
      <c r="G92" s="18">
        <v>6.7480000000000003E-4</v>
      </c>
      <c r="H92" s="11">
        <v>852264.30240000004</v>
      </c>
      <c r="I92" s="22">
        <f>IFERROR(VLOOKUP(D92,'LEAID Match'!$A$2:$B$184,2,FALSE),"")</f>
        <v>3700002</v>
      </c>
    </row>
    <row r="93" spans="1:9" x14ac:dyDescent="0.2">
      <c r="A93">
        <f t="shared" si="1"/>
        <v>3700002</v>
      </c>
      <c r="B93" s="24">
        <v>2016</v>
      </c>
      <c r="C93" t="s">
        <v>68</v>
      </c>
      <c r="D93" t="s">
        <v>878</v>
      </c>
      <c r="E93" t="s">
        <v>588</v>
      </c>
      <c r="F93" s="11">
        <v>73798313</v>
      </c>
      <c r="G93" s="18">
        <v>6.8150000000000003E-4</v>
      </c>
      <c r="H93" s="11">
        <v>868914.54450000008</v>
      </c>
      <c r="I93" s="22">
        <f>IFERROR(VLOOKUP(D93,'LEAID Match'!$A$2:$B$184,2,FALSE),"")</f>
        <v>3700002</v>
      </c>
    </row>
    <row r="94" spans="1:9" x14ac:dyDescent="0.2">
      <c r="A94">
        <f t="shared" si="1"/>
        <v>3700002</v>
      </c>
      <c r="B94" s="24">
        <v>2017</v>
      </c>
      <c r="C94" t="s">
        <v>68</v>
      </c>
      <c r="D94" t="s">
        <v>878</v>
      </c>
      <c r="E94" t="s">
        <v>878</v>
      </c>
      <c r="F94" s="11">
        <v>73927747</v>
      </c>
      <c r="G94" s="18">
        <v>6.625E-4</v>
      </c>
      <c r="H94" s="11">
        <v>954791.02500000002</v>
      </c>
      <c r="I94" s="22">
        <f>IFERROR(VLOOKUP(D94,'LEAID Match'!$A$2:$B$184,2,FALSE),"")</f>
        <v>3700002</v>
      </c>
    </row>
    <row r="95" spans="1:9" x14ac:dyDescent="0.2">
      <c r="A95">
        <f t="shared" si="1"/>
        <v>3700002</v>
      </c>
      <c r="B95" s="24">
        <v>2018</v>
      </c>
      <c r="C95" t="s">
        <v>68</v>
      </c>
      <c r="D95" t="s">
        <v>878</v>
      </c>
      <c r="E95" t="s">
        <v>878</v>
      </c>
      <c r="F95" s="11">
        <v>78022310</v>
      </c>
      <c r="G95" s="18">
        <v>6.7139999999999995E-4</v>
      </c>
      <c r="H95" s="11">
        <v>1076187.7313999999</v>
      </c>
      <c r="I95" s="22">
        <f>IFERROR(VLOOKUP(D95,'LEAID Match'!$A$2:$B$184,2,FALSE),"")</f>
        <v>3700002</v>
      </c>
    </row>
    <row r="96" spans="1:9" x14ac:dyDescent="0.2">
      <c r="A96">
        <f t="shared" si="1"/>
        <v>3700002</v>
      </c>
      <c r="B96" s="24">
        <v>2019</v>
      </c>
      <c r="C96" t="s">
        <v>68</v>
      </c>
      <c r="D96" t="s">
        <v>878</v>
      </c>
      <c r="E96" t="s">
        <v>878</v>
      </c>
      <c r="F96" s="11">
        <v>81099408</v>
      </c>
      <c r="G96" s="18">
        <v>6.7310000000000004E-4</v>
      </c>
      <c r="H96" s="11">
        <v>1289084.7726</v>
      </c>
      <c r="I96" s="22">
        <f>IFERROR(VLOOKUP(D96,'LEAID Match'!$A$2:$B$184,2,FALSE),"")</f>
        <v>3700002</v>
      </c>
    </row>
    <row r="97" spans="1:9" x14ac:dyDescent="0.2">
      <c r="A97">
        <f t="shared" si="1"/>
        <v>3700002</v>
      </c>
      <c r="B97" s="24">
        <v>2020</v>
      </c>
      <c r="C97" t="s">
        <v>68</v>
      </c>
      <c r="D97" t="s">
        <v>878</v>
      </c>
      <c r="E97" t="s">
        <v>878</v>
      </c>
      <c r="F97" s="11">
        <v>85184091</v>
      </c>
      <c r="G97" s="18">
        <v>6.8769999999999996E-4</v>
      </c>
      <c r="H97" s="11">
        <v>1413275.0774999999</v>
      </c>
      <c r="I97" s="22">
        <f>IFERROR(VLOOKUP(D97,'LEAID Match'!$A$2:$B$184,2,FALSE),"")</f>
        <v>3700002</v>
      </c>
    </row>
    <row r="98" spans="1:9" x14ac:dyDescent="0.2">
      <c r="A98">
        <f t="shared" si="1"/>
        <v>3700002</v>
      </c>
      <c r="B98" s="24">
        <v>2021</v>
      </c>
      <c r="C98" t="s">
        <v>68</v>
      </c>
      <c r="D98" t="s">
        <v>878</v>
      </c>
      <c r="E98" t="s">
        <v>878</v>
      </c>
      <c r="F98" s="11">
        <v>86077329</v>
      </c>
      <c r="G98" s="18">
        <v>6.8780000000000002E-4</v>
      </c>
      <c r="H98" s="11">
        <v>1632322.7256</v>
      </c>
      <c r="I98" s="22">
        <f>IFERROR(VLOOKUP(D98,'LEAID Match'!$A$2:$B$184,2,FALSE),"")</f>
        <v>3700002</v>
      </c>
    </row>
    <row r="99" spans="1:9" x14ac:dyDescent="0.2">
      <c r="A99">
        <f t="shared" si="1"/>
        <v>3700002</v>
      </c>
      <c r="B99" s="24">
        <v>2022</v>
      </c>
      <c r="C99" t="s">
        <v>68</v>
      </c>
      <c r="D99" t="s">
        <v>878</v>
      </c>
      <c r="E99" t="s">
        <v>878</v>
      </c>
      <c r="F99" s="11">
        <v>92686911</v>
      </c>
      <c r="G99" s="18">
        <v>7.3490000000000003E-4</v>
      </c>
      <c r="H99" s="11">
        <v>2029754.1154</v>
      </c>
      <c r="I99" s="22">
        <f>IFERROR(VLOOKUP(D99,'LEAID Match'!$A$2:$B$184,2,FALSE),"")</f>
        <v>3700002</v>
      </c>
    </row>
    <row r="100" spans="1:9" x14ac:dyDescent="0.2">
      <c r="A100">
        <f t="shared" si="1"/>
        <v>3700002</v>
      </c>
      <c r="B100" s="24">
        <v>2023</v>
      </c>
      <c r="C100" t="s">
        <v>68</v>
      </c>
      <c r="D100" t="s">
        <v>878</v>
      </c>
      <c r="E100" t="s">
        <v>878</v>
      </c>
      <c r="F100" s="11">
        <v>120908349</v>
      </c>
      <c r="G100" s="18">
        <v>9.0970000000000005E-4</v>
      </c>
      <c r="H100" s="11">
        <v>2760845.8009000001</v>
      </c>
      <c r="I100" s="22">
        <f>IFERROR(VLOOKUP(D100,'LEAID Match'!$A$2:$B$184,2,FALSE),"")</f>
        <v>3700002</v>
      </c>
    </row>
    <row r="101" spans="1:9" x14ac:dyDescent="0.2">
      <c r="A101" t="str">
        <f t="shared" si="1"/>
        <v/>
      </c>
      <c r="B101" s="24">
        <v>2018</v>
      </c>
      <c r="C101" t="s">
        <v>924</v>
      </c>
      <c r="D101" t="s">
        <v>921</v>
      </c>
      <c r="E101" t="s">
        <v>921</v>
      </c>
      <c r="F101" s="11">
        <v>26547587</v>
      </c>
      <c r="G101" s="18">
        <v>2.284E-4</v>
      </c>
      <c r="H101" s="11">
        <v>366102.58840000001</v>
      </c>
      <c r="I101" s="22" t="str">
        <f>IFERROR(VLOOKUP(D101,'LEAID Match'!$A$2:$B$184,2,FALSE),"")</f>
        <v/>
      </c>
    </row>
    <row r="102" spans="1:9" x14ac:dyDescent="0.2">
      <c r="A102" t="str">
        <f t="shared" si="1"/>
        <v/>
      </c>
      <c r="B102" s="24">
        <v>2019</v>
      </c>
      <c r="C102" t="s">
        <v>924</v>
      </c>
      <c r="D102" t="s">
        <v>921</v>
      </c>
      <c r="E102" t="s">
        <v>921</v>
      </c>
      <c r="F102" s="11">
        <v>28273572</v>
      </c>
      <c r="G102" s="18">
        <v>2.3470000000000001E-4</v>
      </c>
      <c r="H102" s="11">
        <v>449484.76620000001</v>
      </c>
      <c r="I102" s="22" t="str">
        <f>IFERROR(VLOOKUP(D102,'LEAID Match'!$A$2:$B$184,2,FALSE),"")</f>
        <v/>
      </c>
    </row>
    <row r="103" spans="1:9" x14ac:dyDescent="0.2">
      <c r="A103" t="str">
        <f t="shared" si="1"/>
        <v/>
      </c>
      <c r="B103" s="24">
        <v>2020</v>
      </c>
      <c r="C103" t="s">
        <v>924</v>
      </c>
      <c r="D103" t="s">
        <v>921</v>
      </c>
      <c r="E103" t="s">
        <v>921</v>
      </c>
      <c r="F103" s="11">
        <v>30960479</v>
      </c>
      <c r="G103" s="18">
        <v>2.499E-4</v>
      </c>
      <c r="H103" s="11">
        <v>513563.24249999999</v>
      </c>
      <c r="I103" s="22" t="str">
        <f>IFERROR(VLOOKUP(D103,'LEAID Match'!$A$2:$B$184,2,FALSE),"")</f>
        <v/>
      </c>
    </row>
    <row r="104" spans="1:9" x14ac:dyDescent="0.2">
      <c r="A104" t="str">
        <f t="shared" si="1"/>
        <v/>
      </c>
      <c r="B104" s="24">
        <v>2021</v>
      </c>
      <c r="C104" t="s">
        <v>924</v>
      </c>
      <c r="D104" t="s">
        <v>921</v>
      </c>
      <c r="E104" t="s">
        <v>921</v>
      </c>
      <c r="F104" s="11">
        <v>34694539</v>
      </c>
      <c r="G104" s="18">
        <v>2.7720000000000002E-4</v>
      </c>
      <c r="H104" s="11">
        <v>657865.45440000005</v>
      </c>
      <c r="I104" s="22" t="str">
        <f>IFERROR(VLOOKUP(D104,'LEAID Match'!$A$2:$B$184,2,FALSE),"")</f>
        <v/>
      </c>
    </row>
    <row r="105" spans="1:9" x14ac:dyDescent="0.2">
      <c r="A105" t="str">
        <f t="shared" si="1"/>
        <v/>
      </c>
      <c r="B105" s="24">
        <v>2022</v>
      </c>
      <c r="C105" t="s">
        <v>924</v>
      </c>
      <c r="D105" t="s">
        <v>921</v>
      </c>
      <c r="E105" t="s">
        <v>921</v>
      </c>
      <c r="F105" s="11">
        <v>31966247</v>
      </c>
      <c r="G105" s="18">
        <v>2.5349999999999998E-4</v>
      </c>
      <c r="H105" s="11">
        <v>700153.31099999999</v>
      </c>
      <c r="I105" s="22" t="str">
        <f>IFERROR(VLOOKUP(D105,'LEAID Match'!$A$2:$B$184,2,FALSE),"")</f>
        <v/>
      </c>
    </row>
    <row r="106" spans="1:9" x14ac:dyDescent="0.2">
      <c r="A106" t="str">
        <f t="shared" si="1"/>
        <v/>
      </c>
      <c r="B106" s="24">
        <v>2023</v>
      </c>
      <c r="C106" t="s">
        <v>924</v>
      </c>
      <c r="D106" t="s">
        <v>921</v>
      </c>
      <c r="E106" t="s">
        <v>921</v>
      </c>
      <c r="F106" s="11">
        <v>34125282</v>
      </c>
      <c r="G106" s="18">
        <v>2.5680000000000001E-4</v>
      </c>
      <c r="H106" s="11">
        <v>779361.54960000003</v>
      </c>
      <c r="I106" s="22" t="str">
        <f>IFERROR(VLOOKUP(D106,'LEAID Match'!$A$2:$B$184,2,FALSE),"")</f>
        <v/>
      </c>
    </row>
    <row r="107" spans="1:9" x14ac:dyDescent="0.2">
      <c r="A107" t="str">
        <f t="shared" si="1"/>
        <v/>
      </c>
      <c r="B107" s="24">
        <v>2015</v>
      </c>
      <c r="C107" t="s">
        <v>69</v>
      </c>
      <c r="D107" t="s">
        <v>879</v>
      </c>
      <c r="E107" t="s">
        <v>11</v>
      </c>
      <c r="F107" s="11">
        <v>929686558</v>
      </c>
      <c r="G107" s="18">
        <v>8.1285999999999997E-3</v>
      </c>
      <c r="H107" s="11">
        <v>10266324.2568</v>
      </c>
      <c r="I107" s="22" t="str">
        <f>IFERROR(VLOOKUP(D107,'LEAID Match'!$A$2:$B$184,2,FALSE),"")</f>
        <v/>
      </c>
    </row>
    <row r="108" spans="1:9" x14ac:dyDescent="0.2">
      <c r="A108" t="str">
        <f t="shared" si="1"/>
        <v/>
      </c>
      <c r="B108" s="24">
        <v>2016</v>
      </c>
      <c r="C108" t="s">
        <v>69</v>
      </c>
      <c r="D108" t="s">
        <v>879</v>
      </c>
      <c r="E108" t="s">
        <v>589</v>
      </c>
      <c r="F108" s="11">
        <v>568753737</v>
      </c>
      <c r="G108" s="18">
        <v>5.2521E-3</v>
      </c>
      <c r="H108" s="11">
        <v>6696443.2562999995</v>
      </c>
      <c r="I108" s="22" t="str">
        <f>IFERROR(VLOOKUP(D108,'LEAID Match'!$A$2:$B$184,2,FALSE),"")</f>
        <v/>
      </c>
    </row>
    <row r="109" spans="1:9" x14ac:dyDescent="0.2">
      <c r="A109" t="str">
        <f t="shared" si="1"/>
        <v/>
      </c>
      <c r="B109" s="24">
        <v>2017</v>
      </c>
      <c r="C109" t="s">
        <v>69</v>
      </c>
      <c r="D109" t="s">
        <v>879</v>
      </c>
      <c r="E109" t="s">
        <v>879</v>
      </c>
      <c r="F109" s="11">
        <v>537480173</v>
      </c>
      <c r="G109" s="18">
        <v>4.8168999999999998E-3</v>
      </c>
      <c r="H109" s="11">
        <v>6942087.3785999995</v>
      </c>
      <c r="I109" s="22" t="str">
        <f>IFERROR(VLOOKUP(D109,'LEAID Match'!$A$2:$B$184,2,FALSE),"")</f>
        <v/>
      </c>
    </row>
    <row r="110" spans="1:9" x14ac:dyDescent="0.2">
      <c r="A110" t="str">
        <f t="shared" si="1"/>
        <v/>
      </c>
      <c r="B110" s="24">
        <v>2018</v>
      </c>
      <c r="C110" t="s">
        <v>69</v>
      </c>
      <c r="D110" t="s">
        <v>879</v>
      </c>
      <c r="E110" t="s">
        <v>879</v>
      </c>
      <c r="F110" s="11">
        <v>550610909</v>
      </c>
      <c r="G110" s="18">
        <v>4.7381999999999997E-3</v>
      </c>
      <c r="H110" s="11">
        <v>7594865.5181999998</v>
      </c>
      <c r="I110" s="22" t="str">
        <f>IFERROR(VLOOKUP(D110,'LEAID Match'!$A$2:$B$184,2,FALSE),"")</f>
        <v/>
      </c>
    </row>
    <row r="111" spans="1:9" x14ac:dyDescent="0.2">
      <c r="A111" t="str">
        <f t="shared" si="1"/>
        <v/>
      </c>
      <c r="B111" s="24">
        <v>2019</v>
      </c>
      <c r="C111" t="s">
        <v>69</v>
      </c>
      <c r="D111" t="s">
        <v>879</v>
      </c>
      <c r="E111" t="s">
        <v>879</v>
      </c>
      <c r="F111" s="11">
        <v>582514450</v>
      </c>
      <c r="G111" s="18">
        <v>4.8348999999999996E-3</v>
      </c>
      <c r="H111" s="11">
        <v>9259539.3953999989</v>
      </c>
      <c r="I111" s="22" t="str">
        <f>IFERROR(VLOOKUP(D111,'LEAID Match'!$A$2:$B$184,2,FALSE),"")</f>
        <v/>
      </c>
    </row>
    <row r="112" spans="1:9" x14ac:dyDescent="0.2">
      <c r="A112" t="str">
        <f t="shared" si="1"/>
        <v/>
      </c>
      <c r="B112" s="24">
        <v>2020</v>
      </c>
      <c r="C112" t="s">
        <v>69</v>
      </c>
      <c r="D112" t="s">
        <v>879</v>
      </c>
      <c r="E112" t="s">
        <v>879</v>
      </c>
      <c r="F112" s="11">
        <v>597240734</v>
      </c>
      <c r="G112" s="18">
        <v>4.8214E-3</v>
      </c>
      <c r="H112" s="11">
        <v>9908338.6050000004</v>
      </c>
      <c r="I112" s="22" t="str">
        <f>IFERROR(VLOOKUP(D112,'LEAID Match'!$A$2:$B$184,2,FALSE),"")</f>
        <v/>
      </c>
    </row>
    <row r="113" spans="1:9" x14ac:dyDescent="0.2">
      <c r="A113" t="str">
        <f t="shared" si="1"/>
        <v/>
      </c>
      <c r="B113" s="24">
        <v>2021</v>
      </c>
      <c r="C113" t="s">
        <v>69</v>
      </c>
      <c r="D113" t="s">
        <v>879</v>
      </c>
      <c r="E113" t="s">
        <v>879</v>
      </c>
      <c r="F113" s="11">
        <v>621568190</v>
      </c>
      <c r="G113" s="18">
        <v>4.9665999999999998E-3</v>
      </c>
      <c r="H113" s="11">
        <v>11786993.383199999</v>
      </c>
      <c r="I113" s="22" t="str">
        <f>IFERROR(VLOOKUP(D113,'LEAID Match'!$A$2:$B$184,2,FALSE),"")</f>
        <v/>
      </c>
    </row>
    <row r="114" spans="1:9" x14ac:dyDescent="0.2">
      <c r="A114" t="str">
        <f t="shared" si="1"/>
        <v/>
      </c>
      <c r="B114" s="24">
        <v>2022</v>
      </c>
      <c r="C114" t="s">
        <v>69</v>
      </c>
      <c r="D114" t="s">
        <v>879</v>
      </c>
      <c r="E114" t="s">
        <v>879</v>
      </c>
      <c r="F114" s="11">
        <v>617732579</v>
      </c>
      <c r="G114" s="18">
        <v>4.8979999999999996E-3</v>
      </c>
      <c r="H114" s="11">
        <v>13528011.507999999</v>
      </c>
      <c r="I114" s="22" t="str">
        <f>IFERROR(VLOOKUP(D114,'LEAID Match'!$A$2:$B$184,2,FALSE),"")</f>
        <v/>
      </c>
    </row>
    <row r="115" spans="1:9" x14ac:dyDescent="0.2">
      <c r="A115" t="str">
        <f t="shared" si="1"/>
        <v/>
      </c>
      <c r="B115" s="24">
        <v>2023</v>
      </c>
      <c r="C115" t="s">
        <v>69</v>
      </c>
      <c r="D115" t="s">
        <v>879</v>
      </c>
      <c r="E115" t="s">
        <v>879</v>
      </c>
      <c r="F115" s="11">
        <v>632947816</v>
      </c>
      <c r="G115" s="18">
        <v>4.7625000000000002E-3</v>
      </c>
      <c r="H115" s="11">
        <v>14453696.9625</v>
      </c>
      <c r="I115" s="22" t="str">
        <f>IFERROR(VLOOKUP(D115,'LEAID Match'!$A$2:$B$184,2,FALSE),"")</f>
        <v/>
      </c>
    </row>
    <row r="116" spans="1:9" x14ac:dyDescent="0.2">
      <c r="A116" t="str">
        <f t="shared" si="1"/>
        <v/>
      </c>
      <c r="B116" s="24">
        <v>2015</v>
      </c>
      <c r="C116" t="s">
        <v>70</v>
      </c>
      <c r="D116" t="s">
        <v>880</v>
      </c>
      <c r="E116" t="s">
        <v>12</v>
      </c>
      <c r="F116" s="11">
        <v>59059985</v>
      </c>
      <c r="G116" s="18">
        <v>5.1639999999999998E-4</v>
      </c>
      <c r="H116" s="11">
        <v>652207.00319999992</v>
      </c>
      <c r="I116" s="22" t="str">
        <f>IFERROR(VLOOKUP(D116,'LEAID Match'!$A$2:$B$184,2,FALSE),"")</f>
        <v/>
      </c>
    </row>
    <row r="117" spans="1:9" x14ac:dyDescent="0.2">
      <c r="A117" t="str">
        <f t="shared" si="1"/>
        <v/>
      </c>
      <c r="B117" s="24">
        <v>2016</v>
      </c>
      <c r="C117" t="s">
        <v>70</v>
      </c>
      <c r="D117" t="s">
        <v>880</v>
      </c>
      <c r="E117" t="s">
        <v>590</v>
      </c>
      <c r="F117" s="11">
        <v>54268505</v>
      </c>
      <c r="G117" s="18">
        <v>5.0109999999999998E-4</v>
      </c>
      <c r="H117" s="11">
        <v>638904.00329999998</v>
      </c>
      <c r="I117" s="22" t="str">
        <f>IFERROR(VLOOKUP(D117,'LEAID Match'!$A$2:$B$184,2,FALSE),"")</f>
        <v/>
      </c>
    </row>
    <row r="118" spans="1:9" x14ac:dyDescent="0.2">
      <c r="A118" t="str">
        <f t="shared" si="1"/>
        <v/>
      </c>
      <c r="B118" s="24">
        <v>2017</v>
      </c>
      <c r="C118" t="s">
        <v>70</v>
      </c>
      <c r="D118" t="s">
        <v>880</v>
      </c>
      <c r="E118" t="s">
        <v>880</v>
      </c>
      <c r="F118" s="11">
        <v>58420348</v>
      </c>
      <c r="G118" s="18">
        <v>5.2360000000000004E-4</v>
      </c>
      <c r="H118" s="11">
        <v>754609.17840000009</v>
      </c>
      <c r="I118" s="22" t="str">
        <f>IFERROR(VLOOKUP(D118,'LEAID Match'!$A$2:$B$184,2,FALSE),"")</f>
        <v/>
      </c>
    </row>
    <row r="119" spans="1:9" x14ac:dyDescent="0.2">
      <c r="A119" t="str">
        <f t="shared" si="1"/>
        <v/>
      </c>
      <c r="B119" s="24">
        <v>2018</v>
      </c>
      <c r="C119" t="s">
        <v>70</v>
      </c>
      <c r="D119" t="s">
        <v>880</v>
      </c>
      <c r="E119" t="s">
        <v>880</v>
      </c>
      <c r="F119" s="11">
        <v>64813801</v>
      </c>
      <c r="G119" s="18">
        <v>5.5769999999999995E-4</v>
      </c>
      <c r="H119" s="11">
        <v>893937.88769999996</v>
      </c>
      <c r="I119" s="22" t="str">
        <f>IFERROR(VLOOKUP(D119,'LEAID Match'!$A$2:$B$184,2,FALSE),"")</f>
        <v/>
      </c>
    </row>
    <row r="120" spans="1:9" x14ac:dyDescent="0.2">
      <c r="A120" t="str">
        <f t="shared" si="1"/>
        <v/>
      </c>
      <c r="B120" s="24">
        <v>2019</v>
      </c>
      <c r="C120" t="s">
        <v>70</v>
      </c>
      <c r="D120" t="s">
        <v>880</v>
      </c>
      <c r="E120" t="s">
        <v>880</v>
      </c>
      <c r="F120" s="11">
        <v>66697482</v>
      </c>
      <c r="G120" s="18">
        <v>5.5360000000000001E-4</v>
      </c>
      <c r="H120" s="11">
        <v>1060224.8256000001</v>
      </c>
      <c r="I120" s="22" t="str">
        <f>IFERROR(VLOOKUP(D120,'LEAID Match'!$A$2:$B$184,2,FALSE),"")</f>
        <v/>
      </c>
    </row>
    <row r="121" spans="1:9" x14ac:dyDescent="0.2">
      <c r="A121" t="str">
        <f t="shared" si="1"/>
        <v/>
      </c>
      <c r="B121" s="24">
        <v>2020</v>
      </c>
      <c r="C121" t="s">
        <v>70</v>
      </c>
      <c r="D121" t="s">
        <v>880</v>
      </c>
      <c r="E121" t="s">
        <v>880</v>
      </c>
      <c r="F121" s="11">
        <v>69871199</v>
      </c>
      <c r="G121" s="18">
        <v>5.641E-4</v>
      </c>
      <c r="H121" s="11">
        <v>1159267.8074999999</v>
      </c>
      <c r="I121" s="22" t="str">
        <f>IFERROR(VLOOKUP(D121,'LEAID Match'!$A$2:$B$184,2,FALSE),"")</f>
        <v/>
      </c>
    </row>
    <row r="122" spans="1:9" x14ac:dyDescent="0.2">
      <c r="A122" t="str">
        <f t="shared" si="1"/>
        <v/>
      </c>
      <c r="B122" s="24">
        <v>2021</v>
      </c>
      <c r="C122" t="s">
        <v>70</v>
      </c>
      <c r="D122" t="s">
        <v>880</v>
      </c>
      <c r="E122" t="s">
        <v>880</v>
      </c>
      <c r="F122" s="11">
        <v>72945140</v>
      </c>
      <c r="G122" s="18">
        <v>5.8290000000000002E-4</v>
      </c>
      <c r="H122" s="11">
        <v>1383368.5908000001</v>
      </c>
      <c r="I122" s="22" t="str">
        <f>IFERROR(VLOOKUP(D122,'LEAID Match'!$A$2:$B$184,2,FALSE),"")</f>
        <v/>
      </c>
    </row>
    <row r="123" spans="1:9" x14ac:dyDescent="0.2">
      <c r="A123" t="str">
        <f t="shared" si="1"/>
        <v/>
      </c>
      <c r="B123" s="24">
        <v>2022</v>
      </c>
      <c r="C123" t="s">
        <v>70</v>
      </c>
      <c r="D123" t="s">
        <v>880</v>
      </c>
      <c r="E123" t="s">
        <v>880</v>
      </c>
      <c r="F123" s="11">
        <v>72761651</v>
      </c>
      <c r="G123" s="18">
        <v>5.7689999999999998E-4</v>
      </c>
      <c r="H123" s="11">
        <v>1593366.6473999999</v>
      </c>
      <c r="I123" s="22" t="str">
        <f>IFERROR(VLOOKUP(D123,'LEAID Match'!$A$2:$B$184,2,FALSE),"")</f>
        <v/>
      </c>
    </row>
    <row r="124" spans="1:9" x14ac:dyDescent="0.2">
      <c r="A124" t="str">
        <f t="shared" si="1"/>
        <v/>
      </c>
      <c r="B124" s="24">
        <v>2023</v>
      </c>
      <c r="C124" t="s">
        <v>70</v>
      </c>
      <c r="D124" t="s">
        <v>880</v>
      </c>
      <c r="E124" t="s">
        <v>880</v>
      </c>
      <c r="F124" s="11">
        <v>77002554</v>
      </c>
      <c r="G124" s="18">
        <v>5.7939999999999999E-4</v>
      </c>
      <c r="H124" s="11">
        <v>1758419.3218</v>
      </c>
      <c r="I124" s="22" t="str">
        <f>IFERROR(VLOOKUP(D124,'LEAID Match'!$A$2:$B$184,2,FALSE),"")</f>
        <v/>
      </c>
    </row>
    <row r="125" spans="1:9" x14ac:dyDescent="0.2">
      <c r="A125" t="str">
        <f t="shared" si="1"/>
        <v/>
      </c>
      <c r="B125" s="24">
        <v>2015</v>
      </c>
      <c r="C125" t="s">
        <v>71</v>
      </c>
      <c r="D125" t="s">
        <v>591</v>
      </c>
      <c r="E125" t="s">
        <v>13</v>
      </c>
      <c r="F125" s="11">
        <v>247791854</v>
      </c>
      <c r="G125" s="18">
        <v>2.1665E-3</v>
      </c>
      <c r="H125" s="11">
        <v>2736263.5019999999</v>
      </c>
      <c r="I125" s="22" t="str">
        <f>IFERROR(VLOOKUP(D125,'LEAID Match'!$A$2:$B$184,2,FALSE),"")</f>
        <v/>
      </c>
    </row>
    <row r="126" spans="1:9" x14ac:dyDescent="0.2">
      <c r="A126" t="str">
        <f t="shared" si="1"/>
        <v/>
      </c>
      <c r="B126" s="24">
        <v>2016</v>
      </c>
      <c r="C126" t="s">
        <v>71</v>
      </c>
      <c r="D126" t="s">
        <v>591</v>
      </c>
      <c r="E126" t="s">
        <v>591</v>
      </c>
      <c r="F126" s="11">
        <v>228511545</v>
      </c>
      <c r="G126" s="18">
        <v>2.1102E-3</v>
      </c>
      <c r="H126" s="11">
        <v>2690511.3306</v>
      </c>
      <c r="I126" s="22" t="str">
        <f>IFERROR(VLOOKUP(D126,'LEAID Match'!$A$2:$B$184,2,FALSE),"")</f>
        <v/>
      </c>
    </row>
    <row r="127" spans="1:9" x14ac:dyDescent="0.2">
      <c r="A127" t="str">
        <f t="shared" si="1"/>
        <v/>
      </c>
      <c r="B127" s="24">
        <v>2017</v>
      </c>
      <c r="C127" t="s">
        <v>71</v>
      </c>
      <c r="D127" t="s">
        <v>591</v>
      </c>
      <c r="E127" t="s">
        <v>591</v>
      </c>
      <c r="F127" s="11">
        <v>239444077</v>
      </c>
      <c r="G127" s="18">
        <v>2.1459000000000001E-3</v>
      </c>
      <c r="H127" s="11">
        <v>3092658.2046000003</v>
      </c>
      <c r="I127" s="22" t="str">
        <f>IFERROR(VLOOKUP(D127,'LEAID Match'!$A$2:$B$184,2,FALSE),"")</f>
        <v/>
      </c>
    </row>
    <row r="128" spans="1:9" x14ac:dyDescent="0.2">
      <c r="A128" t="str">
        <f t="shared" si="1"/>
        <v/>
      </c>
      <c r="B128" s="24">
        <v>2018</v>
      </c>
      <c r="C128" t="s">
        <v>71</v>
      </c>
      <c r="D128" t="s">
        <v>591</v>
      </c>
      <c r="E128" t="s">
        <v>591</v>
      </c>
      <c r="F128" s="11">
        <v>249991249</v>
      </c>
      <c r="G128" s="18">
        <v>2.1511999999999998E-3</v>
      </c>
      <c r="H128" s="11">
        <v>3448160.6311999997</v>
      </c>
      <c r="I128" s="22" t="str">
        <f>IFERROR(VLOOKUP(D128,'LEAID Match'!$A$2:$B$184,2,FALSE),"")</f>
        <v/>
      </c>
    </row>
    <row r="129" spans="1:9" x14ac:dyDescent="0.2">
      <c r="A129" t="str">
        <f t="shared" si="1"/>
        <v/>
      </c>
      <c r="B129" s="24">
        <v>2019</v>
      </c>
      <c r="C129" t="s">
        <v>71</v>
      </c>
      <c r="D129" t="s">
        <v>591</v>
      </c>
      <c r="E129" t="s">
        <v>591</v>
      </c>
      <c r="F129" s="11">
        <v>277693333</v>
      </c>
      <c r="G129" s="18">
        <v>2.3048999999999999E-3</v>
      </c>
      <c r="H129" s="11">
        <v>4414220.0153999999</v>
      </c>
      <c r="I129" s="22" t="str">
        <f>IFERROR(VLOOKUP(D129,'LEAID Match'!$A$2:$B$184,2,FALSE),"")</f>
        <v/>
      </c>
    </row>
    <row r="130" spans="1:9" x14ac:dyDescent="0.2">
      <c r="A130" t="str">
        <f t="shared" si="1"/>
        <v/>
      </c>
      <c r="B130" s="24">
        <v>2020</v>
      </c>
      <c r="C130" t="s">
        <v>71</v>
      </c>
      <c r="D130" t="s">
        <v>591</v>
      </c>
      <c r="E130" t="s">
        <v>591</v>
      </c>
      <c r="F130" s="11">
        <v>295837266</v>
      </c>
      <c r="G130" s="18">
        <v>2.3882999999999999E-3</v>
      </c>
      <c r="H130" s="11">
        <v>4908135.6224999996</v>
      </c>
      <c r="I130" s="22" t="str">
        <f>IFERROR(VLOOKUP(D130,'LEAID Match'!$A$2:$B$184,2,FALSE),"")</f>
        <v/>
      </c>
    </row>
    <row r="131" spans="1:9" x14ac:dyDescent="0.2">
      <c r="A131" t="str">
        <f t="shared" ref="A131:A194" si="2">I131</f>
        <v/>
      </c>
      <c r="B131" s="24">
        <v>2021</v>
      </c>
      <c r="C131" t="s">
        <v>71</v>
      </c>
      <c r="D131" t="s">
        <v>591</v>
      </c>
      <c r="E131" t="s">
        <v>591</v>
      </c>
      <c r="F131" s="11">
        <v>299399877</v>
      </c>
      <c r="G131" s="18">
        <v>2.3923E-3</v>
      </c>
      <c r="H131" s="11">
        <v>5677530.7595999995</v>
      </c>
      <c r="I131" s="22" t="str">
        <f>IFERROR(VLOOKUP(D131,'LEAID Match'!$A$2:$B$184,2,FALSE),"")</f>
        <v/>
      </c>
    </row>
    <row r="132" spans="1:9" x14ac:dyDescent="0.2">
      <c r="A132" t="str">
        <f t="shared" si="2"/>
        <v/>
      </c>
      <c r="B132" s="24">
        <v>2022</v>
      </c>
      <c r="C132" t="s">
        <v>71</v>
      </c>
      <c r="D132" t="s">
        <v>591</v>
      </c>
      <c r="E132" t="s">
        <v>591</v>
      </c>
      <c r="F132" s="11">
        <v>307691704</v>
      </c>
      <c r="G132" s="18">
        <v>2.4396999999999999E-3</v>
      </c>
      <c r="H132" s="11">
        <v>6738319.6562000001</v>
      </c>
      <c r="I132" s="22" t="str">
        <f>IFERROR(VLOOKUP(D132,'LEAID Match'!$A$2:$B$184,2,FALSE),"")</f>
        <v/>
      </c>
    </row>
    <row r="133" spans="1:9" x14ac:dyDescent="0.2">
      <c r="A133" t="str">
        <f t="shared" si="2"/>
        <v/>
      </c>
      <c r="B133" s="24">
        <v>2023</v>
      </c>
      <c r="C133" t="s">
        <v>71</v>
      </c>
      <c r="D133" t="s">
        <v>591</v>
      </c>
      <c r="E133" t="s">
        <v>591</v>
      </c>
      <c r="F133" s="11">
        <v>328614559</v>
      </c>
      <c r="G133" s="18">
        <v>2.4726000000000001E-3</v>
      </c>
      <c r="H133" s="11">
        <v>7504086.3222000003</v>
      </c>
      <c r="I133" s="22" t="str">
        <f>IFERROR(VLOOKUP(D133,'LEAID Match'!$A$2:$B$184,2,FALSE),"")</f>
        <v/>
      </c>
    </row>
    <row r="134" spans="1:9" x14ac:dyDescent="0.2">
      <c r="A134" t="str">
        <f t="shared" si="2"/>
        <v/>
      </c>
      <c r="B134" s="24">
        <v>2015</v>
      </c>
      <c r="C134" t="s">
        <v>72</v>
      </c>
      <c r="D134" t="s">
        <v>592</v>
      </c>
      <c r="E134" t="s">
        <v>14</v>
      </c>
      <c r="F134" s="11">
        <v>28300695</v>
      </c>
      <c r="G134" s="18">
        <v>2.474E-4</v>
      </c>
      <c r="H134" s="11">
        <v>312463.23119999998</v>
      </c>
      <c r="I134" s="22" t="str">
        <f>IFERROR(VLOOKUP(D134,'LEAID Match'!$A$2:$B$184,2,FALSE),"")</f>
        <v/>
      </c>
    </row>
    <row r="135" spans="1:9" x14ac:dyDescent="0.2">
      <c r="A135" t="str">
        <f t="shared" si="2"/>
        <v/>
      </c>
      <c r="B135" s="24">
        <v>2016</v>
      </c>
      <c r="C135" t="s">
        <v>72</v>
      </c>
      <c r="D135" t="s">
        <v>592</v>
      </c>
      <c r="E135" t="s">
        <v>592</v>
      </c>
      <c r="F135" s="11">
        <v>26751822</v>
      </c>
      <c r="G135" s="18">
        <v>2.4699999999999999E-4</v>
      </c>
      <c r="H135" s="11">
        <v>314925.74099999998</v>
      </c>
      <c r="I135" s="22" t="str">
        <f>IFERROR(VLOOKUP(D135,'LEAID Match'!$A$2:$B$184,2,FALSE),"")</f>
        <v/>
      </c>
    </row>
    <row r="136" spans="1:9" x14ac:dyDescent="0.2">
      <c r="A136" t="str">
        <f t="shared" si="2"/>
        <v/>
      </c>
      <c r="B136" s="24">
        <v>2017</v>
      </c>
      <c r="C136" t="s">
        <v>72</v>
      </c>
      <c r="D136" t="s">
        <v>592</v>
      </c>
      <c r="E136" t="s">
        <v>592</v>
      </c>
      <c r="F136" s="11">
        <v>24048541</v>
      </c>
      <c r="G136" s="18">
        <v>2.1550000000000001E-4</v>
      </c>
      <c r="H136" s="11">
        <v>310577.30700000003</v>
      </c>
      <c r="I136" s="22" t="str">
        <f>IFERROR(VLOOKUP(D136,'LEAID Match'!$A$2:$B$184,2,FALSE),"")</f>
        <v/>
      </c>
    </row>
    <row r="137" spans="1:9" x14ac:dyDescent="0.2">
      <c r="A137" t="str">
        <f t="shared" si="2"/>
        <v/>
      </c>
      <c r="B137" s="24">
        <v>2018</v>
      </c>
      <c r="C137" t="s">
        <v>72</v>
      </c>
      <c r="D137" t="s">
        <v>592</v>
      </c>
      <c r="E137" t="s">
        <v>592</v>
      </c>
      <c r="F137" s="11">
        <v>26023024</v>
      </c>
      <c r="G137" s="18">
        <v>2.2389999999999999E-4</v>
      </c>
      <c r="H137" s="11">
        <v>358889.53389999998</v>
      </c>
      <c r="I137" s="22" t="str">
        <f>IFERROR(VLOOKUP(D137,'LEAID Match'!$A$2:$B$184,2,FALSE),"")</f>
        <v/>
      </c>
    </row>
    <row r="138" spans="1:9" x14ac:dyDescent="0.2">
      <c r="A138" t="str">
        <f t="shared" si="2"/>
        <v/>
      </c>
      <c r="B138" s="24">
        <v>2019</v>
      </c>
      <c r="C138" t="s">
        <v>72</v>
      </c>
      <c r="D138" t="s">
        <v>592</v>
      </c>
      <c r="E138" t="s">
        <v>592</v>
      </c>
      <c r="F138" s="11">
        <v>32167165</v>
      </c>
      <c r="G138" s="18">
        <v>2.6699999999999998E-4</v>
      </c>
      <c r="H138" s="11">
        <v>511343.98199999996</v>
      </c>
      <c r="I138" s="22" t="str">
        <f>IFERROR(VLOOKUP(D138,'LEAID Match'!$A$2:$B$184,2,FALSE),"")</f>
        <v/>
      </c>
    </row>
    <row r="139" spans="1:9" x14ac:dyDescent="0.2">
      <c r="A139" t="str">
        <f t="shared" si="2"/>
        <v/>
      </c>
      <c r="B139" s="24">
        <v>2020</v>
      </c>
      <c r="C139" t="s">
        <v>72</v>
      </c>
      <c r="D139" t="s">
        <v>592</v>
      </c>
      <c r="E139" t="s">
        <v>592</v>
      </c>
      <c r="F139" s="11">
        <v>34475424</v>
      </c>
      <c r="G139" s="18">
        <v>2.7829999999999999E-4</v>
      </c>
      <c r="H139" s="11">
        <v>571927.37249999994</v>
      </c>
      <c r="I139" s="22" t="str">
        <f>IFERROR(VLOOKUP(D139,'LEAID Match'!$A$2:$B$184,2,FALSE),"")</f>
        <v/>
      </c>
    </row>
    <row r="140" spans="1:9" x14ac:dyDescent="0.2">
      <c r="A140" t="str">
        <f t="shared" si="2"/>
        <v/>
      </c>
      <c r="B140" s="24">
        <v>2021</v>
      </c>
      <c r="C140" t="s">
        <v>72</v>
      </c>
      <c r="D140" t="s">
        <v>592</v>
      </c>
      <c r="E140" t="s">
        <v>592</v>
      </c>
      <c r="F140" s="11">
        <v>51412170</v>
      </c>
      <c r="G140" s="18">
        <v>4.1080000000000001E-4</v>
      </c>
      <c r="H140" s="11">
        <v>974931.9216</v>
      </c>
      <c r="I140" s="22" t="str">
        <f>IFERROR(VLOOKUP(D140,'LEAID Match'!$A$2:$B$184,2,FALSE),"")</f>
        <v/>
      </c>
    </row>
    <row r="141" spans="1:9" x14ac:dyDescent="0.2">
      <c r="A141" t="str">
        <f t="shared" si="2"/>
        <v/>
      </c>
      <c r="B141" s="24">
        <v>2022</v>
      </c>
      <c r="C141" t="s">
        <v>72</v>
      </c>
      <c r="D141" t="s">
        <v>592</v>
      </c>
      <c r="E141" t="s">
        <v>592</v>
      </c>
      <c r="F141" s="11">
        <v>56717087</v>
      </c>
      <c r="G141" s="18">
        <v>4.4969999999999998E-4</v>
      </c>
      <c r="H141" s="11">
        <v>1242047.1162</v>
      </c>
      <c r="I141" s="22" t="str">
        <f>IFERROR(VLOOKUP(D141,'LEAID Match'!$A$2:$B$184,2,FALSE),"")</f>
        <v/>
      </c>
    </row>
    <row r="142" spans="1:9" x14ac:dyDescent="0.2">
      <c r="A142" t="str">
        <f t="shared" si="2"/>
        <v/>
      </c>
      <c r="B142" s="24">
        <v>2023</v>
      </c>
      <c r="C142" t="s">
        <v>72</v>
      </c>
      <c r="D142" t="s">
        <v>592</v>
      </c>
      <c r="E142" t="s">
        <v>592</v>
      </c>
      <c r="F142" s="11">
        <v>47070799</v>
      </c>
      <c r="G142" s="18">
        <v>3.5419999999999999E-4</v>
      </c>
      <c r="H142" s="11">
        <v>1074960.5174</v>
      </c>
      <c r="I142" s="22" t="str">
        <f>IFERROR(VLOOKUP(D142,'LEAID Match'!$A$2:$B$184,2,FALSE),"")</f>
        <v/>
      </c>
    </row>
    <row r="143" spans="1:9" x14ac:dyDescent="0.2">
      <c r="A143" t="str">
        <f t="shared" si="2"/>
        <v/>
      </c>
      <c r="B143" s="24">
        <v>2015</v>
      </c>
      <c r="C143" t="s">
        <v>73</v>
      </c>
      <c r="D143" t="s">
        <v>881</v>
      </c>
      <c r="E143" t="s">
        <v>15</v>
      </c>
      <c r="F143" s="11">
        <v>30622579</v>
      </c>
      <c r="G143" s="18">
        <v>2.677E-4</v>
      </c>
      <c r="H143" s="11">
        <v>338101.88760000002</v>
      </c>
      <c r="I143" s="22" t="str">
        <f>IFERROR(VLOOKUP(D143,'LEAID Match'!$A$2:$B$184,2,FALSE),"")</f>
        <v/>
      </c>
    </row>
    <row r="144" spans="1:9" x14ac:dyDescent="0.2">
      <c r="A144" t="str">
        <f t="shared" si="2"/>
        <v/>
      </c>
      <c r="B144" s="24">
        <v>2016</v>
      </c>
      <c r="C144" t="s">
        <v>73</v>
      </c>
      <c r="D144" t="s">
        <v>881</v>
      </c>
      <c r="E144" t="s">
        <v>593</v>
      </c>
      <c r="F144" s="11">
        <v>28629775</v>
      </c>
      <c r="G144" s="18">
        <v>2.6439999999999998E-4</v>
      </c>
      <c r="H144" s="11">
        <v>337110.79319999996</v>
      </c>
      <c r="I144" s="22" t="str">
        <f>IFERROR(VLOOKUP(D144,'LEAID Match'!$A$2:$B$184,2,FALSE),"")</f>
        <v/>
      </c>
    </row>
    <row r="145" spans="1:9" x14ac:dyDescent="0.2">
      <c r="A145" t="str">
        <f t="shared" si="2"/>
        <v/>
      </c>
      <c r="B145" s="24">
        <v>2017</v>
      </c>
      <c r="C145" t="s">
        <v>73</v>
      </c>
      <c r="D145" t="s">
        <v>881</v>
      </c>
      <c r="E145" t="s">
        <v>881</v>
      </c>
      <c r="F145" s="11">
        <v>29870367</v>
      </c>
      <c r="G145" s="18">
        <v>2.677E-4</v>
      </c>
      <c r="H145" s="11">
        <v>385807.63380000001</v>
      </c>
      <c r="I145" s="22" t="str">
        <f>IFERROR(VLOOKUP(D145,'LEAID Match'!$A$2:$B$184,2,FALSE),"")</f>
        <v/>
      </c>
    </row>
    <row r="146" spans="1:9" x14ac:dyDescent="0.2">
      <c r="A146" t="str">
        <f t="shared" si="2"/>
        <v/>
      </c>
      <c r="B146" s="24">
        <v>2018</v>
      </c>
      <c r="C146" t="s">
        <v>73</v>
      </c>
      <c r="D146" t="s">
        <v>881</v>
      </c>
      <c r="E146" t="s">
        <v>881</v>
      </c>
      <c r="F146" s="11">
        <v>28696174</v>
      </c>
      <c r="G146" s="18">
        <v>2.4689999999999998E-4</v>
      </c>
      <c r="H146" s="11">
        <v>395756.25689999998</v>
      </c>
      <c r="I146" s="22" t="str">
        <f>IFERROR(VLOOKUP(D146,'LEAID Match'!$A$2:$B$184,2,FALSE),"")</f>
        <v/>
      </c>
    </row>
    <row r="147" spans="1:9" x14ac:dyDescent="0.2">
      <c r="A147" t="str">
        <f t="shared" si="2"/>
        <v/>
      </c>
      <c r="B147" s="24">
        <v>2019</v>
      </c>
      <c r="C147" t="s">
        <v>73</v>
      </c>
      <c r="D147" t="s">
        <v>881</v>
      </c>
      <c r="E147" t="s">
        <v>881</v>
      </c>
      <c r="F147" s="11">
        <v>31595224</v>
      </c>
      <c r="G147" s="18">
        <v>2.6219999999999998E-4</v>
      </c>
      <c r="H147" s="11">
        <v>502151.28119999997</v>
      </c>
      <c r="I147" s="22" t="str">
        <f>IFERROR(VLOOKUP(D147,'LEAID Match'!$A$2:$B$184,2,FALSE),"")</f>
        <v/>
      </c>
    </row>
    <row r="148" spans="1:9" x14ac:dyDescent="0.2">
      <c r="A148" t="str">
        <f t="shared" si="2"/>
        <v/>
      </c>
      <c r="B148" s="24">
        <v>2020</v>
      </c>
      <c r="C148" t="s">
        <v>73</v>
      </c>
      <c r="D148" t="s">
        <v>881</v>
      </c>
      <c r="E148" t="s">
        <v>881</v>
      </c>
      <c r="F148" s="11">
        <v>33584482</v>
      </c>
      <c r="G148" s="18">
        <v>2.7109999999999998E-4</v>
      </c>
      <c r="H148" s="11">
        <v>557130.8324999999</v>
      </c>
      <c r="I148" s="22" t="str">
        <f>IFERROR(VLOOKUP(D148,'LEAID Match'!$A$2:$B$184,2,FALSE),"")</f>
        <v/>
      </c>
    </row>
    <row r="149" spans="1:9" x14ac:dyDescent="0.2">
      <c r="A149" t="str">
        <f t="shared" si="2"/>
        <v/>
      </c>
      <c r="B149" s="24">
        <v>2021</v>
      </c>
      <c r="C149" t="s">
        <v>73</v>
      </c>
      <c r="D149" t="s">
        <v>881</v>
      </c>
      <c r="E149" t="s">
        <v>881</v>
      </c>
      <c r="F149" s="11">
        <v>37381310</v>
      </c>
      <c r="G149" s="18">
        <v>2.987E-4</v>
      </c>
      <c r="H149" s="11">
        <v>708890.37239999999</v>
      </c>
      <c r="I149" s="22" t="str">
        <f>IFERROR(VLOOKUP(D149,'LEAID Match'!$A$2:$B$184,2,FALSE),"")</f>
        <v/>
      </c>
    </row>
    <row r="150" spans="1:9" x14ac:dyDescent="0.2">
      <c r="A150" t="str">
        <f t="shared" si="2"/>
        <v/>
      </c>
      <c r="B150" s="24">
        <v>2022</v>
      </c>
      <c r="C150" t="s">
        <v>73</v>
      </c>
      <c r="D150" t="s">
        <v>881</v>
      </c>
      <c r="E150" t="s">
        <v>881</v>
      </c>
      <c r="F150" s="11">
        <v>37426995</v>
      </c>
      <c r="G150" s="18">
        <v>2.968E-4</v>
      </c>
      <c r="H150" s="11">
        <v>819745.57279999997</v>
      </c>
      <c r="I150" s="22" t="str">
        <f>IFERROR(VLOOKUP(D150,'LEAID Match'!$A$2:$B$184,2,FALSE),"")</f>
        <v/>
      </c>
    </row>
    <row r="151" spans="1:9" x14ac:dyDescent="0.2">
      <c r="A151" t="str">
        <f t="shared" si="2"/>
        <v/>
      </c>
      <c r="B151" s="24">
        <v>2023</v>
      </c>
      <c r="C151" t="s">
        <v>73</v>
      </c>
      <c r="D151" t="s">
        <v>881</v>
      </c>
      <c r="E151" t="s">
        <v>881</v>
      </c>
      <c r="F151" s="11">
        <v>43290193</v>
      </c>
      <c r="G151" s="18">
        <v>3.257E-4</v>
      </c>
      <c r="H151" s="11">
        <v>988465.95290000003</v>
      </c>
      <c r="I151" s="22" t="str">
        <f>IFERROR(VLOOKUP(D151,'LEAID Match'!$A$2:$B$184,2,FALSE),"")</f>
        <v/>
      </c>
    </row>
    <row r="152" spans="1:9" x14ac:dyDescent="0.2">
      <c r="A152" t="str">
        <f t="shared" si="2"/>
        <v/>
      </c>
      <c r="B152" s="24">
        <v>2015</v>
      </c>
      <c r="C152" t="s">
        <v>74</v>
      </c>
      <c r="D152" t="s">
        <v>882</v>
      </c>
      <c r="E152" t="s">
        <v>16</v>
      </c>
      <c r="F152" s="11">
        <v>4917843</v>
      </c>
      <c r="G152" s="18">
        <v>4.3000000000000002E-5</v>
      </c>
      <c r="H152" s="11">
        <v>54308.484000000004</v>
      </c>
      <c r="I152" s="22" t="str">
        <f>IFERROR(VLOOKUP(D152,'LEAID Match'!$A$2:$B$184,2,FALSE),"")</f>
        <v/>
      </c>
    </row>
    <row r="153" spans="1:9" x14ac:dyDescent="0.2">
      <c r="A153" t="str">
        <f t="shared" si="2"/>
        <v/>
      </c>
      <c r="B153" s="24">
        <v>2016</v>
      </c>
      <c r="C153" t="s">
        <v>74</v>
      </c>
      <c r="D153" t="s">
        <v>882</v>
      </c>
      <c r="E153" t="s">
        <v>594</v>
      </c>
      <c r="F153" s="11">
        <v>4354469</v>
      </c>
      <c r="G153" s="18">
        <v>4.0200000000000001E-5</v>
      </c>
      <c r="H153" s="11">
        <v>51255.120600000002</v>
      </c>
      <c r="I153" s="22" t="str">
        <f>IFERROR(VLOOKUP(D153,'LEAID Match'!$A$2:$B$184,2,FALSE),"")</f>
        <v/>
      </c>
    </row>
    <row r="154" spans="1:9" x14ac:dyDescent="0.2">
      <c r="A154" t="str">
        <f t="shared" si="2"/>
        <v/>
      </c>
      <c r="B154" s="24">
        <v>2017</v>
      </c>
      <c r="C154" t="s">
        <v>74</v>
      </c>
      <c r="D154" t="s">
        <v>882</v>
      </c>
      <c r="E154" t="s">
        <v>882</v>
      </c>
      <c r="F154" s="11">
        <v>4545615</v>
      </c>
      <c r="G154" s="18">
        <v>4.07E-5</v>
      </c>
      <c r="H154" s="11">
        <v>58656.595800000003</v>
      </c>
      <c r="I154" s="22" t="str">
        <f>IFERROR(VLOOKUP(D154,'LEAID Match'!$A$2:$B$184,2,FALSE),"")</f>
        <v/>
      </c>
    </row>
    <row r="155" spans="1:9" x14ac:dyDescent="0.2">
      <c r="A155" t="str">
        <f t="shared" si="2"/>
        <v/>
      </c>
      <c r="B155" s="24">
        <v>2018</v>
      </c>
      <c r="C155" t="s">
        <v>74</v>
      </c>
      <c r="D155" t="s">
        <v>882</v>
      </c>
      <c r="E155" t="s">
        <v>882</v>
      </c>
      <c r="F155" s="11">
        <v>5274932</v>
      </c>
      <c r="G155" s="18">
        <v>4.5399999999999999E-5</v>
      </c>
      <c r="H155" s="11">
        <v>72771.705399999992</v>
      </c>
      <c r="I155" s="22" t="str">
        <f>IFERROR(VLOOKUP(D155,'LEAID Match'!$A$2:$B$184,2,FALSE),"")</f>
        <v/>
      </c>
    </row>
    <row r="156" spans="1:9" x14ac:dyDescent="0.2">
      <c r="A156" t="str">
        <f t="shared" si="2"/>
        <v/>
      </c>
      <c r="B156" s="24">
        <v>2019</v>
      </c>
      <c r="C156" t="s">
        <v>74</v>
      </c>
      <c r="D156" t="s">
        <v>882</v>
      </c>
      <c r="E156" t="s">
        <v>882</v>
      </c>
      <c r="F156" s="11">
        <v>5582747</v>
      </c>
      <c r="G156" s="18">
        <v>4.6300000000000001E-5</v>
      </c>
      <c r="H156" s="11">
        <v>88671.2598</v>
      </c>
      <c r="I156" s="22" t="str">
        <f>IFERROR(VLOOKUP(D156,'LEAID Match'!$A$2:$B$184,2,FALSE),"")</f>
        <v/>
      </c>
    </row>
    <row r="157" spans="1:9" x14ac:dyDescent="0.2">
      <c r="A157" t="str">
        <f t="shared" si="2"/>
        <v/>
      </c>
      <c r="B157" s="24">
        <v>2020</v>
      </c>
      <c r="C157" t="s">
        <v>74</v>
      </c>
      <c r="D157" t="s">
        <v>882</v>
      </c>
      <c r="E157" t="s">
        <v>882</v>
      </c>
      <c r="F157" s="11">
        <v>4648951</v>
      </c>
      <c r="G157" s="18">
        <v>3.7499999999999997E-5</v>
      </c>
      <c r="H157" s="11">
        <v>77065.3125</v>
      </c>
      <c r="I157" s="22" t="str">
        <f>IFERROR(VLOOKUP(D157,'LEAID Match'!$A$2:$B$184,2,FALSE),"")</f>
        <v/>
      </c>
    </row>
    <row r="158" spans="1:9" x14ac:dyDescent="0.2">
      <c r="A158" t="str">
        <f t="shared" si="2"/>
        <v/>
      </c>
      <c r="B158" s="24">
        <v>2021</v>
      </c>
      <c r="C158" t="s">
        <v>74</v>
      </c>
      <c r="D158" t="s">
        <v>882</v>
      </c>
      <c r="E158" t="s">
        <v>882</v>
      </c>
      <c r="F158" s="11">
        <v>4787734</v>
      </c>
      <c r="G158" s="18">
        <v>3.8300000000000003E-5</v>
      </c>
      <c r="H158" s="11">
        <v>90895.551600000006</v>
      </c>
      <c r="I158" s="22" t="str">
        <f>IFERROR(VLOOKUP(D158,'LEAID Match'!$A$2:$B$184,2,FALSE),"")</f>
        <v/>
      </c>
    </row>
    <row r="159" spans="1:9" x14ac:dyDescent="0.2">
      <c r="A159" t="str">
        <f t="shared" si="2"/>
        <v/>
      </c>
      <c r="B159" s="24">
        <v>2022</v>
      </c>
      <c r="C159" t="s">
        <v>74</v>
      </c>
      <c r="D159" t="s">
        <v>882</v>
      </c>
      <c r="E159" t="s">
        <v>882</v>
      </c>
      <c r="F159" s="11">
        <v>5212713</v>
      </c>
      <c r="G159" s="18">
        <v>4.1300000000000001E-5</v>
      </c>
      <c r="H159" s="11">
        <v>114068.3698</v>
      </c>
      <c r="I159" s="22" t="str">
        <f>IFERROR(VLOOKUP(D159,'LEAID Match'!$A$2:$B$184,2,FALSE),"")</f>
        <v/>
      </c>
    </row>
    <row r="160" spans="1:9" x14ac:dyDescent="0.2">
      <c r="A160" t="str">
        <f t="shared" si="2"/>
        <v/>
      </c>
      <c r="B160" s="24">
        <v>2023</v>
      </c>
      <c r="C160" t="s">
        <v>74</v>
      </c>
      <c r="D160" t="s">
        <v>882</v>
      </c>
      <c r="E160" t="s">
        <v>882</v>
      </c>
      <c r="F160" s="11">
        <v>6614218</v>
      </c>
      <c r="G160" s="18">
        <v>4.9799999999999998E-5</v>
      </c>
      <c r="H160" s="11">
        <v>151137.87059999999</v>
      </c>
      <c r="I160" s="22" t="str">
        <f>IFERROR(VLOOKUP(D160,'LEAID Match'!$A$2:$B$184,2,FALSE),"")</f>
        <v/>
      </c>
    </row>
    <row r="161" spans="1:9" x14ac:dyDescent="0.2">
      <c r="A161" t="str">
        <f t="shared" si="2"/>
        <v/>
      </c>
      <c r="B161" s="24">
        <v>2015</v>
      </c>
      <c r="C161" t="s">
        <v>75</v>
      </c>
      <c r="D161" t="s">
        <v>595</v>
      </c>
      <c r="E161" t="s">
        <v>17</v>
      </c>
      <c r="F161" s="11">
        <v>209053938</v>
      </c>
      <c r="G161" s="18">
        <v>1.8278000000000001E-3</v>
      </c>
      <c r="H161" s="11">
        <v>2308489.4664000003</v>
      </c>
      <c r="I161" s="22" t="str">
        <f>IFERROR(VLOOKUP(D161,'LEAID Match'!$A$2:$B$184,2,FALSE),"")</f>
        <v/>
      </c>
    </row>
    <row r="162" spans="1:9" x14ac:dyDescent="0.2">
      <c r="A162" t="str">
        <f t="shared" si="2"/>
        <v/>
      </c>
      <c r="B162" s="24">
        <v>2016</v>
      </c>
      <c r="C162" t="s">
        <v>75</v>
      </c>
      <c r="D162" t="s">
        <v>595</v>
      </c>
      <c r="E162" t="s">
        <v>595</v>
      </c>
      <c r="F162" s="11">
        <v>204033682</v>
      </c>
      <c r="G162" s="18">
        <v>1.8841000000000001E-3</v>
      </c>
      <c r="H162" s="11">
        <v>2402233.1523000002</v>
      </c>
      <c r="I162" s="22" t="str">
        <f>IFERROR(VLOOKUP(D162,'LEAID Match'!$A$2:$B$184,2,FALSE),"")</f>
        <v/>
      </c>
    </row>
    <row r="163" spans="1:9" x14ac:dyDescent="0.2">
      <c r="A163" t="str">
        <f t="shared" si="2"/>
        <v/>
      </c>
      <c r="B163" s="24">
        <v>2017</v>
      </c>
      <c r="C163" t="s">
        <v>75</v>
      </c>
      <c r="D163" t="s">
        <v>595</v>
      </c>
      <c r="E163" t="s">
        <v>595</v>
      </c>
      <c r="F163" s="11">
        <v>205992198</v>
      </c>
      <c r="G163" s="18">
        <v>1.8461E-3</v>
      </c>
      <c r="H163" s="11">
        <v>2660588.2434</v>
      </c>
      <c r="I163" s="22" t="str">
        <f>IFERROR(VLOOKUP(D163,'LEAID Match'!$A$2:$B$184,2,FALSE),"")</f>
        <v/>
      </c>
    </row>
    <row r="164" spans="1:9" x14ac:dyDescent="0.2">
      <c r="A164" t="str">
        <f t="shared" si="2"/>
        <v/>
      </c>
      <c r="B164" s="24">
        <v>2018</v>
      </c>
      <c r="C164" t="s">
        <v>75</v>
      </c>
      <c r="D164" t="s">
        <v>595</v>
      </c>
      <c r="E164" t="s">
        <v>595</v>
      </c>
      <c r="F164" s="11">
        <v>218287604</v>
      </c>
      <c r="G164" s="18">
        <v>1.8783999999999999E-3</v>
      </c>
      <c r="H164" s="11">
        <v>3010889.2383999997</v>
      </c>
      <c r="I164" s="22" t="str">
        <f>IFERROR(VLOOKUP(D164,'LEAID Match'!$A$2:$B$184,2,FALSE),"")</f>
        <v/>
      </c>
    </row>
    <row r="165" spans="1:9" x14ac:dyDescent="0.2">
      <c r="A165" t="str">
        <f t="shared" si="2"/>
        <v/>
      </c>
      <c r="B165" s="24">
        <v>2019</v>
      </c>
      <c r="C165" t="s">
        <v>75</v>
      </c>
      <c r="D165" t="s">
        <v>595</v>
      </c>
      <c r="E165" t="s">
        <v>595</v>
      </c>
      <c r="F165" s="11">
        <v>222498866</v>
      </c>
      <c r="G165" s="18">
        <v>1.8466999999999999E-3</v>
      </c>
      <c r="H165" s="11">
        <v>3536700.1181999999</v>
      </c>
      <c r="I165" s="22" t="str">
        <f>IFERROR(VLOOKUP(D165,'LEAID Match'!$A$2:$B$184,2,FALSE),"")</f>
        <v/>
      </c>
    </row>
    <row r="166" spans="1:9" x14ac:dyDescent="0.2">
      <c r="A166" t="str">
        <f t="shared" si="2"/>
        <v/>
      </c>
      <c r="B166" s="24">
        <v>2020</v>
      </c>
      <c r="C166" t="s">
        <v>75</v>
      </c>
      <c r="D166" t="s">
        <v>595</v>
      </c>
      <c r="E166" t="s">
        <v>595</v>
      </c>
      <c r="F166" s="11">
        <v>239470733</v>
      </c>
      <c r="G166" s="18">
        <v>1.9331999999999999E-3</v>
      </c>
      <c r="H166" s="11">
        <v>3972870.9899999998</v>
      </c>
      <c r="I166" s="22" t="str">
        <f>IFERROR(VLOOKUP(D166,'LEAID Match'!$A$2:$B$184,2,FALSE),"")</f>
        <v/>
      </c>
    </row>
    <row r="167" spans="1:9" x14ac:dyDescent="0.2">
      <c r="A167" t="str">
        <f t="shared" si="2"/>
        <v/>
      </c>
      <c r="B167" s="24">
        <v>2021</v>
      </c>
      <c r="C167" t="s">
        <v>75</v>
      </c>
      <c r="D167" t="s">
        <v>595</v>
      </c>
      <c r="E167" t="s">
        <v>595</v>
      </c>
      <c r="F167" s="11">
        <v>250510572</v>
      </c>
      <c r="G167" s="18">
        <v>2.0016999999999999E-3</v>
      </c>
      <c r="H167" s="11">
        <v>4750538.5284000002</v>
      </c>
      <c r="I167" s="22" t="str">
        <f>IFERROR(VLOOKUP(D167,'LEAID Match'!$A$2:$B$184,2,FALSE),"")</f>
        <v/>
      </c>
    </row>
    <row r="168" spans="1:9" x14ac:dyDescent="0.2">
      <c r="A168" t="str">
        <f t="shared" si="2"/>
        <v/>
      </c>
      <c r="B168" s="24">
        <v>2022</v>
      </c>
      <c r="C168" t="s">
        <v>75</v>
      </c>
      <c r="D168" t="s">
        <v>595</v>
      </c>
      <c r="E168" t="s">
        <v>595</v>
      </c>
      <c r="F168" s="11">
        <v>257828068</v>
      </c>
      <c r="G168" s="18">
        <v>2.0443000000000002E-3</v>
      </c>
      <c r="H168" s="11">
        <v>5646246.2078000009</v>
      </c>
      <c r="I168" s="22" t="str">
        <f>IFERROR(VLOOKUP(D168,'LEAID Match'!$A$2:$B$184,2,FALSE),"")</f>
        <v/>
      </c>
    </row>
    <row r="169" spans="1:9" x14ac:dyDescent="0.2">
      <c r="A169" t="str">
        <f t="shared" si="2"/>
        <v/>
      </c>
      <c r="B169" s="24">
        <v>2023</v>
      </c>
      <c r="C169" t="s">
        <v>75</v>
      </c>
      <c r="D169" t="s">
        <v>595</v>
      </c>
      <c r="E169" t="s">
        <v>595</v>
      </c>
      <c r="F169" s="11">
        <v>266588452</v>
      </c>
      <c r="G169" s="18">
        <v>2.0059000000000001E-3</v>
      </c>
      <c r="H169" s="11">
        <v>6087699.8923000004</v>
      </c>
      <c r="I169" s="22" t="str">
        <f>IFERROR(VLOOKUP(D169,'LEAID Match'!$A$2:$B$184,2,FALSE),"")</f>
        <v/>
      </c>
    </row>
    <row r="170" spans="1:9" x14ac:dyDescent="0.2">
      <c r="A170" t="str">
        <f t="shared" si="2"/>
        <v/>
      </c>
      <c r="B170" s="24">
        <v>2015</v>
      </c>
      <c r="C170" t="s">
        <v>76</v>
      </c>
      <c r="D170" t="s">
        <v>883</v>
      </c>
      <c r="E170" t="s">
        <v>18</v>
      </c>
      <c r="F170" s="11">
        <v>5637772265</v>
      </c>
      <c r="G170" s="18">
        <v>4.9292900000000001E-2</v>
      </c>
      <c r="H170" s="11">
        <v>62256341.185199998</v>
      </c>
      <c r="I170" s="22" t="str">
        <f>IFERROR(VLOOKUP(D170,'LEAID Match'!$A$2:$B$184,2,FALSE),"")</f>
        <v/>
      </c>
    </row>
    <row r="171" spans="1:9" x14ac:dyDescent="0.2">
      <c r="A171" t="str">
        <f t="shared" si="2"/>
        <v/>
      </c>
      <c r="B171" s="24">
        <v>2016</v>
      </c>
      <c r="C171" t="s">
        <v>76</v>
      </c>
      <c r="D171" t="s">
        <v>883</v>
      </c>
      <c r="E171" t="s">
        <v>596</v>
      </c>
      <c r="F171" s="11">
        <v>5164589826</v>
      </c>
      <c r="G171" s="18">
        <v>4.7691699999999997E-2</v>
      </c>
      <c r="H171" s="11">
        <v>60807060.575099997</v>
      </c>
      <c r="I171" s="22" t="str">
        <f>IFERROR(VLOOKUP(D171,'LEAID Match'!$A$2:$B$184,2,FALSE),"")</f>
        <v/>
      </c>
    </row>
    <row r="172" spans="1:9" x14ac:dyDescent="0.2">
      <c r="A172" t="str">
        <f t="shared" si="2"/>
        <v/>
      </c>
      <c r="B172" s="24">
        <v>2017</v>
      </c>
      <c r="C172" t="s">
        <v>76</v>
      </c>
      <c r="D172" t="s">
        <v>883</v>
      </c>
      <c r="E172" t="s">
        <v>883</v>
      </c>
      <c r="F172" s="11">
        <v>5348323613</v>
      </c>
      <c r="G172" s="18">
        <v>4.7932000000000002E-2</v>
      </c>
      <c r="H172" s="11">
        <v>69079310.807999998</v>
      </c>
      <c r="I172" s="22" t="str">
        <f>IFERROR(VLOOKUP(D172,'LEAID Match'!$A$2:$B$184,2,FALSE),"")</f>
        <v/>
      </c>
    </row>
    <row r="173" spans="1:9" x14ac:dyDescent="0.2">
      <c r="A173" t="str">
        <f t="shared" si="2"/>
        <v/>
      </c>
      <c r="B173" s="24">
        <v>2018</v>
      </c>
      <c r="C173" t="s">
        <v>76</v>
      </c>
      <c r="D173" t="s">
        <v>883</v>
      </c>
      <c r="E173" t="s">
        <v>883</v>
      </c>
      <c r="F173" s="11">
        <v>5643791229</v>
      </c>
      <c r="G173" s="18">
        <v>4.85663E-2</v>
      </c>
      <c r="H173" s="11">
        <v>77846970.836300001</v>
      </c>
      <c r="I173" s="22" t="str">
        <f>IFERROR(VLOOKUP(D173,'LEAID Match'!$A$2:$B$184,2,FALSE),"")</f>
        <v/>
      </c>
    </row>
    <row r="174" spans="1:9" x14ac:dyDescent="0.2">
      <c r="A174" t="str">
        <f t="shared" si="2"/>
        <v/>
      </c>
      <c r="B174" s="24">
        <v>2019</v>
      </c>
      <c r="C174" t="s">
        <v>76</v>
      </c>
      <c r="D174" t="s">
        <v>883</v>
      </c>
      <c r="E174" t="s">
        <v>883</v>
      </c>
      <c r="F174" s="11">
        <v>5839930046</v>
      </c>
      <c r="G174" s="18">
        <v>4.8471500000000001E-2</v>
      </c>
      <c r="H174" s="11">
        <v>92829999.339000002</v>
      </c>
      <c r="I174" s="22" t="str">
        <f>IFERROR(VLOOKUP(D174,'LEAID Match'!$A$2:$B$184,2,FALSE),"")</f>
        <v/>
      </c>
    </row>
    <row r="175" spans="1:9" x14ac:dyDescent="0.2">
      <c r="A175" t="str">
        <f t="shared" si="2"/>
        <v/>
      </c>
      <c r="B175" s="24">
        <v>2020</v>
      </c>
      <c r="C175" t="s">
        <v>76</v>
      </c>
      <c r="D175" t="s">
        <v>883</v>
      </c>
      <c r="E175" t="s">
        <v>883</v>
      </c>
      <c r="F175" s="11">
        <v>6059215603</v>
      </c>
      <c r="G175" s="18">
        <v>4.8915300000000002E-2</v>
      </c>
      <c r="H175" s="11">
        <v>100524610.14750001</v>
      </c>
      <c r="I175" s="22" t="str">
        <f>IFERROR(VLOOKUP(D175,'LEAID Match'!$A$2:$B$184,2,FALSE),"")</f>
        <v/>
      </c>
    </row>
    <row r="176" spans="1:9" x14ac:dyDescent="0.2">
      <c r="A176" t="str">
        <f t="shared" si="2"/>
        <v/>
      </c>
      <c r="B176" s="24">
        <v>2021</v>
      </c>
      <c r="C176" t="s">
        <v>76</v>
      </c>
      <c r="D176" t="s">
        <v>883</v>
      </c>
      <c r="E176" t="s">
        <v>883</v>
      </c>
      <c r="F176" s="11">
        <v>6754465176</v>
      </c>
      <c r="G176" s="18">
        <v>5.3970900000000002E-2</v>
      </c>
      <c r="H176" s="11">
        <v>128086546.36680001</v>
      </c>
      <c r="I176" s="22" t="str">
        <f>IFERROR(VLOOKUP(D176,'LEAID Match'!$A$2:$B$184,2,FALSE),"")</f>
        <v/>
      </c>
    </row>
    <row r="177" spans="1:9" x14ac:dyDescent="0.2">
      <c r="A177" t="str">
        <f t="shared" si="2"/>
        <v/>
      </c>
      <c r="B177" s="24">
        <v>2022</v>
      </c>
      <c r="C177" t="s">
        <v>76</v>
      </c>
      <c r="D177" t="s">
        <v>883</v>
      </c>
      <c r="E177" t="s">
        <v>883</v>
      </c>
      <c r="F177" s="11">
        <v>6134783644</v>
      </c>
      <c r="G177" s="18">
        <v>4.8642499999999998E-2</v>
      </c>
      <c r="H177" s="11">
        <v>134347958.30500001</v>
      </c>
      <c r="I177" s="22" t="str">
        <f>IFERROR(VLOOKUP(D177,'LEAID Match'!$A$2:$B$184,2,FALSE),"")</f>
        <v/>
      </c>
    </row>
    <row r="178" spans="1:9" x14ac:dyDescent="0.2">
      <c r="A178" t="str">
        <f t="shared" si="2"/>
        <v/>
      </c>
      <c r="B178" s="24">
        <v>2023</v>
      </c>
      <c r="C178" t="s">
        <v>76</v>
      </c>
      <c r="D178" t="s">
        <v>883</v>
      </c>
      <c r="E178" t="s">
        <v>883</v>
      </c>
      <c r="F178" s="11">
        <v>6010897568</v>
      </c>
      <c r="G178" s="18">
        <v>4.5227400000000001E-2</v>
      </c>
      <c r="H178" s="11">
        <v>137260500.57780001</v>
      </c>
      <c r="I178" s="22" t="str">
        <f>IFERROR(VLOOKUP(D178,'LEAID Match'!$A$2:$B$184,2,FALSE),"")</f>
        <v/>
      </c>
    </row>
    <row r="179" spans="1:9" x14ac:dyDescent="0.2">
      <c r="A179" t="str">
        <f t="shared" si="2"/>
        <v/>
      </c>
      <c r="B179" s="24">
        <v>2015</v>
      </c>
      <c r="C179" t="s">
        <v>77</v>
      </c>
      <c r="D179" t="s">
        <v>597</v>
      </c>
      <c r="E179" t="s">
        <v>19</v>
      </c>
      <c r="F179" s="11">
        <v>652491866</v>
      </c>
      <c r="G179" s="18">
        <v>5.705E-3</v>
      </c>
      <c r="H179" s="11">
        <v>7205346.54</v>
      </c>
      <c r="I179" s="22" t="str">
        <f>IFERROR(VLOOKUP(D179,'LEAID Match'!$A$2:$B$184,2,FALSE),"")</f>
        <v/>
      </c>
    </row>
    <row r="180" spans="1:9" x14ac:dyDescent="0.2">
      <c r="A180" t="str">
        <f t="shared" si="2"/>
        <v/>
      </c>
      <c r="B180" s="24">
        <v>2016</v>
      </c>
      <c r="C180" t="s">
        <v>77</v>
      </c>
      <c r="D180" t="s">
        <v>597</v>
      </c>
      <c r="E180" t="s">
        <v>597</v>
      </c>
      <c r="F180" s="11">
        <v>587786997</v>
      </c>
      <c r="G180" s="18">
        <v>5.4278E-3</v>
      </c>
      <c r="H180" s="11">
        <v>6920461.2834000001</v>
      </c>
      <c r="I180" s="22" t="str">
        <f>IFERROR(VLOOKUP(D180,'LEAID Match'!$A$2:$B$184,2,FALSE),"")</f>
        <v/>
      </c>
    </row>
    <row r="181" spans="1:9" x14ac:dyDescent="0.2">
      <c r="A181" t="str">
        <f t="shared" si="2"/>
        <v/>
      </c>
      <c r="B181" s="24">
        <v>2017</v>
      </c>
      <c r="C181" t="s">
        <v>77</v>
      </c>
      <c r="D181" t="s">
        <v>597</v>
      </c>
      <c r="E181" t="s">
        <v>597</v>
      </c>
      <c r="F181" s="11">
        <v>596173822</v>
      </c>
      <c r="G181" s="18">
        <v>5.3429000000000003E-3</v>
      </c>
      <c r="H181" s="11">
        <v>7700155.4226000002</v>
      </c>
      <c r="I181" s="22" t="str">
        <f>IFERROR(VLOOKUP(D181,'LEAID Match'!$A$2:$B$184,2,FALSE),"")</f>
        <v/>
      </c>
    </row>
    <row r="182" spans="1:9" x14ac:dyDescent="0.2">
      <c r="A182" t="str">
        <f t="shared" si="2"/>
        <v/>
      </c>
      <c r="B182" s="24">
        <v>2018</v>
      </c>
      <c r="C182" t="s">
        <v>77</v>
      </c>
      <c r="D182" t="s">
        <v>597</v>
      </c>
      <c r="E182" t="s">
        <v>597</v>
      </c>
      <c r="F182" s="11">
        <v>541411862</v>
      </c>
      <c r="G182" s="18">
        <v>4.6589999999999999E-3</v>
      </c>
      <c r="H182" s="11">
        <v>7467915.7589999996</v>
      </c>
      <c r="I182" s="22" t="str">
        <f>IFERROR(VLOOKUP(D182,'LEAID Match'!$A$2:$B$184,2,FALSE),"")</f>
        <v/>
      </c>
    </row>
    <row r="183" spans="1:9" x14ac:dyDescent="0.2">
      <c r="A183" t="str">
        <f t="shared" si="2"/>
        <v/>
      </c>
      <c r="B183" s="24">
        <v>2019</v>
      </c>
      <c r="C183" t="s">
        <v>77</v>
      </c>
      <c r="D183" t="s">
        <v>597</v>
      </c>
      <c r="E183" t="s">
        <v>597</v>
      </c>
      <c r="F183" s="11">
        <v>542906496</v>
      </c>
      <c r="G183" s="18">
        <v>4.5060999999999999E-3</v>
      </c>
      <c r="H183" s="11">
        <v>8629839.3905999996</v>
      </c>
      <c r="I183" s="22" t="str">
        <f>IFERROR(VLOOKUP(D183,'LEAID Match'!$A$2:$B$184,2,FALSE),"")</f>
        <v/>
      </c>
    </row>
    <row r="184" spans="1:9" x14ac:dyDescent="0.2">
      <c r="A184" t="str">
        <f t="shared" si="2"/>
        <v/>
      </c>
      <c r="B184" s="24">
        <v>2020</v>
      </c>
      <c r="C184" t="s">
        <v>77</v>
      </c>
      <c r="D184" t="s">
        <v>597</v>
      </c>
      <c r="E184" t="s">
        <v>597</v>
      </c>
      <c r="F184" s="11">
        <v>549022942</v>
      </c>
      <c r="G184" s="18">
        <v>4.4321999999999999E-3</v>
      </c>
      <c r="H184" s="11">
        <v>9108503.4149999991</v>
      </c>
      <c r="I184" s="22" t="str">
        <f>IFERROR(VLOOKUP(D184,'LEAID Match'!$A$2:$B$184,2,FALSE),"")</f>
        <v/>
      </c>
    </row>
    <row r="185" spans="1:9" x14ac:dyDescent="0.2">
      <c r="A185" t="str">
        <f t="shared" si="2"/>
        <v/>
      </c>
      <c r="B185" s="24">
        <v>2021</v>
      </c>
      <c r="C185" t="s">
        <v>77</v>
      </c>
      <c r="D185" t="s">
        <v>597</v>
      </c>
      <c r="E185" t="s">
        <v>597</v>
      </c>
      <c r="F185" s="11">
        <v>630462460</v>
      </c>
      <c r="G185" s="18">
        <v>5.0375999999999997E-3</v>
      </c>
      <c r="H185" s="11">
        <v>11955494.2752</v>
      </c>
      <c r="I185" s="22" t="str">
        <f>IFERROR(VLOOKUP(D185,'LEAID Match'!$A$2:$B$184,2,FALSE),"")</f>
        <v/>
      </c>
    </row>
    <row r="186" spans="1:9" x14ac:dyDescent="0.2">
      <c r="A186" t="str">
        <f t="shared" si="2"/>
        <v/>
      </c>
      <c r="B186" s="24">
        <v>2022</v>
      </c>
      <c r="C186" t="s">
        <v>77</v>
      </c>
      <c r="D186" t="s">
        <v>597</v>
      </c>
      <c r="E186" t="s">
        <v>597</v>
      </c>
      <c r="F186" s="11">
        <v>659079621</v>
      </c>
      <c r="G186" s="18">
        <v>5.2258000000000001E-3</v>
      </c>
      <c r="H186" s="11">
        <v>14433377.4068</v>
      </c>
      <c r="I186" s="22" t="str">
        <f>IFERROR(VLOOKUP(D186,'LEAID Match'!$A$2:$B$184,2,FALSE),"")</f>
        <v/>
      </c>
    </row>
    <row r="187" spans="1:9" x14ac:dyDescent="0.2">
      <c r="A187" t="str">
        <f t="shared" si="2"/>
        <v/>
      </c>
      <c r="B187" s="24">
        <v>2023</v>
      </c>
      <c r="C187" t="s">
        <v>77</v>
      </c>
      <c r="D187" t="s">
        <v>597</v>
      </c>
      <c r="E187" t="s">
        <v>597</v>
      </c>
      <c r="F187" s="11">
        <v>590130605</v>
      </c>
      <c r="G187" s="18">
        <v>4.4403000000000003E-3</v>
      </c>
      <c r="H187" s="11">
        <v>13475853.149100002</v>
      </c>
      <c r="I187" s="22" t="str">
        <f>IFERROR(VLOOKUP(D187,'LEAID Match'!$A$2:$B$184,2,FALSE),"")</f>
        <v/>
      </c>
    </row>
    <row r="188" spans="1:9" x14ac:dyDescent="0.2">
      <c r="A188" t="str">
        <f t="shared" si="2"/>
        <v/>
      </c>
      <c r="B188" s="24">
        <v>2015</v>
      </c>
      <c r="C188" t="s">
        <v>78</v>
      </c>
      <c r="D188" t="s">
        <v>884</v>
      </c>
      <c r="E188" t="s">
        <v>20</v>
      </c>
      <c r="F188" s="11">
        <v>174494125</v>
      </c>
      <c r="G188" s="18">
        <v>1.5257000000000001E-3</v>
      </c>
      <c r="H188" s="11">
        <v>1926940.7916000001</v>
      </c>
      <c r="I188" s="22" t="str">
        <f>IFERROR(VLOOKUP(D188,'LEAID Match'!$A$2:$B$184,2,FALSE),"")</f>
        <v/>
      </c>
    </row>
    <row r="189" spans="1:9" x14ac:dyDescent="0.2">
      <c r="A189" t="str">
        <f t="shared" si="2"/>
        <v/>
      </c>
      <c r="B189" s="24">
        <v>2016</v>
      </c>
      <c r="C189" t="s">
        <v>78</v>
      </c>
      <c r="D189" t="s">
        <v>884</v>
      </c>
      <c r="E189" t="s">
        <v>598</v>
      </c>
      <c r="F189" s="11">
        <v>161158085</v>
      </c>
      <c r="G189" s="18">
        <v>1.4882000000000001E-3</v>
      </c>
      <c r="H189" s="11">
        <v>1897459.4646000001</v>
      </c>
      <c r="I189" s="22" t="str">
        <f>IFERROR(VLOOKUP(D189,'LEAID Match'!$A$2:$B$184,2,FALSE),"")</f>
        <v/>
      </c>
    </row>
    <row r="190" spans="1:9" x14ac:dyDescent="0.2">
      <c r="A190" t="str">
        <f t="shared" si="2"/>
        <v/>
      </c>
      <c r="B190" s="24">
        <v>2017</v>
      </c>
      <c r="C190" t="s">
        <v>78</v>
      </c>
      <c r="D190" t="s">
        <v>884</v>
      </c>
      <c r="E190" t="s">
        <v>884</v>
      </c>
      <c r="F190" s="11">
        <v>161619641</v>
      </c>
      <c r="G190" s="18">
        <v>1.4484000000000001E-3</v>
      </c>
      <c r="H190" s="11">
        <v>2087425.3896000001</v>
      </c>
      <c r="I190" s="22" t="str">
        <f>IFERROR(VLOOKUP(D190,'LEAID Match'!$A$2:$B$184,2,FALSE),"")</f>
        <v/>
      </c>
    </row>
    <row r="191" spans="1:9" x14ac:dyDescent="0.2">
      <c r="A191" t="str">
        <f t="shared" si="2"/>
        <v/>
      </c>
      <c r="B191" s="24">
        <v>2018</v>
      </c>
      <c r="C191" t="s">
        <v>78</v>
      </c>
      <c r="D191" t="s">
        <v>884</v>
      </c>
      <c r="E191" t="s">
        <v>884</v>
      </c>
      <c r="F191" s="11">
        <v>234607307</v>
      </c>
      <c r="G191" s="18">
        <v>2.0189000000000001E-3</v>
      </c>
      <c r="H191" s="11">
        <v>3236096.8289000001</v>
      </c>
      <c r="I191" s="22" t="str">
        <f>IFERROR(VLOOKUP(D191,'LEAID Match'!$A$2:$B$184,2,FALSE),"")</f>
        <v/>
      </c>
    </row>
    <row r="192" spans="1:9" x14ac:dyDescent="0.2">
      <c r="A192" t="str">
        <f t="shared" si="2"/>
        <v/>
      </c>
      <c r="B192" s="24">
        <v>2019</v>
      </c>
      <c r="C192" t="s">
        <v>78</v>
      </c>
      <c r="D192" t="s">
        <v>884</v>
      </c>
      <c r="E192" t="s">
        <v>884</v>
      </c>
      <c r="F192" s="11">
        <v>242814211</v>
      </c>
      <c r="G192" s="18">
        <v>2.0154000000000001E-3</v>
      </c>
      <c r="H192" s="11">
        <v>3859785.2484000004</v>
      </c>
      <c r="I192" s="22" t="str">
        <f>IFERROR(VLOOKUP(D192,'LEAID Match'!$A$2:$B$184,2,FALSE),"")</f>
        <v/>
      </c>
    </row>
    <row r="193" spans="1:9" x14ac:dyDescent="0.2">
      <c r="A193" t="str">
        <f t="shared" si="2"/>
        <v/>
      </c>
      <c r="B193" s="24">
        <v>2020</v>
      </c>
      <c r="C193" t="s">
        <v>78</v>
      </c>
      <c r="D193" t="s">
        <v>884</v>
      </c>
      <c r="E193" t="s">
        <v>884</v>
      </c>
      <c r="F193" s="11">
        <v>250835809</v>
      </c>
      <c r="G193" s="18">
        <v>2.0249999999999999E-3</v>
      </c>
      <c r="H193" s="11">
        <v>4161526.875</v>
      </c>
      <c r="I193" s="22" t="str">
        <f>IFERROR(VLOOKUP(D193,'LEAID Match'!$A$2:$B$184,2,FALSE),"")</f>
        <v/>
      </c>
    </row>
    <row r="194" spans="1:9" x14ac:dyDescent="0.2">
      <c r="A194" t="str">
        <f t="shared" si="2"/>
        <v/>
      </c>
      <c r="B194" s="24">
        <v>2021</v>
      </c>
      <c r="C194" t="s">
        <v>78</v>
      </c>
      <c r="D194" t="s">
        <v>884</v>
      </c>
      <c r="E194" t="s">
        <v>884</v>
      </c>
      <c r="F194" s="11">
        <v>254627624</v>
      </c>
      <c r="G194" s="18">
        <v>2.0346000000000001E-3</v>
      </c>
      <c r="H194" s="11">
        <v>4828618.5192</v>
      </c>
      <c r="I194" s="22" t="str">
        <f>IFERROR(VLOOKUP(D194,'LEAID Match'!$A$2:$B$184,2,FALSE),"")</f>
        <v/>
      </c>
    </row>
    <row r="195" spans="1:9" x14ac:dyDescent="0.2">
      <c r="A195" t="str">
        <f t="shared" ref="A195:A258" si="3">I195</f>
        <v/>
      </c>
      <c r="B195" s="24">
        <v>2022</v>
      </c>
      <c r="C195" t="s">
        <v>78</v>
      </c>
      <c r="D195" t="s">
        <v>884</v>
      </c>
      <c r="E195" t="s">
        <v>884</v>
      </c>
      <c r="F195" s="11">
        <v>248972763</v>
      </c>
      <c r="G195" s="18">
        <v>1.9740999999999999E-3</v>
      </c>
      <c r="H195" s="11">
        <v>5452357.5986000001</v>
      </c>
      <c r="I195" s="22" t="str">
        <f>IFERROR(VLOOKUP(D195,'LEAID Match'!$A$2:$B$184,2,FALSE),"")</f>
        <v/>
      </c>
    </row>
    <row r="196" spans="1:9" x14ac:dyDescent="0.2">
      <c r="A196" t="str">
        <f t="shared" si="3"/>
        <v/>
      </c>
      <c r="B196" s="24">
        <v>2023</v>
      </c>
      <c r="C196" t="s">
        <v>78</v>
      </c>
      <c r="D196" t="s">
        <v>884</v>
      </c>
      <c r="E196" t="s">
        <v>884</v>
      </c>
      <c r="F196" s="11">
        <v>258541335</v>
      </c>
      <c r="G196" s="18">
        <v>1.9453000000000001E-3</v>
      </c>
      <c r="H196" s="11">
        <v>5903785.1341000004</v>
      </c>
      <c r="I196" s="22" t="str">
        <f>IFERROR(VLOOKUP(D196,'LEAID Match'!$A$2:$B$184,2,FALSE),"")</f>
        <v/>
      </c>
    </row>
    <row r="197" spans="1:9" x14ac:dyDescent="0.2">
      <c r="A197" t="str">
        <f t="shared" si="3"/>
        <v/>
      </c>
      <c r="B197" s="24">
        <v>2015</v>
      </c>
      <c r="C197" t="s">
        <v>79</v>
      </c>
      <c r="D197" t="s">
        <v>885</v>
      </c>
      <c r="E197" t="s">
        <v>21</v>
      </c>
      <c r="F197" s="11">
        <v>134480578</v>
      </c>
      <c r="G197" s="18">
        <v>1.1758000000000001E-3</v>
      </c>
      <c r="H197" s="11">
        <v>1485021.2904000001</v>
      </c>
      <c r="I197" s="22" t="str">
        <f>IFERROR(VLOOKUP(D197,'LEAID Match'!$A$2:$B$184,2,FALSE),"")</f>
        <v/>
      </c>
    </row>
    <row r="198" spans="1:9" x14ac:dyDescent="0.2">
      <c r="A198" t="str">
        <f t="shared" si="3"/>
        <v/>
      </c>
      <c r="B198" s="24">
        <v>2016</v>
      </c>
      <c r="C198" t="s">
        <v>79</v>
      </c>
      <c r="D198" t="s">
        <v>885</v>
      </c>
      <c r="E198" t="s">
        <v>599</v>
      </c>
      <c r="F198" s="11">
        <v>123937806</v>
      </c>
      <c r="G198" s="18">
        <v>1.1444999999999999E-3</v>
      </c>
      <c r="H198" s="11">
        <v>1459240.9334999998</v>
      </c>
      <c r="I198" s="22" t="str">
        <f>IFERROR(VLOOKUP(D198,'LEAID Match'!$A$2:$B$184,2,FALSE),"")</f>
        <v/>
      </c>
    </row>
    <row r="199" spans="1:9" x14ac:dyDescent="0.2">
      <c r="A199" t="str">
        <f t="shared" si="3"/>
        <v/>
      </c>
      <c r="B199" s="24">
        <v>2017</v>
      </c>
      <c r="C199" t="s">
        <v>79</v>
      </c>
      <c r="D199" t="s">
        <v>885</v>
      </c>
      <c r="E199" t="s">
        <v>885</v>
      </c>
      <c r="F199" s="11">
        <v>126699569</v>
      </c>
      <c r="G199" s="18">
        <v>1.1355E-3</v>
      </c>
      <c r="H199" s="11">
        <v>1636475.787</v>
      </c>
      <c r="I199" s="22" t="str">
        <f>IFERROR(VLOOKUP(D199,'LEAID Match'!$A$2:$B$184,2,FALSE),"")</f>
        <v/>
      </c>
    </row>
    <row r="200" spans="1:9" x14ac:dyDescent="0.2">
      <c r="A200" t="str">
        <f t="shared" si="3"/>
        <v/>
      </c>
      <c r="B200" s="24">
        <v>2018</v>
      </c>
      <c r="C200" t="s">
        <v>79</v>
      </c>
      <c r="D200" t="s">
        <v>885</v>
      </c>
      <c r="E200" t="s">
        <v>885</v>
      </c>
      <c r="F200" s="11">
        <v>134322024</v>
      </c>
      <c r="G200" s="18">
        <v>1.1559000000000001E-3</v>
      </c>
      <c r="H200" s="11">
        <v>1852793.2659</v>
      </c>
      <c r="I200" s="22" t="str">
        <f>IFERROR(VLOOKUP(D200,'LEAID Match'!$A$2:$B$184,2,FALSE),"")</f>
        <v/>
      </c>
    </row>
    <row r="201" spans="1:9" x14ac:dyDescent="0.2">
      <c r="A201" t="str">
        <f t="shared" si="3"/>
        <v/>
      </c>
      <c r="B201" s="24">
        <v>2019</v>
      </c>
      <c r="C201" t="s">
        <v>79</v>
      </c>
      <c r="D201" t="s">
        <v>885</v>
      </c>
      <c r="E201" t="s">
        <v>885</v>
      </c>
      <c r="F201" s="11">
        <v>139582145</v>
      </c>
      <c r="G201" s="18">
        <v>1.1585E-3</v>
      </c>
      <c r="H201" s="11">
        <v>2218696.6409999998</v>
      </c>
      <c r="I201" s="22" t="str">
        <f>IFERROR(VLOOKUP(D201,'LEAID Match'!$A$2:$B$184,2,FALSE),"")</f>
        <v/>
      </c>
    </row>
    <row r="202" spans="1:9" x14ac:dyDescent="0.2">
      <c r="A202" t="str">
        <f t="shared" si="3"/>
        <v/>
      </c>
      <c r="B202" s="24">
        <v>2020</v>
      </c>
      <c r="C202" t="s">
        <v>79</v>
      </c>
      <c r="D202" t="s">
        <v>885</v>
      </c>
      <c r="E202" t="s">
        <v>885</v>
      </c>
      <c r="F202" s="11">
        <v>138800631</v>
      </c>
      <c r="G202" s="18">
        <v>1.1205E-3</v>
      </c>
      <c r="H202" s="11">
        <v>2302711.5375000001</v>
      </c>
      <c r="I202" s="22" t="str">
        <f>IFERROR(VLOOKUP(D202,'LEAID Match'!$A$2:$B$184,2,FALSE),"")</f>
        <v/>
      </c>
    </row>
    <row r="203" spans="1:9" x14ac:dyDescent="0.2">
      <c r="A203" t="str">
        <f t="shared" si="3"/>
        <v/>
      </c>
      <c r="B203" s="24">
        <v>2021</v>
      </c>
      <c r="C203" t="s">
        <v>79</v>
      </c>
      <c r="D203" t="s">
        <v>885</v>
      </c>
      <c r="E203" t="s">
        <v>885</v>
      </c>
      <c r="F203" s="11">
        <v>139625082</v>
      </c>
      <c r="G203" s="18">
        <v>1.1157000000000001E-3</v>
      </c>
      <c r="H203" s="11">
        <v>2647837.2564000003</v>
      </c>
      <c r="I203" s="22" t="str">
        <f>IFERROR(VLOOKUP(D203,'LEAID Match'!$A$2:$B$184,2,FALSE),"")</f>
        <v/>
      </c>
    </row>
    <row r="204" spans="1:9" x14ac:dyDescent="0.2">
      <c r="A204" t="str">
        <f t="shared" si="3"/>
        <v/>
      </c>
      <c r="B204" s="24">
        <v>2022</v>
      </c>
      <c r="C204" t="s">
        <v>79</v>
      </c>
      <c r="D204" t="s">
        <v>885</v>
      </c>
      <c r="E204" t="s">
        <v>885</v>
      </c>
      <c r="F204" s="11">
        <v>140671809</v>
      </c>
      <c r="G204" s="18">
        <v>1.1153999999999999E-3</v>
      </c>
      <c r="H204" s="11">
        <v>3080674.5683999998</v>
      </c>
      <c r="I204" s="22" t="str">
        <f>IFERROR(VLOOKUP(D204,'LEAID Match'!$A$2:$B$184,2,FALSE),"")</f>
        <v/>
      </c>
    </row>
    <row r="205" spans="1:9" x14ac:dyDescent="0.2">
      <c r="A205" t="str">
        <f t="shared" si="3"/>
        <v/>
      </c>
      <c r="B205" s="24">
        <v>2023</v>
      </c>
      <c r="C205" t="s">
        <v>79</v>
      </c>
      <c r="D205" t="s">
        <v>885</v>
      </c>
      <c r="E205" t="s">
        <v>885</v>
      </c>
      <c r="F205" s="11">
        <v>150624522</v>
      </c>
      <c r="G205" s="18">
        <v>1.1333000000000001E-3</v>
      </c>
      <c r="H205" s="11">
        <v>3439448.7701000003</v>
      </c>
      <c r="I205" s="22" t="str">
        <f>IFERROR(VLOOKUP(D205,'LEAID Match'!$A$2:$B$184,2,FALSE),"")</f>
        <v/>
      </c>
    </row>
    <row r="206" spans="1:9" x14ac:dyDescent="0.2">
      <c r="A206" t="str">
        <f t="shared" si="3"/>
        <v/>
      </c>
      <c r="B206" s="24">
        <v>2015</v>
      </c>
      <c r="C206" t="s">
        <v>80</v>
      </c>
      <c r="D206" t="s">
        <v>886</v>
      </c>
      <c r="E206" t="s">
        <v>22</v>
      </c>
      <c r="F206" s="11">
        <v>484759179</v>
      </c>
      <c r="G206" s="18">
        <v>4.2383999999999998E-3</v>
      </c>
      <c r="H206" s="11">
        <v>5353048.3391999993</v>
      </c>
      <c r="I206" s="22" t="str">
        <f>IFERROR(VLOOKUP(D206,'LEAID Match'!$A$2:$B$184,2,FALSE),"")</f>
        <v/>
      </c>
    </row>
    <row r="207" spans="1:9" x14ac:dyDescent="0.2">
      <c r="A207" t="str">
        <f t="shared" si="3"/>
        <v/>
      </c>
      <c r="B207" s="24">
        <v>2016</v>
      </c>
      <c r="C207" t="s">
        <v>80</v>
      </c>
      <c r="D207" t="s">
        <v>886</v>
      </c>
      <c r="E207" t="s">
        <v>600</v>
      </c>
      <c r="F207" s="11">
        <v>472742194</v>
      </c>
      <c r="G207" s="18">
        <v>4.3654999999999996E-3</v>
      </c>
      <c r="H207" s="11">
        <v>5566025.5964999991</v>
      </c>
      <c r="I207" s="22" t="str">
        <f>IFERROR(VLOOKUP(D207,'LEAID Match'!$A$2:$B$184,2,FALSE),"")</f>
        <v/>
      </c>
    </row>
    <row r="208" spans="1:9" x14ac:dyDescent="0.2">
      <c r="A208" t="str">
        <f t="shared" si="3"/>
        <v/>
      </c>
      <c r="B208" s="24">
        <v>2017</v>
      </c>
      <c r="C208" t="s">
        <v>80</v>
      </c>
      <c r="D208" t="s">
        <v>886</v>
      </c>
      <c r="E208" t="s">
        <v>886</v>
      </c>
      <c r="F208" s="11">
        <v>494994126</v>
      </c>
      <c r="G208" s="18">
        <v>4.4362000000000004E-3</v>
      </c>
      <c r="H208" s="11">
        <v>6393424.8228000002</v>
      </c>
      <c r="I208" s="22" t="str">
        <f>IFERROR(VLOOKUP(D208,'LEAID Match'!$A$2:$B$184,2,FALSE),"")</f>
        <v/>
      </c>
    </row>
    <row r="209" spans="1:9" x14ac:dyDescent="0.2">
      <c r="A209" t="str">
        <f t="shared" si="3"/>
        <v/>
      </c>
      <c r="B209" s="24">
        <v>2018</v>
      </c>
      <c r="C209" t="s">
        <v>80</v>
      </c>
      <c r="D209" t="s">
        <v>886</v>
      </c>
      <c r="E209" t="s">
        <v>886</v>
      </c>
      <c r="F209" s="11">
        <v>526699965</v>
      </c>
      <c r="G209" s="18">
        <v>4.5323999999999998E-3</v>
      </c>
      <c r="H209" s="11">
        <v>7264988.4923999999</v>
      </c>
      <c r="I209" s="22" t="str">
        <f>IFERROR(VLOOKUP(D209,'LEAID Match'!$A$2:$B$184,2,FALSE),"")</f>
        <v/>
      </c>
    </row>
    <row r="210" spans="1:9" x14ac:dyDescent="0.2">
      <c r="A210" t="str">
        <f t="shared" si="3"/>
        <v/>
      </c>
      <c r="B210" s="24">
        <v>2019</v>
      </c>
      <c r="C210" t="s">
        <v>80</v>
      </c>
      <c r="D210" t="s">
        <v>886</v>
      </c>
      <c r="E210" t="s">
        <v>886</v>
      </c>
      <c r="F210" s="11">
        <v>518502464</v>
      </c>
      <c r="G210" s="18">
        <v>4.3036000000000003E-3</v>
      </c>
      <c r="H210" s="11">
        <v>8242022.325600001</v>
      </c>
      <c r="I210" s="22" t="str">
        <f>IFERROR(VLOOKUP(D210,'LEAID Match'!$A$2:$B$184,2,FALSE),"")</f>
        <v/>
      </c>
    </row>
    <row r="211" spans="1:9" x14ac:dyDescent="0.2">
      <c r="A211" t="str">
        <f t="shared" si="3"/>
        <v/>
      </c>
      <c r="B211" s="24">
        <v>2020</v>
      </c>
      <c r="C211" t="s">
        <v>80</v>
      </c>
      <c r="D211" t="s">
        <v>886</v>
      </c>
      <c r="E211" t="s">
        <v>886</v>
      </c>
      <c r="F211" s="11">
        <v>548056083</v>
      </c>
      <c r="G211" s="18">
        <v>4.4244000000000002E-3</v>
      </c>
      <c r="H211" s="11">
        <v>9092473.8300000001</v>
      </c>
      <c r="I211" s="22" t="str">
        <f>IFERROR(VLOOKUP(D211,'LEAID Match'!$A$2:$B$184,2,FALSE),"")</f>
        <v/>
      </c>
    </row>
    <row r="212" spans="1:9" x14ac:dyDescent="0.2">
      <c r="A212" t="str">
        <f t="shared" si="3"/>
        <v/>
      </c>
      <c r="B212" s="24">
        <v>2021</v>
      </c>
      <c r="C212" t="s">
        <v>80</v>
      </c>
      <c r="D212" t="s">
        <v>886</v>
      </c>
      <c r="E212" t="s">
        <v>886</v>
      </c>
      <c r="F212" s="11">
        <v>569902057</v>
      </c>
      <c r="G212" s="18">
        <v>4.5536999999999999E-3</v>
      </c>
      <c r="H212" s="11">
        <v>10807077.6324</v>
      </c>
      <c r="I212" s="22" t="str">
        <f>IFERROR(VLOOKUP(D212,'LEAID Match'!$A$2:$B$184,2,FALSE),"")</f>
        <v/>
      </c>
    </row>
    <row r="213" spans="1:9" x14ac:dyDescent="0.2">
      <c r="A213" t="str">
        <f t="shared" si="3"/>
        <v/>
      </c>
      <c r="B213" s="24">
        <v>2022</v>
      </c>
      <c r="C213" t="s">
        <v>80</v>
      </c>
      <c r="D213" t="s">
        <v>886</v>
      </c>
      <c r="E213" t="s">
        <v>886</v>
      </c>
      <c r="F213" s="11">
        <v>564233409</v>
      </c>
      <c r="G213" s="18">
        <v>4.4738E-3</v>
      </c>
      <c r="H213" s="11">
        <v>12356394.014799999</v>
      </c>
      <c r="I213" s="22" t="str">
        <f>IFERROR(VLOOKUP(D213,'LEAID Match'!$A$2:$B$184,2,FALSE),"")</f>
        <v/>
      </c>
    </row>
    <row r="214" spans="1:9" x14ac:dyDescent="0.2">
      <c r="A214" t="str">
        <f t="shared" si="3"/>
        <v/>
      </c>
      <c r="B214" s="24">
        <v>2023</v>
      </c>
      <c r="C214" t="s">
        <v>80</v>
      </c>
      <c r="D214" t="s">
        <v>886</v>
      </c>
      <c r="E214" t="s">
        <v>886</v>
      </c>
      <c r="F214" s="11">
        <v>585654338</v>
      </c>
      <c r="G214" s="18">
        <v>4.4066000000000001E-3</v>
      </c>
      <c r="H214" s="11">
        <v>13373577.120200001</v>
      </c>
      <c r="I214" s="22" t="str">
        <f>IFERROR(VLOOKUP(D214,'LEAID Match'!$A$2:$B$184,2,FALSE),"")</f>
        <v/>
      </c>
    </row>
    <row r="215" spans="1:9" x14ac:dyDescent="0.2">
      <c r="A215" t="str">
        <f t="shared" si="3"/>
        <v/>
      </c>
      <c r="B215" s="24">
        <v>2015</v>
      </c>
      <c r="C215" t="s">
        <v>81</v>
      </c>
      <c r="D215" t="s">
        <v>887</v>
      </c>
      <c r="E215" t="s">
        <v>23</v>
      </c>
      <c r="F215" s="11">
        <v>61043051</v>
      </c>
      <c r="G215" s="18">
        <v>5.3370000000000002E-4</v>
      </c>
      <c r="H215" s="11">
        <v>674056.69559999998</v>
      </c>
      <c r="I215" s="22" t="str">
        <f>IFERROR(VLOOKUP(D215,'LEAID Match'!$A$2:$B$184,2,FALSE),"")</f>
        <v/>
      </c>
    </row>
    <row r="216" spans="1:9" x14ac:dyDescent="0.2">
      <c r="A216" t="str">
        <f t="shared" si="3"/>
        <v/>
      </c>
      <c r="B216" s="24">
        <v>2016</v>
      </c>
      <c r="C216" t="s">
        <v>81</v>
      </c>
      <c r="D216" t="s">
        <v>887</v>
      </c>
      <c r="E216" t="s">
        <v>601</v>
      </c>
      <c r="F216" s="11">
        <v>55884745</v>
      </c>
      <c r="G216" s="18">
        <v>5.1610000000000002E-4</v>
      </c>
      <c r="H216" s="11">
        <v>658029.04830000002</v>
      </c>
      <c r="I216" s="22" t="str">
        <f>IFERROR(VLOOKUP(D216,'LEAID Match'!$A$2:$B$184,2,FALSE),"")</f>
        <v/>
      </c>
    </row>
    <row r="217" spans="1:9" x14ac:dyDescent="0.2">
      <c r="A217" t="str">
        <f t="shared" si="3"/>
        <v/>
      </c>
      <c r="B217" s="24">
        <v>2017</v>
      </c>
      <c r="C217" t="s">
        <v>81</v>
      </c>
      <c r="D217" t="s">
        <v>887</v>
      </c>
      <c r="E217" t="s">
        <v>887</v>
      </c>
      <c r="F217" s="11">
        <v>53309050</v>
      </c>
      <c r="G217" s="18">
        <v>4.7780000000000001E-4</v>
      </c>
      <c r="H217" s="11">
        <v>688602.49320000003</v>
      </c>
      <c r="I217" s="22" t="str">
        <f>IFERROR(VLOOKUP(D217,'LEAID Match'!$A$2:$B$184,2,FALSE),"")</f>
        <v/>
      </c>
    </row>
    <row r="218" spans="1:9" x14ac:dyDescent="0.2">
      <c r="A218" t="str">
        <f t="shared" si="3"/>
        <v/>
      </c>
      <c r="B218" s="24">
        <v>2018</v>
      </c>
      <c r="C218" t="s">
        <v>81</v>
      </c>
      <c r="D218" t="s">
        <v>887</v>
      </c>
      <c r="E218" t="s">
        <v>887</v>
      </c>
      <c r="F218" s="11">
        <v>56282712</v>
      </c>
      <c r="G218" s="18">
        <v>4.8430000000000001E-4</v>
      </c>
      <c r="H218" s="11">
        <v>776284.95429999998</v>
      </c>
      <c r="I218" s="22" t="str">
        <f>IFERROR(VLOOKUP(D218,'LEAID Match'!$A$2:$B$184,2,FALSE),"")</f>
        <v/>
      </c>
    </row>
    <row r="219" spans="1:9" x14ac:dyDescent="0.2">
      <c r="A219" t="str">
        <f t="shared" si="3"/>
        <v/>
      </c>
      <c r="B219" s="24">
        <v>2019</v>
      </c>
      <c r="C219" t="s">
        <v>81</v>
      </c>
      <c r="D219" t="s">
        <v>887</v>
      </c>
      <c r="E219" t="s">
        <v>887</v>
      </c>
      <c r="F219" s="11">
        <v>56129943</v>
      </c>
      <c r="G219" s="18">
        <v>4.6589999999999999E-4</v>
      </c>
      <c r="H219" s="11">
        <v>892266.52139999997</v>
      </c>
      <c r="I219" s="22" t="str">
        <f>IFERROR(VLOOKUP(D219,'LEAID Match'!$A$2:$B$184,2,FALSE),"")</f>
        <v/>
      </c>
    </row>
    <row r="220" spans="1:9" x14ac:dyDescent="0.2">
      <c r="A220" t="str">
        <f t="shared" si="3"/>
        <v/>
      </c>
      <c r="B220" s="24">
        <v>2020</v>
      </c>
      <c r="C220" t="s">
        <v>81</v>
      </c>
      <c r="D220" t="s">
        <v>887</v>
      </c>
      <c r="E220" t="s">
        <v>887</v>
      </c>
      <c r="F220" s="11">
        <v>62688638</v>
      </c>
      <c r="G220" s="18">
        <v>5.061E-4</v>
      </c>
      <c r="H220" s="11">
        <v>1040073.4575</v>
      </c>
      <c r="I220" s="22" t="str">
        <f>IFERROR(VLOOKUP(D220,'LEAID Match'!$A$2:$B$184,2,FALSE),"")</f>
        <v/>
      </c>
    </row>
    <row r="221" spans="1:9" x14ac:dyDescent="0.2">
      <c r="A221" t="str">
        <f t="shared" si="3"/>
        <v/>
      </c>
      <c r="B221" s="24">
        <v>2021</v>
      </c>
      <c r="C221" t="s">
        <v>81</v>
      </c>
      <c r="D221" t="s">
        <v>887</v>
      </c>
      <c r="E221" t="s">
        <v>887</v>
      </c>
      <c r="F221" s="11">
        <v>64451421</v>
      </c>
      <c r="G221" s="18">
        <v>5.1500000000000005E-4</v>
      </c>
      <c r="H221" s="11">
        <v>1222224.78</v>
      </c>
      <c r="I221" s="22" t="str">
        <f>IFERROR(VLOOKUP(D221,'LEAID Match'!$A$2:$B$184,2,FALSE),"")</f>
        <v/>
      </c>
    </row>
    <row r="222" spans="1:9" x14ac:dyDescent="0.2">
      <c r="A222" t="str">
        <f t="shared" si="3"/>
        <v/>
      </c>
      <c r="B222" s="24">
        <v>2022</v>
      </c>
      <c r="C222" t="s">
        <v>81</v>
      </c>
      <c r="D222" t="s">
        <v>887</v>
      </c>
      <c r="E222" t="s">
        <v>887</v>
      </c>
      <c r="F222" s="11">
        <v>59054226</v>
      </c>
      <c r="G222" s="18">
        <v>4.682E-4</v>
      </c>
      <c r="H222" s="11">
        <v>1293143.1172</v>
      </c>
      <c r="I222" s="22" t="str">
        <f>IFERROR(VLOOKUP(D222,'LEAID Match'!$A$2:$B$184,2,FALSE),"")</f>
        <v/>
      </c>
    </row>
    <row r="223" spans="1:9" x14ac:dyDescent="0.2">
      <c r="A223" t="str">
        <f t="shared" si="3"/>
        <v/>
      </c>
      <c r="B223" s="24">
        <v>2023</v>
      </c>
      <c r="C223" t="s">
        <v>81</v>
      </c>
      <c r="D223" t="s">
        <v>887</v>
      </c>
      <c r="E223" t="s">
        <v>887</v>
      </c>
      <c r="F223" s="11">
        <v>64098876</v>
      </c>
      <c r="G223" s="18">
        <v>4.8230000000000001E-4</v>
      </c>
      <c r="H223" s="11">
        <v>1463730.8231000002</v>
      </c>
      <c r="I223" s="22" t="str">
        <f>IFERROR(VLOOKUP(D223,'LEAID Match'!$A$2:$B$184,2,FALSE),"")</f>
        <v/>
      </c>
    </row>
    <row r="224" spans="1:9" x14ac:dyDescent="0.2">
      <c r="A224" t="str">
        <f t="shared" si="3"/>
        <v/>
      </c>
      <c r="B224" s="24">
        <v>2015</v>
      </c>
      <c r="C224" t="s">
        <v>82</v>
      </c>
      <c r="D224" t="s">
        <v>888</v>
      </c>
      <c r="E224" t="s">
        <v>24</v>
      </c>
      <c r="F224" s="11">
        <v>179114924</v>
      </c>
      <c r="G224" s="18">
        <v>1.5661E-3</v>
      </c>
      <c r="H224" s="11">
        <v>1977965.5067999999</v>
      </c>
      <c r="I224" s="22" t="str">
        <f>IFERROR(VLOOKUP(D224,'LEAID Match'!$A$2:$B$184,2,FALSE),"")</f>
        <v/>
      </c>
    </row>
    <row r="225" spans="1:9" x14ac:dyDescent="0.2">
      <c r="A225" t="str">
        <f t="shared" si="3"/>
        <v/>
      </c>
      <c r="B225" s="24">
        <v>2016</v>
      </c>
      <c r="C225" t="s">
        <v>82</v>
      </c>
      <c r="D225" t="s">
        <v>888</v>
      </c>
      <c r="E225" t="s">
        <v>602</v>
      </c>
      <c r="F225" s="11">
        <v>162297575</v>
      </c>
      <c r="G225" s="18">
        <v>1.4986999999999999E-3</v>
      </c>
      <c r="H225" s="11">
        <v>1910846.9960999999</v>
      </c>
      <c r="I225" s="22" t="str">
        <f>IFERROR(VLOOKUP(D225,'LEAID Match'!$A$2:$B$184,2,FALSE),"")</f>
        <v/>
      </c>
    </row>
    <row r="226" spans="1:9" x14ac:dyDescent="0.2">
      <c r="A226" t="str">
        <f t="shared" si="3"/>
        <v/>
      </c>
      <c r="B226" s="24">
        <v>2017</v>
      </c>
      <c r="C226" t="s">
        <v>82</v>
      </c>
      <c r="D226" t="s">
        <v>888</v>
      </c>
      <c r="E226" t="s">
        <v>888</v>
      </c>
      <c r="F226" s="11">
        <v>185355842</v>
      </c>
      <c r="G226" s="18">
        <v>1.6612E-3</v>
      </c>
      <c r="H226" s="11">
        <v>2394111.4728000001</v>
      </c>
      <c r="I226" s="22" t="str">
        <f>IFERROR(VLOOKUP(D226,'LEAID Match'!$A$2:$B$184,2,FALSE),"")</f>
        <v/>
      </c>
    </row>
    <row r="227" spans="1:9" x14ac:dyDescent="0.2">
      <c r="A227" t="str">
        <f t="shared" si="3"/>
        <v/>
      </c>
      <c r="B227" s="24">
        <v>2018</v>
      </c>
      <c r="C227" t="s">
        <v>82</v>
      </c>
      <c r="D227" t="s">
        <v>888</v>
      </c>
      <c r="E227" t="s">
        <v>888</v>
      </c>
      <c r="F227" s="11">
        <v>180216218</v>
      </c>
      <c r="G227" s="18">
        <v>1.5508E-3</v>
      </c>
      <c r="H227" s="11">
        <v>2485778.8708000001</v>
      </c>
      <c r="I227" s="22" t="str">
        <f>IFERROR(VLOOKUP(D227,'LEAID Match'!$A$2:$B$184,2,FALSE),"")</f>
        <v/>
      </c>
    </row>
    <row r="228" spans="1:9" x14ac:dyDescent="0.2">
      <c r="A228" t="str">
        <f t="shared" si="3"/>
        <v/>
      </c>
      <c r="B228" s="24">
        <v>2019</v>
      </c>
      <c r="C228" t="s">
        <v>82</v>
      </c>
      <c r="D228" t="s">
        <v>888</v>
      </c>
      <c r="E228" t="s">
        <v>888</v>
      </c>
      <c r="F228" s="11">
        <v>176336820</v>
      </c>
      <c r="G228" s="18">
        <v>1.4636E-3</v>
      </c>
      <c r="H228" s="11">
        <v>2803007.6856</v>
      </c>
      <c r="I228" s="22" t="str">
        <f>IFERROR(VLOOKUP(D228,'LEAID Match'!$A$2:$B$184,2,FALSE),"")</f>
        <v/>
      </c>
    </row>
    <row r="229" spans="1:9" x14ac:dyDescent="0.2">
      <c r="A229" t="str">
        <f t="shared" si="3"/>
        <v/>
      </c>
      <c r="B229" s="24">
        <v>2020</v>
      </c>
      <c r="C229" t="s">
        <v>82</v>
      </c>
      <c r="D229" t="s">
        <v>888</v>
      </c>
      <c r="E229" t="s">
        <v>888</v>
      </c>
      <c r="F229" s="11">
        <v>181961051</v>
      </c>
      <c r="G229" s="18">
        <v>1.4689E-3</v>
      </c>
      <c r="H229" s="11">
        <v>3018699.6675</v>
      </c>
      <c r="I229" s="22" t="str">
        <f>IFERROR(VLOOKUP(D229,'LEAID Match'!$A$2:$B$184,2,FALSE),"")</f>
        <v/>
      </c>
    </row>
    <row r="230" spans="1:9" x14ac:dyDescent="0.2">
      <c r="A230" t="str">
        <f t="shared" si="3"/>
        <v/>
      </c>
      <c r="B230" s="24">
        <v>2021</v>
      </c>
      <c r="C230" t="s">
        <v>82</v>
      </c>
      <c r="D230" t="s">
        <v>888</v>
      </c>
      <c r="E230" t="s">
        <v>888</v>
      </c>
      <c r="F230" s="11">
        <v>198041995</v>
      </c>
      <c r="G230" s="18">
        <v>1.5824000000000001E-3</v>
      </c>
      <c r="H230" s="11">
        <v>3755433.9648000002</v>
      </c>
      <c r="I230" s="22" t="str">
        <f>IFERROR(VLOOKUP(D230,'LEAID Match'!$A$2:$B$184,2,FALSE),"")</f>
        <v/>
      </c>
    </row>
    <row r="231" spans="1:9" x14ac:dyDescent="0.2">
      <c r="A231" t="str">
        <f t="shared" si="3"/>
        <v/>
      </c>
      <c r="B231" s="24">
        <v>2022</v>
      </c>
      <c r="C231" t="s">
        <v>82</v>
      </c>
      <c r="D231" t="s">
        <v>888</v>
      </c>
      <c r="E231" t="s">
        <v>888</v>
      </c>
      <c r="F231" s="11">
        <v>198160979</v>
      </c>
      <c r="G231" s="18">
        <v>1.5712E-3</v>
      </c>
      <c r="H231" s="11">
        <v>4339569.5552000003</v>
      </c>
      <c r="I231" s="22" t="str">
        <f>IFERROR(VLOOKUP(D231,'LEAID Match'!$A$2:$B$184,2,FALSE),"")</f>
        <v/>
      </c>
    </row>
    <row r="232" spans="1:9" x14ac:dyDescent="0.2">
      <c r="A232" t="str">
        <f t="shared" si="3"/>
        <v/>
      </c>
      <c r="B232" s="24">
        <v>2023</v>
      </c>
      <c r="C232" t="s">
        <v>82</v>
      </c>
      <c r="D232" t="s">
        <v>888</v>
      </c>
      <c r="E232" t="s">
        <v>888</v>
      </c>
      <c r="F232" s="11">
        <v>204154598</v>
      </c>
      <c r="G232" s="18">
        <v>1.5361000000000001E-3</v>
      </c>
      <c r="H232" s="11">
        <v>4661905.2817000002</v>
      </c>
      <c r="I232" s="22" t="str">
        <f>IFERROR(VLOOKUP(D232,'LEAID Match'!$A$2:$B$184,2,FALSE),"")</f>
        <v/>
      </c>
    </row>
    <row r="233" spans="1:9" x14ac:dyDescent="0.2">
      <c r="A233" t="str">
        <f t="shared" si="3"/>
        <v/>
      </c>
      <c r="B233" s="24">
        <v>2016</v>
      </c>
      <c r="C233" t="s">
        <v>632</v>
      </c>
      <c r="D233" t="s">
        <v>889</v>
      </c>
      <c r="E233" t="s">
        <v>603</v>
      </c>
      <c r="F233" s="11">
        <v>18343280</v>
      </c>
      <c r="G233" s="18">
        <v>1.694E-4</v>
      </c>
      <c r="H233" s="11">
        <v>215985.50820000001</v>
      </c>
      <c r="I233" s="22" t="str">
        <f>IFERROR(VLOOKUP(D233,'LEAID Match'!$A$2:$B$184,2,FALSE),"")</f>
        <v/>
      </c>
    </row>
    <row r="234" spans="1:9" x14ac:dyDescent="0.2">
      <c r="A234" t="str">
        <f t="shared" si="3"/>
        <v/>
      </c>
      <c r="B234" s="24">
        <v>2017</v>
      </c>
      <c r="C234" t="s">
        <v>632</v>
      </c>
      <c r="D234" t="s">
        <v>889</v>
      </c>
      <c r="E234" t="s">
        <v>889</v>
      </c>
      <c r="F234" s="11">
        <v>21732118</v>
      </c>
      <c r="G234" s="18">
        <v>1.9479999999999999E-4</v>
      </c>
      <c r="H234" s="11">
        <v>280744.59119999997</v>
      </c>
      <c r="I234" s="22" t="str">
        <f>IFERROR(VLOOKUP(D234,'LEAID Match'!$A$2:$B$184,2,FALSE),"")</f>
        <v/>
      </c>
    </row>
    <row r="235" spans="1:9" x14ac:dyDescent="0.2">
      <c r="A235" t="str">
        <f t="shared" si="3"/>
        <v/>
      </c>
      <c r="B235" s="24">
        <v>2018</v>
      </c>
      <c r="C235" t="s">
        <v>632</v>
      </c>
      <c r="D235" t="s">
        <v>889</v>
      </c>
      <c r="E235" t="s">
        <v>889</v>
      </c>
      <c r="F235" s="11">
        <v>18817183</v>
      </c>
      <c r="G235" s="18">
        <v>1.6190000000000001E-4</v>
      </c>
      <c r="H235" s="11">
        <v>259509.67190000002</v>
      </c>
      <c r="I235" s="22" t="str">
        <f>IFERROR(VLOOKUP(D235,'LEAID Match'!$A$2:$B$184,2,FALSE),"")</f>
        <v/>
      </c>
    </row>
    <row r="236" spans="1:9" x14ac:dyDescent="0.2">
      <c r="A236" t="str">
        <f t="shared" si="3"/>
        <v/>
      </c>
      <c r="B236" s="24">
        <v>2019</v>
      </c>
      <c r="C236" t="s">
        <v>632</v>
      </c>
      <c r="D236" t="s">
        <v>889</v>
      </c>
      <c r="E236" t="s">
        <v>889</v>
      </c>
      <c r="F236" s="11">
        <v>27515867</v>
      </c>
      <c r="G236" s="18">
        <v>2.284E-4</v>
      </c>
      <c r="H236" s="11">
        <v>437419.34639999998</v>
      </c>
      <c r="I236" s="22" t="str">
        <f>IFERROR(VLOOKUP(D236,'LEAID Match'!$A$2:$B$184,2,FALSE),"")</f>
        <v/>
      </c>
    </row>
    <row r="237" spans="1:9" x14ac:dyDescent="0.2">
      <c r="A237" t="str">
        <f t="shared" si="3"/>
        <v/>
      </c>
      <c r="B237" s="24">
        <v>2020</v>
      </c>
      <c r="C237" t="s">
        <v>632</v>
      </c>
      <c r="D237" t="s">
        <v>889</v>
      </c>
      <c r="E237" t="s">
        <v>889</v>
      </c>
      <c r="F237" s="11">
        <v>28867453</v>
      </c>
      <c r="G237" s="18">
        <v>2.33E-4</v>
      </c>
      <c r="H237" s="11">
        <v>478832.47499999998</v>
      </c>
      <c r="I237" s="22" t="str">
        <f>IFERROR(VLOOKUP(D237,'LEAID Match'!$A$2:$B$184,2,FALSE),"")</f>
        <v/>
      </c>
    </row>
    <row r="238" spans="1:9" x14ac:dyDescent="0.2">
      <c r="A238" t="str">
        <f t="shared" si="3"/>
        <v/>
      </c>
      <c r="B238" s="24">
        <v>2021</v>
      </c>
      <c r="C238" t="s">
        <v>632</v>
      </c>
      <c r="D238" t="s">
        <v>889</v>
      </c>
      <c r="E238" t="s">
        <v>889</v>
      </c>
      <c r="F238" s="11">
        <v>27211460</v>
      </c>
      <c r="G238" s="18">
        <v>2.174E-4</v>
      </c>
      <c r="H238" s="11">
        <v>515944.98479999998</v>
      </c>
      <c r="I238" s="22" t="str">
        <f>IFERROR(VLOOKUP(D238,'LEAID Match'!$A$2:$B$184,2,FALSE),"")</f>
        <v/>
      </c>
    </row>
    <row r="239" spans="1:9" x14ac:dyDescent="0.2">
      <c r="A239" t="str">
        <f t="shared" si="3"/>
        <v/>
      </c>
      <c r="B239" s="24">
        <v>2022</v>
      </c>
      <c r="C239" t="s">
        <v>632</v>
      </c>
      <c r="D239" t="s">
        <v>889</v>
      </c>
      <c r="E239" t="s">
        <v>889</v>
      </c>
      <c r="F239" s="11">
        <v>27345717</v>
      </c>
      <c r="G239" s="18">
        <v>2.1680000000000001E-4</v>
      </c>
      <c r="H239" s="11">
        <v>598789.89280000003</v>
      </c>
      <c r="I239" s="22" t="str">
        <f>IFERROR(VLOOKUP(D239,'LEAID Match'!$A$2:$B$184,2,FALSE),"")</f>
        <v/>
      </c>
    </row>
    <row r="240" spans="1:9" x14ac:dyDescent="0.2">
      <c r="A240" t="str">
        <f t="shared" si="3"/>
        <v/>
      </c>
      <c r="B240" s="24">
        <v>2023</v>
      </c>
      <c r="C240" t="s">
        <v>632</v>
      </c>
      <c r="D240" t="s">
        <v>889</v>
      </c>
      <c r="E240" t="s">
        <v>889</v>
      </c>
      <c r="F240" s="11">
        <v>27316881</v>
      </c>
      <c r="G240" s="18">
        <v>2.0550000000000001E-4</v>
      </c>
      <c r="H240" s="11">
        <v>623671.33350000007</v>
      </c>
      <c r="I240" s="22" t="str">
        <f>IFERROR(VLOOKUP(D240,'LEAID Match'!$A$2:$B$184,2,FALSE),"")</f>
        <v/>
      </c>
    </row>
    <row r="241" spans="1:9" x14ac:dyDescent="0.2">
      <c r="A241" t="str">
        <f t="shared" si="3"/>
        <v/>
      </c>
      <c r="B241" s="24">
        <v>2015</v>
      </c>
      <c r="C241" t="s">
        <v>83</v>
      </c>
      <c r="D241" t="s">
        <v>890</v>
      </c>
      <c r="E241" t="s">
        <v>25</v>
      </c>
      <c r="F241" s="11">
        <v>653101029</v>
      </c>
      <c r="G241" s="18">
        <v>5.7102999999999998E-3</v>
      </c>
      <c r="H241" s="11">
        <v>7212040.3763999995</v>
      </c>
      <c r="I241" s="22" t="str">
        <f>IFERROR(VLOOKUP(D241,'LEAID Match'!$A$2:$B$184,2,FALSE),"")</f>
        <v/>
      </c>
    </row>
    <row r="242" spans="1:9" x14ac:dyDescent="0.2">
      <c r="A242" t="str">
        <f t="shared" si="3"/>
        <v/>
      </c>
      <c r="B242" s="24">
        <v>2016</v>
      </c>
      <c r="C242" t="s">
        <v>83</v>
      </c>
      <c r="D242" t="s">
        <v>890</v>
      </c>
      <c r="E242" t="s">
        <v>604</v>
      </c>
      <c r="F242" s="11">
        <v>606505085</v>
      </c>
      <c r="G242" s="18">
        <v>5.6007000000000001E-3</v>
      </c>
      <c r="H242" s="11">
        <v>7140909.3021</v>
      </c>
      <c r="I242" s="22" t="str">
        <f>IFERROR(VLOOKUP(D242,'LEAID Match'!$A$2:$B$184,2,FALSE),"")</f>
        <v/>
      </c>
    </row>
    <row r="243" spans="1:9" x14ac:dyDescent="0.2">
      <c r="A243" t="str">
        <f t="shared" si="3"/>
        <v/>
      </c>
      <c r="B243" s="24">
        <v>2017</v>
      </c>
      <c r="C243" t="s">
        <v>83</v>
      </c>
      <c r="D243" t="s">
        <v>890</v>
      </c>
      <c r="E243" t="s">
        <v>890</v>
      </c>
      <c r="F243" s="11">
        <v>619398450</v>
      </c>
      <c r="G243" s="18">
        <v>5.5510999999999998E-3</v>
      </c>
      <c r="H243" s="11">
        <v>8000212.0133999996</v>
      </c>
      <c r="I243" s="22" t="str">
        <f>IFERROR(VLOOKUP(D243,'LEAID Match'!$A$2:$B$184,2,FALSE),"")</f>
        <v/>
      </c>
    </row>
    <row r="244" spans="1:9" x14ac:dyDescent="0.2">
      <c r="A244" t="str">
        <f t="shared" si="3"/>
        <v/>
      </c>
      <c r="B244" s="24">
        <v>2018</v>
      </c>
      <c r="C244" t="s">
        <v>83</v>
      </c>
      <c r="D244" t="s">
        <v>890</v>
      </c>
      <c r="E244" t="s">
        <v>890</v>
      </c>
      <c r="F244" s="11">
        <v>650449436</v>
      </c>
      <c r="G244" s="18">
        <v>5.5973000000000004E-3</v>
      </c>
      <c r="H244" s="11">
        <v>8971917.7673000004</v>
      </c>
      <c r="I244" s="22" t="str">
        <f>IFERROR(VLOOKUP(D244,'LEAID Match'!$A$2:$B$184,2,FALSE),"")</f>
        <v/>
      </c>
    </row>
    <row r="245" spans="1:9" x14ac:dyDescent="0.2">
      <c r="A245" t="str">
        <f t="shared" si="3"/>
        <v/>
      </c>
      <c r="B245" s="24">
        <v>2019</v>
      </c>
      <c r="C245" t="s">
        <v>83</v>
      </c>
      <c r="D245" t="s">
        <v>890</v>
      </c>
      <c r="E245" t="s">
        <v>890</v>
      </c>
      <c r="F245" s="11">
        <v>661407343</v>
      </c>
      <c r="G245" s="18">
        <v>5.4897000000000001E-3</v>
      </c>
      <c r="H245" s="11">
        <v>10513576.996200001</v>
      </c>
      <c r="I245" s="22" t="str">
        <f>IFERROR(VLOOKUP(D245,'LEAID Match'!$A$2:$B$184,2,FALSE),"")</f>
        <v/>
      </c>
    </row>
    <row r="246" spans="1:9" x14ac:dyDescent="0.2">
      <c r="A246" t="str">
        <f t="shared" si="3"/>
        <v/>
      </c>
      <c r="B246" s="24">
        <v>2020</v>
      </c>
      <c r="C246" t="s">
        <v>83</v>
      </c>
      <c r="D246" t="s">
        <v>890</v>
      </c>
      <c r="E246" t="s">
        <v>890</v>
      </c>
      <c r="F246" s="11">
        <v>679368548</v>
      </c>
      <c r="G246" s="18">
        <v>5.4844999999999998E-3</v>
      </c>
      <c r="H246" s="11">
        <v>11271058.8375</v>
      </c>
      <c r="I246" s="22" t="str">
        <f>IFERROR(VLOOKUP(D246,'LEAID Match'!$A$2:$B$184,2,FALSE),"")</f>
        <v/>
      </c>
    </row>
    <row r="247" spans="1:9" x14ac:dyDescent="0.2">
      <c r="A247" t="str">
        <f t="shared" si="3"/>
        <v/>
      </c>
      <c r="B247" s="24">
        <v>2021</v>
      </c>
      <c r="C247" t="s">
        <v>83</v>
      </c>
      <c r="D247" t="s">
        <v>890</v>
      </c>
      <c r="E247" t="s">
        <v>890</v>
      </c>
      <c r="F247" s="11">
        <v>679615928</v>
      </c>
      <c r="G247" s="18">
        <v>5.4304000000000002E-3</v>
      </c>
      <c r="H247" s="11">
        <v>12887707.660800001</v>
      </c>
      <c r="I247" s="22" t="str">
        <f>IFERROR(VLOOKUP(D247,'LEAID Match'!$A$2:$B$184,2,FALSE),"")</f>
        <v/>
      </c>
    </row>
    <row r="248" spans="1:9" x14ac:dyDescent="0.2">
      <c r="A248" t="str">
        <f t="shared" si="3"/>
        <v/>
      </c>
      <c r="B248" s="24">
        <v>2022</v>
      </c>
      <c r="C248" t="s">
        <v>83</v>
      </c>
      <c r="D248" t="s">
        <v>890</v>
      </c>
      <c r="E248" t="s">
        <v>890</v>
      </c>
      <c r="F248" s="11">
        <v>685543472</v>
      </c>
      <c r="G248" s="18">
        <v>5.4356999999999999E-3</v>
      </c>
      <c r="H248" s="11">
        <v>15013109.872199999</v>
      </c>
      <c r="I248" s="22" t="str">
        <f>IFERROR(VLOOKUP(D248,'LEAID Match'!$A$2:$B$184,2,FALSE),"")</f>
        <v/>
      </c>
    </row>
    <row r="249" spans="1:9" x14ac:dyDescent="0.2">
      <c r="A249" t="str">
        <f t="shared" si="3"/>
        <v/>
      </c>
      <c r="B249" s="24">
        <v>2023</v>
      </c>
      <c r="C249" t="s">
        <v>83</v>
      </c>
      <c r="D249" t="s">
        <v>890</v>
      </c>
      <c r="E249" t="s">
        <v>890</v>
      </c>
      <c r="F249" s="11">
        <v>702652578</v>
      </c>
      <c r="G249" s="18">
        <v>5.2868999999999998E-3</v>
      </c>
      <c r="H249" s="11">
        <v>16045196.949299999</v>
      </c>
      <c r="I249" s="22" t="str">
        <f>IFERROR(VLOOKUP(D249,'LEAID Match'!$A$2:$B$184,2,FALSE),"")</f>
        <v/>
      </c>
    </row>
    <row r="250" spans="1:9" x14ac:dyDescent="0.2">
      <c r="A250" t="str">
        <f t="shared" si="3"/>
        <v/>
      </c>
      <c r="B250" s="24">
        <v>2015</v>
      </c>
      <c r="C250" t="s">
        <v>84</v>
      </c>
      <c r="D250" t="s">
        <v>891</v>
      </c>
      <c r="E250" t="s">
        <v>26</v>
      </c>
      <c r="F250" s="11">
        <v>2128729</v>
      </c>
      <c r="G250" s="18">
        <v>1.8600000000000001E-5</v>
      </c>
      <c r="H250" s="11">
        <v>23491.576800000003</v>
      </c>
      <c r="I250" s="22" t="str">
        <f>IFERROR(VLOOKUP(D250,'LEAID Match'!$A$2:$B$184,2,FALSE),"")</f>
        <v/>
      </c>
    </row>
    <row r="251" spans="1:9" x14ac:dyDescent="0.2">
      <c r="A251" t="str">
        <f t="shared" si="3"/>
        <v/>
      </c>
      <c r="B251" s="24">
        <v>2016</v>
      </c>
      <c r="C251" t="s">
        <v>84</v>
      </c>
      <c r="D251" t="s">
        <v>891</v>
      </c>
      <c r="E251" t="s">
        <v>605</v>
      </c>
      <c r="F251" s="11">
        <v>2370330</v>
      </c>
      <c r="G251" s="18">
        <v>2.19E-5</v>
      </c>
      <c r="H251" s="11">
        <v>27922.565699999999</v>
      </c>
      <c r="I251" s="22" t="str">
        <f>IFERROR(VLOOKUP(D251,'LEAID Match'!$A$2:$B$184,2,FALSE),"")</f>
        <v/>
      </c>
    </row>
    <row r="252" spans="1:9" x14ac:dyDescent="0.2">
      <c r="A252" t="str">
        <f t="shared" si="3"/>
        <v/>
      </c>
      <c r="B252" s="24">
        <v>2017</v>
      </c>
      <c r="C252" t="s">
        <v>84</v>
      </c>
      <c r="D252" t="s">
        <v>891</v>
      </c>
      <c r="E252" t="s">
        <v>891</v>
      </c>
      <c r="F252" s="11">
        <v>1744458</v>
      </c>
      <c r="G252" s="18">
        <v>1.56E-5</v>
      </c>
      <c r="H252" s="11">
        <v>22482.626400000001</v>
      </c>
      <c r="I252" s="22" t="str">
        <f>IFERROR(VLOOKUP(D252,'LEAID Match'!$A$2:$B$184,2,FALSE),"")</f>
        <v/>
      </c>
    </row>
    <row r="253" spans="1:9" x14ac:dyDescent="0.2">
      <c r="A253" t="str">
        <f t="shared" si="3"/>
        <v/>
      </c>
      <c r="B253" s="24">
        <v>2018</v>
      </c>
      <c r="C253" t="s">
        <v>84</v>
      </c>
      <c r="D253" t="s">
        <v>891</v>
      </c>
      <c r="E253" t="s">
        <v>891</v>
      </c>
      <c r="F253" s="11">
        <v>1864845</v>
      </c>
      <c r="G253" s="18">
        <v>1.5999999999999999E-5</v>
      </c>
      <c r="H253" s="11">
        <v>25646.415999999997</v>
      </c>
      <c r="I253" s="22" t="str">
        <f>IFERROR(VLOOKUP(D253,'LEAID Match'!$A$2:$B$184,2,FALSE),"")</f>
        <v/>
      </c>
    </row>
    <row r="254" spans="1:9" x14ac:dyDescent="0.2">
      <c r="A254" t="str">
        <f t="shared" si="3"/>
        <v/>
      </c>
      <c r="B254" s="24">
        <v>2019</v>
      </c>
      <c r="C254" t="s">
        <v>84</v>
      </c>
      <c r="D254" t="s">
        <v>891</v>
      </c>
      <c r="E254" t="s">
        <v>891</v>
      </c>
      <c r="F254" s="11">
        <v>1884461</v>
      </c>
      <c r="G254" s="18">
        <v>1.56E-5</v>
      </c>
      <c r="H254" s="11">
        <v>29876.277600000001</v>
      </c>
      <c r="I254" s="22" t="str">
        <f>IFERROR(VLOOKUP(D254,'LEAID Match'!$A$2:$B$184,2,FALSE),"")</f>
        <v/>
      </c>
    </row>
    <row r="255" spans="1:9" x14ac:dyDescent="0.2">
      <c r="A255" t="str">
        <f t="shared" si="3"/>
        <v/>
      </c>
      <c r="B255" s="24">
        <v>2020</v>
      </c>
      <c r="C255" t="s">
        <v>84</v>
      </c>
      <c r="D255" t="s">
        <v>891</v>
      </c>
      <c r="E255" t="s">
        <v>891</v>
      </c>
      <c r="F255" s="11">
        <v>1781262</v>
      </c>
      <c r="G255" s="18">
        <v>1.4399999999999999E-5</v>
      </c>
      <c r="H255" s="11">
        <v>29593.079999999998</v>
      </c>
      <c r="I255" s="22" t="str">
        <f>IFERROR(VLOOKUP(D255,'LEAID Match'!$A$2:$B$184,2,FALSE),"")</f>
        <v/>
      </c>
    </row>
    <row r="256" spans="1:9" x14ac:dyDescent="0.2">
      <c r="A256" t="str">
        <f t="shared" si="3"/>
        <v/>
      </c>
      <c r="B256" s="24">
        <v>2021</v>
      </c>
      <c r="C256" t="s">
        <v>84</v>
      </c>
      <c r="D256" t="s">
        <v>891</v>
      </c>
      <c r="E256" t="s">
        <v>891</v>
      </c>
      <c r="F256" s="11">
        <v>2031500</v>
      </c>
      <c r="G256" s="18">
        <v>1.6200000000000001E-5</v>
      </c>
      <c r="H256" s="11">
        <v>38446.682400000005</v>
      </c>
      <c r="I256" s="22" t="str">
        <f>IFERROR(VLOOKUP(D256,'LEAID Match'!$A$2:$B$184,2,FALSE),"")</f>
        <v/>
      </c>
    </row>
    <row r="257" spans="1:9" x14ac:dyDescent="0.2">
      <c r="A257" t="str">
        <f t="shared" si="3"/>
        <v/>
      </c>
      <c r="B257" s="24">
        <v>2022</v>
      </c>
      <c r="C257" t="s">
        <v>84</v>
      </c>
      <c r="D257" t="s">
        <v>891</v>
      </c>
      <c r="E257" t="s">
        <v>891</v>
      </c>
      <c r="F257" s="11">
        <v>2158270</v>
      </c>
      <c r="G257" s="18">
        <v>1.7099999999999999E-5</v>
      </c>
      <c r="H257" s="11">
        <v>47229.276599999997</v>
      </c>
      <c r="I257" s="22" t="str">
        <f>IFERROR(VLOOKUP(D257,'LEAID Match'!$A$2:$B$184,2,FALSE),"")</f>
        <v/>
      </c>
    </row>
    <row r="258" spans="1:9" x14ac:dyDescent="0.2">
      <c r="A258" t="str">
        <f t="shared" si="3"/>
        <v/>
      </c>
      <c r="B258" s="24">
        <v>2023</v>
      </c>
      <c r="C258" t="s">
        <v>84</v>
      </c>
      <c r="D258" t="s">
        <v>891</v>
      </c>
      <c r="E258" t="s">
        <v>891</v>
      </c>
      <c r="F258" s="11">
        <v>1769450</v>
      </c>
      <c r="G258" s="18">
        <v>1.33E-5</v>
      </c>
      <c r="H258" s="11">
        <v>40364.130100000002</v>
      </c>
      <c r="I258" s="22" t="str">
        <f>IFERROR(VLOOKUP(D258,'LEAID Match'!$A$2:$B$184,2,FALSE),"")</f>
        <v/>
      </c>
    </row>
    <row r="259" spans="1:9" x14ac:dyDescent="0.2">
      <c r="A259" t="str">
        <f t="shared" ref="A259:A322" si="4">I259</f>
        <v/>
      </c>
      <c r="B259" s="24">
        <v>2018</v>
      </c>
      <c r="C259" t="s">
        <v>925</v>
      </c>
      <c r="D259" t="s">
        <v>928</v>
      </c>
      <c r="E259" t="s">
        <v>922</v>
      </c>
      <c r="F259" s="11">
        <v>194760</v>
      </c>
      <c r="G259" s="18">
        <v>1.7E-6</v>
      </c>
      <c r="H259" s="11">
        <v>2724.9317000000001</v>
      </c>
      <c r="I259" s="22" t="str">
        <f>IFERROR(VLOOKUP(D259,'LEAID Match'!$A$2:$B$184,2,FALSE),"")</f>
        <v/>
      </c>
    </row>
    <row r="260" spans="1:9" x14ac:dyDescent="0.2">
      <c r="A260" t="str">
        <f t="shared" si="4"/>
        <v/>
      </c>
      <c r="B260" s="24">
        <v>2019</v>
      </c>
      <c r="C260" t="s">
        <v>925</v>
      </c>
      <c r="D260" t="s">
        <v>928</v>
      </c>
      <c r="E260" t="s">
        <v>928</v>
      </c>
      <c r="F260" s="11">
        <v>206922</v>
      </c>
      <c r="G260" s="18">
        <v>1.7E-6</v>
      </c>
      <c r="H260" s="11">
        <v>3255.7482</v>
      </c>
      <c r="I260" s="22" t="str">
        <f>IFERROR(VLOOKUP(D260,'LEAID Match'!$A$2:$B$184,2,FALSE),"")</f>
        <v/>
      </c>
    </row>
    <row r="261" spans="1:9" x14ac:dyDescent="0.2">
      <c r="A261" t="str">
        <f t="shared" si="4"/>
        <v/>
      </c>
      <c r="B261" s="24">
        <v>2020</v>
      </c>
      <c r="C261" t="s">
        <v>925</v>
      </c>
      <c r="D261" t="s">
        <v>928</v>
      </c>
      <c r="E261" t="s">
        <v>928</v>
      </c>
      <c r="F261" s="11">
        <v>215701</v>
      </c>
      <c r="G261" s="18">
        <v>1.7E-6</v>
      </c>
      <c r="H261" s="11">
        <v>3493.6275000000001</v>
      </c>
      <c r="I261" s="22" t="str">
        <f>IFERROR(VLOOKUP(D261,'LEAID Match'!$A$2:$B$184,2,FALSE),"")</f>
        <v/>
      </c>
    </row>
    <row r="262" spans="1:9" x14ac:dyDescent="0.2">
      <c r="A262" t="str">
        <f t="shared" si="4"/>
        <v/>
      </c>
      <c r="B262" s="24">
        <v>2021</v>
      </c>
      <c r="C262" t="s">
        <v>925</v>
      </c>
      <c r="D262" t="s">
        <v>928</v>
      </c>
      <c r="E262" t="s">
        <v>928</v>
      </c>
      <c r="F262" s="11">
        <v>257935</v>
      </c>
      <c r="G262" s="18">
        <v>2.0999999999999998E-6</v>
      </c>
      <c r="H262" s="11">
        <v>4983.8291999999992</v>
      </c>
      <c r="I262" s="22" t="str">
        <f>IFERROR(VLOOKUP(D262,'LEAID Match'!$A$2:$B$184,2,FALSE),"")</f>
        <v/>
      </c>
    </row>
    <row r="263" spans="1:9" x14ac:dyDescent="0.2">
      <c r="A263" t="str">
        <f t="shared" si="4"/>
        <v/>
      </c>
      <c r="B263" s="24">
        <v>2022</v>
      </c>
      <c r="C263" t="s">
        <v>925</v>
      </c>
      <c r="D263" t="s">
        <v>928</v>
      </c>
      <c r="E263" t="s">
        <v>928</v>
      </c>
      <c r="F263" s="11">
        <v>296139</v>
      </c>
      <c r="G263" s="18">
        <v>2.3E-6</v>
      </c>
      <c r="H263" s="11">
        <v>6352.4758000000002</v>
      </c>
      <c r="I263" s="22" t="str">
        <f>IFERROR(VLOOKUP(D263,'LEAID Match'!$A$2:$B$184,2,FALSE),"")</f>
        <v/>
      </c>
    </row>
    <row r="264" spans="1:9" x14ac:dyDescent="0.2">
      <c r="A264" t="str">
        <f t="shared" si="4"/>
        <v/>
      </c>
      <c r="B264" s="24">
        <v>2023</v>
      </c>
      <c r="C264" t="s">
        <v>925</v>
      </c>
      <c r="D264" t="s">
        <v>928</v>
      </c>
      <c r="E264" t="s">
        <v>928</v>
      </c>
      <c r="F264" s="11">
        <v>287540</v>
      </c>
      <c r="G264" s="18">
        <v>2.2000000000000001E-6</v>
      </c>
      <c r="H264" s="11">
        <v>6676.7734</v>
      </c>
      <c r="I264" s="22" t="str">
        <f>IFERROR(VLOOKUP(D264,'LEAID Match'!$A$2:$B$184,2,FALSE),"")</f>
        <v/>
      </c>
    </row>
    <row r="265" spans="1:9" x14ac:dyDescent="0.2">
      <c r="A265" t="str">
        <f t="shared" si="4"/>
        <v/>
      </c>
      <c r="B265" s="24">
        <v>2015</v>
      </c>
      <c r="C265" t="s">
        <v>85</v>
      </c>
      <c r="D265" t="s">
        <v>606</v>
      </c>
      <c r="E265" t="s">
        <v>27</v>
      </c>
      <c r="F265" s="11">
        <v>992952</v>
      </c>
      <c r="G265" s="18">
        <v>8.6999999999999997E-6</v>
      </c>
      <c r="H265" s="11">
        <v>10987.9956</v>
      </c>
      <c r="I265" s="22" t="str">
        <f>IFERROR(VLOOKUP(D265,'LEAID Match'!$A$2:$B$184,2,FALSE),"")</f>
        <v/>
      </c>
    </row>
    <row r="266" spans="1:9" x14ac:dyDescent="0.2">
      <c r="A266" t="str">
        <f t="shared" si="4"/>
        <v/>
      </c>
      <c r="B266" s="24">
        <v>2016</v>
      </c>
      <c r="C266" t="s">
        <v>85</v>
      </c>
      <c r="D266" t="s">
        <v>606</v>
      </c>
      <c r="E266" t="s">
        <v>606</v>
      </c>
      <c r="F266" s="11">
        <v>566584</v>
      </c>
      <c r="G266" s="18">
        <v>5.2000000000000002E-6</v>
      </c>
      <c r="H266" s="11">
        <v>6630.0156000000006</v>
      </c>
      <c r="I266" s="22" t="str">
        <f>IFERROR(VLOOKUP(D266,'LEAID Match'!$A$2:$B$184,2,FALSE),"")</f>
        <v/>
      </c>
    </row>
    <row r="267" spans="1:9" x14ac:dyDescent="0.2">
      <c r="A267" t="str">
        <f t="shared" si="4"/>
        <v/>
      </c>
      <c r="B267" s="24">
        <v>2015</v>
      </c>
      <c r="C267" t="s">
        <v>86</v>
      </c>
      <c r="D267" t="s">
        <v>892</v>
      </c>
      <c r="E267" t="s">
        <v>28</v>
      </c>
      <c r="F267" s="11">
        <v>723264</v>
      </c>
      <c r="G267" s="18">
        <v>6.2999999999999998E-6</v>
      </c>
      <c r="H267" s="11">
        <v>7956.8243999999995</v>
      </c>
      <c r="I267" s="22" t="str">
        <f>IFERROR(VLOOKUP(D267,'LEAID Match'!$A$2:$B$184,2,FALSE),"")</f>
        <v/>
      </c>
    </row>
    <row r="268" spans="1:9" x14ac:dyDescent="0.2">
      <c r="A268" t="str">
        <f t="shared" si="4"/>
        <v/>
      </c>
      <c r="B268" s="24">
        <v>2016</v>
      </c>
      <c r="C268" t="s">
        <v>86</v>
      </c>
      <c r="D268" t="s">
        <v>892</v>
      </c>
      <c r="E268" t="s">
        <v>607</v>
      </c>
      <c r="F268" s="11">
        <v>840387</v>
      </c>
      <c r="G268" s="18">
        <v>7.7999999999999999E-6</v>
      </c>
      <c r="H268" s="11">
        <v>9945.0234</v>
      </c>
      <c r="I268" s="22" t="str">
        <f>IFERROR(VLOOKUP(D268,'LEAID Match'!$A$2:$B$184,2,FALSE),"")</f>
        <v/>
      </c>
    </row>
    <row r="269" spans="1:9" x14ac:dyDescent="0.2">
      <c r="A269" t="str">
        <f t="shared" si="4"/>
        <v/>
      </c>
      <c r="B269" s="24">
        <v>2017</v>
      </c>
      <c r="C269" t="s">
        <v>86</v>
      </c>
      <c r="D269" t="s">
        <v>892</v>
      </c>
      <c r="E269" t="s">
        <v>892</v>
      </c>
      <c r="F269" s="11">
        <v>926745</v>
      </c>
      <c r="G269" s="18">
        <v>8.3000000000000002E-6</v>
      </c>
      <c r="H269" s="11">
        <v>11961.9102</v>
      </c>
      <c r="I269" s="22" t="str">
        <f>IFERROR(VLOOKUP(D269,'LEAID Match'!$A$2:$B$184,2,FALSE),"")</f>
        <v/>
      </c>
    </row>
    <row r="270" spans="1:9" x14ac:dyDescent="0.2">
      <c r="A270" t="str">
        <f t="shared" si="4"/>
        <v/>
      </c>
      <c r="B270" s="24">
        <v>2018</v>
      </c>
      <c r="C270" t="s">
        <v>86</v>
      </c>
      <c r="D270" t="s">
        <v>892</v>
      </c>
      <c r="E270" t="s">
        <v>892</v>
      </c>
      <c r="F270" s="11">
        <v>974874</v>
      </c>
      <c r="G270" s="18">
        <v>8.3999999999999992E-6</v>
      </c>
      <c r="H270" s="11">
        <v>13464.368399999999</v>
      </c>
      <c r="I270" s="22" t="str">
        <f>IFERROR(VLOOKUP(D270,'LEAID Match'!$A$2:$B$184,2,FALSE),"")</f>
        <v/>
      </c>
    </row>
    <row r="271" spans="1:9" x14ac:dyDescent="0.2">
      <c r="A271" t="str">
        <f t="shared" si="4"/>
        <v/>
      </c>
      <c r="B271" s="24">
        <v>2019</v>
      </c>
      <c r="C271" t="s">
        <v>86</v>
      </c>
      <c r="D271" t="s">
        <v>892</v>
      </c>
      <c r="E271" t="s">
        <v>892</v>
      </c>
      <c r="F271" s="11">
        <v>983701</v>
      </c>
      <c r="G271" s="18">
        <v>8.1999999999999994E-6</v>
      </c>
      <c r="H271" s="11">
        <v>15704.197199999999</v>
      </c>
      <c r="I271" s="22" t="str">
        <f>IFERROR(VLOOKUP(D271,'LEAID Match'!$A$2:$B$184,2,FALSE),"")</f>
        <v/>
      </c>
    </row>
    <row r="272" spans="1:9" x14ac:dyDescent="0.2">
      <c r="A272" t="str">
        <f t="shared" si="4"/>
        <v/>
      </c>
      <c r="B272" s="24">
        <v>2020</v>
      </c>
      <c r="C272" t="s">
        <v>86</v>
      </c>
      <c r="D272" t="s">
        <v>892</v>
      </c>
      <c r="E272" t="s">
        <v>892</v>
      </c>
      <c r="F272" s="11">
        <v>937405</v>
      </c>
      <c r="G272" s="18">
        <v>7.6000000000000001E-6</v>
      </c>
      <c r="H272" s="11">
        <v>15618.57</v>
      </c>
      <c r="I272" s="22" t="str">
        <f>IFERROR(VLOOKUP(D272,'LEAID Match'!$A$2:$B$184,2,FALSE),"")</f>
        <v/>
      </c>
    </row>
    <row r="273" spans="1:9" x14ac:dyDescent="0.2">
      <c r="A273" t="str">
        <f t="shared" si="4"/>
        <v/>
      </c>
      <c r="B273" s="24">
        <v>2021</v>
      </c>
      <c r="C273" t="s">
        <v>86</v>
      </c>
      <c r="D273" t="s">
        <v>892</v>
      </c>
      <c r="E273" t="s">
        <v>892</v>
      </c>
      <c r="F273" s="11">
        <v>952643</v>
      </c>
      <c r="G273" s="18">
        <v>7.6000000000000001E-6</v>
      </c>
      <c r="H273" s="11">
        <v>18036.715199999999</v>
      </c>
      <c r="I273" s="22" t="str">
        <f>IFERROR(VLOOKUP(D273,'LEAID Match'!$A$2:$B$184,2,FALSE),"")</f>
        <v/>
      </c>
    </row>
    <row r="274" spans="1:9" x14ac:dyDescent="0.2">
      <c r="A274" t="str">
        <f t="shared" si="4"/>
        <v/>
      </c>
      <c r="B274" s="24">
        <v>2022</v>
      </c>
      <c r="C274" t="s">
        <v>86</v>
      </c>
      <c r="D274" t="s">
        <v>892</v>
      </c>
      <c r="E274" t="s">
        <v>892</v>
      </c>
      <c r="F274" s="11">
        <v>865708</v>
      </c>
      <c r="G274" s="18">
        <v>6.9E-6</v>
      </c>
      <c r="H274" s="11">
        <v>19057.4274</v>
      </c>
      <c r="I274" s="22" t="str">
        <f>IFERROR(VLOOKUP(D274,'LEAID Match'!$A$2:$B$184,2,FALSE),"")</f>
        <v/>
      </c>
    </row>
    <row r="275" spans="1:9" x14ac:dyDescent="0.2">
      <c r="A275" t="str">
        <f t="shared" si="4"/>
        <v/>
      </c>
      <c r="B275" s="24">
        <v>2023</v>
      </c>
      <c r="C275" t="s">
        <v>86</v>
      </c>
      <c r="D275" t="s">
        <v>892</v>
      </c>
      <c r="E275" t="s">
        <v>892</v>
      </c>
      <c r="F275" s="11">
        <v>827286</v>
      </c>
      <c r="G275" s="18">
        <v>6.1999999999999999E-6</v>
      </c>
      <c r="H275" s="11">
        <v>18816.361400000002</v>
      </c>
      <c r="I275" s="22" t="str">
        <f>IFERROR(VLOOKUP(D275,'LEAID Match'!$A$2:$B$184,2,FALSE),"")</f>
        <v/>
      </c>
    </row>
    <row r="276" spans="1:9" x14ac:dyDescent="0.2">
      <c r="A276" t="str">
        <f t="shared" si="4"/>
        <v/>
      </c>
      <c r="B276" s="24">
        <v>2015</v>
      </c>
      <c r="C276" t="s">
        <v>87</v>
      </c>
      <c r="D276" t="s">
        <v>929</v>
      </c>
      <c r="E276" t="s">
        <v>29</v>
      </c>
      <c r="F276" s="11">
        <v>1514603</v>
      </c>
      <c r="G276" s="18">
        <v>1.3200000000000001E-5</v>
      </c>
      <c r="H276" s="11">
        <v>16671.441600000002</v>
      </c>
      <c r="I276" s="22" t="str">
        <f>IFERROR(VLOOKUP(D276,'LEAID Match'!$A$2:$B$184,2,FALSE),"")</f>
        <v/>
      </c>
    </row>
    <row r="277" spans="1:9" x14ac:dyDescent="0.2">
      <c r="A277" t="str">
        <f t="shared" si="4"/>
        <v/>
      </c>
      <c r="B277" s="24">
        <v>2016</v>
      </c>
      <c r="C277" t="s">
        <v>87</v>
      </c>
      <c r="D277" t="s">
        <v>929</v>
      </c>
      <c r="E277" t="s">
        <v>608</v>
      </c>
      <c r="F277" s="11">
        <v>1673868</v>
      </c>
      <c r="G277" s="18">
        <v>1.5500000000000001E-5</v>
      </c>
      <c r="H277" s="11">
        <v>19762.5465</v>
      </c>
      <c r="I277" s="22" t="str">
        <f>IFERROR(VLOOKUP(D277,'LEAID Match'!$A$2:$B$184,2,FALSE),"")</f>
        <v/>
      </c>
    </row>
    <row r="278" spans="1:9" x14ac:dyDescent="0.2">
      <c r="A278" t="str">
        <f t="shared" si="4"/>
        <v/>
      </c>
      <c r="B278" s="24">
        <v>2017</v>
      </c>
      <c r="C278" t="s">
        <v>87</v>
      </c>
      <c r="D278" t="s">
        <v>929</v>
      </c>
      <c r="E278" t="s">
        <v>893</v>
      </c>
      <c r="F278" s="11">
        <v>1471317</v>
      </c>
      <c r="G278" s="18">
        <v>1.3200000000000001E-5</v>
      </c>
      <c r="H278" s="11">
        <v>19023.7608</v>
      </c>
      <c r="I278" s="22" t="str">
        <f>IFERROR(VLOOKUP(D278,'LEAID Match'!$A$2:$B$184,2,FALSE),"")</f>
        <v/>
      </c>
    </row>
    <row r="279" spans="1:9" x14ac:dyDescent="0.2">
      <c r="A279" t="str">
        <f t="shared" si="4"/>
        <v/>
      </c>
      <c r="B279" s="24">
        <v>2018</v>
      </c>
      <c r="C279" t="s">
        <v>87</v>
      </c>
      <c r="D279" t="s">
        <v>929</v>
      </c>
      <c r="E279" t="s">
        <v>893</v>
      </c>
      <c r="F279" s="11">
        <v>2333932</v>
      </c>
      <c r="G279" s="18">
        <v>2.0100000000000001E-5</v>
      </c>
      <c r="H279" s="11">
        <v>32218.310100000002</v>
      </c>
      <c r="I279" s="22" t="str">
        <f>IFERROR(VLOOKUP(D279,'LEAID Match'!$A$2:$B$184,2,FALSE),"")</f>
        <v/>
      </c>
    </row>
    <row r="280" spans="1:9" x14ac:dyDescent="0.2">
      <c r="A280" t="str">
        <f t="shared" si="4"/>
        <v/>
      </c>
      <c r="B280" s="24">
        <v>2019</v>
      </c>
      <c r="C280" t="s">
        <v>87</v>
      </c>
      <c r="D280" t="s">
        <v>929</v>
      </c>
      <c r="E280" t="s">
        <v>929</v>
      </c>
      <c r="F280" s="11">
        <v>2627438</v>
      </c>
      <c r="G280" s="18">
        <v>2.1800000000000001E-5</v>
      </c>
      <c r="H280" s="11">
        <v>41750.182800000002</v>
      </c>
      <c r="I280" s="22" t="str">
        <f>IFERROR(VLOOKUP(D280,'LEAID Match'!$A$2:$B$184,2,FALSE),"")</f>
        <v/>
      </c>
    </row>
    <row r="281" spans="1:9" x14ac:dyDescent="0.2">
      <c r="A281" t="str">
        <f t="shared" si="4"/>
        <v/>
      </c>
      <c r="B281" s="24">
        <v>2020</v>
      </c>
      <c r="C281" t="s">
        <v>87</v>
      </c>
      <c r="D281" t="s">
        <v>929</v>
      </c>
      <c r="E281" t="s">
        <v>929</v>
      </c>
      <c r="F281" s="11">
        <v>2790077</v>
      </c>
      <c r="G281" s="18">
        <v>2.2500000000000001E-5</v>
      </c>
      <c r="H281" s="11">
        <v>46239.1875</v>
      </c>
      <c r="I281" s="22" t="str">
        <f>IFERROR(VLOOKUP(D281,'LEAID Match'!$A$2:$B$184,2,FALSE),"")</f>
        <v/>
      </c>
    </row>
    <row r="282" spans="1:9" x14ac:dyDescent="0.2">
      <c r="A282" t="str">
        <f t="shared" si="4"/>
        <v/>
      </c>
      <c r="B282" s="24">
        <v>2021</v>
      </c>
      <c r="C282" t="s">
        <v>87</v>
      </c>
      <c r="D282" t="s">
        <v>929</v>
      </c>
      <c r="E282" t="s">
        <v>929</v>
      </c>
      <c r="F282" s="11">
        <v>2942529</v>
      </c>
      <c r="G282" s="18">
        <v>2.3499999999999999E-5</v>
      </c>
      <c r="H282" s="11">
        <v>55771.421999999999</v>
      </c>
      <c r="I282" s="22" t="str">
        <f>IFERROR(VLOOKUP(D282,'LEAID Match'!$A$2:$B$184,2,FALSE),"")</f>
        <v/>
      </c>
    </row>
    <row r="283" spans="1:9" x14ac:dyDescent="0.2">
      <c r="A283" t="str">
        <f t="shared" si="4"/>
        <v/>
      </c>
      <c r="B283" s="24">
        <v>2022</v>
      </c>
      <c r="C283" t="s">
        <v>87</v>
      </c>
      <c r="D283" t="s">
        <v>929</v>
      </c>
      <c r="E283" t="s">
        <v>929</v>
      </c>
      <c r="F283" s="11">
        <v>3158574</v>
      </c>
      <c r="G283" s="18">
        <v>2.5000000000000001E-5</v>
      </c>
      <c r="H283" s="11">
        <v>69048.650000000009</v>
      </c>
      <c r="I283" s="22" t="str">
        <f>IFERROR(VLOOKUP(D283,'LEAID Match'!$A$2:$B$184,2,FALSE),"")</f>
        <v/>
      </c>
    </row>
    <row r="284" spans="1:9" x14ac:dyDescent="0.2">
      <c r="A284" t="str">
        <f t="shared" si="4"/>
        <v/>
      </c>
      <c r="B284" s="24">
        <v>2023</v>
      </c>
      <c r="C284" t="s">
        <v>87</v>
      </c>
      <c r="D284" t="s">
        <v>929</v>
      </c>
      <c r="E284" t="s">
        <v>929</v>
      </c>
      <c r="F284" s="11">
        <v>3708622</v>
      </c>
      <c r="G284" s="18">
        <v>2.7900000000000001E-5</v>
      </c>
      <c r="H284" s="11">
        <v>84673.626300000004</v>
      </c>
      <c r="I284" s="22" t="str">
        <f>IFERROR(VLOOKUP(D284,'LEAID Match'!$A$2:$B$184,2,FALSE),"")</f>
        <v/>
      </c>
    </row>
    <row r="285" spans="1:9" x14ac:dyDescent="0.2">
      <c r="A285" t="str">
        <f t="shared" si="4"/>
        <v/>
      </c>
      <c r="B285" s="24">
        <v>2015</v>
      </c>
      <c r="C285" t="s">
        <v>88</v>
      </c>
      <c r="D285" t="s">
        <v>894</v>
      </c>
      <c r="E285" t="s">
        <v>30</v>
      </c>
      <c r="F285" s="11">
        <v>92097480</v>
      </c>
      <c r="G285" s="18">
        <v>8.0519999999999995E-4</v>
      </c>
      <c r="H285" s="11">
        <v>1016957.9375999999</v>
      </c>
      <c r="I285" s="22" t="str">
        <f>IFERROR(VLOOKUP(D285,'LEAID Match'!$A$2:$B$184,2,FALSE),"")</f>
        <v/>
      </c>
    </row>
    <row r="286" spans="1:9" x14ac:dyDescent="0.2">
      <c r="A286" t="str">
        <f t="shared" si="4"/>
        <v/>
      </c>
      <c r="B286" s="24">
        <v>2016</v>
      </c>
      <c r="C286" t="s">
        <v>88</v>
      </c>
      <c r="D286" t="s">
        <v>894</v>
      </c>
      <c r="E286" t="s">
        <v>609</v>
      </c>
      <c r="F286" s="11">
        <v>83495477</v>
      </c>
      <c r="G286" s="18">
        <v>7.7099999999999998E-4</v>
      </c>
      <c r="H286" s="11">
        <v>983027.31299999997</v>
      </c>
      <c r="I286" s="22" t="str">
        <f>IFERROR(VLOOKUP(D286,'LEAID Match'!$A$2:$B$184,2,FALSE),"")</f>
        <v/>
      </c>
    </row>
    <row r="287" spans="1:9" x14ac:dyDescent="0.2">
      <c r="A287" t="str">
        <f t="shared" si="4"/>
        <v/>
      </c>
      <c r="B287" s="24">
        <v>2017</v>
      </c>
      <c r="C287" t="s">
        <v>88</v>
      </c>
      <c r="D287" t="s">
        <v>894</v>
      </c>
      <c r="E287" t="s">
        <v>894</v>
      </c>
      <c r="F287" s="11">
        <v>86482745</v>
      </c>
      <c r="G287" s="18">
        <v>7.7510000000000003E-4</v>
      </c>
      <c r="H287" s="11">
        <v>1117069.4694000001</v>
      </c>
      <c r="I287" s="22" t="str">
        <f>IFERROR(VLOOKUP(D287,'LEAID Match'!$A$2:$B$184,2,FALSE),"")</f>
        <v/>
      </c>
    </row>
    <row r="288" spans="1:9" x14ac:dyDescent="0.2">
      <c r="A288" t="str">
        <f t="shared" si="4"/>
        <v/>
      </c>
      <c r="B288" s="24">
        <v>2018</v>
      </c>
      <c r="C288" t="s">
        <v>88</v>
      </c>
      <c r="D288" t="s">
        <v>894</v>
      </c>
      <c r="E288" t="s">
        <v>894</v>
      </c>
      <c r="F288" s="11">
        <v>92567258</v>
      </c>
      <c r="G288" s="18">
        <v>7.9659999999999996E-4</v>
      </c>
      <c r="H288" s="11">
        <v>1276870.9365999999</v>
      </c>
      <c r="I288" s="22" t="str">
        <f>IFERROR(VLOOKUP(D288,'LEAID Match'!$A$2:$B$184,2,FALSE),"")</f>
        <v/>
      </c>
    </row>
    <row r="289" spans="1:9" x14ac:dyDescent="0.2">
      <c r="A289" t="str">
        <f t="shared" si="4"/>
        <v/>
      </c>
      <c r="B289" s="24">
        <v>2019</v>
      </c>
      <c r="C289" t="s">
        <v>88</v>
      </c>
      <c r="D289" t="s">
        <v>894</v>
      </c>
      <c r="E289" t="s">
        <v>894</v>
      </c>
      <c r="F289" s="11">
        <v>95934533</v>
      </c>
      <c r="G289" s="18">
        <v>7.963E-4</v>
      </c>
      <c r="H289" s="11">
        <v>1525030.7598000001</v>
      </c>
      <c r="I289" s="22" t="str">
        <f>IFERROR(VLOOKUP(D289,'LEAID Match'!$A$2:$B$184,2,FALSE),"")</f>
        <v/>
      </c>
    </row>
    <row r="290" spans="1:9" x14ac:dyDescent="0.2">
      <c r="A290" t="str">
        <f t="shared" si="4"/>
        <v/>
      </c>
      <c r="B290" s="24">
        <v>2020</v>
      </c>
      <c r="C290" t="s">
        <v>88</v>
      </c>
      <c r="D290" t="s">
        <v>894</v>
      </c>
      <c r="E290" t="s">
        <v>894</v>
      </c>
      <c r="F290" s="11">
        <v>96490398</v>
      </c>
      <c r="G290" s="18">
        <v>7.7899999999999996E-4</v>
      </c>
      <c r="H290" s="11">
        <v>1600903.4249999998</v>
      </c>
      <c r="I290" s="22" t="str">
        <f>IFERROR(VLOOKUP(D290,'LEAID Match'!$A$2:$B$184,2,FALSE),"")</f>
        <v/>
      </c>
    </row>
    <row r="291" spans="1:9" x14ac:dyDescent="0.2">
      <c r="A291" t="str">
        <f t="shared" si="4"/>
        <v/>
      </c>
      <c r="B291" s="24">
        <v>2021</v>
      </c>
      <c r="C291" t="s">
        <v>88</v>
      </c>
      <c r="D291" t="s">
        <v>894</v>
      </c>
      <c r="E291" t="s">
        <v>894</v>
      </c>
      <c r="F291" s="11">
        <v>97710636</v>
      </c>
      <c r="G291" s="18">
        <v>7.8069999999999995E-4</v>
      </c>
      <c r="H291" s="11">
        <v>1852797.8363999999</v>
      </c>
      <c r="I291" s="22" t="str">
        <f>IFERROR(VLOOKUP(D291,'LEAID Match'!$A$2:$B$184,2,FALSE),"")</f>
        <v/>
      </c>
    </row>
    <row r="292" spans="1:9" x14ac:dyDescent="0.2">
      <c r="A292" t="str">
        <f t="shared" si="4"/>
        <v/>
      </c>
      <c r="B292" s="24">
        <v>2022</v>
      </c>
      <c r="C292" t="s">
        <v>88</v>
      </c>
      <c r="D292" t="s">
        <v>894</v>
      </c>
      <c r="E292" t="s">
        <v>894</v>
      </c>
      <c r="F292" s="11">
        <v>101226215</v>
      </c>
      <c r="G292" s="18">
        <v>8.0259999999999999E-4</v>
      </c>
      <c r="H292" s="11">
        <v>2216737.8596000001</v>
      </c>
      <c r="I292" s="22" t="str">
        <f>IFERROR(VLOOKUP(D292,'LEAID Match'!$A$2:$B$184,2,FALSE),"")</f>
        <v/>
      </c>
    </row>
    <row r="293" spans="1:9" x14ac:dyDescent="0.2">
      <c r="A293" t="str">
        <f t="shared" si="4"/>
        <v/>
      </c>
      <c r="B293" s="24">
        <v>2023</v>
      </c>
      <c r="C293" t="s">
        <v>88</v>
      </c>
      <c r="D293" t="s">
        <v>894</v>
      </c>
      <c r="E293" t="s">
        <v>894</v>
      </c>
      <c r="F293" s="11">
        <v>120395742</v>
      </c>
      <c r="G293" s="18">
        <v>9.0589999999999996E-4</v>
      </c>
      <c r="H293" s="11">
        <v>2749313.1922999998</v>
      </c>
      <c r="I293" s="22" t="str">
        <f>IFERROR(VLOOKUP(D293,'LEAID Match'!$A$2:$B$184,2,FALSE),"")</f>
        <v/>
      </c>
    </row>
    <row r="294" spans="1:9" x14ac:dyDescent="0.2">
      <c r="A294" t="str">
        <f t="shared" si="4"/>
        <v/>
      </c>
      <c r="B294" s="24">
        <v>2015</v>
      </c>
      <c r="C294" t="s">
        <v>89</v>
      </c>
      <c r="D294" t="s">
        <v>610</v>
      </c>
      <c r="E294" t="s">
        <v>31</v>
      </c>
      <c r="F294" s="11">
        <v>8037411874</v>
      </c>
      <c r="G294" s="18">
        <v>7.0273699999999995E-2</v>
      </c>
      <c r="H294" s="11">
        <v>88754839.815599993</v>
      </c>
      <c r="I294" s="22" t="str">
        <f>IFERROR(VLOOKUP(D294,'LEAID Match'!$A$2:$B$184,2,FALSE),"")</f>
        <v/>
      </c>
    </row>
    <row r="295" spans="1:9" x14ac:dyDescent="0.2">
      <c r="A295" t="str">
        <f t="shared" si="4"/>
        <v/>
      </c>
      <c r="B295" s="24">
        <v>2016</v>
      </c>
      <c r="C295" t="s">
        <v>89</v>
      </c>
      <c r="D295" t="s">
        <v>610</v>
      </c>
      <c r="E295" t="s">
        <v>610</v>
      </c>
      <c r="F295" s="11">
        <v>7478966338</v>
      </c>
      <c r="G295" s="18">
        <v>6.9063399999999997E-2</v>
      </c>
      <c r="H295" s="11">
        <v>88056042.190200001</v>
      </c>
      <c r="I295" s="22" t="str">
        <f>IFERROR(VLOOKUP(D295,'LEAID Match'!$A$2:$B$184,2,FALSE),"")</f>
        <v/>
      </c>
    </row>
    <row r="296" spans="1:9" x14ac:dyDescent="0.2">
      <c r="A296" t="str">
        <f t="shared" si="4"/>
        <v/>
      </c>
      <c r="B296" s="24">
        <v>2017</v>
      </c>
      <c r="C296" t="s">
        <v>89</v>
      </c>
      <c r="D296" t="s">
        <v>610</v>
      </c>
      <c r="E296" t="s">
        <v>610</v>
      </c>
      <c r="F296" s="11">
        <v>7789302009</v>
      </c>
      <c r="G296" s="18">
        <v>6.9808099999999998E-2</v>
      </c>
      <c r="H296" s="11">
        <v>100607014.8714</v>
      </c>
      <c r="I296" s="22" t="str">
        <f>IFERROR(VLOOKUP(D296,'LEAID Match'!$A$2:$B$184,2,FALSE),"")</f>
        <v/>
      </c>
    </row>
    <row r="297" spans="1:9" x14ac:dyDescent="0.2">
      <c r="A297" t="str">
        <f t="shared" si="4"/>
        <v/>
      </c>
      <c r="B297" s="24">
        <v>2018</v>
      </c>
      <c r="C297" t="s">
        <v>89</v>
      </c>
      <c r="D297" t="s">
        <v>610</v>
      </c>
      <c r="E297" t="s">
        <v>610</v>
      </c>
      <c r="F297" s="11">
        <v>8143947776</v>
      </c>
      <c r="G297" s="18">
        <v>7.0080400000000001E-2</v>
      </c>
      <c r="H297" s="11">
        <v>112331943.2404</v>
      </c>
      <c r="I297" s="22" t="str">
        <f>IFERROR(VLOOKUP(D297,'LEAID Match'!$A$2:$B$184,2,FALSE),"")</f>
        <v/>
      </c>
    </row>
    <row r="298" spans="1:9" x14ac:dyDescent="0.2">
      <c r="A298" t="str">
        <f t="shared" si="4"/>
        <v/>
      </c>
      <c r="B298" s="24">
        <v>2019</v>
      </c>
      <c r="C298" t="s">
        <v>89</v>
      </c>
      <c r="D298" t="s">
        <v>610</v>
      </c>
      <c r="E298" t="s">
        <v>610</v>
      </c>
      <c r="F298" s="11">
        <v>8488196167</v>
      </c>
      <c r="G298" s="18">
        <v>7.0452000000000001E-2</v>
      </c>
      <c r="H298" s="11">
        <v>134925865.99200001</v>
      </c>
      <c r="I298" s="22" t="str">
        <f>IFERROR(VLOOKUP(D298,'LEAID Match'!$A$2:$B$184,2,FALSE),"")</f>
        <v/>
      </c>
    </row>
    <row r="299" spans="1:9" x14ac:dyDescent="0.2">
      <c r="A299" t="str">
        <f t="shared" si="4"/>
        <v/>
      </c>
      <c r="B299" s="24">
        <v>2020</v>
      </c>
      <c r="C299" t="s">
        <v>89</v>
      </c>
      <c r="D299" t="s">
        <v>610</v>
      </c>
      <c r="E299" t="s">
        <v>610</v>
      </c>
      <c r="F299" s="11">
        <v>8763931327</v>
      </c>
      <c r="G299" s="18">
        <v>7.0749300000000001E-2</v>
      </c>
      <c r="H299" s="11">
        <v>145395117.69749999</v>
      </c>
      <c r="I299" s="22" t="str">
        <f>IFERROR(VLOOKUP(D299,'LEAID Match'!$A$2:$B$184,2,FALSE),"")</f>
        <v/>
      </c>
    </row>
    <row r="300" spans="1:9" x14ac:dyDescent="0.2">
      <c r="A300" t="str">
        <f t="shared" si="4"/>
        <v/>
      </c>
      <c r="B300" s="24">
        <v>2021</v>
      </c>
      <c r="C300" t="s">
        <v>89</v>
      </c>
      <c r="D300" t="s">
        <v>610</v>
      </c>
      <c r="E300" t="s">
        <v>610</v>
      </c>
      <c r="F300" s="11">
        <v>9606870350</v>
      </c>
      <c r="G300" s="18">
        <v>7.6763100000000001E-2</v>
      </c>
      <c r="H300" s="11">
        <v>182178180.60120001</v>
      </c>
      <c r="I300" s="22" t="str">
        <f>IFERROR(VLOOKUP(D300,'LEAID Match'!$A$2:$B$184,2,FALSE),"")</f>
        <v/>
      </c>
    </row>
    <row r="301" spans="1:9" x14ac:dyDescent="0.2">
      <c r="A301" t="str">
        <f t="shared" si="4"/>
        <v/>
      </c>
      <c r="B301" s="24">
        <v>2022</v>
      </c>
      <c r="C301" t="s">
        <v>89</v>
      </c>
      <c r="D301" t="s">
        <v>610</v>
      </c>
      <c r="E301" t="s">
        <v>610</v>
      </c>
      <c r="F301" s="11">
        <v>8912320766</v>
      </c>
      <c r="G301" s="18">
        <v>7.0665500000000006E-2</v>
      </c>
      <c r="H301" s="11">
        <v>195174295.06300002</v>
      </c>
      <c r="I301" s="22" t="str">
        <f>IFERROR(VLOOKUP(D301,'LEAID Match'!$A$2:$B$184,2,FALSE),"")</f>
        <v/>
      </c>
    </row>
    <row r="302" spans="1:9" x14ac:dyDescent="0.2">
      <c r="A302" t="str">
        <f t="shared" si="4"/>
        <v/>
      </c>
      <c r="B302" s="24">
        <v>2023</v>
      </c>
      <c r="C302" t="s">
        <v>89</v>
      </c>
      <c r="D302" t="s">
        <v>610</v>
      </c>
      <c r="E302" t="s">
        <v>610</v>
      </c>
      <c r="F302" s="11">
        <v>2605161239</v>
      </c>
      <c r="G302" s="18">
        <v>1.9601899999999998E-2</v>
      </c>
      <c r="H302" s="11">
        <v>59489747.504299998</v>
      </c>
      <c r="I302" s="22" t="str">
        <f>IFERROR(VLOOKUP(D302,'LEAID Match'!$A$2:$B$184,2,FALSE),"")</f>
        <v/>
      </c>
    </row>
    <row r="303" spans="1:9" x14ac:dyDescent="0.2">
      <c r="A303" t="str">
        <f t="shared" si="4"/>
        <v/>
      </c>
      <c r="B303" s="24">
        <v>2023</v>
      </c>
      <c r="C303" t="s">
        <v>943</v>
      </c>
      <c r="D303" t="s">
        <v>942</v>
      </c>
      <c r="E303" t="s">
        <v>942</v>
      </c>
      <c r="F303" s="11">
        <v>6733667429</v>
      </c>
      <c r="G303" s="18">
        <v>5.0665700000000001E-2</v>
      </c>
      <c r="H303" s="11">
        <v>153765180.93290001</v>
      </c>
      <c r="I303" s="22" t="str">
        <f>IFERROR(VLOOKUP(D303,'LEAID Match'!$A$2:$B$184,2,FALSE),"")</f>
        <v/>
      </c>
    </row>
    <row r="304" spans="1:9" x14ac:dyDescent="0.2">
      <c r="A304" t="str">
        <f t="shared" si="4"/>
        <v/>
      </c>
      <c r="B304" s="24">
        <v>2015</v>
      </c>
      <c r="C304" t="s">
        <v>90</v>
      </c>
      <c r="D304" t="s">
        <v>611</v>
      </c>
      <c r="E304" t="s">
        <v>32</v>
      </c>
      <c r="F304" s="11">
        <v>662461388</v>
      </c>
      <c r="G304" s="18">
        <v>5.7920999999999997E-3</v>
      </c>
      <c r="H304" s="11">
        <v>7315352.7947999993</v>
      </c>
      <c r="I304" s="22" t="str">
        <f>IFERROR(VLOOKUP(D304,'LEAID Match'!$A$2:$B$184,2,FALSE),"")</f>
        <v/>
      </c>
    </row>
    <row r="305" spans="1:9" x14ac:dyDescent="0.2">
      <c r="A305" t="str">
        <f t="shared" si="4"/>
        <v/>
      </c>
      <c r="B305" s="24">
        <v>2016</v>
      </c>
      <c r="C305" t="s">
        <v>90</v>
      </c>
      <c r="D305" t="s">
        <v>611</v>
      </c>
      <c r="E305" t="s">
        <v>611</v>
      </c>
      <c r="F305" s="11">
        <v>649588841</v>
      </c>
      <c r="G305" s="18">
        <v>5.9985000000000004E-3</v>
      </c>
      <c r="H305" s="11">
        <v>7648105.4955000002</v>
      </c>
      <c r="I305" s="22" t="str">
        <f>IFERROR(VLOOKUP(D305,'LEAID Match'!$A$2:$B$184,2,FALSE),"")</f>
        <v/>
      </c>
    </row>
    <row r="306" spans="1:9" x14ac:dyDescent="0.2">
      <c r="A306" t="str">
        <f t="shared" si="4"/>
        <v/>
      </c>
      <c r="B306" s="24">
        <v>2017</v>
      </c>
      <c r="C306" t="s">
        <v>90</v>
      </c>
      <c r="D306" t="s">
        <v>611</v>
      </c>
      <c r="E306" t="s">
        <v>611</v>
      </c>
      <c r="F306" s="11">
        <v>692350989</v>
      </c>
      <c r="G306" s="18">
        <v>6.2049000000000002E-3</v>
      </c>
      <c r="H306" s="11">
        <v>8942464.6505999994</v>
      </c>
      <c r="I306" s="22" t="str">
        <f>IFERROR(VLOOKUP(D306,'LEAID Match'!$A$2:$B$184,2,FALSE),"")</f>
        <v/>
      </c>
    </row>
    <row r="307" spans="1:9" x14ac:dyDescent="0.2">
      <c r="A307" t="str">
        <f t="shared" si="4"/>
        <v/>
      </c>
      <c r="B307" s="24">
        <v>2018</v>
      </c>
      <c r="C307" t="s">
        <v>90</v>
      </c>
      <c r="D307" t="s">
        <v>611</v>
      </c>
      <c r="E307" t="s">
        <v>611</v>
      </c>
      <c r="F307" s="11">
        <v>729565719</v>
      </c>
      <c r="G307" s="18">
        <v>6.2781E-3</v>
      </c>
      <c r="H307" s="11">
        <v>10063172.768100001</v>
      </c>
      <c r="I307" s="22" t="str">
        <f>IFERROR(VLOOKUP(D307,'LEAID Match'!$A$2:$B$184,2,FALSE),"")</f>
        <v/>
      </c>
    </row>
    <row r="308" spans="1:9" x14ac:dyDescent="0.2">
      <c r="A308" t="str">
        <f t="shared" si="4"/>
        <v/>
      </c>
      <c r="B308" s="24">
        <v>2019</v>
      </c>
      <c r="C308" t="s">
        <v>90</v>
      </c>
      <c r="D308" t="s">
        <v>611</v>
      </c>
      <c r="E308" t="s">
        <v>611</v>
      </c>
      <c r="F308" s="11">
        <v>811542549</v>
      </c>
      <c r="G308" s="18">
        <v>6.7358000000000001E-3</v>
      </c>
      <c r="H308" s="11">
        <v>12900040.4268</v>
      </c>
      <c r="I308" s="22" t="str">
        <f>IFERROR(VLOOKUP(D308,'LEAID Match'!$A$2:$B$184,2,FALSE),"")</f>
        <v/>
      </c>
    </row>
    <row r="309" spans="1:9" x14ac:dyDescent="0.2">
      <c r="A309" t="str">
        <f t="shared" si="4"/>
        <v/>
      </c>
      <c r="B309" s="24">
        <v>2020</v>
      </c>
      <c r="C309" t="s">
        <v>90</v>
      </c>
      <c r="D309" t="s">
        <v>611</v>
      </c>
      <c r="E309" t="s">
        <v>611</v>
      </c>
      <c r="F309" s="11">
        <v>843974922</v>
      </c>
      <c r="G309" s="18">
        <v>6.8133000000000004E-3</v>
      </c>
      <c r="H309" s="11">
        <v>14001842.497500001</v>
      </c>
      <c r="I309" s="22" t="str">
        <f>IFERROR(VLOOKUP(D309,'LEAID Match'!$A$2:$B$184,2,FALSE),"")</f>
        <v/>
      </c>
    </row>
    <row r="310" spans="1:9" x14ac:dyDescent="0.2">
      <c r="A310" t="str">
        <f t="shared" si="4"/>
        <v/>
      </c>
      <c r="B310" s="24">
        <v>2021</v>
      </c>
      <c r="C310" t="s">
        <v>90</v>
      </c>
      <c r="D310" t="s">
        <v>611</v>
      </c>
      <c r="E310" t="s">
        <v>611</v>
      </c>
      <c r="F310" s="11">
        <v>847291910</v>
      </c>
      <c r="G310" s="18">
        <v>6.7701999999999997E-3</v>
      </c>
      <c r="H310" s="11">
        <v>16067390.690399999</v>
      </c>
      <c r="I310" s="22" t="str">
        <f>IFERROR(VLOOKUP(D310,'LEAID Match'!$A$2:$B$184,2,FALSE),"")</f>
        <v/>
      </c>
    </row>
    <row r="311" spans="1:9" x14ac:dyDescent="0.2">
      <c r="A311" t="str">
        <f t="shared" si="4"/>
        <v/>
      </c>
      <c r="B311" s="24">
        <v>2022</v>
      </c>
      <c r="C311" t="s">
        <v>90</v>
      </c>
      <c r="D311" t="s">
        <v>611</v>
      </c>
      <c r="E311" t="s">
        <v>611</v>
      </c>
      <c r="F311" s="11">
        <v>846699762</v>
      </c>
      <c r="G311" s="18">
        <v>6.7134999999999998E-3</v>
      </c>
      <c r="H311" s="11">
        <v>18542324.471000001</v>
      </c>
      <c r="I311" s="22" t="str">
        <f>IFERROR(VLOOKUP(D311,'LEAID Match'!$A$2:$B$184,2,FALSE),"")</f>
        <v/>
      </c>
    </row>
    <row r="312" spans="1:9" x14ac:dyDescent="0.2">
      <c r="A312" t="str">
        <f t="shared" si="4"/>
        <v/>
      </c>
      <c r="B312" s="24">
        <v>2023</v>
      </c>
      <c r="C312" t="s">
        <v>90</v>
      </c>
      <c r="D312" t="s">
        <v>611</v>
      </c>
      <c r="E312" t="s">
        <v>611</v>
      </c>
      <c r="F312" s="11">
        <v>980858598</v>
      </c>
      <c r="G312" s="18">
        <v>7.3802E-3</v>
      </c>
      <c r="H312" s="11">
        <v>22398146.839400001</v>
      </c>
      <c r="I312" s="22" t="str">
        <f>IFERROR(VLOOKUP(D312,'LEAID Match'!$A$2:$B$184,2,FALSE),"")</f>
        <v/>
      </c>
    </row>
    <row r="313" spans="1:9" x14ac:dyDescent="0.2">
      <c r="A313" t="str">
        <f t="shared" si="4"/>
        <v/>
      </c>
      <c r="B313" s="24">
        <v>2015</v>
      </c>
      <c r="C313" t="s">
        <v>91</v>
      </c>
      <c r="D313" t="s">
        <v>895</v>
      </c>
      <c r="E313" t="s">
        <v>33</v>
      </c>
      <c r="F313" s="11">
        <v>91593337</v>
      </c>
      <c r="G313" s="18">
        <v>8.0079999999999995E-4</v>
      </c>
      <c r="H313" s="11">
        <v>1011400.7903999999</v>
      </c>
      <c r="I313" s="22" t="str">
        <f>IFERROR(VLOOKUP(D313,'LEAID Match'!$A$2:$B$184,2,FALSE),"")</f>
        <v/>
      </c>
    </row>
    <row r="314" spans="1:9" x14ac:dyDescent="0.2">
      <c r="A314" t="str">
        <f t="shared" si="4"/>
        <v/>
      </c>
      <c r="B314" s="24">
        <v>2016</v>
      </c>
      <c r="C314" t="s">
        <v>91</v>
      </c>
      <c r="D314" t="s">
        <v>895</v>
      </c>
      <c r="E314" t="s">
        <v>612</v>
      </c>
      <c r="F314" s="11">
        <v>89804595</v>
      </c>
      <c r="G314" s="18">
        <v>8.2930000000000005E-4</v>
      </c>
      <c r="H314" s="11">
        <v>1057359.9879000001</v>
      </c>
      <c r="I314" s="22" t="str">
        <f>IFERROR(VLOOKUP(D314,'LEAID Match'!$A$2:$B$184,2,FALSE),"")</f>
        <v/>
      </c>
    </row>
    <row r="315" spans="1:9" x14ac:dyDescent="0.2">
      <c r="A315" t="str">
        <f t="shared" si="4"/>
        <v/>
      </c>
      <c r="B315" s="24">
        <v>2017</v>
      </c>
      <c r="C315" t="s">
        <v>91</v>
      </c>
      <c r="D315" t="s">
        <v>895</v>
      </c>
      <c r="E315" t="s">
        <v>895</v>
      </c>
      <c r="F315" s="11">
        <v>91819373</v>
      </c>
      <c r="G315" s="18">
        <v>8.229E-4</v>
      </c>
      <c r="H315" s="11">
        <v>1185958.5426</v>
      </c>
      <c r="I315" s="22" t="str">
        <f>IFERROR(VLOOKUP(D315,'LEAID Match'!$A$2:$B$184,2,FALSE),"")</f>
        <v/>
      </c>
    </row>
    <row r="316" spans="1:9" x14ac:dyDescent="0.2">
      <c r="A316" t="str">
        <f t="shared" si="4"/>
        <v/>
      </c>
      <c r="B316" s="24">
        <v>2018</v>
      </c>
      <c r="C316" t="s">
        <v>91</v>
      </c>
      <c r="D316" t="s">
        <v>895</v>
      </c>
      <c r="E316" t="s">
        <v>895</v>
      </c>
      <c r="F316" s="11">
        <v>100256561</v>
      </c>
      <c r="G316" s="18">
        <v>8.6269999999999999E-4</v>
      </c>
      <c r="H316" s="11">
        <v>1382822.6927</v>
      </c>
      <c r="I316" s="22" t="str">
        <f>IFERROR(VLOOKUP(D316,'LEAID Match'!$A$2:$B$184,2,FALSE),"")</f>
        <v/>
      </c>
    </row>
    <row r="317" spans="1:9" x14ac:dyDescent="0.2">
      <c r="A317" t="str">
        <f t="shared" si="4"/>
        <v/>
      </c>
      <c r="B317" s="24">
        <v>2019</v>
      </c>
      <c r="C317" t="s">
        <v>91</v>
      </c>
      <c r="D317" t="s">
        <v>895</v>
      </c>
      <c r="E317" t="s">
        <v>895</v>
      </c>
      <c r="F317" s="11">
        <v>106456702</v>
      </c>
      <c r="G317" s="18">
        <v>8.8360000000000001E-4</v>
      </c>
      <c r="H317" s="11">
        <v>1692223.0056</v>
      </c>
      <c r="I317" s="22" t="str">
        <f>IFERROR(VLOOKUP(D317,'LEAID Match'!$A$2:$B$184,2,FALSE),"")</f>
        <v/>
      </c>
    </row>
    <row r="318" spans="1:9" x14ac:dyDescent="0.2">
      <c r="A318" t="str">
        <f t="shared" si="4"/>
        <v/>
      </c>
      <c r="B318" s="24">
        <v>2020</v>
      </c>
      <c r="C318" t="s">
        <v>91</v>
      </c>
      <c r="D318" t="s">
        <v>895</v>
      </c>
      <c r="E318" t="s">
        <v>895</v>
      </c>
      <c r="F318" s="11">
        <v>113052097</v>
      </c>
      <c r="G318" s="18">
        <v>9.1270000000000001E-4</v>
      </c>
      <c r="H318" s="11">
        <v>1875666.9525000001</v>
      </c>
      <c r="I318" s="22" t="str">
        <f>IFERROR(VLOOKUP(D318,'LEAID Match'!$A$2:$B$184,2,FALSE),"")</f>
        <v/>
      </c>
    </row>
    <row r="319" spans="1:9" x14ac:dyDescent="0.2">
      <c r="A319" t="str">
        <f t="shared" si="4"/>
        <v/>
      </c>
      <c r="B319" s="24">
        <v>2021</v>
      </c>
      <c r="C319" t="s">
        <v>91</v>
      </c>
      <c r="D319" t="s">
        <v>895</v>
      </c>
      <c r="E319" t="s">
        <v>895</v>
      </c>
      <c r="F319" s="11">
        <v>116561511</v>
      </c>
      <c r="G319" s="18">
        <v>9.3139999999999998E-4</v>
      </c>
      <c r="H319" s="11">
        <v>2210446.9128</v>
      </c>
      <c r="I319" s="22" t="str">
        <f>IFERROR(VLOOKUP(D319,'LEAID Match'!$A$2:$B$184,2,FALSE),"")</f>
        <v/>
      </c>
    </row>
    <row r="320" spans="1:9" x14ac:dyDescent="0.2">
      <c r="A320" t="str">
        <f t="shared" si="4"/>
        <v/>
      </c>
      <c r="B320" s="24">
        <v>2022</v>
      </c>
      <c r="C320" t="s">
        <v>91</v>
      </c>
      <c r="D320" t="s">
        <v>895</v>
      </c>
      <c r="E320" t="s">
        <v>895</v>
      </c>
      <c r="F320" s="11">
        <v>120740791</v>
      </c>
      <c r="G320" s="18">
        <v>9.5739999999999996E-4</v>
      </c>
      <c r="H320" s="11">
        <v>2644287.1003999999</v>
      </c>
      <c r="I320" s="22" t="str">
        <f>IFERROR(VLOOKUP(D320,'LEAID Match'!$A$2:$B$184,2,FALSE),"")</f>
        <v/>
      </c>
    </row>
    <row r="321" spans="1:9" x14ac:dyDescent="0.2">
      <c r="A321" t="str">
        <f t="shared" si="4"/>
        <v/>
      </c>
      <c r="B321" s="24">
        <v>2023</v>
      </c>
      <c r="C321" t="s">
        <v>91</v>
      </c>
      <c r="D321" t="s">
        <v>895</v>
      </c>
      <c r="E321" t="s">
        <v>895</v>
      </c>
      <c r="F321" s="11">
        <v>131277460</v>
      </c>
      <c r="G321" s="18">
        <v>9.8780000000000005E-4</v>
      </c>
      <c r="H321" s="11">
        <v>2997871.2566</v>
      </c>
      <c r="I321" s="22" t="str">
        <f>IFERROR(VLOOKUP(D321,'LEAID Match'!$A$2:$B$184,2,FALSE),"")</f>
        <v/>
      </c>
    </row>
    <row r="322" spans="1:9" x14ac:dyDescent="0.2">
      <c r="A322" t="str">
        <f t="shared" si="4"/>
        <v/>
      </c>
      <c r="B322" s="24">
        <v>2015</v>
      </c>
      <c r="C322" t="s">
        <v>92</v>
      </c>
      <c r="D322" t="s">
        <v>613</v>
      </c>
      <c r="E322" t="s">
        <v>34</v>
      </c>
      <c r="F322" s="11">
        <v>1539093638</v>
      </c>
      <c r="G322" s="18">
        <v>1.34568E-2</v>
      </c>
      <c r="H322" s="11">
        <v>16995776.918400001</v>
      </c>
      <c r="I322" s="22" t="str">
        <f>IFERROR(VLOOKUP(D322,'LEAID Match'!$A$2:$B$184,2,FALSE),"")</f>
        <v/>
      </c>
    </row>
    <row r="323" spans="1:9" x14ac:dyDescent="0.2">
      <c r="A323" t="str">
        <f t="shared" ref="A323:A386" si="5">I323</f>
        <v/>
      </c>
      <c r="B323" s="24">
        <v>2016</v>
      </c>
      <c r="C323" t="s">
        <v>92</v>
      </c>
      <c r="D323" t="s">
        <v>613</v>
      </c>
      <c r="E323" t="s">
        <v>613</v>
      </c>
      <c r="F323" s="11">
        <v>1445688221</v>
      </c>
      <c r="G323" s="18">
        <v>1.3350000000000001E-2</v>
      </c>
      <c r="H323" s="11">
        <v>17021290.050000001</v>
      </c>
      <c r="I323" s="22" t="str">
        <f>IFERROR(VLOOKUP(D323,'LEAID Match'!$A$2:$B$184,2,FALSE),"")</f>
        <v/>
      </c>
    </row>
    <row r="324" spans="1:9" x14ac:dyDescent="0.2">
      <c r="A324" t="str">
        <f t="shared" si="5"/>
        <v/>
      </c>
      <c r="B324" s="24">
        <v>2017</v>
      </c>
      <c r="C324" t="s">
        <v>92</v>
      </c>
      <c r="D324" t="s">
        <v>613</v>
      </c>
      <c r="E324" t="s">
        <v>613</v>
      </c>
      <c r="F324" s="11">
        <v>1542362058</v>
      </c>
      <c r="G324" s="18">
        <v>1.38227E-2</v>
      </c>
      <c r="H324" s="11">
        <v>19921192.303800002</v>
      </c>
      <c r="I324" s="22" t="str">
        <f>IFERROR(VLOOKUP(D324,'LEAID Match'!$A$2:$B$184,2,FALSE),"")</f>
        <v/>
      </c>
    </row>
    <row r="325" spans="1:9" x14ac:dyDescent="0.2">
      <c r="A325" t="str">
        <f t="shared" si="5"/>
        <v/>
      </c>
      <c r="B325" s="24">
        <v>2018</v>
      </c>
      <c r="C325" t="s">
        <v>92</v>
      </c>
      <c r="D325" t="s">
        <v>613</v>
      </c>
      <c r="E325" t="s">
        <v>613</v>
      </c>
      <c r="F325" s="11">
        <v>1643167798</v>
      </c>
      <c r="G325" s="18">
        <v>1.41399E-2</v>
      </c>
      <c r="H325" s="11">
        <v>22664859.8499</v>
      </c>
      <c r="I325" s="22" t="str">
        <f>IFERROR(VLOOKUP(D325,'LEAID Match'!$A$2:$B$184,2,FALSE),"")</f>
        <v/>
      </c>
    </row>
    <row r="326" spans="1:9" x14ac:dyDescent="0.2">
      <c r="A326" t="str">
        <f t="shared" si="5"/>
        <v/>
      </c>
      <c r="B326" s="24">
        <v>2019</v>
      </c>
      <c r="C326" t="s">
        <v>92</v>
      </c>
      <c r="D326" t="s">
        <v>613</v>
      </c>
      <c r="E326" t="s">
        <v>613</v>
      </c>
      <c r="F326" s="11">
        <v>1687109019</v>
      </c>
      <c r="G326" s="18">
        <v>1.4003E-2</v>
      </c>
      <c r="H326" s="11">
        <v>26817789.438000001</v>
      </c>
      <c r="I326" s="22" t="str">
        <f>IFERROR(VLOOKUP(D326,'LEAID Match'!$A$2:$B$184,2,FALSE),"")</f>
        <v/>
      </c>
    </row>
    <row r="327" spans="1:9" x14ac:dyDescent="0.2">
      <c r="A327" t="str">
        <f t="shared" si="5"/>
        <v/>
      </c>
      <c r="B327" s="24">
        <v>2020</v>
      </c>
      <c r="C327" t="s">
        <v>92</v>
      </c>
      <c r="D327" t="s">
        <v>613</v>
      </c>
      <c r="E327" t="s">
        <v>613</v>
      </c>
      <c r="F327" s="11">
        <v>1693644364</v>
      </c>
      <c r="G327" s="18">
        <v>1.36726E-2</v>
      </c>
      <c r="H327" s="11">
        <v>28098218.445</v>
      </c>
      <c r="I327" s="22" t="str">
        <f>IFERROR(VLOOKUP(D327,'LEAID Match'!$A$2:$B$184,2,FALSE),"")</f>
        <v/>
      </c>
    </row>
    <row r="328" spans="1:9" x14ac:dyDescent="0.2">
      <c r="A328" t="str">
        <f t="shared" si="5"/>
        <v/>
      </c>
      <c r="B328" s="24">
        <v>2021</v>
      </c>
      <c r="C328" t="s">
        <v>92</v>
      </c>
      <c r="D328" t="s">
        <v>613</v>
      </c>
      <c r="E328" t="s">
        <v>613</v>
      </c>
      <c r="F328" s="11">
        <v>1656968690</v>
      </c>
      <c r="G328" s="18">
        <v>1.3239799999999999E-2</v>
      </c>
      <c r="H328" s="11">
        <v>31421381.829599999</v>
      </c>
      <c r="I328" s="22" t="str">
        <f>IFERROR(VLOOKUP(D328,'LEAID Match'!$A$2:$B$184,2,FALSE),"")</f>
        <v/>
      </c>
    </row>
    <row r="329" spans="1:9" x14ac:dyDescent="0.2">
      <c r="A329" t="str">
        <f t="shared" si="5"/>
        <v/>
      </c>
      <c r="B329" s="24">
        <v>2022</v>
      </c>
      <c r="C329" t="s">
        <v>92</v>
      </c>
      <c r="D329" t="s">
        <v>613</v>
      </c>
      <c r="E329" t="s">
        <v>613</v>
      </c>
      <c r="F329" s="11">
        <v>1567575744</v>
      </c>
      <c r="G329" s="18">
        <v>1.2429300000000001E-2</v>
      </c>
      <c r="H329" s="11">
        <v>34329055.417800002</v>
      </c>
      <c r="I329" s="22" t="str">
        <f>IFERROR(VLOOKUP(D329,'LEAID Match'!$A$2:$B$184,2,FALSE),"")</f>
        <v/>
      </c>
    </row>
    <row r="330" spans="1:9" x14ac:dyDescent="0.2">
      <c r="A330" t="str">
        <f t="shared" si="5"/>
        <v/>
      </c>
      <c r="B330" s="24">
        <v>2023</v>
      </c>
      <c r="C330" t="s">
        <v>92</v>
      </c>
      <c r="D330" t="s">
        <v>613</v>
      </c>
      <c r="E330" t="s">
        <v>613</v>
      </c>
      <c r="F330" s="11">
        <v>1757858857</v>
      </c>
      <c r="G330" s="18">
        <v>1.32266E-2</v>
      </c>
      <c r="H330" s="11">
        <v>40141368.6602</v>
      </c>
      <c r="I330" s="22" t="str">
        <f>IFERROR(VLOOKUP(D330,'LEAID Match'!$A$2:$B$184,2,FALSE),"")</f>
        <v/>
      </c>
    </row>
    <row r="331" spans="1:9" x14ac:dyDescent="0.2">
      <c r="A331" t="str">
        <f t="shared" si="5"/>
        <v/>
      </c>
      <c r="B331" s="24">
        <v>2015</v>
      </c>
      <c r="C331" t="s">
        <v>93</v>
      </c>
      <c r="D331" t="s">
        <v>614</v>
      </c>
      <c r="E331" t="s">
        <v>35</v>
      </c>
      <c r="F331" s="11">
        <v>134411359</v>
      </c>
      <c r="G331" s="18">
        <v>1.1751999999999999E-3</v>
      </c>
      <c r="H331" s="11">
        <v>1484263.4975999999</v>
      </c>
      <c r="I331" s="22" t="str">
        <f>IFERROR(VLOOKUP(D331,'LEAID Match'!$A$2:$B$184,2,FALSE),"")</f>
        <v/>
      </c>
    </row>
    <row r="332" spans="1:9" x14ac:dyDescent="0.2">
      <c r="A332" t="str">
        <f t="shared" si="5"/>
        <v/>
      </c>
      <c r="B332" s="24">
        <v>2016</v>
      </c>
      <c r="C332" t="s">
        <v>93</v>
      </c>
      <c r="D332" t="s">
        <v>614</v>
      </c>
      <c r="E332" t="s">
        <v>614</v>
      </c>
      <c r="F332" s="11">
        <v>116519759</v>
      </c>
      <c r="G332" s="18">
        <v>1.0759999999999999E-3</v>
      </c>
      <c r="H332" s="11">
        <v>1371903.2279999999</v>
      </c>
      <c r="I332" s="22" t="str">
        <f>IFERROR(VLOOKUP(D332,'LEAID Match'!$A$2:$B$184,2,FALSE),"")</f>
        <v/>
      </c>
    </row>
    <row r="333" spans="1:9" x14ac:dyDescent="0.2">
      <c r="A333" t="str">
        <f t="shared" si="5"/>
        <v/>
      </c>
      <c r="B333" s="24">
        <v>2017</v>
      </c>
      <c r="C333" t="s">
        <v>93</v>
      </c>
      <c r="D333" t="s">
        <v>614</v>
      </c>
      <c r="E333" t="s">
        <v>614</v>
      </c>
      <c r="F333" s="11">
        <v>110863952</v>
      </c>
      <c r="G333" s="18">
        <v>9.9360000000000008E-4</v>
      </c>
      <c r="H333" s="11">
        <v>1431970.3584</v>
      </c>
      <c r="I333" s="22" t="str">
        <f>IFERROR(VLOOKUP(D333,'LEAID Match'!$A$2:$B$184,2,FALSE),"")</f>
        <v/>
      </c>
    </row>
    <row r="334" spans="1:9" x14ac:dyDescent="0.2">
      <c r="A334" t="str">
        <f t="shared" si="5"/>
        <v/>
      </c>
      <c r="B334" s="24">
        <v>2018</v>
      </c>
      <c r="C334" t="s">
        <v>93</v>
      </c>
      <c r="D334" t="s">
        <v>614</v>
      </c>
      <c r="E334" t="s">
        <v>614</v>
      </c>
      <c r="F334" s="11">
        <v>116197261</v>
      </c>
      <c r="G334" s="18">
        <v>9.9989999999999996E-4</v>
      </c>
      <c r="H334" s="11">
        <v>1602740.7098999999</v>
      </c>
      <c r="I334" s="22" t="str">
        <f>IFERROR(VLOOKUP(D334,'LEAID Match'!$A$2:$B$184,2,FALSE),"")</f>
        <v/>
      </c>
    </row>
    <row r="335" spans="1:9" x14ac:dyDescent="0.2">
      <c r="A335" t="str">
        <f t="shared" si="5"/>
        <v/>
      </c>
      <c r="B335" s="24">
        <v>2019</v>
      </c>
      <c r="C335" t="s">
        <v>93</v>
      </c>
      <c r="D335" t="s">
        <v>614</v>
      </c>
      <c r="E335" t="s">
        <v>614</v>
      </c>
      <c r="F335" s="11">
        <v>123120617</v>
      </c>
      <c r="G335" s="18">
        <v>1.0219000000000001E-3</v>
      </c>
      <c r="H335" s="11">
        <v>1957087.6974000002</v>
      </c>
      <c r="I335" s="22" t="str">
        <f>IFERROR(VLOOKUP(D335,'LEAID Match'!$A$2:$B$184,2,FALSE),"")</f>
        <v/>
      </c>
    </row>
    <row r="336" spans="1:9" x14ac:dyDescent="0.2">
      <c r="A336" t="str">
        <f t="shared" si="5"/>
        <v/>
      </c>
      <c r="B336" s="24">
        <v>2020</v>
      </c>
      <c r="C336" t="s">
        <v>93</v>
      </c>
      <c r="D336" t="s">
        <v>614</v>
      </c>
      <c r="E336" t="s">
        <v>614</v>
      </c>
      <c r="F336" s="11">
        <v>125755674</v>
      </c>
      <c r="G336" s="18">
        <v>1.0152E-3</v>
      </c>
      <c r="H336" s="11">
        <v>2086312.14</v>
      </c>
      <c r="I336" s="22" t="str">
        <f>IFERROR(VLOOKUP(D336,'LEAID Match'!$A$2:$B$184,2,FALSE),"")</f>
        <v/>
      </c>
    </row>
    <row r="337" spans="1:9" x14ac:dyDescent="0.2">
      <c r="A337" t="str">
        <f t="shared" si="5"/>
        <v/>
      </c>
      <c r="B337" s="24">
        <v>2021</v>
      </c>
      <c r="C337" t="s">
        <v>93</v>
      </c>
      <c r="D337" t="s">
        <v>614</v>
      </c>
      <c r="E337" t="s">
        <v>614</v>
      </c>
      <c r="F337" s="11">
        <v>129300182</v>
      </c>
      <c r="G337" s="18">
        <v>1.0332E-3</v>
      </c>
      <c r="H337" s="11">
        <v>2452043.9663999998</v>
      </c>
      <c r="I337" s="22" t="str">
        <f>IFERROR(VLOOKUP(D337,'LEAID Match'!$A$2:$B$184,2,FALSE),"")</f>
        <v/>
      </c>
    </row>
    <row r="338" spans="1:9" x14ac:dyDescent="0.2">
      <c r="A338" t="str">
        <f t="shared" si="5"/>
        <v/>
      </c>
      <c r="B338" s="24">
        <v>2022</v>
      </c>
      <c r="C338" t="s">
        <v>93</v>
      </c>
      <c r="D338" t="s">
        <v>614</v>
      </c>
      <c r="E338" t="s">
        <v>614</v>
      </c>
      <c r="F338" s="11">
        <v>131287559</v>
      </c>
      <c r="G338" s="18">
        <v>1.041E-3</v>
      </c>
      <c r="H338" s="11">
        <v>2875185.7860000003</v>
      </c>
      <c r="I338" s="22" t="str">
        <f>IFERROR(VLOOKUP(D338,'LEAID Match'!$A$2:$B$184,2,FALSE),"")</f>
        <v/>
      </c>
    </row>
    <row r="339" spans="1:9" x14ac:dyDescent="0.2">
      <c r="A339" t="str">
        <f t="shared" si="5"/>
        <v/>
      </c>
      <c r="B339" s="24">
        <v>2023</v>
      </c>
      <c r="C339" t="s">
        <v>93</v>
      </c>
      <c r="D339" t="s">
        <v>614</v>
      </c>
      <c r="E339" t="s">
        <v>614</v>
      </c>
      <c r="F339" s="11">
        <v>145753810</v>
      </c>
      <c r="G339" s="18">
        <v>1.0966999999999999E-3</v>
      </c>
      <c r="H339" s="11">
        <v>3328371.5398999997</v>
      </c>
      <c r="I339" s="22" t="str">
        <f>IFERROR(VLOOKUP(D339,'LEAID Match'!$A$2:$B$184,2,FALSE),"")</f>
        <v/>
      </c>
    </row>
    <row r="340" spans="1:9" x14ac:dyDescent="0.2">
      <c r="A340" t="str">
        <f t="shared" si="5"/>
        <v/>
      </c>
      <c r="B340" s="24">
        <v>2015</v>
      </c>
      <c r="C340" t="s">
        <v>94</v>
      </c>
      <c r="D340" t="s">
        <v>615</v>
      </c>
      <c r="E340" t="s">
        <v>36</v>
      </c>
      <c r="F340" s="11">
        <v>227954666</v>
      </c>
      <c r="G340" s="18">
        <v>1.9930999999999998E-3</v>
      </c>
      <c r="H340" s="11">
        <v>2517261.3827999998</v>
      </c>
      <c r="I340" s="22" t="str">
        <f>IFERROR(VLOOKUP(D340,'LEAID Match'!$A$2:$B$184,2,FALSE),"")</f>
        <v/>
      </c>
    </row>
    <row r="341" spans="1:9" x14ac:dyDescent="0.2">
      <c r="A341" t="str">
        <f t="shared" si="5"/>
        <v/>
      </c>
      <c r="B341" s="24">
        <v>2016</v>
      </c>
      <c r="C341" t="s">
        <v>94</v>
      </c>
      <c r="D341" t="s">
        <v>615</v>
      </c>
      <c r="E341" t="s">
        <v>615</v>
      </c>
      <c r="F341" s="11">
        <v>206326366</v>
      </c>
      <c r="G341" s="18">
        <v>1.9053E-3</v>
      </c>
      <c r="H341" s="11">
        <v>2429263.2159000002</v>
      </c>
      <c r="I341" s="22" t="str">
        <f>IFERROR(VLOOKUP(D341,'LEAID Match'!$A$2:$B$184,2,FALSE),"")</f>
        <v/>
      </c>
    </row>
    <row r="342" spans="1:9" x14ac:dyDescent="0.2">
      <c r="A342" t="str">
        <f t="shared" si="5"/>
        <v/>
      </c>
      <c r="B342" s="24">
        <v>2017</v>
      </c>
      <c r="C342" t="s">
        <v>94</v>
      </c>
      <c r="D342" t="s">
        <v>615</v>
      </c>
      <c r="E342" t="s">
        <v>615</v>
      </c>
      <c r="F342" s="11">
        <v>229110326</v>
      </c>
      <c r="G342" s="18">
        <v>2.0533000000000001E-3</v>
      </c>
      <c r="H342" s="11">
        <v>2959203.6402000003</v>
      </c>
      <c r="I342" s="22" t="str">
        <f>IFERROR(VLOOKUP(D342,'LEAID Match'!$A$2:$B$184,2,FALSE),"")</f>
        <v/>
      </c>
    </row>
    <row r="343" spans="1:9" x14ac:dyDescent="0.2">
      <c r="A343" t="str">
        <f t="shared" si="5"/>
        <v/>
      </c>
      <c r="B343" s="24">
        <v>2018</v>
      </c>
      <c r="C343" t="s">
        <v>94</v>
      </c>
      <c r="D343" t="s">
        <v>615</v>
      </c>
      <c r="E343" t="s">
        <v>615</v>
      </c>
      <c r="F343" s="11">
        <v>250878261</v>
      </c>
      <c r="G343" s="18">
        <v>2.1589000000000001E-3</v>
      </c>
      <c r="H343" s="11">
        <v>3460502.9689000002</v>
      </c>
      <c r="I343" s="22" t="str">
        <f>IFERROR(VLOOKUP(D343,'LEAID Match'!$A$2:$B$184,2,FALSE),"")</f>
        <v/>
      </c>
    </row>
    <row r="344" spans="1:9" x14ac:dyDescent="0.2">
      <c r="A344" t="str">
        <f t="shared" si="5"/>
        <v/>
      </c>
      <c r="B344" s="24">
        <v>2019</v>
      </c>
      <c r="C344" t="s">
        <v>94</v>
      </c>
      <c r="D344" t="s">
        <v>615</v>
      </c>
      <c r="E344" t="s">
        <v>615</v>
      </c>
      <c r="F344" s="11">
        <v>254660139</v>
      </c>
      <c r="G344" s="18">
        <v>2.1137E-3</v>
      </c>
      <c r="H344" s="11">
        <v>4048044.1002000002</v>
      </c>
      <c r="I344" s="22" t="str">
        <f>IFERROR(VLOOKUP(D344,'LEAID Match'!$A$2:$B$184,2,FALSE),"")</f>
        <v/>
      </c>
    </row>
    <row r="345" spans="1:9" x14ac:dyDescent="0.2">
      <c r="A345" t="str">
        <f t="shared" si="5"/>
        <v/>
      </c>
      <c r="B345" s="24">
        <v>2020</v>
      </c>
      <c r="C345" t="s">
        <v>94</v>
      </c>
      <c r="D345" t="s">
        <v>615</v>
      </c>
      <c r="E345" t="s">
        <v>615</v>
      </c>
      <c r="F345" s="11">
        <v>243965901</v>
      </c>
      <c r="G345" s="18">
        <v>1.9694999999999999E-3</v>
      </c>
      <c r="H345" s="11">
        <v>4047470.2124999999</v>
      </c>
      <c r="I345" s="22" t="str">
        <f>IFERROR(VLOOKUP(D345,'LEAID Match'!$A$2:$B$184,2,FALSE),"")</f>
        <v/>
      </c>
    </row>
    <row r="346" spans="1:9" x14ac:dyDescent="0.2">
      <c r="A346" t="str">
        <f t="shared" si="5"/>
        <v/>
      </c>
      <c r="B346" s="24">
        <v>2021</v>
      </c>
      <c r="C346" t="s">
        <v>94</v>
      </c>
      <c r="D346" t="s">
        <v>615</v>
      </c>
      <c r="E346" t="s">
        <v>615</v>
      </c>
      <c r="F346" s="11">
        <v>237735649</v>
      </c>
      <c r="G346" s="18">
        <v>1.8996E-3</v>
      </c>
      <c r="H346" s="11">
        <v>4508229.4992000004</v>
      </c>
      <c r="I346" s="22" t="str">
        <f>IFERROR(VLOOKUP(D346,'LEAID Match'!$A$2:$B$184,2,FALSE),"")</f>
        <v/>
      </c>
    </row>
    <row r="347" spans="1:9" x14ac:dyDescent="0.2">
      <c r="A347" t="str">
        <f t="shared" si="5"/>
        <v/>
      </c>
      <c r="B347" s="24">
        <v>2022</v>
      </c>
      <c r="C347" t="s">
        <v>94</v>
      </c>
      <c r="D347" t="s">
        <v>615</v>
      </c>
      <c r="E347" t="s">
        <v>615</v>
      </c>
      <c r="F347" s="11">
        <v>238835290</v>
      </c>
      <c r="G347" s="18">
        <v>1.8936999999999999E-3</v>
      </c>
      <c r="H347" s="11">
        <v>5230297.1401999993</v>
      </c>
      <c r="I347" s="22" t="str">
        <f>IFERROR(VLOOKUP(D347,'LEAID Match'!$A$2:$B$184,2,FALSE),"")</f>
        <v/>
      </c>
    </row>
    <row r="348" spans="1:9" x14ac:dyDescent="0.2">
      <c r="A348" t="str">
        <f t="shared" si="5"/>
        <v/>
      </c>
      <c r="B348" s="24">
        <v>2023</v>
      </c>
      <c r="C348" t="s">
        <v>94</v>
      </c>
      <c r="D348" t="s">
        <v>615</v>
      </c>
      <c r="E348" t="s">
        <v>615</v>
      </c>
      <c r="F348" s="11">
        <v>291427124</v>
      </c>
      <c r="G348" s="18">
        <v>2.1928E-3</v>
      </c>
      <c r="H348" s="11">
        <v>6654922.1415999997</v>
      </c>
      <c r="I348" s="22" t="str">
        <f>IFERROR(VLOOKUP(D348,'LEAID Match'!$A$2:$B$184,2,FALSE),"")</f>
        <v/>
      </c>
    </row>
    <row r="349" spans="1:9" x14ac:dyDescent="0.2">
      <c r="A349" t="str">
        <f t="shared" si="5"/>
        <v/>
      </c>
      <c r="B349" s="24">
        <v>2015</v>
      </c>
      <c r="C349" t="s">
        <v>95</v>
      </c>
      <c r="D349" t="s">
        <v>896</v>
      </c>
      <c r="E349" t="s">
        <v>37</v>
      </c>
      <c r="F349" s="11">
        <v>456631473</v>
      </c>
      <c r="G349" s="18">
        <v>3.9925000000000004E-3</v>
      </c>
      <c r="H349" s="11">
        <v>5042479.5900000008</v>
      </c>
      <c r="I349" s="22" t="str">
        <f>IFERROR(VLOOKUP(D349,'LEAID Match'!$A$2:$B$184,2,FALSE),"")</f>
        <v/>
      </c>
    </row>
    <row r="350" spans="1:9" x14ac:dyDescent="0.2">
      <c r="A350" t="str">
        <f t="shared" si="5"/>
        <v/>
      </c>
      <c r="B350" s="24">
        <v>2016</v>
      </c>
      <c r="C350" t="s">
        <v>95</v>
      </c>
      <c r="D350" t="s">
        <v>896</v>
      </c>
      <c r="E350" t="s">
        <v>616</v>
      </c>
      <c r="F350" s="11">
        <v>437075338</v>
      </c>
      <c r="G350" s="18">
        <v>4.0360999999999999E-3</v>
      </c>
      <c r="H350" s="11">
        <v>5146039.6082999995</v>
      </c>
      <c r="I350" s="22" t="str">
        <f>IFERROR(VLOOKUP(D350,'LEAID Match'!$A$2:$B$184,2,FALSE),"")</f>
        <v/>
      </c>
    </row>
    <row r="351" spans="1:9" x14ac:dyDescent="0.2">
      <c r="A351" t="str">
        <f t="shared" si="5"/>
        <v/>
      </c>
      <c r="B351" s="24">
        <v>2017</v>
      </c>
      <c r="C351" t="s">
        <v>95</v>
      </c>
      <c r="D351" t="s">
        <v>896</v>
      </c>
      <c r="E351" t="s">
        <v>896</v>
      </c>
      <c r="F351" s="11">
        <v>451547449</v>
      </c>
      <c r="G351" s="18">
        <v>4.0467999999999997E-3</v>
      </c>
      <c r="H351" s="11">
        <v>5832223.8791999994</v>
      </c>
      <c r="I351" s="22" t="str">
        <f>IFERROR(VLOOKUP(D351,'LEAID Match'!$A$2:$B$184,2,FALSE),"")</f>
        <v/>
      </c>
    </row>
    <row r="352" spans="1:9" x14ac:dyDescent="0.2">
      <c r="A352" t="str">
        <f t="shared" si="5"/>
        <v/>
      </c>
      <c r="B352" s="24">
        <v>2018</v>
      </c>
      <c r="C352" t="s">
        <v>95</v>
      </c>
      <c r="D352" t="s">
        <v>896</v>
      </c>
      <c r="E352" t="s">
        <v>896</v>
      </c>
      <c r="F352" s="11">
        <v>492237024</v>
      </c>
      <c r="G352" s="18">
        <v>4.2357999999999996E-3</v>
      </c>
      <c r="H352" s="11">
        <v>6789568.0557999993</v>
      </c>
      <c r="I352" s="22" t="str">
        <f>IFERROR(VLOOKUP(D352,'LEAID Match'!$A$2:$B$184,2,FALSE),"")</f>
        <v/>
      </c>
    </row>
    <row r="353" spans="1:9" x14ac:dyDescent="0.2">
      <c r="A353" t="str">
        <f t="shared" si="5"/>
        <v/>
      </c>
      <c r="B353" s="24">
        <v>2019</v>
      </c>
      <c r="C353" t="s">
        <v>95</v>
      </c>
      <c r="D353" t="s">
        <v>896</v>
      </c>
      <c r="E353" t="s">
        <v>896</v>
      </c>
      <c r="F353" s="11">
        <v>510013406</v>
      </c>
      <c r="G353" s="18">
        <v>4.2331000000000001E-3</v>
      </c>
      <c r="H353" s="11">
        <v>8107004.5326000005</v>
      </c>
      <c r="I353" s="22" t="str">
        <f>IFERROR(VLOOKUP(D353,'LEAID Match'!$A$2:$B$184,2,FALSE),"")</f>
        <v/>
      </c>
    </row>
    <row r="354" spans="1:9" x14ac:dyDescent="0.2">
      <c r="A354" t="str">
        <f t="shared" si="5"/>
        <v/>
      </c>
      <c r="B354" s="24">
        <v>2020</v>
      </c>
      <c r="C354" t="s">
        <v>95</v>
      </c>
      <c r="D354" t="s">
        <v>896</v>
      </c>
      <c r="E354" t="s">
        <v>896</v>
      </c>
      <c r="F354" s="11">
        <v>526051925</v>
      </c>
      <c r="G354" s="18">
        <v>4.2467E-3</v>
      </c>
      <c r="H354" s="11">
        <v>8727287.0024999995</v>
      </c>
      <c r="I354" s="22" t="str">
        <f>IFERROR(VLOOKUP(D354,'LEAID Match'!$A$2:$B$184,2,FALSE),"")</f>
        <v/>
      </c>
    </row>
    <row r="355" spans="1:9" x14ac:dyDescent="0.2">
      <c r="A355" t="str">
        <f t="shared" si="5"/>
        <v/>
      </c>
      <c r="B355" s="24">
        <v>2021</v>
      </c>
      <c r="C355" t="s">
        <v>95</v>
      </c>
      <c r="D355" t="s">
        <v>896</v>
      </c>
      <c r="E355" t="s">
        <v>896</v>
      </c>
      <c r="F355" s="11">
        <v>537226768</v>
      </c>
      <c r="G355" s="18">
        <v>4.2927E-3</v>
      </c>
      <c r="H355" s="11">
        <v>10187658.860400001</v>
      </c>
      <c r="I355" s="22" t="str">
        <f>IFERROR(VLOOKUP(D355,'LEAID Match'!$A$2:$B$184,2,FALSE),"")</f>
        <v/>
      </c>
    </row>
    <row r="356" spans="1:9" x14ac:dyDescent="0.2">
      <c r="A356" t="str">
        <f t="shared" si="5"/>
        <v/>
      </c>
      <c r="B356" s="24">
        <v>2022</v>
      </c>
      <c r="C356" t="s">
        <v>95</v>
      </c>
      <c r="D356" t="s">
        <v>896</v>
      </c>
      <c r="E356" t="s">
        <v>896</v>
      </c>
      <c r="F356" s="11">
        <v>514575340</v>
      </c>
      <c r="G356" s="18">
        <v>4.0800999999999997E-3</v>
      </c>
      <c r="H356" s="11">
        <v>11269015.874599999</v>
      </c>
      <c r="I356" s="22" t="str">
        <f>IFERROR(VLOOKUP(D356,'LEAID Match'!$A$2:$B$184,2,FALSE),"")</f>
        <v/>
      </c>
    </row>
    <row r="357" spans="1:9" x14ac:dyDescent="0.2">
      <c r="A357" t="str">
        <f t="shared" si="5"/>
        <v/>
      </c>
      <c r="B357" s="24">
        <v>2023</v>
      </c>
      <c r="C357" t="s">
        <v>95</v>
      </c>
      <c r="D357" t="s">
        <v>896</v>
      </c>
      <c r="E357" t="s">
        <v>896</v>
      </c>
      <c r="F357" s="11">
        <v>540535149</v>
      </c>
      <c r="G357" s="18">
        <v>4.0670999999999997E-3</v>
      </c>
      <c r="H357" s="11">
        <v>12343229.588699998</v>
      </c>
      <c r="I357" s="22" t="str">
        <f>IFERROR(VLOOKUP(D357,'LEAID Match'!$A$2:$B$184,2,FALSE),"")</f>
        <v/>
      </c>
    </row>
    <row r="358" spans="1:9" x14ac:dyDescent="0.2">
      <c r="A358" t="str">
        <f t="shared" si="5"/>
        <v/>
      </c>
      <c r="B358" s="24">
        <v>2015</v>
      </c>
      <c r="C358" t="s">
        <v>96</v>
      </c>
      <c r="D358" t="s">
        <v>897</v>
      </c>
      <c r="E358" t="s">
        <v>38</v>
      </c>
      <c r="F358" s="11">
        <v>415295739</v>
      </c>
      <c r="G358" s="18">
        <v>3.6311E-3</v>
      </c>
      <c r="H358" s="11">
        <v>4586035.7268000003</v>
      </c>
      <c r="I358" s="22" t="str">
        <f>IFERROR(VLOOKUP(D358,'LEAID Match'!$A$2:$B$184,2,FALSE),"")</f>
        <v/>
      </c>
    </row>
    <row r="359" spans="1:9" x14ac:dyDescent="0.2">
      <c r="A359" t="str">
        <f t="shared" si="5"/>
        <v/>
      </c>
      <c r="B359" s="24">
        <v>2016</v>
      </c>
      <c r="C359" t="s">
        <v>96</v>
      </c>
      <c r="D359" t="s">
        <v>897</v>
      </c>
      <c r="E359" t="s">
        <v>617</v>
      </c>
      <c r="F359" s="11">
        <v>391400672</v>
      </c>
      <c r="G359" s="18">
        <v>3.6143E-3</v>
      </c>
      <c r="H359" s="11">
        <v>4608243.3428999996</v>
      </c>
      <c r="I359" s="22" t="str">
        <f>IFERROR(VLOOKUP(D359,'LEAID Match'!$A$2:$B$184,2,FALSE),"")</f>
        <v/>
      </c>
    </row>
    <row r="360" spans="1:9" x14ac:dyDescent="0.2">
      <c r="A360" t="str">
        <f t="shared" si="5"/>
        <v/>
      </c>
      <c r="B360" s="24">
        <v>2017</v>
      </c>
      <c r="C360" t="s">
        <v>96</v>
      </c>
      <c r="D360" t="s">
        <v>897</v>
      </c>
      <c r="E360" t="s">
        <v>897</v>
      </c>
      <c r="F360" s="11">
        <v>396360093</v>
      </c>
      <c r="G360" s="18">
        <v>3.5522000000000001E-3</v>
      </c>
      <c r="H360" s="11">
        <v>5119409.3267999999</v>
      </c>
      <c r="I360" s="22" t="str">
        <f>IFERROR(VLOOKUP(D360,'LEAID Match'!$A$2:$B$184,2,FALSE),"")</f>
        <v/>
      </c>
    </row>
    <row r="361" spans="1:9" x14ac:dyDescent="0.2">
      <c r="A361" t="str">
        <f t="shared" si="5"/>
        <v/>
      </c>
      <c r="B361" s="24">
        <v>2018</v>
      </c>
      <c r="C361" t="s">
        <v>96</v>
      </c>
      <c r="D361" t="s">
        <v>897</v>
      </c>
      <c r="E361" t="s">
        <v>897</v>
      </c>
      <c r="F361" s="11">
        <v>406188159</v>
      </c>
      <c r="G361" s="18">
        <v>3.4954000000000001E-3</v>
      </c>
      <c r="H361" s="11">
        <v>5602780.1554000005</v>
      </c>
      <c r="I361" s="22" t="str">
        <f>IFERROR(VLOOKUP(D361,'LEAID Match'!$A$2:$B$184,2,FALSE),"")</f>
        <v/>
      </c>
    </row>
    <row r="362" spans="1:9" x14ac:dyDescent="0.2">
      <c r="A362" t="str">
        <f t="shared" si="5"/>
        <v/>
      </c>
      <c r="B362" s="24">
        <v>2019</v>
      </c>
      <c r="C362" t="s">
        <v>96</v>
      </c>
      <c r="D362" t="s">
        <v>897</v>
      </c>
      <c r="E362" t="s">
        <v>897</v>
      </c>
      <c r="F362" s="11">
        <v>417345084</v>
      </c>
      <c r="G362" s="18">
        <v>3.4640000000000001E-3</v>
      </c>
      <c r="H362" s="11">
        <v>6634065.7439999999</v>
      </c>
      <c r="I362" s="22" t="str">
        <f>IFERROR(VLOOKUP(D362,'LEAID Match'!$A$2:$B$184,2,FALSE),"")</f>
        <v/>
      </c>
    </row>
    <row r="363" spans="1:9" x14ac:dyDescent="0.2">
      <c r="A363" t="str">
        <f t="shared" si="5"/>
        <v/>
      </c>
      <c r="B363" s="24">
        <v>2020</v>
      </c>
      <c r="C363" t="s">
        <v>96</v>
      </c>
      <c r="D363" t="s">
        <v>897</v>
      </c>
      <c r="E363" t="s">
        <v>897</v>
      </c>
      <c r="F363" s="11">
        <v>422857165</v>
      </c>
      <c r="G363" s="18">
        <v>3.4137E-3</v>
      </c>
      <c r="H363" s="11">
        <v>7015409.5274999999</v>
      </c>
      <c r="I363" s="22" t="str">
        <f>IFERROR(VLOOKUP(D363,'LEAID Match'!$A$2:$B$184,2,FALSE),"")</f>
        <v/>
      </c>
    </row>
    <row r="364" spans="1:9" x14ac:dyDescent="0.2">
      <c r="A364" t="str">
        <f t="shared" si="5"/>
        <v/>
      </c>
      <c r="B364" s="24">
        <v>2021</v>
      </c>
      <c r="C364" t="s">
        <v>96</v>
      </c>
      <c r="D364" t="s">
        <v>897</v>
      </c>
      <c r="E364" t="s">
        <v>897</v>
      </c>
      <c r="F364" s="11">
        <v>421074225</v>
      </c>
      <c r="G364" s="18">
        <v>3.3646000000000001E-3</v>
      </c>
      <c r="H364" s="11">
        <v>7985043.6792000001</v>
      </c>
      <c r="I364" s="22" t="str">
        <f>IFERROR(VLOOKUP(D364,'LEAID Match'!$A$2:$B$184,2,FALSE),"")</f>
        <v/>
      </c>
    </row>
    <row r="365" spans="1:9" x14ac:dyDescent="0.2">
      <c r="A365" t="str">
        <f t="shared" si="5"/>
        <v/>
      </c>
      <c r="B365" s="24">
        <v>2022</v>
      </c>
      <c r="C365" t="s">
        <v>96</v>
      </c>
      <c r="D365" t="s">
        <v>897</v>
      </c>
      <c r="E365" t="s">
        <v>897</v>
      </c>
      <c r="F365" s="11">
        <v>420145254</v>
      </c>
      <c r="G365" s="18">
        <v>3.3313000000000001E-3</v>
      </c>
      <c r="H365" s="11">
        <v>9200870.7098000012</v>
      </c>
      <c r="I365" s="22" t="str">
        <f>IFERROR(VLOOKUP(D365,'LEAID Match'!$A$2:$B$184,2,FALSE),"")</f>
        <v/>
      </c>
    </row>
    <row r="366" spans="1:9" x14ac:dyDescent="0.2">
      <c r="A366" t="str">
        <f t="shared" si="5"/>
        <v/>
      </c>
      <c r="B366" s="24">
        <v>2023</v>
      </c>
      <c r="C366" t="s">
        <v>96</v>
      </c>
      <c r="D366" t="s">
        <v>897</v>
      </c>
      <c r="E366" t="s">
        <v>897</v>
      </c>
      <c r="F366" s="11">
        <v>418820157</v>
      </c>
      <c r="G366" s="18">
        <v>3.1513000000000001E-3</v>
      </c>
      <c r="H366" s="11">
        <v>9563870.916100001</v>
      </c>
      <c r="I366" s="22" t="str">
        <f>IFERROR(VLOOKUP(D366,'LEAID Match'!$A$2:$B$184,2,FALSE),"")</f>
        <v/>
      </c>
    </row>
    <row r="367" spans="1:9" x14ac:dyDescent="0.2">
      <c r="A367" t="str">
        <f t="shared" si="5"/>
        <v/>
      </c>
      <c r="B367" s="24">
        <v>2015</v>
      </c>
      <c r="C367" t="s">
        <v>97</v>
      </c>
      <c r="D367" t="s">
        <v>618</v>
      </c>
      <c r="E367" t="s">
        <v>39</v>
      </c>
      <c r="F367" s="11">
        <v>569583817</v>
      </c>
      <c r="G367" s="18">
        <v>4.9801000000000003E-3</v>
      </c>
      <c r="H367" s="11">
        <v>6289806.5388000002</v>
      </c>
      <c r="I367" s="22" t="str">
        <f>IFERROR(VLOOKUP(D367,'LEAID Match'!$A$2:$B$184,2,FALSE),"")</f>
        <v/>
      </c>
    </row>
    <row r="368" spans="1:9" x14ac:dyDescent="0.2">
      <c r="A368" t="str">
        <f t="shared" si="5"/>
        <v/>
      </c>
      <c r="B368" s="24">
        <v>2016</v>
      </c>
      <c r="C368" t="s">
        <v>97</v>
      </c>
      <c r="D368" t="s">
        <v>618</v>
      </c>
      <c r="E368" t="s">
        <v>618</v>
      </c>
      <c r="F368" s="11">
        <v>517168569</v>
      </c>
      <c r="G368" s="18">
        <v>4.7756999999999999E-3</v>
      </c>
      <c r="H368" s="11">
        <v>6089031.8271000003</v>
      </c>
      <c r="I368" s="22" t="str">
        <f>IFERROR(VLOOKUP(D368,'LEAID Match'!$A$2:$B$184,2,FALSE),"")</f>
        <v/>
      </c>
    </row>
    <row r="369" spans="1:9" x14ac:dyDescent="0.2">
      <c r="A369" t="str">
        <f t="shared" si="5"/>
        <v/>
      </c>
      <c r="B369" s="24">
        <v>2017</v>
      </c>
      <c r="C369" t="s">
        <v>97</v>
      </c>
      <c r="D369" t="s">
        <v>618</v>
      </c>
      <c r="E369" t="s">
        <v>618</v>
      </c>
      <c r="F369" s="11">
        <v>544849327</v>
      </c>
      <c r="G369" s="18">
        <v>4.8830000000000002E-3</v>
      </c>
      <c r="H369" s="11">
        <v>7037350.3020000001</v>
      </c>
      <c r="I369" s="22" t="str">
        <f>IFERROR(VLOOKUP(D369,'LEAID Match'!$A$2:$B$184,2,FALSE),"")</f>
        <v/>
      </c>
    </row>
    <row r="370" spans="1:9" x14ac:dyDescent="0.2">
      <c r="A370" t="str">
        <f t="shared" si="5"/>
        <v/>
      </c>
      <c r="B370" s="24">
        <v>2018</v>
      </c>
      <c r="C370" t="s">
        <v>97</v>
      </c>
      <c r="D370" t="s">
        <v>618</v>
      </c>
      <c r="E370" t="s">
        <v>618</v>
      </c>
      <c r="F370" s="11">
        <v>588636546</v>
      </c>
      <c r="G370" s="18">
        <v>5.0654000000000003E-3</v>
      </c>
      <c r="H370" s="11">
        <v>8119334.7254000008</v>
      </c>
      <c r="I370" s="22" t="str">
        <f>IFERROR(VLOOKUP(D370,'LEAID Match'!$A$2:$B$184,2,FALSE),"")</f>
        <v/>
      </c>
    </row>
    <row r="371" spans="1:9" x14ac:dyDescent="0.2">
      <c r="A371" t="str">
        <f t="shared" si="5"/>
        <v/>
      </c>
      <c r="B371" s="24">
        <v>2019</v>
      </c>
      <c r="C371" t="s">
        <v>97</v>
      </c>
      <c r="D371" t="s">
        <v>618</v>
      </c>
      <c r="E371" t="s">
        <v>618</v>
      </c>
      <c r="F371" s="11">
        <v>638634902</v>
      </c>
      <c r="G371" s="18">
        <v>5.3007000000000002E-3</v>
      </c>
      <c r="H371" s="11">
        <v>10151614.4022</v>
      </c>
      <c r="I371" s="22" t="str">
        <f>IFERROR(VLOOKUP(D371,'LEAID Match'!$A$2:$B$184,2,FALSE),"")</f>
        <v/>
      </c>
    </row>
    <row r="372" spans="1:9" x14ac:dyDescent="0.2">
      <c r="A372" t="str">
        <f t="shared" si="5"/>
        <v/>
      </c>
      <c r="B372" s="24">
        <v>2020</v>
      </c>
      <c r="C372" t="s">
        <v>97</v>
      </c>
      <c r="D372" t="s">
        <v>618</v>
      </c>
      <c r="E372" t="s">
        <v>618</v>
      </c>
      <c r="F372" s="11">
        <v>657077162</v>
      </c>
      <c r="G372" s="18">
        <v>5.3045000000000002E-3</v>
      </c>
      <c r="H372" s="11">
        <v>10901145.3375</v>
      </c>
      <c r="I372" s="22" t="str">
        <f>IFERROR(VLOOKUP(D372,'LEAID Match'!$A$2:$B$184,2,FALSE),"")</f>
        <v/>
      </c>
    </row>
    <row r="373" spans="1:9" x14ac:dyDescent="0.2">
      <c r="A373" t="str">
        <f t="shared" si="5"/>
        <v/>
      </c>
      <c r="B373" s="24">
        <v>2021</v>
      </c>
      <c r="C373" t="s">
        <v>97</v>
      </c>
      <c r="D373" t="s">
        <v>618</v>
      </c>
      <c r="E373" t="s">
        <v>618</v>
      </c>
      <c r="F373" s="11">
        <v>676610890</v>
      </c>
      <c r="G373" s="18">
        <v>5.4063999999999996E-3</v>
      </c>
      <c r="H373" s="11">
        <v>12830749.612799998</v>
      </c>
      <c r="I373" s="22" t="str">
        <f>IFERROR(VLOOKUP(D373,'LEAID Match'!$A$2:$B$184,2,FALSE),"")</f>
        <v/>
      </c>
    </row>
    <row r="374" spans="1:9" x14ac:dyDescent="0.2">
      <c r="A374" t="str">
        <f t="shared" si="5"/>
        <v/>
      </c>
      <c r="B374" s="24">
        <v>2022</v>
      </c>
      <c r="C374" t="s">
        <v>97</v>
      </c>
      <c r="D374" t="s">
        <v>618</v>
      </c>
      <c r="E374" t="s">
        <v>618</v>
      </c>
      <c r="F374" s="11">
        <v>660874448</v>
      </c>
      <c r="G374" s="18">
        <v>5.2401000000000001E-3</v>
      </c>
      <c r="H374" s="11">
        <v>14472873.2346</v>
      </c>
      <c r="I374" s="22" t="str">
        <f>IFERROR(VLOOKUP(D374,'LEAID Match'!$A$2:$B$184,2,FALSE),"")</f>
        <v/>
      </c>
    </row>
    <row r="375" spans="1:9" x14ac:dyDescent="0.2">
      <c r="A375" t="str">
        <f t="shared" si="5"/>
        <v/>
      </c>
      <c r="B375" s="24">
        <v>2023</v>
      </c>
      <c r="C375" t="s">
        <v>97</v>
      </c>
      <c r="D375" t="s">
        <v>618</v>
      </c>
      <c r="E375" t="s">
        <v>618</v>
      </c>
      <c r="F375" s="11">
        <v>673546763</v>
      </c>
      <c r="G375" s="18">
        <v>5.0679000000000002E-3</v>
      </c>
      <c r="H375" s="11">
        <v>15380554.5063</v>
      </c>
      <c r="I375" s="22" t="str">
        <f>IFERROR(VLOOKUP(D375,'LEAID Match'!$A$2:$B$184,2,FALSE),"")</f>
        <v/>
      </c>
    </row>
    <row r="376" spans="1:9" x14ac:dyDescent="0.2">
      <c r="A376" t="str">
        <f t="shared" si="5"/>
        <v/>
      </c>
      <c r="B376" s="24">
        <v>2015</v>
      </c>
      <c r="C376" t="s">
        <v>98</v>
      </c>
      <c r="D376" t="s">
        <v>898</v>
      </c>
      <c r="E376" t="s">
        <v>40</v>
      </c>
      <c r="F376" s="11">
        <v>189394798</v>
      </c>
      <c r="G376" s="18">
        <v>1.6559000000000001E-3</v>
      </c>
      <c r="H376" s="11">
        <v>2091381.8292</v>
      </c>
      <c r="I376" s="22" t="str">
        <f>IFERROR(VLOOKUP(D376,'LEAID Match'!$A$2:$B$184,2,FALSE),"")</f>
        <v/>
      </c>
    </row>
    <row r="377" spans="1:9" x14ac:dyDescent="0.2">
      <c r="A377" t="str">
        <f t="shared" si="5"/>
        <v/>
      </c>
      <c r="B377" s="24">
        <v>2016</v>
      </c>
      <c r="C377" t="s">
        <v>98</v>
      </c>
      <c r="D377" t="s">
        <v>898</v>
      </c>
      <c r="E377" t="s">
        <v>619</v>
      </c>
      <c r="F377" s="11">
        <v>191258995</v>
      </c>
      <c r="G377" s="18">
        <v>1.7662000000000001E-3</v>
      </c>
      <c r="H377" s="11">
        <v>2251910.2986000003</v>
      </c>
      <c r="I377" s="22" t="str">
        <f>IFERROR(VLOOKUP(D377,'LEAID Match'!$A$2:$B$184,2,FALSE),"")</f>
        <v/>
      </c>
    </row>
    <row r="378" spans="1:9" x14ac:dyDescent="0.2">
      <c r="A378" t="str">
        <f t="shared" si="5"/>
        <v/>
      </c>
      <c r="B378" s="24">
        <v>2017</v>
      </c>
      <c r="C378" t="s">
        <v>98</v>
      </c>
      <c r="D378" t="s">
        <v>898</v>
      </c>
      <c r="E378" t="s">
        <v>898</v>
      </c>
      <c r="F378" s="11">
        <v>206659613</v>
      </c>
      <c r="G378" s="18">
        <v>1.8521E-3</v>
      </c>
      <c r="H378" s="11">
        <v>2669235.4073999999</v>
      </c>
      <c r="I378" s="22" t="str">
        <f>IFERROR(VLOOKUP(D378,'LEAID Match'!$A$2:$B$184,2,FALSE),"")</f>
        <v/>
      </c>
    </row>
    <row r="379" spans="1:9" x14ac:dyDescent="0.2">
      <c r="A379" t="str">
        <f t="shared" si="5"/>
        <v/>
      </c>
      <c r="B379" s="24">
        <v>2018</v>
      </c>
      <c r="C379" t="s">
        <v>98</v>
      </c>
      <c r="D379" t="s">
        <v>898</v>
      </c>
      <c r="E379" t="s">
        <v>898</v>
      </c>
      <c r="F379" s="11">
        <v>217274196</v>
      </c>
      <c r="G379" s="18">
        <v>1.8697E-3</v>
      </c>
      <c r="H379" s="11">
        <v>2996943.9997</v>
      </c>
      <c r="I379" s="22" t="str">
        <f>IFERROR(VLOOKUP(D379,'LEAID Match'!$A$2:$B$184,2,FALSE),"")</f>
        <v/>
      </c>
    </row>
    <row r="380" spans="1:9" x14ac:dyDescent="0.2">
      <c r="A380" t="str">
        <f t="shared" si="5"/>
        <v/>
      </c>
      <c r="B380" s="24">
        <v>2019</v>
      </c>
      <c r="C380" t="s">
        <v>98</v>
      </c>
      <c r="D380" t="s">
        <v>898</v>
      </c>
      <c r="E380" t="s">
        <v>898</v>
      </c>
      <c r="F380" s="11">
        <v>230445931</v>
      </c>
      <c r="G380" s="18">
        <v>1.9127E-3</v>
      </c>
      <c r="H380" s="11">
        <v>3663099.7541999999</v>
      </c>
      <c r="I380" s="22" t="str">
        <f>IFERROR(VLOOKUP(D380,'LEAID Match'!$A$2:$B$184,2,FALSE),"")</f>
        <v/>
      </c>
    </row>
    <row r="381" spans="1:9" x14ac:dyDescent="0.2">
      <c r="A381" t="str">
        <f t="shared" si="5"/>
        <v/>
      </c>
      <c r="B381" s="24">
        <v>2020</v>
      </c>
      <c r="C381" t="s">
        <v>98</v>
      </c>
      <c r="D381" t="s">
        <v>898</v>
      </c>
      <c r="E381" t="s">
        <v>898</v>
      </c>
      <c r="F381" s="11">
        <v>250934071</v>
      </c>
      <c r="G381" s="18">
        <v>2.0257999999999999E-3</v>
      </c>
      <c r="H381" s="11">
        <v>4163170.9349999996</v>
      </c>
      <c r="I381" s="22" t="str">
        <f>IFERROR(VLOOKUP(D381,'LEAID Match'!$A$2:$B$184,2,FALSE),"")</f>
        <v/>
      </c>
    </row>
    <row r="382" spans="1:9" x14ac:dyDescent="0.2">
      <c r="A382" t="str">
        <f t="shared" si="5"/>
        <v/>
      </c>
      <c r="B382" s="24">
        <v>2021</v>
      </c>
      <c r="C382" t="s">
        <v>98</v>
      </c>
      <c r="D382" t="s">
        <v>898</v>
      </c>
      <c r="E382" t="s">
        <v>898</v>
      </c>
      <c r="F382" s="11">
        <v>252978626</v>
      </c>
      <c r="G382" s="18">
        <v>2.0214E-3</v>
      </c>
      <c r="H382" s="11">
        <v>4797291.5927999998</v>
      </c>
      <c r="I382" s="22" t="str">
        <f>IFERROR(VLOOKUP(D382,'LEAID Match'!$A$2:$B$184,2,FALSE),"")</f>
        <v/>
      </c>
    </row>
    <row r="383" spans="1:9" x14ac:dyDescent="0.2">
      <c r="A383" t="str">
        <f t="shared" si="5"/>
        <v/>
      </c>
      <c r="B383" s="24">
        <v>2022</v>
      </c>
      <c r="C383" t="s">
        <v>98</v>
      </c>
      <c r="D383" t="s">
        <v>898</v>
      </c>
      <c r="E383" t="s">
        <v>898</v>
      </c>
      <c r="F383" s="11">
        <v>240262672</v>
      </c>
      <c r="G383" s="18">
        <v>1.905E-3</v>
      </c>
      <c r="H383" s="11">
        <v>5261507.13</v>
      </c>
      <c r="I383" s="22" t="str">
        <f>IFERROR(VLOOKUP(D383,'LEAID Match'!$A$2:$B$184,2,FALSE),"")</f>
        <v/>
      </c>
    </row>
    <row r="384" spans="1:9" x14ac:dyDescent="0.2">
      <c r="A384" t="str">
        <f t="shared" si="5"/>
        <v/>
      </c>
      <c r="B384" s="24">
        <v>2023</v>
      </c>
      <c r="C384" t="s">
        <v>98</v>
      </c>
      <c r="D384" t="s">
        <v>898</v>
      </c>
      <c r="E384" t="s">
        <v>898</v>
      </c>
      <c r="F384" s="11">
        <v>269380891</v>
      </c>
      <c r="G384" s="18">
        <v>2.0268999999999999E-3</v>
      </c>
      <c r="H384" s="11">
        <v>6151432.7292999998</v>
      </c>
      <c r="I384" s="22" t="str">
        <f>IFERROR(VLOOKUP(D384,'LEAID Match'!$A$2:$B$184,2,FALSE),"")</f>
        <v/>
      </c>
    </row>
    <row r="385" spans="1:9" x14ac:dyDescent="0.2">
      <c r="A385" t="str">
        <f t="shared" si="5"/>
        <v/>
      </c>
      <c r="B385" s="24">
        <v>2015</v>
      </c>
      <c r="C385" t="s">
        <v>99</v>
      </c>
      <c r="D385" t="s">
        <v>899</v>
      </c>
      <c r="E385" t="s">
        <v>41</v>
      </c>
      <c r="F385" s="11">
        <v>2446896617</v>
      </c>
      <c r="G385" s="18">
        <v>2.1394E-2</v>
      </c>
      <c r="H385" s="11">
        <v>27020365.272</v>
      </c>
      <c r="I385" s="22" t="str">
        <f>IFERROR(VLOOKUP(D385,'LEAID Match'!$A$2:$B$184,2,FALSE),"")</f>
        <v/>
      </c>
    </row>
    <row r="386" spans="1:9" x14ac:dyDescent="0.2">
      <c r="A386" t="str">
        <f t="shared" si="5"/>
        <v/>
      </c>
      <c r="B386" s="24">
        <v>2016</v>
      </c>
      <c r="C386" t="s">
        <v>99</v>
      </c>
      <c r="D386" t="s">
        <v>899</v>
      </c>
      <c r="E386" t="s">
        <v>620</v>
      </c>
      <c r="F386" s="11">
        <v>2384596720</v>
      </c>
      <c r="G386" s="18">
        <v>2.20202E-2</v>
      </c>
      <c r="H386" s="11">
        <v>28075821.060600001</v>
      </c>
      <c r="I386" s="22" t="str">
        <f>IFERROR(VLOOKUP(D386,'LEAID Match'!$A$2:$B$184,2,FALSE),"")</f>
        <v/>
      </c>
    </row>
    <row r="387" spans="1:9" x14ac:dyDescent="0.2">
      <c r="A387" t="str">
        <f t="shared" ref="A387:A450" si="6">I387</f>
        <v/>
      </c>
      <c r="B387" s="24">
        <v>2017</v>
      </c>
      <c r="C387" t="s">
        <v>99</v>
      </c>
      <c r="D387" t="s">
        <v>899</v>
      </c>
      <c r="E387" t="s">
        <v>899</v>
      </c>
      <c r="F387" s="11">
        <v>2483770015</v>
      </c>
      <c r="G387" s="18">
        <v>2.2259600000000001E-2</v>
      </c>
      <c r="H387" s="11">
        <v>32080401.962400001</v>
      </c>
      <c r="I387" s="22" t="str">
        <f>IFERROR(VLOOKUP(D387,'LEAID Match'!$A$2:$B$184,2,FALSE),"")</f>
        <v/>
      </c>
    </row>
    <row r="388" spans="1:9" x14ac:dyDescent="0.2">
      <c r="A388" t="str">
        <f t="shared" si="6"/>
        <v/>
      </c>
      <c r="B388" s="24">
        <v>2018</v>
      </c>
      <c r="C388" t="s">
        <v>99</v>
      </c>
      <c r="D388" t="s">
        <v>899</v>
      </c>
      <c r="E388" t="s">
        <v>899</v>
      </c>
      <c r="F388" s="11">
        <v>2587216713</v>
      </c>
      <c r="G388" s="18">
        <v>2.2263700000000001E-2</v>
      </c>
      <c r="H388" s="11">
        <v>35686506.993699998</v>
      </c>
      <c r="I388" s="22" t="str">
        <f>IFERROR(VLOOKUP(D388,'LEAID Match'!$A$2:$B$184,2,FALSE),"")</f>
        <v/>
      </c>
    </row>
    <row r="389" spans="1:9" x14ac:dyDescent="0.2">
      <c r="A389" t="str">
        <f t="shared" si="6"/>
        <v/>
      </c>
      <c r="B389" s="24">
        <v>2019</v>
      </c>
      <c r="C389" t="s">
        <v>99</v>
      </c>
      <c r="D389" t="s">
        <v>899</v>
      </c>
      <c r="E389" t="s">
        <v>899</v>
      </c>
      <c r="F389" s="11">
        <v>2724166149</v>
      </c>
      <c r="G389" s="18">
        <v>2.2610600000000002E-2</v>
      </c>
      <c r="H389" s="11">
        <v>43302600.147600003</v>
      </c>
      <c r="I389" s="22" t="str">
        <f>IFERROR(VLOOKUP(D389,'LEAID Match'!$A$2:$B$184,2,FALSE),"")</f>
        <v/>
      </c>
    </row>
    <row r="390" spans="1:9" x14ac:dyDescent="0.2">
      <c r="A390" t="str">
        <f t="shared" si="6"/>
        <v/>
      </c>
      <c r="B390" s="24">
        <v>2020</v>
      </c>
      <c r="C390" t="s">
        <v>99</v>
      </c>
      <c r="D390" t="s">
        <v>899</v>
      </c>
      <c r="E390" t="s">
        <v>899</v>
      </c>
      <c r="F390" s="11">
        <v>2809746755</v>
      </c>
      <c r="G390" s="18">
        <v>2.26827E-2</v>
      </c>
      <c r="H390" s="11">
        <v>46614649.702500001</v>
      </c>
      <c r="I390" s="22" t="str">
        <f>IFERROR(VLOOKUP(D390,'LEAID Match'!$A$2:$B$184,2,FALSE),"")</f>
        <v/>
      </c>
    </row>
    <row r="391" spans="1:9" x14ac:dyDescent="0.2">
      <c r="A391" t="str">
        <f t="shared" si="6"/>
        <v/>
      </c>
      <c r="B391" s="24">
        <v>2021</v>
      </c>
      <c r="C391" t="s">
        <v>99</v>
      </c>
      <c r="D391" t="s">
        <v>899</v>
      </c>
      <c r="E391" t="s">
        <v>899</v>
      </c>
      <c r="F391" s="11">
        <v>2753364342</v>
      </c>
      <c r="G391" s="18">
        <v>2.2000499999999999E-2</v>
      </c>
      <c r="H391" s="11">
        <v>52212730.625999995</v>
      </c>
      <c r="I391" s="22" t="str">
        <f>IFERROR(VLOOKUP(D391,'LEAID Match'!$A$2:$B$184,2,FALSE),"")</f>
        <v/>
      </c>
    </row>
    <row r="392" spans="1:9" x14ac:dyDescent="0.2">
      <c r="A392" t="str">
        <f t="shared" si="6"/>
        <v/>
      </c>
      <c r="B392" s="24">
        <v>2022</v>
      </c>
      <c r="C392" t="s">
        <v>99</v>
      </c>
      <c r="D392" t="s">
        <v>899</v>
      </c>
      <c r="E392" t="s">
        <v>899</v>
      </c>
      <c r="F392" s="11">
        <v>2634787202</v>
      </c>
      <c r="G392" s="18">
        <v>2.0891199999999999E-2</v>
      </c>
      <c r="H392" s="11">
        <v>57700366.275199994</v>
      </c>
      <c r="I392" s="22" t="str">
        <f>IFERROR(VLOOKUP(D392,'LEAID Match'!$A$2:$B$184,2,FALSE),"")</f>
        <v/>
      </c>
    </row>
    <row r="393" spans="1:9" x14ac:dyDescent="0.2">
      <c r="A393" t="str">
        <f t="shared" si="6"/>
        <v/>
      </c>
      <c r="B393" s="24">
        <v>2023</v>
      </c>
      <c r="C393" t="s">
        <v>99</v>
      </c>
      <c r="D393" t="s">
        <v>899</v>
      </c>
      <c r="E393" t="s">
        <v>899</v>
      </c>
      <c r="F393" s="11">
        <v>2923265740</v>
      </c>
      <c r="G393" s="18">
        <v>2.1995399999999998E-2</v>
      </c>
      <c r="H393" s="11">
        <v>66753773.473799996</v>
      </c>
      <c r="I393" s="22" t="str">
        <f>IFERROR(VLOOKUP(D393,'LEAID Match'!$A$2:$B$184,2,FALSE),"")</f>
        <v/>
      </c>
    </row>
    <row r="394" spans="1:9" x14ac:dyDescent="0.2">
      <c r="A394" t="str">
        <f t="shared" si="6"/>
        <v/>
      </c>
      <c r="B394" s="24">
        <v>2015</v>
      </c>
      <c r="C394" t="s">
        <v>100</v>
      </c>
      <c r="D394" t="s">
        <v>621</v>
      </c>
      <c r="E394" t="s">
        <v>42</v>
      </c>
      <c r="F394" s="11">
        <v>3571031726</v>
      </c>
      <c r="G394" s="18">
        <v>3.1222699999999999E-2</v>
      </c>
      <c r="H394" s="11">
        <v>39433895.427599996</v>
      </c>
      <c r="I394" s="22" t="str">
        <f>IFERROR(VLOOKUP(D394,'LEAID Match'!$A$2:$B$184,2,FALSE),"")</f>
        <v/>
      </c>
    </row>
    <row r="395" spans="1:9" x14ac:dyDescent="0.2">
      <c r="A395" t="str">
        <f t="shared" si="6"/>
        <v/>
      </c>
      <c r="B395" s="24">
        <v>2016</v>
      </c>
      <c r="C395" t="s">
        <v>100</v>
      </c>
      <c r="D395" t="s">
        <v>621</v>
      </c>
      <c r="E395" t="s">
        <v>621</v>
      </c>
      <c r="F395" s="11">
        <v>3350108608</v>
      </c>
      <c r="G395" s="18">
        <v>3.0936100000000001E-2</v>
      </c>
      <c r="H395" s="11">
        <v>39443620.308300003</v>
      </c>
      <c r="I395" s="22" t="str">
        <f>IFERROR(VLOOKUP(D395,'LEAID Match'!$A$2:$B$184,2,FALSE),"")</f>
        <v/>
      </c>
    </row>
    <row r="396" spans="1:9" x14ac:dyDescent="0.2">
      <c r="A396" t="str">
        <f t="shared" si="6"/>
        <v/>
      </c>
      <c r="B396" s="24">
        <v>2017</v>
      </c>
      <c r="C396" t="s">
        <v>100</v>
      </c>
      <c r="D396" t="s">
        <v>621</v>
      </c>
      <c r="E396" t="s">
        <v>42</v>
      </c>
      <c r="F396" s="11">
        <v>3481142087</v>
      </c>
      <c r="G396" s="18">
        <v>3.1198099999999999E-2</v>
      </c>
      <c r="H396" s="11">
        <v>44962514.531400003</v>
      </c>
      <c r="I396" s="22" t="str">
        <f>IFERROR(VLOOKUP(D396,'LEAID Match'!$A$2:$B$184,2,FALSE),"")</f>
        <v/>
      </c>
    </row>
    <row r="397" spans="1:9" x14ac:dyDescent="0.2">
      <c r="A397" t="str">
        <f t="shared" si="6"/>
        <v/>
      </c>
      <c r="B397" s="24">
        <v>2018</v>
      </c>
      <c r="C397" t="s">
        <v>100</v>
      </c>
      <c r="D397" t="s">
        <v>621</v>
      </c>
      <c r="E397" t="s">
        <v>923</v>
      </c>
      <c r="F397" s="11">
        <v>3689775663</v>
      </c>
      <c r="G397" s="18">
        <v>3.1751500000000002E-2</v>
      </c>
      <c r="H397" s="11">
        <v>50894511.101500005</v>
      </c>
      <c r="I397" s="22" t="str">
        <f>IFERROR(VLOOKUP(D397,'LEAID Match'!$A$2:$B$184,2,FALSE),"")</f>
        <v/>
      </c>
    </row>
    <row r="398" spans="1:9" x14ac:dyDescent="0.2">
      <c r="A398" t="str">
        <f t="shared" si="6"/>
        <v/>
      </c>
      <c r="B398" s="24">
        <v>2019</v>
      </c>
      <c r="C398" t="s">
        <v>100</v>
      </c>
      <c r="D398" t="s">
        <v>621</v>
      </c>
      <c r="E398" t="s">
        <v>621</v>
      </c>
      <c r="F398" s="11">
        <v>3826143257</v>
      </c>
      <c r="G398" s="18">
        <v>3.1757000000000001E-2</v>
      </c>
      <c r="H398" s="11">
        <v>60819291.522</v>
      </c>
      <c r="I398" s="22" t="str">
        <f>IFERROR(VLOOKUP(D398,'LEAID Match'!$A$2:$B$184,2,FALSE),"")</f>
        <v/>
      </c>
    </row>
    <row r="399" spans="1:9" x14ac:dyDescent="0.2">
      <c r="A399" t="str">
        <f t="shared" si="6"/>
        <v/>
      </c>
      <c r="B399" s="24">
        <v>2020</v>
      </c>
      <c r="C399" t="s">
        <v>100</v>
      </c>
      <c r="D399" t="s">
        <v>621</v>
      </c>
      <c r="E399" t="s">
        <v>621</v>
      </c>
      <c r="F399" s="11">
        <v>3891492474</v>
      </c>
      <c r="G399" s="18">
        <v>3.1415499999999999E-2</v>
      </c>
      <c r="H399" s="11">
        <v>64561208.662500001</v>
      </c>
      <c r="I399" s="22" t="str">
        <f>IFERROR(VLOOKUP(D399,'LEAID Match'!$A$2:$B$184,2,FALSE),"")</f>
        <v/>
      </c>
    </row>
    <row r="400" spans="1:9" x14ac:dyDescent="0.2">
      <c r="A400" t="str">
        <f t="shared" si="6"/>
        <v/>
      </c>
      <c r="B400" s="24">
        <v>2021</v>
      </c>
      <c r="C400" t="s">
        <v>100</v>
      </c>
      <c r="D400" t="s">
        <v>621</v>
      </c>
      <c r="E400" t="s">
        <v>621</v>
      </c>
      <c r="F400" s="11">
        <v>4108061151</v>
      </c>
      <c r="G400" s="18">
        <v>3.2825E-2</v>
      </c>
      <c r="H400" s="11">
        <v>77901996.900000006</v>
      </c>
      <c r="I400" s="22" t="str">
        <f>IFERROR(VLOOKUP(D400,'LEAID Match'!$A$2:$B$184,2,FALSE),"")</f>
        <v/>
      </c>
    </row>
    <row r="401" spans="1:9" x14ac:dyDescent="0.2">
      <c r="A401" t="str">
        <f t="shared" si="6"/>
        <v/>
      </c>
      <c r="B401" s="24">
        <v>2022</v>
      </c>
      <c r="C401" t="s">
        <v>100</v>
      </c>
      <c r="D401" t="s">
        <v>621</v>
      </c>
      <c r="E401" t="s">
        <v>621</v>
      </c>
      <c r="F401" s="11">
        <v>3951424659</v>
      </c>
      <c r="G401" s="18">
        <v>3.1330700000000003E-2</v>
      </c>
      <c r="H401" s="11">
        <v>86533701.542200014</v>
      </c>
      <c r="I401" s="22" t="str">
        <f>IFERROR(VLOOKUP(D401,'LEAID Match'!$A$2:$B$184,2,FALSE),"")</f>
        <v/>
      </c>
    </row>
    <row r="402" spans="1:9" x14ac:dyDescent="0.2">
      <c r="A402" t="str">
        <f t="shared" si="6"/>
        <v/>
      </c>
      <c r="B402" s="24">
        <v>2023</v>
      </c>
      <c r="C402" t="s">
        <v>100</v>
      </c>
      <c r="D402" t="s">
        <v>621</v>
      </c>
      <c r="E402" t="s">
        <v>621</v>
      </c>
      <c r="F402" s="11">
        <v>4396466939</v>
      </c>
      <c r="G402" s="18">
        <v>3.3080100000000001E-2</v>
      </c>
      <c r="H402" s="11">
        <v>100394696.24970001</v>
      </c>
      <c r="I402" s="22" t="str">
        <f>IFERROR(VLOOKUP(D402,'LEAID Match'!$A$2:$B$184,2,FALSE),"")</f>
        <v/>
      </c>
    </row>
    <row r="403" spans="1:9" x14ac:dyDescent="0.2">
      <c r="A403" t="str">
        <f t="shared" si="6"/>
        <v/>
      </c>
      <c r="B403" s="24">
        <v>2015</v>
      </c>
      <c r="C403" t="s">
        <v>101</v>
      </c>
      <c r="D403" t="s">
        <v>622</v>
      </c>
      <c r="E403" t="s">
        <v>43</v>
      </c>
      <c r="F403" s="11">
        <v>150561730</v>
      </c>
      <c r="G403" s="18">
        <v>1.3163999999999999E-3</v>
      </c>
      <c r="H403" s="11">
        <v>1662597.4031999998</v>
      </c>
      <c r="I403" s="22" t="str">
        <f>IFERROR(VLOOKUP(D403,'LEAID Match'!$A$2:$B$184,2,FALSE),"")</f>
        <v/>
      </c>
    </row>
    <row r="404" spans="1:9" x14ac:dyDescent="0.2">
      <c r="A404" t="str">
        <f t="shared" si="6"/>
        <v/>
      </c>
      <c r="B404" s="24">
        <v>2016</v>
      </c>
      <c r="C404" t="s">
        <v>101</v>
      </c>
      <c r="D404" t="s">
        <v>622</v>
      </c>
      <c r="E404" t="s">
        <v>622</v>
      </c>
      <c r="F404" s="11">
        <v>134111608</v>
      </c>
      <c r="G404" s="18">
        <v>1.2384E-3</v>
      </c>
      <c r="H404" s="11">
        <v>1578963.7152</v>
      </c>
      <c r="I404" s="22" t="str">
        <f>IFERROR(VLOOKUP(D404,'LEAID Match'!$A$2:$B$184,2,FALSE),"")</f>
        <v/>
      </c>
    </row>
    <row r="405" spans="1:9" x14ac:dyDescent="0.2">
      <c r="A405" t="str">
        <f t="shared" si="6"/>
        <v/>
      </c>
      <c r="B405" s="24">
        <v>2017</v>
      </c>
      <c r="C405" t="s">
        <v>101</v>
      </c>
      <c r="D405" t="s">
        <v>622</v>
      </c>
      <c r="E405" t="s">
        <v>622</v>
      </c>
      <c r="F405" s="11">
        <v>132762577</v>
      </c>
      <c r="G405" s="18">
        <v>1.1898E-3</v>
      </c>
      <c r="H405" s="11">
        <v>1714732.6211999999</v>
      </c>
      <c r="I405" s="22" t="str">
        <f>IFERROR(VLOOKUP(D405,'LEAID Match'!$A$2:$B$184,2,FALSE),"")</f>
        <v/>
      </c>
    </row>
    <row r="406" spans="1:9" x14ac:dyDescent="0.2">
      <c r="A406" t="str">
        <f t="shared" si="6"/>
        <v/>
      </c>
      <c r="B406" s="24">
        <v>2018</v>
      </c>
      <c r="C406" t="s">
        <v>101</v>
      </c>
      <c r="D406" t="s">
        <v>622</v>
      </c>
      <c r="E406" t="s">
        <v>622</v>
      </c>
      <c r="F406" s="11">
        <v>127304013</v>
      </c>
      <c r="G406" s="18">
        <v>1.0954999999999999E-3</v>
      </c>
      <c r="H406" s="11">
        <v>1755978.0454999998</v>
      </c>
      <c r="I406" s="22" t="str">
        <f>IFERROR(VLOOKUP(D406,'LEAID Match'!$A$2:$B$184,2,FALSE),"")</f>
        <v/>
      </c>
    </row>
    <row r="407" spans="1:9" x14ac:dyDescent="0.2">
      <c r="A407" t="str">
        <f t="shared" si="6"/>
        <v/>
      </c>
      <c r="B407" s="24">
        <v>2019</v>
      </c>
      <c r="C407" t="s">
        <v>101</v>
      </c>
      <c r="D407" t="s">
        <v>622</v>
      </c>
      <c r="E407" t="s">
        <v>622</v>
      </c>
      <c r="F407" s="11">
        <v>121869851</v>
      </c>
      <c r="G407" s="18">
        <v>1.0115E-3</v>
      </c>
      <c r="H407" s="11">
        <v>1937170.179</v>
      </c>
      <c r="I407" s="22" t="str">
        <f>IFERROR(VLOOKUP(D407,'LEAID Match'!$A$2:$B$184,2,FALSE),"")</f>
        <v/>
      </c>
    </row>
    <row r="408" spans="1:9" x14ac:dyDescent="0.2">
      <c r="A408" t="str">
        <f t="shared" si="6"/>
        <v/>
      </c>
      <c r="B408" s="24">
        <v>2020</v>
      </c>
      <c r="C408" t="s">
        <v>101</v>
      </c>
      <c r="D408" t="s">
        <v>622</v>
      </c>
      <c r="E408" t="s">
        <v>622</v>
      </c>
      <c r="F408" s="11">
        <v>129479124</v>
      </c>
      <c r="G408" s="18">
        <v>1.0453000000000001E-3</v>
      </c>
      <c r="H408" s="11">
        <v>2148169.8975</v>
      </c>
      <c r="I408" s="22" t="str">
        <f>IFERROR(VLOOKUP(D408,'LEAID Match'!$A$2:$B$184,2,FALSE),"")</f>
        <v/>
      </c>
    </row>
    <row r="409" spans="1:9" x14ac:dyDescent="0.2">
      <c r="A409" t="str">
        <f t="shared" si="6"/>
        <v/>
      </c>
      <c r="B409" s="24">
        <v>2021</v>
      </c>
      <c r="C409" t="s">
        <v>101</v>
      </c>
      <c r="D409" t="s">
        <v>622</v>
      </c>
      <c r="E409" t="s">
        <v>622</v>
      </c>
      <c r="F409" s="11">
        <v>148324801</v>
      </c>
      <c r="G409" s="18">
        <v>1.1852E-3</v>
      </c>
      <c r="H409" s="11">
        <v>2812778.2703999998</v>
      </c>
      <c r="I409" s="22" t="str">
        <f>IFERROR(VLOOKUP(D409,'LEAID Match'!$A$2:$B$184,2,FALSE),"")</f>
        <v/>
      </c>
    </row>
    <row r="410" spans="1:9" x14ac:dyDescent="0.2">
      <c r="A410" t="str">
        <f t="shared" si="6"/>
        <v/>
      </c>
      <c r="B410" s="24">
        <v>2022</v>
      </c>
      <c r="C410" t="s">
        <v>101</v>
      </c>
      <c r="D410" t="s">
        <v>622</v>
      </c>
      <c r="E410" t="s">
        <v>622</v>
      </c>
      <c r="F410" s="11">
        <v>159962110</v>
      </c>
      <c r="G410" s="18">
        <v>1.2683E-3</v>
      </c>
      <c r="H410" s="11">
        <v>3502976.1118000001</v>
      </c>
      <c r="I410" s="22" t="str">
        <f>IFERROR(VLOOKUP(D410,'LEAID Match'!$A$2:$B$184,2,FALSE),"")</f>
        <v/>
      </c>
    </row>
    <row r="411" spans="1:9" x14ac:dyDescent="0.2">
      <c r="A411" t="str">
        <f t="shared" si="6"/>
        <v/>
      </c>
      <c r="B411" s="24">
        <v>2023</v>
      </c>
      <c r="C411" t="s">
        <v>101</v>
      </c>
      <c r="D411" t="s">
        <v>622</v>
      </c>
      <c r="E411" t="s">
        <v>622</v>
      </c>
      <c r="F411" s="11">
        <v>154761694</v>
      </c>
      <c r="G411" s="18">
        <v>1.1645E-3</v>
      </c>
      <c r="H411" s="11">
        <v>3534137.5564999999</v>
      </c>
      <c r="I411" s="22" t="str">
        <f>IFERROR(VLOOKUP(D411,'LEAID Match'!$A$2:$B$184,2,FALSE),"")</f>
        <v/>
      </c>
    </row>
    <row r="412" spans="1:9" x14ac:dyDescent="0.2">
      <c r="A412" t="str">
        <f t="shared" si="6"/>
        <v/>
      </c>
      <c r="B412" s="24">
        <v>2016</v>
      </c>
      <c r="C412" t="s">
        <v>633</v>
      </c>
      <c r="D412" t="s">
        <v>623</v>
      </c>
      <c r="E412" t="s">
        <v>623</v>
      </c>
      <c r="F412" s="11">
        <v>12411484</v>
      </c>
      <c r="G412" s="18">
        <v>1.1459999999999999E-4</v>
      </c>
      <c r="H412" s="11">
        <v>146115.3438</v>
      </c>
      <c r="I412" s="22" t="str">
        <f>IFERROR(VLOOKUP(D412,'LEAID Match'!$A$2:$B$184,2,FALSE),"")</f>
        <v/>
      </c>
    </row>
    <row r="413" spans="1:9" x14ac:dyDescent="0.2">
      <c r="A413" t="str">
        <f t="shared" si="6"/>
        <v/>
      </c>
      <c r="B413" s="24">
        <v>2017</v>
      </c>
      <c r="C413" t="s">
        <v>633</v>
      </c>
      <c r="D413" t="s">
        <v>623</v>
      </c>
      <c r="E413" t="s">
        <v>623</v>
      </c>
      <c r="F413" s="11">
        <v>15117702</v>
      </c>
      <c r="G413" s="18">
        <v>1.3549999999999999E-4</v>
      </c>
      <c r="H413" s="11">
        <v>195281.78699999998</v>
      </c>
      <c r="I413" s="22" t="str">
        <f>IFERROR(VLOOKUP(D413,'LEAID Match'!$A$2:$B$184,2,FALSE),"")</f>
        <v/>
      </c>
    </row>
    <row r="414" spans="1:9" x14ac:dyDescent="0.2">
      <c r="A414" t="str">
        <f t="shared" si="6"/>
        <v/>
      </c>
      <c r="B414" s="24">
        <v>2018</v>
      </c>
      <c r="C414" t="s">
        <v>633</v>
      </c>
      <c r="D414" t="s">
        <v>623</v>
      </c>
      <c r="E414" t="s">
        <v>623</v>
      </c>
      <c r="F414" s="11">
        <v>15523647</v>
      </c>
      <c r="G414" s="18">
        <v>1.3359999999999999E-4</v>
      </c>
      <c r="H414" s="11">
        <v>214147.5736</v>
      </c>
      <c r="I414" s="22" t="str">
        <f>IFERROR(VLOOKUP(D414,'LEAID Match'!$A$2:$B$184,2,FALSE),"")</f>
        <v/>
      </c>
    </row>
    <row r="415" spans="1:9" x14ac:dyDescent="0.2">
      <c r="A415" t="str">
        <f t="shared" si="6"/>
        <v/>
      </c>
      <c r="B415" s="24">
        <v>2019</v>
      </c>
      <c r="C415" t="s">
        <v>633</v>
      </c>
      <c r="D415" t="s">
        <v>623</v>
      </c>
      <c r="E415" t="s">
        <v>623</v>
      </c>
      <c r="F415" s="11">
        <v>15767351</v>
      </c>
      <c r="G415" s="18">
        <v>1.3090000000000001E-4</v>
      </c>
      <c r="H415" s="11">
        <v>250692.61140000002</v>
      </c>
      <c r="I415" s="22" t="str">
        <f>IFERROR(VLOOKUP(D415,'LEAID Match'!$A$2:$B$184,2,FALSE),"")</f>
        <v/>
      </c>
    </row>
    <row r="416" spans="1:9" x14ac:dyDescent="0.2">
      <c r="A416" t="str">
        <f t="shared" si="6"/>
        <v/>
      </c>
      <c r="B416" s="24">
        <v>2020</v>
      </c>
      <c r="C416" t="s">
        <v>633</v>
      </c>
      <c r="D416" t="s">
        <v>623</v>
      </c>
      <c r="E416" t="s">
        <v>623</v>
      </c>
      <c r="F416" s="11">
        <v>14432217</v>
      </c>
      <c r="G416" s="18">
        <v>1.165E-4</v>
      </c>
      <c r="H416" s="11">
        <v>239416.23749999999</v>
      </c>
      <c r="I416" s="22" t="str">
        <f>IFERROR(VLOOKUP(D416,'LEAID Match'!$A$2:$B$184,2,FALSE),"")</f>
        <v/>
      </c>
    </row>
    <row r="417" spans="1:9" x14ac:dyDescent="0.2">
      <c r="A417" t="str">
        <f t="shared" si="6"/>
        <v/>
      </c>
      <c r="B417" s="24">
        <v>2021</v>
      </c>
      <c r="C417" t="s">
        <v>633</v>
      </c>
      <c r="D417" t="s">
        <v>623</v>
      </c>
      <c r="E417" t="s">
        <v>623</v>
      </c>
      <c r="F417" s="11">
        <v>16973594</v>
      </c>
      <c r="G417" s="18">
        <v>1.3559999999999999E-4</v>
      </c>
      <c r="H417" s="11">
        <v>321812.97119999997</v>
      </c>
      <c r="I417" s="22" t="str">
        <f>IFERROR(VLOOKUP(D417,'LEAID Match'!$A$2:$B$184,2,FALSE),"")</f>
        <v/>
      </c>
    </row>
    <row r="418" spans="1:9" x14ac:dyDescent="0.2">
      <c r="A418" t="str">
        <f t="shared" si="6"/>
        <v/>
      </c>
      <c r="B418" s="24">
        <v>2022</v>
      </c>
      <c r="C418" t="s">
        <v>633</v>
      </c>
      <c r="D418" t="s">
        <v>623</v>
      </c>
      <c r="E418" t="s">
        <v>623</v>
      </c>
      <c r="F418" s="11">
        <v>20006691</v>
      </c>
      <c r="G418" s="18">
        <v>1.5860000000000001E-4</v>
      </c>
      <c r="H418" s="11">
        <v>438044.63560000004</v>
      </c>
      <c r="I418" s="22" t="str">
        <f>IFERROR(VLOOKUP(D418,'LEAID Match'!$A$2:$B$184,2,FALSE),"")</f>
        <v/>
      </c>
    </row>
    <row r="419" spans="1:9" x14ac:dyDescent="0.2">
      <c r="A419" t="str">
        <f t="shared" si="6"/>
        <v/>
      </c>
      <c r="B419" s="24">
        <v>2023</v>
      </c>
      <c r="C419" t="s">
        <v>633</v>
      </c>
      <c r="D419" t="s">
        <v>623</v>
      </c>
      <c r="E419" t="s">
        <v>623</v>
      </c>
      <c r="F419" s="11">
        <v>22824435</v>
      </c>
      <c r="G419" s="18">
        <v>1.717E-4</v>
      </c>
      <c r="H419" s="11">
        <v>521091.8149</v>
      </c>
      <c r="I419" s="22" t="str">
        <f>IFERROR(VLOOKUP(D419,'LEAID Match'!$A$2:$B$184,2,FALSE),"")</f>
        <v/>
      </c>
    </row>
    <row r="420" spans="1:9" x14ac:dyDescent="0.2">
      <c r="A420" t="str">
        <f t="shared" si="6"/>
        <v/>
      </c>
      <c r="B420" s="24">
        <v>2015</v>
      </c>
      <c r="C420" t="s">
        <v>102</v>
      </c>
      <c r="D420" t="s">
        <v>624</v>
      </c>
      <c r="E420" t="s">
        <v>44</v>
      </c>
      <c r="F420" s="11">
        <v>4085677718</v>
      </c>
      <c r="G420" s="18">
        <v>3.5722400000000001E-2</v>
      </c>
      <c r="H420" s="11">
        <v>45116962.531199999</v>
      </c>
      <c r="I420" s="22" t="str">
        <f>IFERROR(VLOOKUP(D420,'LEAID Match'!$A$2:$B$184,2,FALSE),"")</f>
        <v/>
      </c>
    </row>
    <row r="421" spans="1:9" x14ac:dyDescent="0.2">
      <c r="A421" t="str">
        <f t="shared" si="6"/>
        <v/>
      </c>
      <c r="B421" s="24">
        <v>2016</v>
      </c>
      <c r="C421" t="s">
        <v>102</v>
      </c>
      <c r="D421" t="s">
        <v>624</v>
      </c>
      <c r="E421" t="s">
        <v>624</v>
      </c>
      <c r="F421" s="11">
        <v>3821260734</v>
      </c>
      <c r="G421" s="18">
        <v>3.5286900000000003E-2</v>
      </c>
      <c r="H421" s="11">
        <v>44990903.360700004</v>
      </c>
      <c r="I421" s="22" t="str">
        <f>IFERROR(VLOOKUP(D421,'LEAID Match'!$A$2:$B$184,2,FALSE),"")</f>
        <v/>
      </c>
    </row>
    <row r="422" spans="1:9" x14ac:dyDescent="0.2">
      <c r="A422" t="str">
        <f t="shared" si="6"/>
        <v/>
      </c>
      <c r="B422" s="24">
        <v>2017</v>
      </c>
      <c r="C422" t="s">
        <v>102</v>
      </c>
      <c r="D422" t="s">
        <v>624</v>
      </c>
      <c r="E422" t="s">
        <v>624</v>
      </c>
      <c r="F422" s="11">
        <v>4048453011</v>
      </c>
      <c r="G422" s="18">
        <v>3.6282500000000002E-2</v>
      </c>
      <c r="H422" s="11">
        <v>52290121.305</v>
      </c>
      <c r="I422" s="22" t="str">
        <f>IFERROR(VLOOKUP(D422,'LEAID Match'!$A$2:$B$184,2,FALSE),"")</f>
        <v/>
      </c>
    </row>
    <row r="423" spans="1:9" x14ac:dyDescent="0.2">
      <c r="A423" t="str">
        <f t="shared" si="6"/>
        <v/>
      </c>
      <c r="B423" s="24">
        <v>2018</v>
      </c>
      <c r="C423" t="s">
        <v>102</v>
      </c>
      <c r="D423" t="s">
        <v>624</v>
      </c>
      <c r="E423" t="s">
        <v>624</v>
      </c>
      <c r="F423" s="11">
        <v>4226168327</v>
      </c>
      <c r="G423" s="18">
        <v>3.6367299999999998E-2</v>
      </c>
      <c r="H423" s="11">
        <v>58293181.537299998</v>
      </c>
      <c r="I423" s="22" t="str">
        <f>IFERROR(VLOOKUP(D423,'LEAID Match'!$A$2:$B$184,2,FALSE),"")</f>
        <v/>
      </c>
    </row>
    <row r="424" spans="1:9" x14ac:dyDescent="0.2">
      <c r="A424" t="str">
        <f t="shared" si="6"/>
        <v/>
      </c>
      <c r="B424" s="24">
        <v>2019</v>
      </c>
      <c r="C424" t="s">
        <v>102</v>
      </c>
      <c r="D424" t="s">
        <v>624</v>
      </c>
      <c r="E424" t="s">
        <v>624</v>
      </c>
      <c r="F424" s="11">
        <v>4422893751</v>
      </c>
      <c r="G424" s="18">
        <v>3.6710100000000002E-2</v>
      </c>
      <c r="H424" s="11">
        <v>70305201.174600005</v>
      </c>
      <c r="I424" s="22" t="str">
        <f>IFERROR(VLOOKUP(D424,'LEAID Match'!$A$2:$B$184,2,FALSE),"")</f>
        <v/>
      </c>
    </row>
    <row r="425" spans="1:9" x14ac:dyDescent="0.2">
      <c r="A425" t="str">
        <f t="shared" si="6"/>
        <v/>
      </c>
      <c r="B425" s="24">
        <v>2020</v>
      </c>
      <c r="C425" t="s">
        <v>102</v>
      </c>
      <c r="D425" t="s">
        <v>624</v>
      </c>
      <c r="E425" t="s">
        <v>624</v>
      </c>
      <c r="F425" s="11">
        <v>4697493368</v>
      </c>
      <c r="G425" s="18">
        <v>3.7922299999999999E-2</v>
      </c>
      <c r="H425" s="11">
        <v>77933170.672499999</v>
      </c>
      <c r="I425" s="22" t="str">
        <f>IFERROR(VLOOKUP(D425,'LEAID Match'!$A$2:$B$184,2,FALSE),"")</f>
        <v/>
      </c>
    </row>
    <row r="426" spans="1:9" x14ac:dyDescent="0.2">
      <c r="A426" t="str">
        <f t="shared" si="6"/>
        <v/>
      </c>
      <c r="B426" s="24">
        <v>2021</v>
      </c>
      <c r="C426" t="s">
        <v>102</v>
      </c>
      <c r="D426" t="s">
        <v>624</v>
      </c>
      <c r="E426" t="s">
        <v>624</v>
      </c>
      <c r="F426" s="11">
        <v>4835329851</v>
      </c>
      <c r="G426" s="18">
        <v>3.8636200000000002E-2</v>
      </c>
      <c r="H426" s="11">
        <v>91693438.922400013</v>
      </c>
      <c r="I426" s="22" t="str">
        <f>IFERROR(VLOOKUP(D426,'LEAID Match'!$A$2:$B$184,2,FALSE),"")</f>
        <v/>
      </c>
    </row>
    <row r="427" spans="1:9" x14ac:dyDescent="0.2">
      <c r="A427" t="str">
        <f t="shared" si="6"/>
        <v/>
      </c>
      <c r="B427" s="24">
        <v>2022</v>
      </c>
      <c r="C427" t="s">
        <v>102</v>
      </c>
      <c r="D427" t="s">
        <v>624</v>
      </c>
      <c r="E427" t="s">
        <v>624</v>
      </c>
      <c r="F427" s="11">
        <v>5004284782</v>
      </c>
      <c r="G427" s="18">
        <v>3.96788E-2</v>
      </c>
      <c r="H427" s="11">
        <v>109590702.9448</v>
      </c>
      <c r="I427" s="22" t="str">
        <f>IFERROR(VLOOKUP(D427,'LEAID Match'!$A$2:$B$184,2,FALSE),"")</f>
        <v/>
      </c>
    </row>
    <row r="428" spans="1:9" x14ac:dyDescent="0.2">
      <c r="A428" t="str">
        <f t="shared" si="6"/>
        <v/>
      </c>
      <c r="B428" s="24">
        <v>2023</v>
      </c>
      <c r="C428" t="s">
        <v>102</v>
      </c>
      <c r="D428" t="s">
        <v>624</v>
      </c>
      <c r="E428" t="s">
        <v>624</v>
      </c>
      <c r="F428" s="11">
        <v>5316320168</v>
      </c>
      <c r="G428" s="18">
        <v>4.0001399999999999E-2</v>
      </c>
      <c r="H428" s="11">
        <v>121400128.8558</v>
      </c>
      <c r="I428" s="22" t="str">
        <f>IFERROR(VLOOKUP(D428,'LEAID Match'!$A$2:$B$184,2,FALSE),"")</f>
        <v/>
      </c>
    </row>
    <row r="429" spans="1:9" x14ac:dyDescent="0.2">
      <c r="A429" t="str">
        <f t="shared" si="6"/>
        <v/>
      </c>
      <c r="B429" s="24">
        <v>2015</v>
      </c>
      <c r="C429" t="s">
        <v>103</v>
      </c>
      <c r="D429" t="s">
        <v>625</v>
      </c>
      <c r="E429" t="s">
        <v>45</v>
      </c>
      <c r="F429" s="11">
        <v>19462933</v>
      </c>
      <c r="G429" s="18">
        <v>1.7019999999999999E-4</v>
      </c>
      <c r="H429" s="11">
        <v>214960.5576</v>
      </c>
      <c r="I429" s="22" t="str">
        <f>IFERROR(VLOOKUP(D429,'LEAID Match'!$A$2:$B$184,2,FALSE),"")</f>
        <v/>
      </c>
    </row>
    <row r="430" spans="1:9" x14ac:dyDescent="0.2">
      <c r="A430" t="str">
        <f t="shared" si="6"/>
        <v/>
      </c>
      <c r="B430" s="24">
        <v>2016</v>
      </c>
      <c r="C430" t="s">
        <v>103</v>
      </c>
      <c r="D430" t="s">
        <v>625</v>
      </c>
      <c r="E430" t="s">
        <v>625</v>
      </c>
      <c r="F430" s="11">
        <v>20525716</v>
      </c>
      <c r="G430" s="18">
        <v>1.895E-4</v>
      </c>
      <c r="H430" s="11">
        <v>241613.06849999999</v>
      </c>
      <c r="I430" s="22" t="str">
        <f>IFERROR(VLOOKUP(D430,'LEAID Match'!$A$2:$B$184,2,FALSE),"")</f>
        <v/>
      </c>
    </row>
    <row r="431" spans="1:9" x14ac:dyDescent="0.2">
      <c r="A431" t="str">
        <f t="shared" si="6"/>
        <v/>
      </c>
      <c r="B431" s="24">
        <v>2017</v>
      </c>
      <c r="C431" t="s">
        <v>103</v>
      </c>
      <c r="D431" t="s">
        <v>625</v>
      </c>
      <c r="E431" t="s">
        <v>625</v>
      </c>
      <c r="F431" s="11">
        <v>20057750</v>
      </c>
      <c r="G431" s="18">
        <v>1.7980000000000001E-4</v>
      </c>
      <c r="H431" s="11">
        <v>259126.68120000002</v>
      </c>
      <c r="I431" s="22" t="str">
        <f>IFERROR(VLOOKUP(D431,'LEAID Match'!$A$2:$B$184,2,FALSE),"")</f>
        <v/>
      </c>
    </row>
    <row r="432" spans="1:9" x14ac:dyDescent="0.2">
      <c r="A432" t="str">
        <f t="shared" si="6"/>
        <v/>
      </c>
      <c r="B432" s="24">
        <v>2018</v>
      </c>
      <c r="C432" t="s">
        <v>103</v>
      </c>
      <c r="D432" t="s">
        <v>625</v>
      </c>
      <c r="E432" t="s">
        <v>625</v>
      </c>
      <c r="F432" s="11">
        <v>19552527</v>
      </c>
      <c r="G432" s="18">
        <v>1.683E-4</v>
      </c>
      <c r="H432" s="11">
        <v>269768.23829999997</v>
      </c>
      <c r="I432" s="22" t="str">
        <f>IFERROR(VLOOKUP(D432,'LEAID Match'!$A$2:$B$184,2,FALSE),"")</f>
        <v/>
      </c>
    </row>
    <row r="433" spans="1:9" x14ac:dyDescent="0.2">
      <c r="A433" t="str">
        <f t="shared" si="6"/>
        <v/>
      </c>
      <c r="B433" s="24">
        <v>2019</v>
      </c>
      <c r="C433" t="s">
        <v>103</v>
      </c>
      <c r="D433" t="s">
        <v>625</v>
      </c>
      <c r="E433" t="s">
        <v>625</v>
      </c>
      <c r="F433" s="11">
        <v>20211050</v>
      </c>
      <c r="G433" s="18">
        <v>1.6780000000000001E-4</v>
      </c>
      <c r="H433" s="11">
        <v>321361.4988</v>
      </c>
      <c r="I433" s="22" t="str">
        <f>IFERROR(VLOOKUP(D433,'LEAID Match'!$A$2:$B$184,2,FALSE),"")</f>
        <v/>
      </c>
    </row>
    <row r="434" spans="1:9" x14ac:dyDescent="0.2">
      <c r="A434" t="str">
        <f t="shared" si="6"/>
        <v/>
      </c>
      <c r="B434" s="24">
        <v>2020</v>
      </c>
      <c r="C434" t="s">
        <v>103</v>
      </c>
      <c r="D434" t="s">
        <v>625</v>
      </c>
      <c r="E434" t="s">
        <v>625</v>
      </c>
      <c r="F434" s="11">
        <v>20426890</v>
      </c>
      <c r="G434" s="18">
        <v>1.649E-4</v>
      </c>
      <c r="H434" s="11">
        <v>338881.86749999999</v>
      </c>
      <c r="I434" s="22" t="str">
        <f>IFERROR(VLOOKUP(D434,'LEAID Match'!$A$2:$B$184,2,FALSE),"")</f>
        <v/>
      </c>
    </row>
    <row r="435" spans="1:9" x14ac:dyDescent="0.2">
      <c r="A435" t="str">
        <f t="shared" si="6"/>
        <v/>
      </c>
      <c r="B435" s="24">
        <v>2021</v>
      </c>
      <c r="C435" t="s">
        <v>103</v>
      </c>
      <c r="D435" t="s">
        <v>625</v>
      </c>
      <c r="E435" t="s">
        <v>625</v>
      </c>
      <c r="F435" s="11">
        <v>21395690</v>
      </c>
      <c r="G435" s="18">
        <v>1.7100000000000001E-4</v>
      </c>
      <c r="H435" s="11">
        <v>405826.092</v>
      </c>
      <c r="I435" s="22" t="str">
        <f>IFERROR(VLOOKUP(D435,'LEAID Match'!$A$2:$B$184,2,FALSE),"")</f>
        <v/>
      </c>
    </row>
    <row r="436" spans="1:9" x14ac:dyDescent="0.2">
      <c r="A436" t="str">
        <f t="shared" si="6"/>
        <v/>
      </c>
      <c r="B436" s="24">
        <v>2022</v>
      </c>
      <c r="C436" t="s">
        <v>103</v>
      </c>
      <c r="D436" t="s">
        <v>625</v>
      </c>
      <c r="E436" t="s">
        <v>625</v>
      </c>
      <c r="F436" s="11">
        <v>22805655</v>
      </c>
      <c r="G436" s="18">
        <v>1.808E-4</v>
      </c>
      <c r="H436" s="11">
        <v>499359.83679999999</v>
      </c>
      <c r="I436" s="22" t="str">
        <f>IFERROR(VLOOKUP(D436,'LEAID Match'!$A$2:$B$184,2,FALSE),"")</f>
        <v/>
      </c>
    </row>
    <row r="437" spans="1:9" x14ac:dyDescent="0.2">
      <c r="A437" t="str">
        <f t="shared" si="6"/>
        <v/>
      </c>
      <c r="B437" s="24">
        <v>2023</v>
      </c>
      <c r="C437" t="s">
        <v>103</v>
      </c>
      <c r="D437" t="s">
        <v>625</v>
      </c>
      <c r="E437" t="s">
        <v>625</v>
      </c>
      <c r="F437" s="11">
        <v>23830987</v>
      </c>
      <c r="G437" s="18">
        <v>1.7929999999999999E-4</v>
      </c>
      <c r="H437" s="11">
        <v>544157.03209999995</v>
      </c>
      <c r="I437" s="22" t="str">
        <f>IFERROR(VLOOKUP(D437,'LEAID Match'!$A$2:$B$184,2,FALSE),"")</f>
        <v/>
      </c>
    </row>
    <row r="438" spans="1:9" x14ac:dyDescent="0.2">
      <c r="A438" t="str">
        <f t="shared" si="6"/>
        <v/>
      </c>
      <c r="B438" s="24">
        <v>2015</v>
      </c>
      <c r="C438" t="s">
        <v>104</v>
      </c>
      <c r="D438" t="s">
        <v>626</v>
      </c>
      <c r="E438" t="s">
        <v>46</v>
      </c>
      <c r="F438" s="11">
        <v>342692469</v>
      </c>
      <c r="G438" s="18">
        <v>2.9962999999999999E-3</v>
      </c>
      <c r="H438" s="11">
        <v>3784290.9443999999</v>
      </c>
      <c r="I438" s="22" t="str">
        <f>IFERROR(VLOOKUP(D438,'LEAID Match'!$A$2:$B$184,2,FALSE),"")</f>
        <v/>
      </c>
    </row>
    <row r="439" spans="1:9" x14ac:dyDescent="0.2">
      <c r="A439" t="str">
        <f t="shared" si="6"/>
        <v/>
      </c>
      <c r="B439" s="24">
        <v>2016</v>
      </c>
      <c r="C439" t="s">
        <v>104</v>
      </c>
      <c r="D439" t="s">
        <v>626</v>
      </c>
      <c r="E439" t="s">
        <v>626</v>
      </c>
      <c r="F439" s="11">
        <v>328381892</v>
      </c>
      <c r="G439" s="18">
        <v>3.0324000000000002E-3</v>
      </c>
      <c r="H439" s="11">
        <v>3866319.0972000002</v>
      </c>
      <c r="I439" s="22" t="str">
        <f>IFERROR(VLOOKUP(D439,'LEAID Match'!$A$2:$B$184,2,FALSE),"")</f>
        <v/>
      </c>
    </row>
    <row r="440" spans="1:9" x14ac:dyDescent="0.2">
      <c r="A440" t="str">
        <f t="shared" si="6"/>
        <v/>
      </c>
      <c r="B440" s="24">
        <v>2017</v>
      </c>
      <c r="C440" t="s">
        <v>104</v>
      </c>
      <c r="D440" t="s">
        <v>626</v>
      </c>
      <c r="E440" t="s">
        <v>626</v>
      </c>
      <c r="F440" s="11">
        <v>348613025</v>
      </c>
      <c r="G440" s="18">
        <v>3.1243E-3</v>
      </c>
      <c r="H440" s="11">
        <v>4502722.4141999995</v>
      </c>
      <c r="I440" s="22" t="str">
        <f>IFERROR(VLOOKUP(D440,'LEAID Match'!$A$2:$B$184,2,FALSE),"")</f>
        <v/>
      </c>
    </row>
    <row r="441" spans="1:9" x14ac:dyDescent="0.2">
      <c r="A441" t="str">
        <f t="shared" si="6"/>
        <v/>
      </c>
      <c r="B441" s="24">
        <v>2018</v>
      </c>
      <c r="C441" t="s">
        <v>104</v>
      </c>
      <c r="D441" t="s">
        <v>626</v>
      </c>
      <c r="E441" t="s">
        <v>626</v>
      </c>
      <c r="F441" s="11">
        <v>368118319</v>
      </c>
      <c r="G441" s="18">
        <v>3.1678000000000001E-3</v>
      </c>
      <c r="H441" s="11">
        <v>5077669.7878</v>
      </c>
      <c r="I441" s="22" t="str">
        <f>IFERROR(VLOOKUP(D441,'LEAID Match'!$A$2:$B$184,2,FALSE),"")</f>
        <v/>
      </c>
    </row>
    <row r="442" spans="1:9" x14ac:dyDescent="0.2">
      <c r="A442" t="str">
        <f t="shared" si="6"/>
        <v/>
      </c>
      <c r="B442" s="24">
        <v>2019</v>
      </c>
      <c r="C442" t="s">
        <v>104</v>
      </c>
      <c r="D442" t="s">
        <v>626</v>
      </c>
      <c r="E442" t="s">
        <v>626</v>
      </c>
      <c r="F442" s="11">
        <v>389331570</v>
      </c>
      <c r="G442" s="18">
        <v>3.2315E-3</v>
      </c>
      <c r="H442" s="11">
        <v>6188794.2989999996</v>
      </c>
      <c r="I442" s="22" t="str">
        <f>IFERROR(VLOOKUP(D442,'LEAID Match'!$A$2:$B$184,2,FALSE),"")</f>
        <v/>
      </c>
    </row>
    <row r="443" spans="1:9" x14ac:dyDescent="0.2">
      <c r="A443" t="str">
        <f t="shared" si="6"/>
        <v/>
      </c>
      <c r="B443" s="24">
        <v>2020</v>
      </c>
      <c r="C443" t="s">
        <v>104</v>
      </c>
      <c r="D443" t="s">
        <v>626</v>
      </c>
      <c r="E443" t="s">
        <v>626</v>
      </c>
      <c r="F443" s="11">
        <v>413507027</v>
      </c>
      <c r="G443" s="18">
        <v>3.3381999999999999E-3</v>
      </c>
      <c r="H443" s="11">
        <v>6860251.3650000002</v>
      </c>
      <c r="I443" s="22" t="str">
        <f>IFERROR(VLOOKUP(D443,'LEAID Match'!$A$2:$B$184,2,FALSE),"")</f>
        <v/>
      </c>
    </row>
    <row r="444" spans="1:9" x14ac:dyDescent="0.2">
      <c r="A444" t="str">
        <f t="shared" si="6"/>
        <v/>
      </c>
      <c r="B444" s="24">
        <v>2021</v>
      </c>
      <c r="C444" t="s">
        <v>104</v>
      </c>
      <c r="D444" t="s">
        <v>626</v>
      </c>
      <c r="E444" t="s">
        <v>626</v>
      </c>
      <c r="F444" s="11">
        <v>426601518</v>
      </c>
      <c r="G444" s="18">
        <v>3.4087000000000002E-3</v>
      </c>
      <c r="H444" s="11">
        <v>8089704.0924000004</v>
      </c>
      <c r="I444" s="22" t="str">
        <f>IFERROR(VLOOKUP(D444,'LEAID Match'!$A$2:$B$184,2,FALSE),"")</f>
        <v/>
      </c>
    </row>
    <row r="445" spans="1:9" x14ac:dyDescent="0.2">
      <c r="A445" t="str">
        <f t="shared" si="6"/>
        <v/>
      </c>
      <c r="B445" s="24">
        <v>2022</v>
      </c>
      <c r="C445" t="s">
        <v>104</v>
      </c>
      <c r="D445" t="s">
        <v>626</v>
      </c>
      <c r="E445" t="s">
        <v>626</v>
      </c>
      <c r="F445" s="11">
        <v>425895399</v>
      </c>
      <c r="G445" s="18">
        <v>3.3769E-3</v>
      </c>
      <c r="H445" s="11">
        <v>9326815.4473999999</v>
      </c>
      <c r="I445" s="22" t="str">
        <f>IFERROR(VLOOKUP(D445,'LEAID Match'!$A$2:$B$184,2,FALSE),"")</f>
        <v/>
      </c>
    </row>
    <row r="446" spans="1:9" x14ac:dyDescent="0.2">
      <c r="A446" t="str">
        <f t="shared" si="6"/>
        <v/>
      </c>
      <c r="B446" s="24">
        <v>2023</v>
      </c>
      <c r="C446" t="s">
        <v>104</v>
      </c>
      <c r="D446" t="s">
        <v>626</v>
      </c>
      <c r="E446" t="s">
        <v>626</v>
      </c>
      <c r="F446" s="11">
        <v>474589876</v>
      </c>
      <c r="G446" s="18">
        <v>3.5709000000000001E-3</v>
      </c>
      <c r="H446" s="11">
        <v>10837313.6973</v>
      </c>
      <c r="I446" s="22" t="str">
        <f>IFERROR(VLOOKUP(D446,'LEAID Match'!$A$2:$B$184,2,FALSE),"")</f>
        <v/>
      </c>
    </row>
    <row r="447" spans="1:9" x14ac:dyDescent="0.2">
      <c r="A447" t="str">
        <f t="shared" si="6"/>
        <v/>
      </c>
      <c r="B447" s="24">
        <v>2015</v>
      </c>
      <c r="C447" t="s">
        <v>105</v>
      </c>
      <c r="D447" t="s">
        <v>627</v>
      </c>
      <c r="E447" t="s">
        <v>47</v>
      </c>
      <c r="F447" s="11">
        <v>274386395</v>
      </c>
      <c r="G447" s="18">
        <v>2.3990999999999999E-3</v>
      </c>
      <c r="H447" s="11">
        <v>3030034.5107999998</v>
      </c>
      <c r="I447" s="22" t="str">
        <f>IFERROR(VLOOKUP(D447,'LEAID Match'!$A$2:$B$184,2,FALSE),"")</f>
        <v/>
      </c>
    </row>
    <row r="448" spans="1:9" x14ac:dyDescent="0.2">
      <c r="A448" t="str">
        <f t="shared" si="6"/>
        <v/>
      </c>
      <c r="B448" s="24">
        <v>2016</v>
      </c>
      <c r="C448" t="s">
        <v>105</v>
      </c>
      <c r="D448" t="s">
        <v>627</v>
      </c>
      <c r="E448" t="s">
        <v>627</v>
      </c>
      <c r="F448" s="11">
        <v>250719579</v>
      </c>
      <c r="G448" s="18">
        <v>2.3151999999999999E-3</v>
      </c>
      <c r="H448" s="11">
        <v>2951886.9455999997</v>
      </c>
      <c r="I448" s="22" t="str">
        <f>IFERROR(VLOOKUP(D448,'LEAID Match'!$A$2:$B$184,2,FALSE),"")</f>
        <v/>
      </c>
    </row>
    <row r="449" spans="1:9" x14ac:dyDescent="0.2">
      <c r="A449" t="str">
        <f t="shared" si="6"/>
        <v/>
      </c>
      <c r="B449" s="24">
        <v>2017</v>
      </c>
      <c r="C449" t="s">
        <v>105</v>
      </c>
      <c r="D449" t="s">
        <v>627</v>
      </c>
      <c r="E449" t="s">
        <v>627</v>
      </c>
      <c r="F449" s="11">
        <v>248372912</v>
      </c>
      <c r="G449" s="18">
        <v>2.2258999999999998E-3</v>
      </c>
      <c r="H449" s="11">
        <v>3207953.7245999998</v>
      </c>
      <c r="I449" s="22" t="str">
        <f>IFERROR(VLOOKUP(D449,'LEAID Match'!$A$2:$B$184,2,FALSE),"")</f>
        <v/>
      </c>
    </row>
    <row r="450" spans="1:9" x14ac:dyDescent="0.2">
      <c r="A450" t="str">
        <f t="shared" si="6"/>
        <v/>
      </c>
      <c r="B450" s="24">
        <v>2018</v>
      </c>
      <c r="C450" t="s">
        <v>105</v>
      </c>
      <c r="D450" t="s">
        <v>627</v>
      </c>
      <c r="E450" t="s">
        <v>627</v>
      </c>
      <c r="F450" s="11">
        <v>262910912</v>
      </c>
      <c r="G450" s="18">
        <v>2.2623999999999999E-3</v>
      </c>
      <c r="H450" s="11">
        <v>3626403.2223999999</v>
      </c>
      <c r="I450" s="22" t="str">
        <f>IFERROR(VLOOKUP(D450,'LEAID Match'!$A$2:$B$184,2,FALSE),"")</f>
        <v/>
      </c>
    </row>
    <row r="451" spans="1:9" x14ac:dyDescent="0.2">
      <c r="A451" t="str">
        <f t="shared" ref="A451:A514" si="7">I451</f>
        <v/>
      </c>
      <c r="B451" s="24">
        <v>2019</v>
      </c>
      <c r="C451" t="s">
        <v>105</v>
      </c>
      <c r="D451" t="s">
        <v>627</v>
      </c>
      <c r="E451" t="s">
        <v>627</v>
      </c>
      <c r="F451" s="11">
        <v>250758496</v>
      </c>
      <c r="G451" s="18">
        <v>2.0812999999999999E-3</v>
      </c>
      <c r="H451" s="11">
        <v>3985993.3698</v>
      </c>
      <c r="I451" s="22" t="str">
        <f>IFERROR(VLOOKUP(D451,'LEAID Match'!$A$2:$B$184,2,FALSE),"")</f>
        <v/>
      </c>
    </row>
    <row r="452" spans="1:9" x14ac:dyDescent="0.2">
      <c r="A452" t="str">
        <f t="shared" si="7"/>
        <v/>
      </c>
      <c r="B452" s="24">
        <v>2020</v>
      </c>
      <c r="C452" t="s">
        <v>105</v>
      </c>
      <c r="D452" t="s">
        <v>627</v>
      </c>
      <c r="E452" t="s">
        <v>627</v>
      </c>
      <c r="F452" s="11">
        <v>239461024</v>
      </c>
      <c r="G452" s="18">
        <v>1.9331000000000001E-3</v>
      </c>
      <c r="H452" s="11">
        <v>3972665.4825000004</v>
      </c>
      <c r="I452" s="22" t="str">
        <f>IFERROR(VLOOKUP(D452,'LEAID Match'!$A$2:$B$184,2,FALSE),"")</f>
        <v/>
      </c>
    </row>
    <row r="453" spans="1:9" x14ac:dyDescent="0.2">
      <c r="A453" t="str">
        <f t="shared" si="7"/>
        <v/>
      </c>
      <c r="B453" s="24">
        <v>2021</v>
      </c>
      <c r="C453" t="s">
        <v>105</v>
      </c>
      <c r="D453" t="s">
        <v>627</v>
      </c>
      <c r="E453" t="s">
        <v>627</v>
      </c>
      <c r="F453" s="11">
        <v>236346512</v>
      </c>
      <c r="G453" s="18">
        <v>1.8885E-3</v>
      </c>
      <c r="H453" s="11">
        <v>4481886.4019999998</v>
      </c>
      <c r="I453" s="22" t="str">
        <f>IFERROR(VLOOKUP(D453,'LEAID Match'!$A$2:$B$184,2,FALSE),"")</f>
        <v/>
      </c>
    </row>
    <row r="454" spans="1:9" x14ac:dyDescent="0.2">
      <c r="A454" t="str">
        <f t="shared" si="7"/>
        <v/>
      </c>
      <c r="B454" s="24">
        <v>2022</v>
      </c>
      <c r="C454" t="s">
        <v>105</v>
      </c>
      <c r="D454" t="s">
        <v>627</v>
      </c>
      <c r="E454" t="s">
        <v>627</v>
      </c>
      <c r="F454" s="11">
        <v>218022790</v>
      </c>
      <c r="G454" s="18">
        <v>1.7286999999999999E-3</v>
      </c>
      <c r="H454" s="11">
        <v>4774576.0501999995</v>
      </c>
      <c r="I454" s="22" t="str">
        <f>IFERROR(VLOOKUP(D454,'LEAID Match'!$A$2:$B$184,2,FALSE),"")</f>
        <v/>
      </c>
    </row>
    <row r="455" spans="1:9" x14ac:dyDescent="0.2">
      <c r="A455" t="str">
        <f t="shared" si="7"/>
        <v/>
      </c>
      <c r="B455" s="24">
        <v>2023</v>
      </c>
      <c r="C455" t="s">
        <v>105</v>
      </c>
      <c r="D455" t="s">
        <v>627</v>
      </c>
      <c r="E455" t="s">
        <v>627</v>
      </c>
      <c r="F455" s="11">
        <v>233578618</v>
      </c>
      <c r="G455" s="18">
        <v>1.7574999999999999E-3</v>
      </c>
      <c r="H455" s="11">
        <v>5333831.4775</v>
      </c>
      <c r="I455" s="22" t="str">
        <f>IFERROR(VLOOKUP(D455,'LEAID Match'!$A$2:$B$184,2,FALSE),"")</f>
        <v/>
      </c>
    </row>
    <row r="456" spans="1:9" x14ac:dyDescent="0.2">
      <c r="A456" t="str">
        <f t="shared" si="7"/>
        <v/>
      </c>
      <c r="B456" s="24">
        <v>2015</v>
      </c>
      <c r="C456" t="s">
        <v>106</v>
      </c>
      <c r="D456" t="s">
        <v>628</v>
      </c>
      <c r="E456" t="s">
        <v>48</v>
      </c>
      <c r="F456" s="11">
        <v>472828837</v>
      </c>
      <c r="G456" s="18">
        <v>4.1340999999999999E-3</v>
      </c>
      <c r="H456" s="11">
        <v>5221318.6908</v>
      </c>
      <c r="I456" s="22" t="str">
        <f>IFERROR(VLOOKUP(D456,'LEAID Match'!$A$2:$B$184,2,FALSE),"")</f>
        <v/>
      </c>
    </row>
    <row r="457" spans="1:9" x14ac:dyDescent="0.2">
      <c r="A457" t="str">
        <f t="shared" si="7"/>
        <v/>
      </c>
      <c r="B457" s="24">
        <v>2016</v>
      </c>
      <c r="C457" t="s">
        <v>106</v>
      </c>
      <c r="D457" t="s">
        <v>628</v>
      </c>
      <c r="E457" t="s">
        <v>628</v>
      </c>
      <c r="F457" s="11">
        <v>418704992</v>
      </c>
      <c r="G457" s="18">
        <v>3.8665000000000001E-3</v>
      </c>
      <c r="H457" s="11">
        <v>4929799.0995000005</v>
      </c>
      <c r="I457" s="22" t="str">
        <f>IFERROR(VLOOKUP(D457,'LEAID Match'!$A$2:$B$184,2,FALSE),"")</f>
        <v/>
      </c>
    </row>
    <row r="458" spans="1:9" x14ac:dyDescent="0.2">
      <c r="A458" t="str">
        <f t="shared" si="7"/>
        <v/>
      </c>
      <c r="B458" s="24">
        <v>2017</v>
      </c>
      <c r="C458" t="s">
        <v>106</v>
      </c>
      <c r="D458" t="s">
        <v>628</v>
      </c>
      <c r="E458" t="s">
        <v>628</v>
      </c>
      <c r="F458" s="11">
        <v>422552416</v>
      </c>
      <c r="G458" s="18">
        <v>3.7869000000000002E-3</v>
      </c>
      <c r="H458" s="11">
        <v>5457657.5586000001</v>
      </c>
      <c r="I458" s="22" t="str">
        <f>IFERROR(VLOOKUP(D458,'LEAID Match'!$A$2:$B$184,2,FALSE),"")</f>
        <v/>
      </c>
    </row>
    <row r="459" spans="1:9" x14ac:dyDescent="0.2">
      <c r="A459" t="str">
        <f t="shared" si="7"/>
        <v/>
      </c>
      <c r="B459" s="24">
        <v>2018</v>
      </c>
      <c r="C459" t="s">
        <v>106</v>
      </c>
      <c r="D459" t="s">
        <v>628</v>
      </c>
      <c r="E459" t="s">
        <v>628</v>
      </c>
      <c r="F459" s="11">
        <v>419939462</v>
      </c>
      <c r="G459" s="18">
        <v>3.6137000000000001E-3</v>
      </c>
      <c r="H459" s="11">
        <v>5792403.3437000001</v>
      </c>
      <c r="I459" s="22" t="str">
        <f>IFERROR(VLOOKUP(D459,'LEAID Match'!$A$2:$B$184,2,FALSE),"")</f>
        <v/>
      </c>
    </row>
    <row r="460" spans="1:9" x14ac:dyDescent="0.2">
      <c r="A460" t="str">
        <f t="shared" si="7"/>
        <v/>
      </c>
      <c r="B460" s="24">
        <v>2019</v>
      </c>
      <c r="C460" t="s">
        <v>106</v>
      </c>
      <c r="D460" t="s">
        <v>628</v>
      </c>
      <c r="E460" t="s">
        <v>628</v>
      </c>
      <c r="F460" s="11">
        <v>395933119</v>
      </c>
      <c r="G460" s="18">
        <v>3.2862E-3</v>
      </c>
      <c r="H460" s="11">
        <v>6293552.7851999998</v>
      </c>
      <c r="I460" s="22" t="str">
        <f>IFERROR(VLOOKUP(D460,'LEAID Match'!$A$2:$B$184,2,FALSE),"")</f>
        <v/>
      </c>
    </row>
    <row r="461" spans="1:9" x14ac:dyDescent="0.2">
      <c r="A461" t="str">
        <f t="shared" si="7"/>
        <v/>
      </c>
      <c r="B461" s="24">
        <v>2020</v>
      </c>
      <c r="C461" t="s">
        <v>106</v>
      </c>
      <c r="D461" t="s">
        <v>628</v>
      </c>
      <c r="E461" t="s">
        <v>628</v>
      </c>
      <c r="F461" s="11">
        <v>415174167</v>
      </c>
      <c r="G461" s="18">
        <v>3.3516000000000002E-3</v>
      </c>
      <c r="H461" s="11">
        <v>6887789.3700000001</v>
      </c>
      <c r="I461" s="22" t="str">
        <f>IFERROR(VLOOKUP(D461,'LEAID Match'!$A$2:$B$184,2,FALSE),"")</f>
        <v/>
      </c>
    </row>
    <row r="462" spans="1:9" x14ac:dyDescent="0.2">
      <c r="A462" t="str">
        <f t="shared" si="7"/>
        <v/>
      </c>
      <c r="B462" s="24">
        <v>2021</v>
      </c>
      <c r="C462" t="s">
        <v>106</v>
      </c>
      <c r="D462" t="s">
        <v>628</v>
      </c>
      <c r="E462" t="s">
        <v>628</v>
      </c>
      <c r="F462" s="11">
        <v>435937047</v>
      </c>
      <c r="G462" s="18">
        <v>3.4832999999999999E-3</v>
      </c>
      <c r="H462" s="11">
        <v>8266748.6915999996</v>
      </c>
      <c r="I462" s="22" t="str">
        <f>IFERROR(VLOOKUP(D462,'LEAID Match'!$A$2:$B$184,2,FALSE),"")</f>
        <v/>
      </c>
    </row>
    <row r="463" spans="1:9" x14ac:dyDescent="0.2">
      <c r="A463" t="str">
        <f t="shared" si="7"/>
        <v/>
      </c>
      <c r="B463" s="24">
        <v>2022</v>
      </c>
      <c r="C463" t="s">
        <v>106</v>
      </c>
      <c r="D463" t="s">
        <v>628</v>
      </c>
      <c r="E463" t="s">
        <v>628</v>
      </c>
      <c r="F463" s="11">
        <v>474297095</v>
      </c>
      <c r="G463" s="18">
        <v>3.7607000000000001E-3</v>
      </c>
      <c r="H463" s="11">
        <v>10386850.3222</v>
      </c>
      <c r="I463" s="22" t="str">
        <f>IFERROR(VLOOKUP(D463,'LEAID Match'!$A$2:$B$184,2,FALSE),"")</f>
        <v/>
      </c>
    </row>
    <row r="464" spans="1:9" x14ac:dyDescent="0.2">
      <c r="A464" t="str">
        <f t="shared" si="7"/>
        <v/>
      </c>
      <c r="B464" s="24">
        <v>2023</v>
      </c>
      <c r="C464" t="s">
        <v>106</v>
      </c>
      <c r="D464" t="s">
        <v>628</v>
      </c>
      <c r="E464" t="s">
        <v>628</v>
      </c>
      <c r="F464" s="11">
        <v>514215055</v>
      </c>
      <c r="G464" s="18">
        <v>3.8690999999999999E-3</v>
      </c>
      <c r="H464" s="11">
        <v>11742319.9827</v>
      </c>
      <c r="I464" s="22" t="str">
        <f>IFERROR(VLOOKUP(D464,'LEAID Match'!$A$2:$B$184,2,FALSE),"")</f>
        <v/>
      </c>
    </row>
    <row r="465" spans="1:9" x14ac:dyDescent="0.2">
      <c r="A465" t="str">
        <f t="shared" si="7"/>
        <v/>
      </c>
      <c r="B465" s="24">
        <v>2015</v>
      </c>
      <c r="C465" t="s">
        <v>107</v>
      </c>
      <c r="D465" t="s">
        <v>629</v>
      </c>
      <c r="E465" t="s">
        <v>49</v>
      </c>
      <c r="F465" s="11">
        <v>135123227</v>
      </c>
      <c r="G465" s="18">
        <v>1.1814E-3</v>
      </c>
      <c r="H465" s="11">
        <v>1492094.0231999999</v>
      </c>
      <c r="I465" s="22" t="str">
        <f>IFERROR(VLOOKUP(D465,'LEAID Match'!$A$2:$B$184,2,FALSE),"")</f>
        <v/>
      </c>
    </row>
    <row r="466" spans="1:9" x14ac:dyDescent="0.2">
      <c r="A466" t="str">
        <f t="shared" si="7"/>
        <v/>
      </c>
      <c r="B466" s="24">
        <v>2016</v>
      </c>
      <c r="C466" t="s">
        <v>107</v>
      </c>
      <c r="D466" t="s">
        <v>629</v>
      </c>
      <c r="E466" t="s">
        <v>629</v>
      </c>
      <c r="F466" s="11">
        <v>128823858</v>
      </c>
      <c r="G466" s="18">
        <v>1.1896000000000001E-3</v>
      </c>
      <c r="H466" s="11">
        <v>1516743.5688</v>
      </c>
      <c r="I466" s="22" t="str">
        <f>IFERROR(VLOOKUP(D466,'LEAID Match'!$A$2:$B$184,2,FALSE),"")</f>
        <v/>
      </c>
    </row>
    <row r="467" spans="1:9" x14ac:dyDescent="0.2">
      <c r="A467" t="str">
        <f t="shared" si="7"/>
        <v/>
      </c>
      <c r="B467" s="24">
        <v>2017</v>
      </c>
      <c r="C467" t="s">
        <v>107</v>
      </c>
      <c r="D467" t="s">
        <v>629</v>
      </c>
      <c r="E467" t="s">
        <v>629</v>
      </c>
      <c r="F467" s="11">
        <v>140563536</v>
      </c>
      <c r="G467" s="18">
        <v>1.2597000000000001E-3</v>
      </c>
      <c r="H467" s="11">
        <v>1815472.0818</v>
      </c>
      <c r="I467" s="22" t="str">
        <f>IFERROR(VLOOKUP(D467,'LEAID Match'!$A$2:$B$184,2,FALSE),"")</f>
        <v/>
      </c>
    </row>
    <row r="468" spans="1:9" x14ac:dyDescent="0.2">
      <c r="A468" t="str">
        <f t="shared" si="7"/>
        <v/>
      </c>
      <c r="B468" s="24">
        <v>2018</v>
      </c>
      <c r="C468" t="s">
        <v>107</v>
      </c>
      <c r="D468" t="s">
        <v>629</v>
      </c>
      <c r="E468" t="s">
        <v>629</v>
      </c>
      <c r="F468" s="11">
        <v>142365610</v>
      </c>
      <c r="G468" s="18">
        <v>1.2251E-3</v>
      </c>
      <c r="H468" s="11">
        <v>1963714.0151</v>
      </c>
      <c r="I468" s="22" t="str">
        <f>IFERROR(VLOOKUP(D468,'LEAID Match'!$A$2:$B$184,2,FALSE),"")</f>
        <v/>
      </c>
    </row>
    <row r="469" spans="1:9" x14ac:dyDescent="0.2">
      <c r="A469" t="str">
        <f t="shared" si="7"/>
        <v/>
      </c>
      <c r="B469" s="24">
        <v>2019</v>
      </c>
      <c r="C469" t="s">
        <v>107</v>
      </c>
      <c r="D469" t="s">
        <v>629</v>
      </c>
      <c r="E469" t="s">
        <v>629</v>
      </c>
      <c r="F469" s="11">
        <v>139416816</v>
      </c>
      <c r="G469" s="18">
        <v>1.1571999999999999E-3</v>
      </c>
      <c r="H469" s="11">
        <v>2216206.9512</v>
      </c>
      <c r="I469" s="22" t="str">
        <f>IFERROR(VLOOKUP(D469,'LEAID Match'!$A$2:$B$184,2,FALSE),"")</f>
        <v/>
      </c>
    </row>
    <row r="470" spans="1:9" x14ac:dyDescent="0.2">
      <c r="A470" t="str">
        <f t="shared" si="7"/>
        <v/>
      </c>
      <c r="B470" s="24">
        <v>2020</v>
      </c>
      <c r="C470" t="s">
        <v>107</v>
      </c>
      <c r="D470" t="s">
        <v>629</v>
      </c>
      <c r="E470" t="s">
        <v>629</v>
      </c>
      <c r="F470" s="11">
        <v>140436677</v>
      </c>
      <c r="G470" s="18">
        <v>1.1337000000000001E-3</v>
      </c>
      <c r="H470" s="11">
        <v>2329838.5275000003</v>
      </c>
      <c r="I470" s="22" t="str">
        <f>IFERROR(VLOOKUP(D470,'LEAID Match'!$A$2:$B$184,2,FALSE),"")</f>
        <v/>
      </c>
    </row>
    <row r="471" spans="1:9" x14ac:dyDescent="0.2">
      <c r="A471" t="str">
        <f t="shared" si="7"/>
        <v/>
      </c>
      <c r="B471" s="24">
        <v>2021</v>
      </c>
      <c r="C471" t="s">
        <v>107</v>
      </c>
      <c r="D471" t="s">
        <v>629</v>
      </c>
      <c r="E471" t="s">
        <v>629</v>
      </c>
      <c r="F471" s="11">
        <v>142291847</v>
      </c>
      <c r="G471" s="18">
        <v>1.137E-3</v>
      </c>
      <c r="H471" s="11">
        <v>2698387.5240000002</v>
      </c>
      <c r="I471" s="22" t="str">
        <f>IFERROR(VLOOKUP(D471,'LEAID Match'!$A$2:$B$184,2,FALSE),"")</f>
        <v/>
      </c>
    </row>
    <row r="472" spans="1:9" x14ac:dyDescent="0.2">
      <c r="A472" t="str">
        <f t="shared" si="7"/>
        <v/>
      </c>
      <c r="B472" s="24">
        <v>2022</v>
      </c>
      <c r="C472" t="s">
        <v>107</v>
      </c>
      <c r="D472" t="s">
        <v>629</v>
      </c>
      <c r="E472" t="s">
        <v>629</v>
      </c>
      <c r="F472" s="11">
        <v>132376805</v>
      </c>
      <c r="G472" s="18">
        <v>1.0495999999999999E-3</v>
      </c>
      <c r="H472" s="11">
        <v>2898938.5215999996</v>
      </c>
      <c r="I472" s="22" t="str">
        <f>IFERROR(VLOOKUP(D472,'LEAID Match'!$A$2:$B$184,2,FALSE),"")</f>
        <v/>
      </c>
    </row>
    <row r="473" spans="1:9" x14ac:dyDescent="0.2">
      <c r="A473" t="str">
        <f t="shared" si="7"/>
        <v/>
      </c>
      <c r="B473" s="24">
        <v>2023</v>
      </c>
      <c r="C473" t="s">
        <v>107</v>
      </c>
      <c r="D473" t="s">
        <v>629</v>
      </c>
      <c r="E473" t="s">
        <v>629</v>
      </c>
      <c r="F473" s="11">
        <v>148891563</v>
      </c>
      <c r="G473" s="18">
        <v>1.1203000000000001E-3</v>
      </c>
      <c r="H473" s="11">
        <v>3399995.1091</v>
      </c>
      <c r="I473" s="22" t="str">
        <f>IFERROR(VLOOKUP(D473,'LEAID Match'!$A$2:$B$184,2,FALSE),"")</f>
        <v/>
      </c>
    </row>
    <row r="474" spans="1:9" x14ac:dyDescent="0.2">
      <c r="A474" t="str">
        <f t="shared" si="7"/>
        <v/>
      </c>
      <c r="B474" s="24">
        <v>2015</v>
      </c>
      <c r="C474" t="s">
        <v>108</v>
      </c>
      <c r="D474" t="s">
        <v>630</v>
      </c>
      <c r="E474" t="s">
        <v>50</v>
      </c>
      <c r="F474" s="11">
        <v>766799661</v>
      </c>
      <c r="G474" s="18">
        <v>6.7044000000000001E-3</v>
      </c>
      <c r="H474" s="11">
        <v>8467576.747200001</v>
      </c>
      <c r="I474" s="22" t="str">
        <f>IFERROR(VLOOKUP(D474,'LEAID Match'!$A$2:$B$184,2,FALSE),"")</f>
        <v/>
      </c>
    </row>
    <row r="475" spans="1:9" x14ac:dyDescent="0.2">
      <c r="A475" t="str">
        <f t="shared" si="7"/>
        <v/>
      </c>
      <c r="B475" s="24">
        <v>2016</v>
      </c>
      <c r="C475" t="s">
        <v>108</v>
      </c>
      <c r="D475" t="s">
        <v>630</v>
      </c>
      <c r="E475" t="s">
        <v>630</v>
      </c>
      <c r="F475" s="11">
        <v>715827876</v>
      </c>
      <c r="G475" s="18">
        <v>6.6102000000000001E-3</v>
      </c>
      <c r="H475" s="11">
        <v>8428024.8306000009</v>
      </c>
      <c r="I475" s="22" t="str">
        <f>IFERROR(VLOOKUP(D475,'LEAID Match'!$A$2:$B$184,2,FALSE),"")</f>
        <v/>
      </c>
    </row>
    <row r="476" spans="1:9" x14ac:dyDescent="0.2">
      <c r="A476" t="str">
        <f t="shared" si="7"/>
        <v/>
      </c>
      <c r="B476" s="24">
        <v>2017</v>
      </c>
      <c r="C476" t="s">
        <v>108</v>
      </c>
      <c r="D476" t="s">
        <v>630</v>
      </c>
      <c r="E476" t="s">
        <v>630</v>
      </c>
      <c r="F476" s="11">
        <v>783351130</v>
      </c>
      <c r="G476" s="18">
        <v>7.0204000000000004E-3</v>
      </c>
      <c r="H476" s="11">
        <v>10117758.3576</v>
      </c>
      <c r="I476" s="22" t="str">
        <f>IFERROR(VLOOKUP(D476,'LEAID Match'!$A$2:$B$184,2,FALSE),"")</f>
        <v/>
      </c>
    </row>
    <row r="477" spans="1:9" x14ac:dyDescent="0.2">
      <c r="A477" t="str">
        <f t="shared" si="7"/>
        <v/>
      </c>
      <c r="B477" s="24">
        <v>2018</v>
      </c>
      <c r="C477" t="s">
        <v>108</v>
      </c>
      <c r="D477" t="s">
        <v>630</v>
      </c>
      <c r="E477" t="s">
        <v>630</v>
      </c>
      <c r="F477" s="11">
        <v>830669304</v>
      </c>
      <c r="G477" s="18">
        <v>7.1481000000000001E-3</v>
      </c>
      <c r="H477" s="11">
        <v>11457696.6381</v>
      </c>
      <c r="I477" s="22" t="str">
        <f>IFERROR(VLOOKUP(D477,'LEAID Match'!$A$2:$B$184,2,FALSE),"")</f>
        <v/>
      </c>
    </row>
    <row r="478" spans="1:9" x14ac:dyDescent="0.2">
      <c r="A478" t="str">
        <f t="shared" si="7"/>
        <v/>
      </c>
      <c r="B478" s="24">
        <v>2019</v>
      </c>
      <c r="C478" t="s">
        <v>108</v>
      </c>
      <c r="D478" t="s">
        <v>630</v>
      </c>
      <c r="E478" t="s">
        <v>630</v>
      </c>
      <c r="F478" s="11">
        <v>886893115</v>
      </c>
      <c r="G478" s="18">
        <v>7.3612E-3</v>
      </c>
      <c r="H478" s="11">
        <v>14097772.735200001</v>
      </c>
      <c r="I478" s="22" t="str">
        <f>IFERROR(VLOOKUP(D478,'LEAID Match'!$A$2:$B$184,2,FALSE),"")</f>
        <v/>
      </c>
    </row>
    <row r="479" spans="1:9" x14ac:dyDescent="0.2">
      <c r="A479" t="str">
        <f t="shared" si="7"/>
        <v/>
      </c>
      <c r="B479" s="24">
        <v>2020</v>
      </c>
      <c r="C479" t="s">
        <v>108</v>
      </c>
      <c r="D479" t="s">
        <v>630</v>
      </c>
      <c r="E479" t="s">
        <v>630</v>
      </c>
      <c r="F479" s="11">
        <v>923214409</v>
      </c>
      <c r="G479" s="18">
        <v>7.4530000000000004E-3</v>
      </c>
      <c r="H479" s="11">
        <v>15316473.975000001</v>
      </c>
      <c r="I479" s="22" t="str">
        <f>IFERROR(VLOOKUP(D479,'LEAID Match'!$A$2:$B$184,2,FALSE),"")</f>
        <v/>
      </c>
    </row>
    <row r="480" spans="1:9" x14ac:dyDescent="0.2">
      <c r="A480" t="str">
        <f t="shared" si="7"/>
        <v/>
      </c>
      <c r="B480" s="24">
        <v>2021</v>
      </c>
      <c r="C480" t="s">
        <v>108</v>
      </c>
      <c r="D480" t="s">
        <v>630</v>
      </c>
      <c r="E480" t="s">
        <v>630</v>
      </c>
      <c r="F480" s="11">
        <v>935123915</v>
      </c>
      <c r="G480" s="18">
        <v>7.4720000000000003E-3</v>
      </c>
      <c r="H480" s="11">
        <v>17732938.944000002</v>
      </c>
      <c r="I480" s="22" t="str">
        <f>IFERROR(VLOOKUP(D480,'LEAID Match'!$A$2:$B$184,2,FALSE),"")</f>
        <v/>
      </c>
    </row>
    <row r="481" spans="1:9" x14ac:dyDescent="0.2">
      <c r="A481" t="str">
        <f t="shared" si="7"/>
        <v/>
      </c>
      <c r="B481" s="24">
        <v>2022</v>
      </c>
      <c r="C481" t="s">
        <v>108</v>
      </c>
      <c r="D481" t="s">
        <v>630</v>
      </c>
      <c r="E481" t="s">
        <v>630</v>
      </c>
      <c r="F481" s="11">
        <v>884203343</v>
      </c>
      <c r="G481" s="18">
        <v>7.0108000000000002E-3</v>
      </c>
      <c r="H481" s="11">
        <v>19363451.016800001</v>
      </c>
      <c r="I481" s="22" t="str">
        <f>IFERROR(VLOOKUP(D481,'LEAID Match'!$A$2:$B$184,2,FALSE),"")</f>
        <v/>
      </c>
    </row>
    <row r="482" spans="1:9" x14ac:dyDescent="0.2">
      <c r="A482" t="str">
        <f t="shared" si="7"/>
        <v/>
      </c>
      <c r="B482" s="24">
        <v>2023</v>
      </c>
      <c r="C482" t="s">
        <v>108</v>
      </c>
      <c r="D482" t="s">
        <v>630</v>
      </c>
      <c r="E482" t="s">
        <v>630</v>
      </c>
      <c r="F482" s="11">
        <v>985301127</v>
      </c>
      <c r="G482" s="18">
        <v>7.4136999999999996E-3</v>
      </c>
      <c r="H482" s="11">
        <v>22499815.888900001</v>
      </c>
      <c r="I482" s="22" t="str">
        <f>IFERROR(VLOOKUP(D482,'LEAID Match'!$A$2:$B$184,2,FALSE),"")</f>
        <v/>
      </c>
    </row>
    <row r="483" spans="1:9" x14ac:dyDescent="0.2">
      <c r="A483" t="str">
        <f t="shared" si="7"/>
        <v/>
      </c>
      <c r="B483" s="24">
        <v>2015</v>
      </c>
      <c r="C483" t="s">
        <v>109</v>
      </c>
      <c r="D483" t="s">
        <v>631</v>
      </c>
      <c r="E483" t="s">
        <v>51</v>
      </c>
      <c r="F483" s="11">
        <v>408576774</v>
      </c>
      <c r="G483" s="18">
        <v>3.5723E-3</v>
      </c>
      <c r="H483" s="11">
        <v>4511772.0323999999</v>
      </c>
      <c r="I483" s="22" t="str">
        <f>IFERROR(VLOOKUP(D483,'LEAID Match'!$A$2:$B$184,2,FALSE),"")</f>
        <v/>
      </c>
    </row>
    <row r="484" spans="1:9" x14ac:dyDescent="0.2">
      <c r="A484" t="str">
        <f t="shared" si="7"/>
        <v/>
      </c>
      <c r="B484" s="24">
        <v>2016</v>
      </c>
      <c r="C484" t="s">
        <v>109</v>
      </c>
      <c r="D484" t="s">
        <v>631</v>
      </c>
      <c r="E484" t="s">
        <v>631</v>
      </c>
      <c r="F484" s="11">
        <v>389606782</v>
      </c>
      <c r="G484" s="18">
        <v>3.5978E-3</v>
      </c>
      <c r="H484" s="11">
        <v>4587205.7933999998</v>
      </c>
      <c r="I484" s="22" t="str">
        <f>IFERROR(VLOOKUP(D484,'LEAID Match'!$A$2:$B$184,2,FALSE),"")</f>
        <v/>
      </c>
    </row>
    <row r="485" spans="1:9" x14ac:dyDescent="0.2">
      <c r="A485" t="str">
        <f t="shared" si="7"/>
        <v/>
      </c>
      <c r="B485" s="24">
        <v>2017</v>
      </c>
      <c r="C485" t="s">
        <v>109</v>
      </c>
      <c r="D485" t="s">
        <v>631</v>
      </c>
      <c r="E485" t="s">
        <v>631</v>
      </c>
      <c r="F485" s="11">
        <v>416312318</v>
      </c>
      <c r="G485" s="18">
        <v>3.7309999999999999E-3</v>
      </c>
      <c r="H485" s="11">
        <v>5377094.8140000002</v>
      </c>
      <c r="I485" s="22" t="str">
        <f>IFERROR(VLOOKUP(D485,'LEAID Match'!$A$2:$B$184,2,FALSE),"")</f>
        <v/>
      </c>
    </row>
    <row r="486" spans="1:9" x14ac:dyDescent="0.2">
      <c r="A486" t="str">
        <f t="shared" si="7"/>
        <v/>
      </c>
      <c r="B486" s="24">
        <v>2018</v>
      </c>
      <c r="C486" t="s">
        <v>109</v>
      </c>
      <c r="D486" t="s">
        <v>631</v>
      </c>
      <c r="E486" t="s">
        <v>631</v>
      </c>
      <c r="F486" s="11">
        <v>452242708</v>
      </c>
      <c r="G486" s="18">
        <v>3.8917000000000001E-3</v>
      </c>
      <c r="H486" s="11">
        <v>6238009.8217000002</v>
      </c>
      <c r="I486" s="22" t="str">
        <f>IFERROR(VLOOKUP(D486,'LEAID Match'!$A$2:$B$184,2,FALSE),"")</f>
        <v/>
      </c>
    </row>
    <row r="487" spans="1:9" x14ac:dyDescent="0.2">
      <c r="A487" t="str">
        <f t="shared" si="7"/>
        <v/>
      </c>
      <c r="B487" s="24">
        <v>2019</v>
      </c>
      <c r="C487" t="s">
        <v>109</v>
      </c>
      <c r="D487" t="s">
        <v>631</v>
      </c>
      <c r="E487" t="s">
        <v>631</v>
      </c>
      <c r="F487" s="11">
        <v>507673682</v>
      </c>
      <c r="G487" s="18">
        <v>4.2136999999999999E-3</v>
      </c>
      <c r="H487" s="11">
        <v>8069850.7001999998</v>
      </c>
      <c r="I487" s="22" t="str">
        <f>IFERROR(VLOOKUP(D487,'LEAID Match'!$A$2:$B$184,2,FALSE),"")</f>
        <v/>
      </c>
    </row>
    <row r="488" spans="1:9" x14ac:dyDescent="0.2">
      <c r="A488" t="str">
        <f t="shared" si="7"/>
        <v/>
      </c>
      <c r="B488" s="24">
        <v>2020</v>
      </c>
      <c r="C488" t="s">
        <v>109</v>
      </c>
      <c r="D488" t="s">
        <v>631</v>
      </c>
      <c r="E488" t="s">
        <v>631</v>
      </c>
      <c r="F488" s="11">
        <v>516426962</v>
      </c>
      <c r="G488" s="18">
        <v>4.169E-3</v>
      </c>
      <c r="H488" s="11">
        <v>8567607.6750000007</v>
      </c>
      <c r="I488" s="22" t="str">
        <f>IFERROR(VLOOKUP(D488,'LEAID Match'!$A$2:$B$184,2,FALSE),"")</f>
        <v/>
      </c>
    </row>
    <row r="489" spans="1:9" x14ac:dyDescent="0.2">
      <c r="A489" t="str">
        <f t="shared" si="7"/>
        <v/>
      </c>
      <c r="B489" s="24">
        <v>2021</v>
      </c>
      <c r="C489" t="s">
        <v>109</v>
      </c>
      <c r="D489" t="s">
        <v>631</v>
      </c>
      <c r="E489" t="s">
        <v>631</v>
      </c>
      <c r="F489" s="11">
        <v>548572364</v>
      </c>
      <c r="G489" s="18">
        <v>4.3832999999999997E-3</v>
      </c>
      <c r="H489" s="11">
        <v>10402675.491599999</v>
      </c>
      <c r="I489" s="22" t="str">
        <f>IFERROR(VLOOKUP(D489,'LEAID Match'!$A$2:$B$184,2,FALSE),"")</f>
        <v/>
      </c>
    </row>
    <row r="490" spans="1:9" x14ac:dyDescent="0.2">
      <c r="A490" t="str">
        <f t="shared" si="7"/>
        <v/>
      </c>
      <c r="B490" s="24">
        <v>2022</v>
      </c>
      <c r="C490" t="s">
        <v>109</v>
      </c>
      <c r="D490" t="s">
        <v>631</v>
      </c>
      <c r="E490" t="s">
        <v>631</v>
      </c>
      <c r="F490" s="11">
        <v>557239923</v>
      </c>
      <c r="G490" s="18">
        <v>4.4183E-3</v>
      </c>
      <c r="H490" s="11">
        <v>12203106.0118</v>
      </c>
      <c r="I490" s="22" t="str">
        <f>IFERROR(VLOOKUP(D490,'LEAID Match'!$A$2:$B$184,2,FALSE),"")</f>
        <v/>
      </c>
    </row>
    <row r="491" spans="1:9" x14ac:dyDescent="0.2">
      <c r="A491" t="str">
        <f t="shared" si="7"/>
        <v/>
      </c>
      <c r="B491" s="24">
        <v>2023</v>
      </c>
      <c r="C491" t="s">
        <v>109</v>
      </c>
      <c r="D491" t="s">
        <v>631</v>
      </c>
      <c r="E491" t="s">
        <v>631</v>
      </c>
      <c r="F491" s="11">
        <v>605892473</v>
      </c>
      <c r="G491" s="18">
        <v>4.5589000000000003E-3</v>
      </c>
      <c r="H491" s="11">
        <v>13835791.933300002</v>
      </c>
      <c r="I491" s="22" t="str">
        <f>IFERROR(VLOOKUP(D491,'LEAID Match'!$A$2:$B$184,2,FALSE),"")</f>
        <v/>
      </c>
    </row>
    <row r="492" spans="1:9" x14ac:dyDescent="0.2">
      <c r="A492">
        <f t="shared" si="7"/>
        <v>3705070</v>
      </c>
      <c r="B492" s="24">
        <v>2015</v>
      </c>
      <c r="C492" t="s">
        <v>110</v>
      </c>
      <c r="D492" t="s">
        <v>634</v>
      </c>
      <c r="E492" t="s">
        <v>52</v>
      </c>
      <c r="F492" s="11">
        <v>116074708</v>
      </c>
      <c r="G492" s="18">
        <v>1.0149E-3</v>
      </c>
      <c r="H492" s="11">
        <v>1281806.5212000001</v>
      </c>
      <c r="I492" s="22">
        <f>IFERROR(VLOOKUP(D492,'LEAID Match'!$A$2:$B$184,2,FALSE),"")</f>
        <v>3705070</v>
      </c>
    </row>
    <row r="493" spans="1:9" x14ac:dyDescent="0.2">
      <c r="A493">
        <f t="shared" si="7"/>
        <v>3705070</v>
      </c>
      <c r="B493" s="24">
        <v>2016</v>
      </c>
      <c r="C493" t="s">
        <v>110</v>
      </c>
      <c r="D493" t="s">
        <v>634</v>
      </c>
      <c r="E493" t="s">
        <v>634</v>
      </c>
      <c r="F493" s="11">
        <v>108702104</v>
      </c>
      <c r="G493" s="18">
        <v>1.0038E-3</v>
      </c>
      <c r="H493" s="11">
        <v>1279848.0114</v>
      </c>
      <c r="I493" s="22">
        <f>IFERROR(VLOOKUP(D493,'LEAID Match'!$A$2:$B$184,2,FALSE),"")</f>
        <v>3705070</v>
      </c>
    </row>
    <row r="494" spans="1:9" x14ac:dyDescent="0.2">
      <c r="A494">
        <f t="shared" si="7"/>
        <v>3705070</v>
      </c>
      <c r="B494" s="24">
        <v>2017</v>
      </c>
      <c r="C494" t="s">
        <v>110</v>
      </c>
      <c r="D494" t="s">
        <v>634</v>
      </c>
      <c r="E494" t="s">
        <v>634</v>
      </c>
      <c r="F494" s="11">
        <v>111497951</v>
      </c>
      <c r="G494" s="18">
        <v>9.992E-4</v>
      </c>
      <c r="H494" s="11">
        <v>1440041.0448</v>
      </c>
      <c r="I494" s="22">
        <f>IFERROR(VLOOKUP(D494,'LEAID Match'!$A$2:$B$184,2,FALSE),"")</f>
        <v>3705070</v>
      </c>
    </row>
    <row r="495" spans="1:9" x14ac:dyDescent="0.2">
      <c r="A495">
        <f t="shared" si="7"/>
        <v>3705070</v>
      </c>
      <c r="B495" s="24">
        <v>2018</v>
      </c>
      <c r="C495" t="s">
        <v>110</v>
      </c>
      <c r="D495" t="s">
        <v>634</v>
      </c>
      <c r="E495" t="s">
        <v>634</v>
      </c>
      <c r="F495" s="11">
        <v>110890483</v>
      </c>
      <c r="G495" s="18">
        <v>9.5419999999999999E-4</v>
      </c>
      <c r="H495" s="11">
        <v>1529488.1342</v>
      </c>
      <c r="I495" s="22">
        <f>IFERROR(VLOOKUP(D495,'LEAID Match'!$A$2:$B$184,2,FALSE),"")</f>
        <v>3705070</v>
      </c>
    </row>
    <row r="496" spans="1:9" x14ac:dyDescent="0.2">
      <c r="A496">
        <f t="shared" si="7"/>
        <v>3705070</v>
      </c>
      <c r="B496" s="24">
        <v>2019</v>
      </c>
      <c r="C496" t="s">
        <v>110</v>
      </c>
      <c r="D496" t="s">
        <v>634</v>
      </c>
      <c r="E496" t="s">
        <v>634</v>
      </c>
      <c r="F496" s="11">
        <v>108563433</v>
      </c>
      <c r="G496" s="18">
        <v>9.0109999999999995E-4</v>
      </c>
      <c r="H496" s="11">
        <v>1725738.0606</v>
      </c>
      <c r="I496" s="22">
        <f>IFERROR(VLOOKUP(D496,'LEAID Match'!$A$2:$B$184,2,FALSE),"")</f>
        <v>3705070</v>
      </c>
    </row>
    <row r="497" spans="1:9" x14ac:dyDescent="0.2">
      <c r="A497">
        <f t="shared" si="7"/>
        <v>3705070</v>
      </c>
      <c r="B497" s="24">
        <v>2020</v>
      </c>
      <c r="C497" t="s">
        <v>110</v>
      </c>
      <c r="D497" t="s">
        <v>634</v>
      </c>
      <c r="E497" t="s">
        <v>634</v>
      </c>
      <c r="F497" s="11">
        <v>110716065</v>
      </c>
      <c r="G497" s="18">
        <v>8.9380000000000004E-4</v>
      </c>
      <c r="H497" s="11">
        <v>1836826.0350000001</v>
      </c>
      <c r="I497" s="22">
        <f>IFERROR(VLOOKUP(D497,'LEAID Match'!$A$2:$B$184,2,FALSE),"")</f>
        <v>3705070</v>
      </c>
    </row>
    <row r="498" spans="1:9" x14ac:dyDescent="0.2">
      <c r="A498">
        <f t="shared" si="7"/>
        <v>3705070</v>
      </c>
      <c r="B498" s="24">
        <v>2021</v>
      </c>
      <c r="C498" t="s">
        <v>110</v>
      </c>
      <c r="D498" t="s">
        <v>634</v>
      </c>
      <c r="E498" t="s">
        <v>634</v>
      </c>
      <c r="F498" s="11">
        <v>104237771</v>
      </c>
      <c r="G498" s="18">
        <v>8.3290000000000002E-4</v>
      </c>
      <c r="H498" s="11">
        <v>1976681.5908000001</v>
      </c>
      <c r="I498" s="22">
        <f>IFERROR(VLOOKUP(D498,'LEAID Match'!$A$2:$B$184,2,FALSE),"")</f>
        <v>3705070</v>
      </c>
    </row>
    <row r="499" spans="1:9" x14ac:dyDescent="0.2">
      <c r="A499">
        <f t="shared" si="7"/>
        <v>3705070</v>
      </c>
      <c r="B499" s="24">
        <v>2022</v>
      </c>
      <c r="C499" t="s">
        <v>110</v>
      </c>
      <c r="D499" t="s">
        <v>634</v>
      </c>
      <c r="E499" t="s">
        <v>634</v>
      </c>
      <c r="F499" s="11">
        <v>102764221</v>
      </c>
      <c r="G499" s="18">
        <v>8.1479999999999996E-4</v>
      </c>
      <c r="H499" s="11">
        <v>2250433.6008000001</v>
      </c>
      <c r="I499" s="22">
        <f>IFERROR(VLOOKUP(D499,'LEAID Match'!$A$2:$B$184,2,FALSE),"")</f>
        <v>3705070</v>
      </c>
    </row>
    <row r="500" spans="1:9" x14ac:dyDescent="0.2">
      <c r="A500">
        <f t="shared" si="7"/>
        <v>3705070</v>
      </c>
      <c r="B500" s="24">
        <v>2023</v>
      </c>
      <c r="C500" t="s">
        <v>110</v>
      </c>
      <c r="D500" t="s">
        <v>634</v>
      </c>
      <c r="E500" t="s">
        <v>634</v>
      </c>
      <c r="F500" s="11">
        <v>108993421</v>
      </c>
      <c r="G500" s="18">
        <v>8.2010000000000004E-4</v>
      </c>
      <c r="H500" s="11">
        <v>2488919.0297000003</v>
      </c>
      <c r="I500" s="22">
        <f>IFERROR(VLOOKUP(D500,'LEAID Match'!$A$2:$B$184,2,FALSE),"")</f>
        <v>3705070</v>
      </c>
    </row>
    <row r="501" spans="1:9" x14ac:dyDescent="0.2">
      <c r="A501">
        <f t="shared" si="7"/>
        <v>3700030</v>
      </c>
      <c r="B501" s="24">
        <v>2015</v>
      </c>
      <c r="C501" t="s">
        <v>111</v>
      </c>
      <c r="D501" t="s">
        <v>635</v>
      </c>
      <c r="E501" t="s">
        <v>53</v>
      </c>
      <c r="F501" s="11">
        <v>981026398</v>
      </c>
      <c r="G501" s="18">
        <v>8.5774000000000006E-3</v>
      </c>
      <c r="H501" s="11">
        <v>10833153.271200001</v>
      </c>
      <c r="I501" s="22">
        <f>IFERROR(VLOOKUP(D501,'LEAID Match'!$A$2:$B$184,2,FALSE),"")</f>
        <v>3700030</v>
      </c>
    </row>
    <row r="502" spans="1:9" x14ac:dyDescent="0.2">
      <c r="A502">
        <f t="shared" si="7"/>
        <v>3700030</v>
      </c>
      <c r="B502" s="24">
        <v>2016</v>
      </c>
      <c r="C502" t="s">
        <v>111</v>
      </c>
      <c r="D502" t="s">
        <v>635</v>
      </c>
      <c r="E502" t="s">
        <v>635</v>
      </c>
      <c r="F502" s="11">
        <v>955481665</v>
      </c>
      <c r="G502" s="18">
        <v>8.8232999999999992E-3</v>
      </c>
      <c r="H502" s="11">
        <v>11249733.969899999</v>
      </c>
      <c r="I502" s="22">
        <f>IFERROR(VLOOKUP(D502,'LEAID Match'!$A$2:$B$184,2,FALSE),"")</f>
        <v>3700030</v>
      </c>
    </row>
    <row r="503" spans="1:9" x14ac:dyDescent="0.2">
      <c r="A503">
        <f t="shared" si="7"/>
        <v>3700030</v>
      </c>
      <c r="B503" s="24">
        <v>2017</v>
      </c>
      <c r="C503" t="s">
        <v>111</v>
      </c>
      <c r="D503" t="s">
        <v>635</v>
      </c>
      <c r="E503" t="s">
        <v>635</v>
      </c>
      <c r="F503" s="11">
        <v>949860645</v>
      </c>
      <c r="G503" s="18">
        <v>8.5126999999999998E-3</v>
      </c>
      <c r="H503" s="11">
        <v>12268452.163799999</v>
      </c>
      <c r="I503" s="22">
        <f>IFERROR(VLOOKUP(D503,'LEAID Match'!$A$2:$B$184,2,FALSE),"")</f>
        <v>3700030</v>
      </c>
    </row>
    <row r="504" spans="1:9" x14ac:dyDescent="0.2">
      <c r="A504">
        <f t="shared" si="7"/>
        <v>3700030</v>
      </c>
      <c r="B504" s="24">
        <v>2018</v>
      </c>
      <c r="C504" t="s">
        <v>111</v>
      </c>
      <c r="D504" t="s">
        <v>635</v>
      </c>
      <c r="E504" t="s">
        <v>635</v>
      </c>
      <c r="F504" s="11">
        <v>974922019</v>
      </c>
      <c r="G504" s="18">
        <v>8.3894999999999994E-3</v>
      </c>
      <c r="H504" s="11">
        <v>13447537.939499998</v>
      </c>
      <c r="I504" s="22">
        <f>IFERROR(VLOOKUP(D504,'LEAID Match'!$A$2:$B$184,2,FALSE),"")</f>
        <v>3700030</v>
      </c>
    </row>
    <row r="505" spans="1:9" x14ac:dyDescent="0.2">
      <c r="A505">
        <f t="shared" si="7"/>
        <v>3700030</v>
      </c>
      <c r="B505" s="24">
        <v>2019</v>
      </c>
      <c r="C505" t="s">
        <v>111</v>
      </c>
      <c r="D505" t="s">
        <v>635</v>
      </c>
      <c r="E505" t="s">
        <v>635</v>
      </c>
      <c r="F505" s="11">
        <v>1013172938</v>
      </c>
      <c r="G505" s="18">
        <v>8.4092999999999998E-3</v>
      </c>
      <c r="H505" s="11">
        <v>16105037.2578</v>
      </c>
      <c r="I505" s="22">
        <f>IFERROR(VLOOKUP(D505,'LEAID Match'!$A$2:$B$184,2,FALSE),"")</f>
        <v>3700030</v>
      </c>
    </row>
    <row r="506" spans="1:9" x14ac:dyDescent="0.2">
      <c r="A506">
        <f t="shared" si="7"/>
        <v>3700030</v>
      </c>
      <c r="B506" s="24">
        <v>2020</v>
      </c>
      <c r="C506" t="s">
        <v>111</v>
      </c>
      <c r="D506" t="s">
        <v>635</v>
      </c>
      <c r="E506" t="s">
        <v>635</v>
      </c>
      <c r="F506" s="11">
        <v>1042454845</v>
      </c>
      <c r="G506" s="18">
        <v>8.4156000000000005E-3</v>
      </c>
      <c r="H506" s="11">
        <v>17294689.170000002</v>
      </c>
      <c r="I506" s="22">
        <f>IFERROR(VLOOKUP(D506,'LEAID Match'!$A$2:$B$184,2,FALSE),"")</f>
        <v>3700030</v>
      </c>
    </row>
    <row r="507" spans="1:9" x14ac:dyDescent="0.2">
      <c r="A507">
        <f t="shared" si="7"/>
        <v>3700030</v>
      </c>
      <c r="B507" s="24">
        <v>2021</v>
      </c>
      <c r="C507" t="s">
        <v>111</v>
      </c>
      <c r="D507" t="s">
        <v>635</v>
      </c>
      <c r="E507" t="s">
        <v>635</v>
      </c>
      <c r="F507" s="11">
        <v>1033678213</v>
      </c>
      <c r="G507" s="18">
        <v>8.2594999999999995E-3</v>
      </c>
      <c r="H507" s="11">
        <v>19601874.893999998</v>
      </c>
      <c r="I507" s="22">
        <f>IFERROR(VLOOKUP(D507,'LEAID Match'!$A$2:$B$184,2,FALSE),"")</f>
        <v>3700030</v>
      </c>
    </row>
    <row r="508" spans="1:9" x14ac:dyDescent="0.2">
      <c r="A508">
        <f t="shared" si="7"/>
        <v>3700030</v>
      </c>
      <c r="B508" s="24">
        <v>2022</v>
      </c>
      <c r="C508" t="s">
        <v>111</v>
      </c>
      <c r="D508" t="s">
        <v>635</v>
      </c>
      <c r="E508" t="s">
        <v>635</v>
      </c>
      <c r="F508" s="11">
        <v>1108368055</v>
      </c>
      <c r="G508" s="18">
        <v>8.7881999999999995E-3</v>
      </c>
      <c r="H508" s="11">
        <v>24272533.837199997</v>
      </c>
      <c r="I508" s="22">
        <f>IFERROR(VLOOKUP(D508,'LEAID Match'!$A$2:$B$184,2,FALSE),"")</f>
        <v>3700030</v>
      </c>
    </row>
    <row r="509" spans="1:9" x14ac:dyDescent="0.2">
      <c r="A509">
        <f t="shared" si="7"/>
        <v>3700030</v>
      </c>
      <c r="B509" s="24">
        <v>2023</v>
      </c>
      <c r="C509" t="s">
        <v>111</v>
      </c>
      <c r="D509" t="s">
        <v>635</v>
      </c>
      <c r="E509" t="s">
        <v>635</v>
      </c>
      <c r="F509" s="11">
        <v>1125144324</v>
      </c>
      <c r="G509" s="18">
        <v>8.4659000000000002E-3</v>
      </c>
      <c r="H509" s="11">
        <v>25693134.5123</v>
      </c>
      <c r="I509" s="22">
        <f>IFERROR(VLOOKUP(D509,'LEAID Match'!$A$2:$B$184,2,FALSE),"")</f>
        <v>3700030</v>
      </c>
    </row>
    <row r="510" spans="1:9" x14ac:dyDescent="0.2">
      <c r="A510">
        <f t="shared" si="7"/>
        <v>3700116</v>
      </c>
      <c r="B510" s="24">
        <v>2015</v>
      </c>
      <c r="C510" t="s">
        <v>166</v>
      </c>
      <c r="D510" t="s">
        <v>636</v>
      </c>
      <c r="E510" t="s">
        <v>112</v>
      </c>
      <c r="F510" s="11">
        <v>16097004</v>
      </c>
      <c r="G510" s="18">
        <v>1.407E-4</v>
      </c>
      <c r="H510" s="11">
        <v>177702.41159999999</v>
      </c>
      <c r="I510" s="22">
        <f>IFERROR(VLOOKUP(D510,'LEAID Match'!$A$2:$B$184,2,FALSE),"")</f>
        <v>3700116</v>
      </c>
    </row>
    <row r="511" spans="1:9" x14ac:dyDescent="0.2">
      <c r="A511">
        <f t="shared" si="7"/>
        <v>3700116</v>
      </c>
      <c r="B511" s="24">
        <v>2016</v>
      </c>
      <c r="C511" t="s">
        <v>166</v>
      </c>
      <c r="D511" t="s">
        <v>636</v>
      </c>
      <c r="E511" t="s">
        <v>636</v>
      </c>
      <c r="F511" s="11">
        <v>17297025</v>
      </c>
      <c r="G511" s="18">
        <v>1.5970000000000001E-4</v>
      </c>
      <c r="H511" s="11">
        <v>203617.9791</v>
      </c>
      <c r="I511" s="22">
        <f>IFERROR(VLOOKUP(D511,'LEAID Match'!$A$2:$B$184,2,FALSE),"")</f>
        <v>3700116</v>
      </c>
    </row>
    <row r="512" spans="1:9" x14ac:dyDescent="0.2">
      <c r="A512">
        <f t="shared" si="7"/>
        <v>3700116</v>
      </c>
      <c r="B512" s="24">
        <v>2017</v>
      </c>
      <c r="C512" t="s">
        <v>166</v>
      </c>
      <c r="D512" t="s">
        <v>636</v>
      </c>
      <c r="E512" t="s">
        <v>636</v>
      </c>
      <c r="F512" s="11">
        <v>18061528</v>
      </c>
      <c r="G512" s="18">
        <v>1.6190000000000001E-4</v>
      </c>
      <c r="H512" s="11">
        <v>233329.30860000002</v>
      </c>
      <c r="I512" s="22">
        <f>IFERROR(VLOOKUP(D512,'LEAID Match'!$A$2:$B$184,2,FALSE),"")</f>
        <v>3700116</v>
      </c>
    </row>
    <row r="513" spans="1:9" x14ac:dyDescent="0.2">
      <c r="A513">
        <f t="shared" si="7"/>
        <v>3700116</v>
      </c>
      <c r="B513" s="24">
        <v>2018</v>
      </c>
      <c r="C513" t="s">
        <v>166</v>
      </c>
      <c r="D513" t="s">
        <v>636</v>
      </c>
      <c r="E513" t="s">
        <v>636</v>
      </c>
      <c r="F513" s="11">
        <v>19804926</v>
      </c>
      <c r="G513" s="18">
        <v>1.7039999999999999E-4</v>
      </c>
      <c r="H513" s="11">
        <v>273134.33039999998</v>
      </c>
      <c r="I513" s="22">
        <f>IFERROR(VLOOKUP(D513,'LEAID Match'!$A$2:$B$184,2,FALSE),"")</f>
        <v>3700116</v>
      </c>
    </row>
    <row r="514" spans="1:9" x14ac:dyDescent="0.2">
      <c r="A514">
        <f t="shared" si="7"/>
        <v>3700116</v>
      </c>
      <c r="B514" s="24">
        <v>2019</v>
      </c>
      <c r="C514" t="s">
        <v>166</v>
      </c>
      <c r="D514" t="s">
        <v>636</v>
      </c>
      <c r="E514" t="s">
        <v>636</v>
      </c>
      <c r="F514" s="11">
        <v>20106113</v>
      </c>
      <c r="G514" s="18">
        <v>1.6689999999999999E-4</v>
      </c>
      <c r="H514" s="11">
        <v>319637.86739999999</v>
      </c>
      <c r="I514" s="22">
        <f>IFERROR(VLOOKUP(D514,'LEAID Match'!$A$2:$B$184,2,FALSE),"")</f>
        <v>3700116</v>
      </c>
    </row>
    <row r="515" spans="1:9" x14ac:dyDescent="0.2">
      <c r="A515">
        <f t="shared" ref="A515:A578" si="8">I515</f>
        <v>3700116</v>
      </c>
      <c r="B515" s="24">
        <v>2020</v>
      </c>
      <c r="C515" t="s">
        <v>166</v>
      </c>
      <c r="D515" t="s">
        <v>636</v>
      </c>
      <c r="E515" t="s">
        <v>636</v>
      </c>
      <c r="F515" s="11">
        <v>21374315</v>
      </c>
      <c r="G515" s="18">
        <v>1.7259999999999999E-4</v>
      </c>
      <c r="H515" s="11">
        <v>354705.94500000001</v>
      </c>
      <c r="I515" s="22">
        <f>IFERROR(VLOOKUP(D515,'LEAID Match'!$A$2:$B$184,2,FALSE),"")</f>
        <v>3700116</v>
      </c>
    </row>
    <row r="516" spans="1:9" x14ac:dyDescent="0.2">
      <c r="A516">
        <f t="shared" si="8"/>
        <v>3700116</v>
      </c>
      <c r="B516" s="24">
        <v>2021</v>
      </c>
      <c r="C516" t="s">
        <v>166</v>
      </c>
      <c r="D516" t="s">
        <v>636</v>
      </c>
      <c r="E516" t="s">
        <v>636</v>
      </c>
      <c r="F516" s="11">
        <v>22182989</v>
      </c>
      <c r="G516" s="18">
        <v>1.773E-4</v>
      </c>
      <c r="H516" s="11">
        <v>420777.5796</v>
      </c>
      <c r="I516" s="22">
        <f>IFERROR(VLOOKUP(D516,'LEAID Match'!$A$2:$B$184,2,FALSE),"")</f>
        <v>3700116</v>
      </c>
    </row>
    <row r="517" spans="1:9" x14ac:dyDescent="0.2">
      <c r="A517">
        <f t="shared" si="8"/>
        <v>3700116</v>
      </c>
      <c r="B517" s="24">
        <v>2022</v>
      </c>
      <c r="C517" t="s">
        <v>166</v>
      </c>
      <c r="D517" t="s">
        <v>636</v>
      </c>
      <c r="E517" t="s">
        <v>636</v>
      </c>
      <c r="F517" s="11">
        <v>23870982</v>
      </c>
      <c r="G517" s="18">
        <v>1.8929999999999999E-4</v>
      </c>
      <c r="H517" s="11">
        <v>522836.37779999996</v>
      </c>
      <c r="I517" s="22">
        <f>IFERROR(VLOOKUP(D517,'LEAID Match'!$A$2:$B$184,2,FALSE),"")</f>
        <v>3700116</v>
      </c>
    </row>
    <row r="518" spans="1:9" x14ac:dyDescent="0.2">
      <c r="A518">
        <f t="shared" si="8"/>
        <v>3700116</v>
      </c>
      <c r="B518" s="24">
        <v>2023</v>
      </c>
      <c r="C518" t="s">
        <v>166</v>
      </c>
      <c r="D518" t="s">
        <v>636</v>
      </c>
      <c r="E518" t="s">
        <v>636</v>
      </c>
      <c r="F518" s="11">
        <v>28524765</v>
      </c>
      <c r="G518" s="18">
        <v>2.1460000000000001E-4</v>
      </c>
      <c r="H518" s="11">
        <v>651288.89620000008</v>
      </c>
      <c r="I518" s="22">
        <f>IFERROR(VLOOKUP(D518,'LEAID Match'!$A$2:$B$184,2,FALSE),"")</f>
        <v>3700116</v>
      </c>
    </row>
    <row r="519" spans="1:9" x14ac:dyDescent="0.2">
      <c r="A519">
        <f t="shared" si="8"/>
        <v>3700050</v>
      </c>
      <c r="B519" s="24">
        <v>2015</v>
      </c>
      <c r="C519" t="s">
        <v>167</v>
      </c>
      <c r="D519" t="s">
        <v>637</v>
      </c>
      <c r="E519" t="s">
        <v>113</v>
      </c>
      <c r="F519" s="11">
        <v>21457450</v>
      </c>
      <c r="G519" s="18">
        <v>1.8760000000000001E-4</v>
      </c>
      <c r="H519" s="11">
        <v>236936.54880000002</v>
      </c>
      <c r="I519" s="22">
        <f>IFERROR(VLOOKUP(D519,'LEAID Match'!$A$2:$B$184,2,FALSE),"")</f>
        <v>3700050</v>
      </c>
    </row>
    <row r="520" spans="1:9" x14ac:dyDescent="0.2">
      <c r="A520">
        <f t="shared" si="8"/>
        <v>3700050</v>
      </c>
      <c r="B520" s="24">
        <v>2016</v>
      </c>
      <c r="C520" t="s">
        <v>167</v>
      </c>
      <c r="D520" t="s">
        <v>637</v>
      </c>
      <c r="E520" t="s">
        <v>637</v>
      </c>
      <c r="F520" s="11">
        <v>20246475</v>
      </c>
      <c r="G520" s="18">
        <v>1.8699999999999999E-4</v>
      </c>
      <c r="H520" s="11">
        <v>238425.56099999999</v>
      </c>
      <c r="I520" s="22">
        <f>IFERROR(VLOOKUP(D520,'LEAID Match'!$A$2:$B$184,2,FALSE),"")</f>
        <v>3700050</v>
      </c>
    </row>
    <row r="521" spans="1:9" x14ac:dyDescent="0.2">
      <c r="A521">
        <f t="shared" si="8"/>
        <v>3700050</v>
      </c>
      <c r="B521" s="24">
        <v>2017</v>
      </c>
      <c r="C521" t="s">
        <v>167</v>
      </c>
      <c r="D521" t="s">
        <v>637</v>
      </c>
      <c r="E521" t="s">
        <v>637</v>
      </c>
      <c r="F521" s="11">
        <v>23215779</v>
      </c>
      <c r="G521" s="18">
        <v>2.0809999999999999E-4</v>
      </c>
      <c r="H521" s="11">
        <v>299912.47139999998</v>
      </c>
      <c r="I521" s="22">
        <f>IFERROR(VLOOKUP(D521,'LEAID Match'!$A$2:$B$184,2,FALSE),"")</f>
        <v>3700050</v>
      </c>
    </row>
    <row r="522" spans="1:9" x14ac:dyDescent="0.2">
      <c r="A522">
        <f t="shared" si="8"/>
        <v>3700050</v>
      </c>
      <c r="B522" s="24">
        <v>2018</v>
      </c>
      <c r="C522" t="s">
        <v>167</v>
      </c>
      <c r="D522" t="s">
        <v>637</v>
      </c>
      <c r="E522" t="s">
        <v>637</v>
      </c>
      <c r="F522" s="11">
        <v>25759722</v>
      </c>
      <c r="G522" s="18">
        <v>2.2169999999999999E-4</v>
      </c>
      <c r="H522" s="11">
        <v>355363.15169999999</v>
      </c>
      <c r="I522" s="22">
        <f>IFERROR(VLOOKUP(D522,'LEAID Match'!$A$2:$B$184,2,FALSE),"")</f>
        <v>3700050</v>
      </c>
    </row>
    <row r="523" spans="1:9" x14ac:dyDescent="0.2">
      <c r="A523">
        <f t="shared" si="8"/>
        <v>3700050</v>
      </c>
      <c r="B523" s="24">
        <v>2019</v>
      </c>
      <c r="C523" t="s">
        <v>167</v>
      </c>
      <c r="D523" t="s">
        <v>637</v>
      </c>
      <c r="E523" t="s">
        <v>637</v>
      </c>
      <c r="F523" s="11">
        <v>26112306</v>
      </c>
      <c r="G523" s="18">
        <v>2.1670000000000001E-4</v>
      </c>
      <c r="H523" s="11">
        <v>415012.13820000004</v>
      </c>
      <c r="I523" s="22">
        <f>IFERROR(VLOOKUP(D523,'LEAID Match'!$A$2:$B$184,2,FALSE),"")</f>
        <v>3700050</v>
      </c>
    </row>
    <row r="524" spans="1:9" x14ac:dyDescent="0.2">
      <c r="A524">
        <f t="shared" si="8"/>
        <v>3700050</v>
      </c>
      <c r="B524" s="24">
        <v>2020</v>
      </c>
      <c r="C524" t="s">
        <v>167</v>
      </c>
      <c r="D524" t="s">
        <v>637</v>
      </c>
      <c r="E524" t="s">
        <v>637</v>
      </c>
      <c r="F524" s="11">
        <v>29566792</v>
      </c>
      <c r="G524" s="18">
        <v>2.387E-4</v>
      </c>
      <c r="H524" s="11">
        <v>490546.40250000003</v>
      </c>
      <c r="I524" s="22">
        <f>IFERROR(VLOOKUP(D524,'LEAID Match'!$A$2:$B$184,2,FALSE),"")</f>
        <v>3700050</v>
      </c>
    </row>
    <row r="525" spans="1:9" x14ac:dyDescent="0.2">
      <c r="A525">
        <f t="shared" si="8"/>
        <v>3700050</v>
      </c>
      <c r="B525" s="24">
        <v>2021</v>
      </c>
      <c r="C525" t="s">
        <v>167</v>
      </c>
      <c r="D525" t="s">
        <v>637</v>
      </c>
      <c r="E525" t="s">
        <v>637</v>
      </c>
      <c r="F525" s="11">
        <v>28710847</v>
      </c>
      <c r="G525" s="18">
        <v>2.2939999999999999E-4</v>
      </c>
      <c r="H525" s="11">
        <v>544424.00879999995</v>
      </c>
      <c r="I525" s="22">
        <f>IFERROR(VLOOKUP(D525,'LEAID Match'!$A$2:$B$184,2,FALSE),"")</f>
        <v>3700050</v>
      </c>
    </row>
    <row r="526" spans="1:9" x14ac:dyDescent="0.2">
      <c r="A526">
        <f t="shared" si="8"/>
        <v>3700050</v>
      </c>
      <c r="B526" s="24">
        <v>2022</v>
      </c>
      <c r="C526" t="s">
        <v>167</v>
      </c>
      <c r="D526" t="s">
        <v>637</v>
      </c>
      <c r="E526" t="s">
        <v>637</v>
      </c>
      <c r="F526" s="11">
        <v>28927647</v>
      </c>
      <c r="G526" s="18">
        <v>2.2939999999999999E-4</v>
      </c>
      <c r="H526" s="11">
        <v>633590.41240000003</v>
      </c>
      <c r="I526" s="22">
        <f>IFERROR(VLOOKUP(D526,'LEAID Match'!$A$2:$B$184,2,FALSE),"")</f>
        <v>3700050</v>
      </c>
    </row>
    <row r="527" spans="1:9" x14ac:dyDescent="0.2">
      <c r="A527">
        <f t="shared" si="8"/>
        <v>3700050</v>
      </c>
      <c r="B527" s="24">
        <v>2023</v>
      </c>
      <c r="C527" t="s">
        <v>167</v>
      </c>
      <c r="D527" t="s">
        <v>637</v>
      </c>
      <c r="E527" t="s">
        <v>637</v>
      </c>
      <c r="F527" s="11">
        <v>30658371</v>
      </c>
      <c r="G527" s="18">
        <v>2.307E-4</v>
      </c>
      <c r="H527" s="11">
        <v>700150.73789999995</v>
      </c>
      <c r="I527" s="22">
        <f>IFERROR(VLOOKUP(D527,'LEAID Match'!$A$2:$B$184,2,FALSE),"")</f>
        <v>3700050</v>
      </c>
    </row>
    <row r="528" spans="1:9" x14ac:dyDescent="0.2">
      <c r="A528">
        <f t="shared" si="8"/>
        <v>3700132</v>
      </c>
      <c r="B528" s="24">
        <v>2015</v>
      </c>
      <c r="C528" t="s">
        <v>168</v>
      </c>
      <c r="D528" t="s">
        <v>638</v>
      </c>
      <c r="E528" t="s">
        <v>114</v>
      </c>
      <c r="F528" s="11">
        <v>9918125</v>
      </c>
      <c r="G528" s="18">
        <v>8.6700000000000007E-5</v>
      </c>
      <c r="H528" s="11">
        <v>109501.05960000001</v>
      </c>
      <c r="I528" s="22">
        <f>IFERROR(VLOOKUP(D528,'LEAID Match'!$A$2:$B$184,2,FALSE),"")</f>
        <v>3700132</v>
      </c>
    </row>
    <row r="529" spans="1:9" x14ac:dyDescent="0.2">
      <c r="A529">
        <f t="shared" si="8"/>
        <v>3700132</v>
      </c>
      <c r="B529" s="24">
        <v>2016</v>
      </c>
      <c r="C529" t="s">
        <v>168</v>
      </c>
      <c r="D529" t="s">
        <v>638</v>
      </c>
      <c r="E529" t="s">
        <v>638</v>
      </c>
      <c r="F529" s="11">
        <v>11707669</v>
      </c>
      <c r="G529" s="18">
        <v>1.081E-4</v>
      </c>
      <c r="H529" s="11">
        <v>137827.82430000001</v>
      </c>
      <c r="I529" s="22">
        <f>IFERROR(VLOOKUP(D529,'LEAID Match'!$A$2:$B$184,2,FALSE),"")</f>
        <v>3700132</v>
      </c>
    </row>
    <row r="530" spans="1:9" x14ac:dyDescent="0.2">
      <c r="A530">
        <f t="shared" si="8"/>
        <v>3700132</v>
      </c>
      <c r="B530" s="24">
        <v>2017</v>
      </c>
      <c r="C530" t="s">
        <v>168</v>
      </c>
      <c r="D530" t="s">
        <v>638</v>
      </c>
      <c r="E530" t="s">
        <v>638</v>
      </c>
      <c r="F530" s="11">
        <v>14492454</v>
      </c>
      <c r="G530" s="18">
        <v>1.2990000000000001E-4</v>
      </c>
      <c r="H530" s="11">
        <v>187211.10060000001</v>
      </c>
      <c r="I530" s="22">
        <f>IFERROR(VLOOKUP(D530,'LEAID Match'!$A$2:$B$184,2,FALSE),"")</f>
        <v>3700132</v>
      </c>
    </row>
    <row r="531" spans="1:9" x14ac:dyDescent="0.2">
      <c r="A531">
        <f t="shared" si="8"/>
        <v>3700132</v>
      </c>
      <c r="B531" s="24">
        <v>2018</v>
      </c>
      <c r="C531" t="s">
        <v>168</v>
      </c>
      <c r="D531" t="s">
        <v>638</v>
      </c>
      <c r="E531" t="s">
        <v>638</v>
      </c>
      <c r="F531" s="11">
        <v>15585286</v>
      </c>
      <c r="G531" s="18">
        <v>1.3410000000000001E-4</v>
      </c>
      <c r="H531" s="11">
        <v>214949.02410000001</v>
      </c>
      <c r="I531" s="22">
        <f>IFERROR(VLOOKUP(D531,'LEAID Match'!$A$2:$B$184,2,FALSE),"")</f>
        <v>3700132</v>
      </c>
    </row>
    <row r="532" spans="1:9" x14ac:dyDescent="0.2">
      <c r="A532">
        <f t="shared" si="8"/>
        <v>3700132</v>
      </c>
      <c r="B532" s="24">
        <v>2019</v>
      </c>
      <c r="C532" t="s">
        <v>168</v>
      </c>
      <c r="D532" t="s">
        <v>638</v>
      </c>
      <c r="E532" t="s">
        <v>638</v>
      </c>
      <c r="F532" s="11">
        <v>14301877</v>
      </c>
      <c r="G532" s="18">
        <v>1.187E-4</v>
      </c>
      <c r="H532" s="11">
        <v>227327.8302</v>
      </c>
      <c r="I532" s="22">
        <f>IFERROR(VLOOKUP(D532,'LEAID Match'!$A$2:$B$184,2,FALSE),"")</f>
        <v>3700132</v>
      </c>
    </row>
    <row r="533" spans="1:9" x14ac:dyDescent="0.2">
      <c r="A533">
        <f t="shared" si="8"/>
        <v>3700132</v>
      </c>
      <c r="B533" s="24">
        <v>2020</v>
      </c>
      <c r="C533" t="s">
        <v>168</v>
      </c>
      <c r="D533" t="s">
        <v>638</v>
      </c>
      <c r="E533" t="s">
        <v>638</v>
      </c>
      <c r="F533" s="11">
        <v>14402959</v>
      </c>
      <c r="G533" s="18">
        <v>1.1629999999999999E-4</v>
      </c>
      <c r="H533" s="11">
        <v>239005.22249999997</v>
      </c>
      <c r="I533" s="22">
        <f>IFERROR(VLOOKUP(D533,'LEAID Match'!$A$2:$B$184,2,FALSE),"")</f>
        <v>3700132</v>
      </c>
    </row>
    <row r="534" spans="1:9" x14ac:dyDescent="0.2">
      <c r="A534">
        <f t="shared" si="8"/>
        <v>3700132</v>
      </c>
      <c r="B534" s="24">
        <v>2021</v>
      </c>
      <c r="C534" t="s">
        <v>168</v>
      </c>
      <c r="D534" t="s">
        <v>638</v>
      </c>
      <c r="E534" t="s">
        <v>638</v>
      </c>
      <c r="F534" s="11">
        <v>15479671</v>
      </c>
      <c r="G534" s="18">
        <v>1.237E-4</v>
      </c>
      <c r="H534" s="11">
        <v>293571.27240000002</v>
      </c>
      <c r="I534" s="22">
        <f>IFERROR(VLOOKUP(D534,'LEAID Match'!$A$2:$B$184,2,FALSE),"")</f>
        <v>3700132</v>
      </c>
    </row>
    <row r="535" spans="1:9" x14ac:dyDescent="0.2">
      <c r="A535">
        <f t="shared" si="8"/>
        <v>3700132</v>
      </c>
      <c r="B535" s="24">
        <v>2022</v>
      </c>
      <c r="C535" t="s">
        <v>168</v>
      </c>
      <c r="D535" t="s">
        <v>638</v>
      </c>
      <c r="E535" t="s">
        <v>638</v>
      </c>
      <c r="F535" s="11">
        <v>23353789</v>
      </c>
      <c r="G535" s="18">
        <v>1.852E-4</v>
      </c>
      <c r="H535" s="11">
        <v>511512.39919999999</v>
      </c>
      <c r="I535" s="22">
        <f>IFERROR(VLOOKUP(D535,'LEAID Match'!$A$2:$B$184,2,FALSE),"")</f>
        <v>3700132</v>
      </c>
    </row>
    <row r="536" spans="1:9" x14ac:dyDescent="0.2">
      <c r="A536">
        <f t="shared" si="8"/>
        <v>3700132</v>
      </c>
      <c r="B536" s="24">
        <v>2023</v>
      </c>
      <c r="C536" t="s">
        <v>168</v>
      </c>
      <c r="D536" t="s">
        <v>638</v>
      </c>
      <c r="E536" t="s">
        <v>638</v>
      </c>
      <c r="F536" s="11">
        <v>24514084</v>
      </c>
      <c r="G536" s="18">
        <v>1.8450000000000001E-4</v>
      </c>
      <c r="H536" s="11">
        <v>559938.49650000001</v>
      </c>
      <c r="I536" s="22">
        <f>IFERROR(VLOOKUP(D536,'LEAID Match'!$A$2:$B$184,2,FALSE),"")</f>
        <v>3700132</v>
      </c>
    </row>
    <row r="537" spans="1:9" x14ac:dyDescent="0.2">
      <c r="A537" t="str">
        <f t="shared" si="8"/>
        <v/>
      </c>
      <c r="B537" s="24">
        <v>2015</v>
      </c>
      <c r="C537" t="s">
        <v>169</v>
      </c>
      <c r="D537" t="s">
        <v>639</v>
      </c>
      <c r="E537" t="s">
        <v>115</v>
      </c>
      <c r="F537" s="11">
        <v>93608175</v>
      </c>
      <c r="G537" s="18">
        <v>8.1840000000000005E-4</v>
      </c>
      <c r="H537" s="11">
        <v>1033629.3792000001</v>
      </c>
      <c r="I537" s="22" t="str">
        <f>IFERROR(VLOOKUP(D537,'LEAID Match'!$A$2:$B$184,2,FALSE),"")</f>
        <v/>
      </c>
    </row>
    <row r="538" spans="1:9" x14ac:dyDescent="0.2">
      <c r="A538" t="str">
        <f t="shared" si="8"/>
        <v/>
      </c>
      <c r="B538" s="24">
        <v>2016</v>
      </c>
      <c r="C538" t="s">
        <v>169</v>
      </c>
      <c r="D538" t="s">
        <v>639</v>
      </c>
      <c r="E538" t="s">
        <v>639</v>
      </c>
      <c r="F538" s="11">
        <v>92393543</v>
      </c>
      <c r="G538" s="18">
        <v>8.5320000000000003E-4</v>
      </c>
      <c r="H538" s="11">
        <v>1087832.5596</v>
      </c>
      <c r="I538" s="22" t="str">
        <f>IFERROR(VLOOKUP(D538,'LEAID Match'!$A$2:$B$184,2,FALSE),"")</f>
        <v/>
      </c>
    </row>
    <row r="539" spans="1:9" x14ac:dyDescent="0.2">
      <c r="A539" t="str">
        <f t="shared" si="8"/>
        <v/>
      </c>
      <c r="B539" s="24">
        <v>2017</v>
      </c>
      <c r="C539" t="s">
        <v>169</v>
      </c>
      <c r="D539" t="s">
        <v>639</v>
      </c>
      <c r="E539" t="s">
        <v>639</v>
      </c>
      <c r="F539" s="11">
        <v>103332063</v>
      </c>
      <c r="G539" s="18">
        <v>9.2610000000000001E-4</v>
      </c>
      <c r="H539" s="11">
        <v>1334689.7634000001</v>
      </c>
      <c r="I539" s="22" t="str">
        <f>IFERROR(VLOOKUP(D539,'LEAID Match'!$A$2:$B$184,2,FALSE),"")</f>
        <v/>
      </c>
    </row>
    <row r="540" spans="1:9" x14ac:dyDescent="0.2">
      <c r="A540" t="str">
        <f t="shared" si="8"/>
        <v/>
      </c>
      <c r="B540" s="24">
        <v>2018</v>
      </c>
      <c r="C540" t="s">
        <v>169</v>
      </c>
      <c r="D540" t="s">
        <v>639</v>
      </c>
      <c r="E540" t="s">
        <v>639</v>
      </c>
      <c r="F540" s="11">
        <v>109283024</v>
      </c>
      <c r="G540" s="18">
        <v>9.4039999999999998E-4</v>
      </c>
      <c r="H540" s="11">
        <v>1507368.1003999999</v>
      </c>
      <c r="I540" s="22" t="str">
        <f>IFERROR(VLOOKUP(D540,'LEAID Match'!$A$2:$B$184,2,FALSE),"")</f>
        <v/>
      </c>
    </row>
    <row r="541" spans="1:9" x14ac:dyDescent="0.2">
      <c r="A541" t="str">
        <f t="shared" si="8"/>
        <v/>
      </c>
      <c r="B541" s="24">
        <v>2019</v>
      </c>
      <c r="C541" t="s">
        <v>169</v>
      </c>
      <c r="D541" t="s">
        <v>639</v>
      </c>
      <c r="E541" t="s">
        <v>639</v>
      </c>
      <c r="F541" s="11">
        <v>107795042</v>
      </c>
      <c r="G541" s="18">
        <v>8.9470000000000001E-4</v>
      </c>
      <c r="H541" s="11">
        <v>1713481.1262000001</v>
      </c>
      <c r="I541" s="22" t="str">
        <f>IFERROR(VLOOKUP(D541,'LEAID Match'!$A$2:$B$184,2,FALSE),"")</f>
        <v/>
      </c>
    </row>
    <row r="542" spans="1:9" x14ac:dyDescent="0.2">
      <c r="A542" t="str">
        <f t="shared" si="8"/>
        <v/>
      </c>
      <c r="B542" s="24">
        <v>2020</v>
      </c>
      <c r="C542" t="s">
        <v>169</v>
      </c>
      <c r="D542" t="s">
        <v>639</v>
      </c>
      <c r="E542" t="s">
        <v>639</v>
      </c>
      <c r="F542" s="11">
        <v>105053171</v>
      </c>
      <c r="G542" s="18">
        <v>8.4809999999999996E-4</v>
      </c>
      <c r="H542" s="11">
        <v>1742909.1074999999</v>
      </c>
      <c r="I542" s="22" t="str">
        <f>IFERROR(VLOOKUP(D542,'LEAID Match'!$A$2:$B$184,2,FALSE),"")</f>
        <v/>
      </c>
    </row>
    <row r="543" spans="1:9" x14ac:dyDescent="0.2">
      <c r="A543" t="str">
        <f t="shared" si="8"/>
        <v/>
      </c>
      <c r="B543" s="24">
        <v>2021</v>
      </c>
      <c r="C543" t="s">
        <v>169</v>
      </c>
      <c r="D543" t="s">
        <v>639</v>
      </c>
      <c r="E543" t="s">
        <v>639</v>
      </c>
      <c r="F543" s="11">
        <v>102994289</v>
      </c>
      <c r="G543" s="18">
        <v>8.2299999999999995E-4</v>
      </c>
      <c r="H543" s="11">
        <v>1953186.3959999999</v>
      </c>
      <c r="I543" s="22" t="str">
        <f>IFERROR(VLOOKUP(D543,'LEAID Match'!$A$2:$B$184,2,FALSE),"")</f>
        <v/>
      </c>
    </row>
    <row r="544" spans="1:9" x14ac:dyDescent="0.2">
      <c r="A544" t="str">
        <f t="shared" si="8"/>
        <v/>
      </c>
      <c r="B544" s="24">
        <v>2022</v>
      </c>
      <c r="C544" t="s">
        <v>169</v>
      </c>
      <c r="D544" t="s">
        <v>639</v>
      </c>
      <c r="E544" t="s">
        <v>639</v>
      </c>
      <c r="F544" s="11">
        <v>104152176</v>
      </c>
      <c r="G544" s="18">
        <v>8.2580000000000001E-4</v>
      </c>
      <c r="H544" s="11">
        <v>2280815.0068000001</v>
      </c>
      <c r="I544" s="22" t="str">
        <f>IFERROR(VLOOKUP(D544,'LEAID Match'!$A$2:$B$184,2,FALSE),"")</f>
        <v/>
      </c>
    </row>
    <row r="545" spans="1:9" x14ac:dyDescent="0.2">
      <c r="A545" t="str">
        <f t="shared" si="8"/>
        <v/>
      </c>
      <c r="B545" s="24">
        <v>2023</v>
      </c>
      <c r="C545" t="s">
        <v>169</v>
      </c>
      <c r="D545" t="s">
        <v>639</v>
      </c>
      <c r="E545" t="s">
        <v>639</v>
      </c>
      <c r="F545" s="11">
        <v>107055058</v>
      </c>
      <c r="G545" s="18">
        <v>8.0550000000000001E-4</v>
      </c>
      <c r="H545" s="11">
        <v>2444609.5334999999</v>
      </c>
      <c r="I545" s="22" t="str">
        <f>IFERROR(VLOOKUP(D545,'LEAID Match'!$A$2:$B$184,2,FALSE),"")</f>
        <v/>
      </c>
    </row>
    <row r="546" spans="1:9" x14ac:dyDescent="0.2">
      <c r="A546">
        <f t="shared" si="8"/>
        <v>3700090</v>
      </c>
      <c r="B546" s="24">
        <v>2015</v>
      </c>
      <c r="C546" t="s">
        <v>170</v>
      </c>
      <c r="D546" t="s">
        <v>640</v>
      </c>
      <c r="E546" t="s">
        <v>116</v>
      </c>
      <c r="F546" s="11">
        <v>230783926</v>
      </c>
      <c r="G546" s="18">
        <v>2.0178000000000001E-3</v>
      </c>
      <c r="H546" s="11">
        <v>2548457.1864</v>
      </c>
      <c r="I546" s="22">
        <f>IFERROR(VLOOKUP(D546,'LEAID Match'!$A$2:$B$184,2,FALSE),"")</f>
        <v>3700090</v>
      </c>
    </row>
    <row r="547" spans="1:9" x14ac:dyDescent="0.2">
      <c r="A547">
        <f t="shared" si="8"/>
        <v>3700090</v>
      </c>
      <c r="B547" s="24">
        <v>2016</v>
      </c>
      <c r="C547" t="s">
        <v>170</v>
      </c>
      <c r="D547" t="s">
        <v>640</v>
      </c>
      <c r="E547" t="s">
        <v>640</v>
      </c>
      <c r="F547" s="11">
        <v>211656008</v>
      </c>
      <c r="G547" s="18">
        <v>1.9545000000000001E-3</v>
      </c>
      <c r="H547" s="11">
        <v>2491993.3635</v>
      </c>
      <c r="I547" s="22">
        <f>IFERROR(VLOOKUP(D547,'LEAID Match'!$A$2:$B$184,2,FALSE),"")</f>
        <v>3700090</v>
      </c>
    </row>
    <row r="548" spans="1:9" x14ac:dyDescent="0.2">
      <c r="A548">
        <f t="shared" si="8"/>
        <v>3700090</v>
      </c>
      <c r="B548" s="24">
        <v>2017</v>
      </c>
      <c r="C548" t="s">
        <v>170</v>
      </c>
      <c r="D548" t="s">
        <v>640</v>
      </c>
      <c r="E548" t="s">
        <v>640</v>
      </c>
      <c r="F548" s="11">
        <v>217932511</v>
      </c>
      <c r="G548" s="18">
        <v>1.9530999999999999E-3</v>
      </c>
      <c r="H548" s="11">
        <v>2814796.0014</v>
      </c>
      <c r="I548" s="22">
        <f>IFERROR(VLOOKUP(D548,'LEAID Match'!$A$2:$B$184,2,FALSE),"")</f>
        <v>3700090</v>
      </c>
    </row>
    <row r="549" spans="1:9" x14ac:dyDescent="0.2">
      <c r="A549">
        <f t="shared" si="8"/>
        <v>3700090</v>
      </c>
      <c r="B549" s="24">
        <v>2018</v>
      </c>
      <c r="C549" t="s">
        <v>170</v>
      </c>
      <c r="D549" t="s">
        <v>640</v>
      </c>
      <c r="E549" t="s">
        <v>640</v>
      </c>
      <c r="F549" s="11">
        <v>226487664</v>
      </c>
      <c r="G549" s="18">
        <v>1.949E-3</v>
      </c>
      <c r="H549" s="11">
        <v>3124054.0490000001</v>
      </c>
      <c r="I549" s="22">
        <f>IFERROR(VLOOKUP(D549,'LEAID Match'!$A$2:$B$184,2,FALSE),"")</f>
        <v>3700090</v>
      </c>
    </row>
    <row r="550" spans="1:9" x14ac:dyDescent="0.2">
      <c r="A550">
        <f t="shared" si="8"/>
        <v>3700090</v>
      </c>
      <c r="B550" s="24">
        <v>2019</v>
      </c>
      <c r="C550" t="s">
        <v>170</v>
      </c>
      <c r="D550" t="s">
        <v>640</v>
      </c>
      <c r="E550" t="s">
        <v>640</v>
      </c>
      <c r="F550" s="11">
        <v>233238942</v>
      </c>
      <c r="G550" s="18">
        <v>1.9358999999999999E-3</v>
      </c>
      <c r="H550" s="11">
        <v>3707531.1414000001</v>
      </c>
      <c r="I550" s="22">
        <f>IFERROR(VLOOKUP(D550,'LEAID Match'!$A$2:$B$184,2,FALSE),"")</f>
        <v>3700090</v>
      </c>
    </row>
    <row r="551" spans="1:9" x14ac:dyDescent="0.2">
      <c r="A551">
        <f t="shared" si="8"/>
        <v>3700090</v>
      </c>
      <c r="B551" s="24">
        <v>2020</v>
      </c>
      <c r="C551" t="s">
        <v>170</v>
      </c>
      <c r="D551" t="s">
        <v>640</v>
      </c>
      <c r="E551" t="s">
        <v>640</v>
      </c>
      <c r="F551" s="11">
        <v>237527075</v>
      </c>
      <c r="G551" s="18">
        <v>1.9174999999999999E-3</v>
      </c>
      <c r="H551" s="11">
        <v>3940606.3125</v>
      </c>
      <c r="I551" s="22">
        <f>IFERROR(VLOOKUP(D551,'LEAID Match'!$A$2:$B$184,2,FALSE),"")</f>
        <v>3700090</v>
      </c>
    </row>
    <row r="552" spans="1:9" x14ac:dyDescent="0.2">
      <c r="A552">
        <f t="shared" si="8"/>
        <v>3700090</v>
      </c>
      <c r="B552" s="24">
        <v>2021</v>
      </c>
      <c r="C552" t="s">
        <v>170</v>
      </c>
      <c r="D552" t="s">
        <v>640</v>
      </c>
      <c r="E552" t="s">
        <v>640</v>
      </c>
      <c r="F552" s="11">
        <v>230959412</v>
      </c>
      <c r="G552" s="18">
        <v>1.8454999999999999E-3</v>
      </c>
      <c r="H552" s="11">
        <v>4379836.5659999996</v>
      </c>
      <c r="I552" s="22">
        <f>IFERROR(VLOOKUP(D552,'LEAID Match'!$A$2:$B$184,2,FALSE),"")</f>
        <v>3700090</v>
      </c>
    </row>
    <row r="553" spans="1:9" x14ac:dyDescent="0.2">
      <c r="A553">
        <f t="shared" si="8"/>
        <v>3700090</v>
      </c>
      <c r="B553" s="24">
        <v>2022</v>
      </c>
      <c r="C553" t="s">
        <v>170</v>
      </c>
      <c r="D553" t="s">
        <v>640</v>
      </c>
      <c r="E553" t="s">
        <v>640</v>
      </c>
      <c r="F553" s="11">
        <v>246437361</v>
      </c>
      <c r="G553" s="18">
        <v>1.954E-3</v>
      </c>
      <c r="H553" s="11">
        <v>5396842.4840000002</v>
      </c>
      <c r="I553" s="22">
        <f>IFERROR(VLOOKUP(D553,'LEAID Match'!$A$2:$B$184,2,FALSE),"")</f>
        <v>3700090</v>
      </c>
    </row>
    <row r="554" spans="1:9" x14ac:dyDescent="0.2">
      <c r="A554">
        <f t="shared" si="8"/>
        <v>3700090</v>
      </c>
      <c r="B554" s="24">
        <v>2023</v>
      </c>
      <c r="C554" t="s">
        <v>170</v>
      </c>
      <c r="D554" t="s">
        <v>640</v>
      </c>
      <c r="E554" t="s">
        <v>640</v>
      </c>
      <c r="F554" s="11">
        <v>250424582</v>
      </c>
      <c r="G554" s="18">
        <v>1.8843E-3</v>
      </c>
      <c r="H554" s="11">
        <v>5718656.4171000002</v>
      </c>
      <c r="I554" s="22">
        <f>IFERROR(VLOOKUP(D554,'LEAID Match'!$A$2:$B$184,2,FALSE),"")</f>
        <v>3700090</v>
      </c>
    </row>
    <row r="555" spans="1:9" x14ac:dyDescent="0.2">
      <c r="A555">
        <f t="shared" si="8"/>
        <v>3700120</v>
      </c>
      <c r="B555" s="24">
        <v>2015</v>
      </c>
      <c r="C555" t="s">
        <v>171</v>
      </c>
      <c r="D555" t="s">
        <v>641</v>
      </c>
      <c r="E555" t="s">
        <v>117</v>
      </c>
      <c r="F555" s="11">
        <v>77024316</v>
      </c>
      <c r="G555" s="18">
        <v>6.734E-4</v>
      </c>
      <c r="H555" s="11">
        <v>850496.11919999996</v>
      </c>
      <c r="I555" s="22">
        <f>IFERROR(VLOOKUP(D555,'LEAID Match'!$A$2:$B$184,2,FALSE),"")</f>
        <v>3700120</v>
      </c>
    </row>
    <row r="556" spans="1:9" x14ac:dyDescent="0.2">
      <c r="A556">
        <f t="shared" si="8"/>
        <v>3700120</v>
      </c>
      <c r="B556" s="24">
        <v>2016</v>
      </c>
      <c r="C556" t="s">
        <v>171</v>
      </c>
      <c r="D556" t="s">
        <v>641</v>
      </c>
      <c r="E556" t="s">
        <v>641</v>
      </c>
      <c r="F556" s="11">
        <v>73695726</v>
      </c>
      <c r="G556" s="18">
        <v>6.8050000000000001E-4</v>
      </c>
      <c r="H556" s="11">
        <v>867639.54150000005</v>
      </c>
      <c r="I556" s="22">
        <f>IFERROR(VLOOKUP(D556,'LEAID Match'!$A$2:$B$184,2,FALSE),"")</f>
        <v>3700120</v>
      </c>
    </row>
    <row r="557" spans="1:9" x14ac:dyDescent="0.2">
      <c r="A557">
        <f t="shared" si="8"/>
        <v>3700120</v>
      </c>
      <c r="B557" s="24">
        <v>2017</v>
      </c>
      <c r="C557" t="s">
        <v>171</v>
      </c>
      <c r="D557" t="s">
        <v>641</v>
      </c>
      <c r="E557" t="s">
        <v>641</v>
      </c>
      <c r="F557" s="11">
        <v>70607599</v>
      </c>
      <c r="G557" s="18">
        <v>6.3279999999999999E-4</v>
      </c>
      <c r="H557" s="11">
        <v>911987.56319999998</v>
      </c>
      <c r="I557" s="22">
        <f>IFERROR(VLOOKUP(D557,'LEAID Match'!$A$2:$B$184,2,FALSE),"")</f>
        <v>3700120</v>
      </c>
    </row>
    <row r="558" spans="1:9" x14ac:dyDescent="0.2">
      <c r="A558">
        <f t="shared" si="8"/>
        <v>3700120</v>
      </c>
      <c r="B558" s="24">
        <v>2018</v>
      </c>
      <c r="C558" t="s">
        <v>171</v>
      </c>
      <c r="D558" t="s">
        <v>641</v>
      </c>
      <c r="E558" t="s">
        <v>641</v>
      </c>
      <c r="F558" s="11">
        <v>73509724</v>
      </c>
      <c r="G558" s="18">
        <v>6.3259999999999998E-4</v>
      </c>
      <c r="H558" s="11">
        <v>1013995.1725999999</v>
      </c>
      <c r="I558" s="22">
        <f>IFERROR(VLOOKUP(D558,'LEAID Match'!$A$2:$B$184,2,FALSE),"")</f>
        <v>3700120</v>
      </c>
    </row>
    <row r="559" spans="1:9" x14ac:dyDescent="0.2">
      <c r="A559">
        <f t="shared" si="8"/>
        <v>3700120</v>
      </c>
      <c r="B559" s="24">
        <v>2019</v>
      </c>
      <c r="C559" t="s">
        <v>171</v>
      </c>
      <c r="D559" t="s">
        <v>641</v>
      </c>
      <c r="E559" t="s">
        <v>641</v>
      </c>
      <c r="F559" s="11">
        <v>76882897</v>
      </c>
      <c r="G559" s="18">
        <v>6.3809999999999995E-4</v>
      </c>
      <c r="H559" s="11">
        <v>1222054.6625999999</v>
      </c>
      <c r="I559" s="22">
        <f>IFERROR(VLOOKUP(D559,'LEAID Match'!$A$2:$B$184,2,FALSE),"")</f>
        <v>3700120</v>
      </c>
    </row>
    <row r="560" spans="1:9" x14ac:dyDescent="0.2">
      <c r="A560">
        <f t="shared" si="8"/>
        <v>3700120</v>
      </c>
      <c r="B560" s="24">
        <v>2020</v>
      </c>
      <c r="C560" t="s">
        <v>171</v>
      </c>
      <c r="D560" t="s">
        <v>641</v>
      </c>
      <c r="E560" t="s">
        <v>641</v>
      </c>
      <c r="F560" s="11">
        <v>76928996</v>
      </c>
      <c r="G560" s="18">
        <v>6.2100000000000002E-4</v>
      </c>
      <c r="H560" s="11">
        <v>1276201.575</v>
      </c>
      <c r="I560" s="22">
        <f>IFERROR(VLOOKUP(D560,'LEAID Match'!$A$2:$B$184,2,FALSE),"")</f>
        <v>3700120</v>
      </c>
    </row>
    <row r="561" spans="1:9" x14ac:dyDescent="0.2">
      <c r="A561">
        <f t="shared" si="8"/>
        <v>3700120</v>
      </c>
      <c r="B561" s="24">
        <v>2021</v>
      </c>
      <c r="C561" t="s">
        <v>171</v>
      </c>
      <c r="D561" t="s">
        <v>641</v>
      </c>
      <c r="E561" t="s">
        <v>641</v>
      </c>
      <c r="F561" s="11">
        <v>75320971</v>
      </c>
      <c r="G561" s="18">
        <v>6.0179999999999999E-4</v>
      </c>
      <c r="H561" s="11">
        <v>1428223.0536</v>
      </c>
      <c r="I561" s="22">
        <f>IFERROR(VLOOKUP(D561,'LEAID Match'!$A$2:$B$184,2,FALSE),"")</f>
        <v>3700120</v>
      </c>
    </row>
    <row r="562" spans="1:9" x14ac:dyDescent="0.2">
      <c r="A562">
        <f t="shared" si="8"/>
        <v>3700120</v>
      </c>
      <c r="B562" s="24">
        <v>2022</v>
      </c>
      <c r="C562" t="s">
        <v>171</v>
      </c>
      <c r="D562" t="s">
        <v>641</v>
      </c>
      <c r="E562" t="s">
        <v>641</v>
      </c>
      <c r="F562" s="11">
        <v>76684486</v>
      </c>
      <c r="G562" s="18">
        <v>6.0800000000000003E-4</v>
      </c>
      <c r="H562" s="11">
        <v>1679263.1680000001</v>
      </c>
      <c r="I562" s="22">
        <f>IFERROR(VLOOKUP(D562,'LEAID Match'!$A$2:$B$184,2,FALSE),"")</f>
        <v>3700120</v>
      </c>
    </row>
    <row r="563" spans="1:9" x14ac:dyDescent="0.2">
      <c r="A563">
        <f t="shared" si="8"/>
        <v>3700120</v>
      </c>
      <c r="B563" s="24">
        <v>2023</v>
      </c>
      <c r="C563" t="s">
        <v>171</v>
      </c>
      <c r="D563" t="s">
        <v>641</v>
      </c>
      <c r="E563" t="s">
        <v>641</v>
      </c>
      <c r="F563" s="11">
        <v>87793572</v>
      </c>
      <c r="G563" s="18">
        <v>6.6060000000000001E-4</v>
      </c>
      <c r="H563" s="11">
        <v>2004852.9582</v>
      </c>
      <c r="I563" s="22">
        <f>IFERROR(VLOOKUP(D563,'LEAID Match'!$A$2:$B$184,2,FALSE),"")</f>
        <v>3700120</v>
      </c>
    </row>
    <row r="564" spans="1:9" x14ac:dyDescent="0.2">
      <c r="A564">
        <f t="shared" si="8"/>
        <v>3700180</v>
      </c>
      <c r="B564" s="24">
        <v>2015</v>
      </c>
      <c r="C564" t="s">
        <v>172</v>
      </c>
      <c r="D564" t="s">
        <v>642</v>
      </c>
      <c r="E564" t="s">
        <v>118</v>
      </c>
      <c r="F564" s="11">
        <v>151119843</v>
      </c>
      <c r="G564" s="18">
        <v>1.3213000000000001E-3</v>
      </c>
      <c r="H564" s="11">
        <v>1668786.0444</v>
      </c>
      <c r="I564" s="22">
        <f>IFERROR(VLOOKUP(D564,'LEAID Match'!$A$2:$B$184,2,FALSE),"")</f>
        <v>3700180</v>
      </c>
    </row>
    <row r="565" spans="1:9" x14ac:dyDescent="0.2">
      <c r="A565">
        <f t="shared" si="8"/>
        <v>3700180</v>
      </c>
      <c r="B565" s="24">
        <v>2016</v>
      </c>
      <c r="C565" t="s">
        <v>172</v>
      </c>
      <c r="D565" t="s">
        <v>642</v>
      </c>
      <c r="E565" t="s">
        <v>642</v>
      </c>
      <c r="F565" s="11">
        <v>136727375</v>
      </c>
      <c r="G565" s="18">
        <v>1.2626E-3</v>
      </c>
      <c r="H565" s="11">
        <v>1609818.7878</v>
      </c>
      <c r="I565" s="22">
        <f>IFERROR(VLOOKUP(D565,'LEAID Match'!$A$2:$B$184,2,FALSE),"")</f>
        <v>3700180</v>
      </c>
    </row>
    <row r="566" spans="1:9" x14ac:dyDescent="0.2">
      <c r="A566">
        <f t="shared" si="8"/>
        <v>3700180</v>
      </c>
      <c r="B566" s="24">
        <v>2017</v>
      </c>
      <c r="C566" t="s">
        <v>172</v>
      </c>
      <c r="D566" t="s">
        <v>642</v>
      </c>
      <c r="E566" t="s">
        <v>642</v>
      </c>
      <c r="F566" s="11">
        <v>135495354</v>
      </c>
      <c r="G566" s="18">
        <v>1.2143E-3</v>
      </c>
      <c r="H566" s="11">
        <v>1750041.8742</v>
      </c>
      <c r="I566" s="22">
        <f>IFERROR(VLOOKUP(D566,'LEAID Match'!$A$2:$B$184,2,FALSE),"")</f>
        <v>3700180</v>
      </c>
    </row>
    <row r="567" spans="1:9" x14ac:dyDescent="0.2">
      <c r="A567">
        <f t="shared" si="8"/>
        <v>3700180</v>
      </c>
      <c r="B567" s="24">
        <v>2018</v>
      </c>
      <c r="C567" t="s">
        <v>172</v>
      </c>
      <c r="D567" t="s">
        <v>642</v>
      </c>
      <c r="E567" t="s">
        <v>642</v>
      </c>
      <c r="F567" s="11">
        <v>134628342</v>
      </c>
      <c r="G567" s="18">
        <v>1.1585E-3</v>
      </c>
      <c r="H567" s="11">
        <v>1856960.8085</v>
      </c>
      <c r="I567" s="22">
        <f>IFERROR(VLOOKUP(D567,'LEAID Match'!$A$2:$B$184,2,FALSE),"")</f>
        <v>3700180</v>
      </c>
    </row>
    <row r="568" spans="1:9" x14ac:dyDescent="0.2">
      <c r="A568">
        <f t="shared" si="8"/>
        <v>3700180</v>
      </c>
      <c r="B568" s="24">
        <v>2019</v>
      </c>
      <c r="C568" t="s">
        <v>172</v>
      </c>
      <c r="D568" t="s">
        <v>642</v>
      </c>
      <c r="E568" t="s">
        <v>642</v>
      </c>
      <c r="F568" s="11">
        <v>139929495</v>
      </c>
      <c r="G568" s="18">
        <v>1.1613999999999999E-3</v>
      </c>
      <c r="H568" s="11">
        <v>2224250.5644</v>
      </c>
      <c r="I568" s="22">
        <f>IFERROR(VLOOKUP(D568,'LEAID Match'!$A$2:$B$184,2,FALSE),"")</f>
        <v>3700180</v>
      </c>
    </row>
    <row r="569" spans="1:9" x14ac:dyDescent="0.2">
      <c r="A569">
        <f t="shared" si="8"/>
        <v>3700180</v>
      </c>
      <c r="B569" s="24">
        <v>2020</v>
      </c>
      <c r="C569" t="s">
        <v>172</v>
      </c>
      <c r="D569" t="s">
        <v>642</v>
      </c>
      <c r="E569" t="s">
        <v>642</v>
      </c>
      <c r="F569" s="11">
        <v>143913735</v>
      </c>
      <c r="G569" s="18">
        <v>1.1617999999999999E-3</v>
      </c>
      <c r="H569" s="11">
        <v>2387586.1349999998</v>
      </c>
      <c r="I569" s="22">
        <f>IFERROR(VLOOKUP(D569,'LEAID Match'!$A$2:$B$184,2,FALSE),"")</f>
        <v>3700180</v>
      </c>
    </row>
    <row r="570" spans="1:9" x14ac:dyDescent="0.2">
      <c r="A570">
        <f t="shared" si="8"/>
        <v>3700180</v>
      </c>
      <c r="B570" s="24">
        <v>2021</v>
      </c>
      <c r="C570" t="s">
        <v>172</v>
      </c>
      <c r="D570" t="s">
        <v>642</v>
      </c>
      <c r="E570" t="s">
        <v>642</v>
      </c>
      <c r="F570" s="11">
        <v>140501065</v>
      </c>
      <c r="G570" s="18">
        <v>1.1226999999999999E-3</v>
      </c>
      <c r="H570" s="11">
        <v>2664450.0203999998</v>
      </c>
      <c r="I570" s="22">
        <f>IFERROR(VLOOKUP(D570,'LEAID Match'!$A$2:$B$184,2,FALSE),"")</f>
        <v>3700180</v>
      </c>
    </row>
    <row r="571" spans="1:9" x14ac:dyDescent="0.2">
      <c r="A571">
        <f t="shared" si="8"/>
        <v>3700180</v>
      </c>
      <c r="B571" s="24">
        <v>2022</v>
      </c>
      <c r="C571" t="s">
        <v>172</v>
      </c>
      <c r="D571" t="s">
        <v>642</v>
      </c>
      <c r="E571" t="s">
        <v>642</v>
      </c>
      <c r="F571" s="11">
        <v>145831903</v>
      </c>
      <c r="G571" s="18">
        <v>1.1563000000000001E-3</v>
      </c>
      <c r="H571" s="11">
        <v>3193638.1598</v>
      </c>
      <c r="I571" s="22">
        <f>IFERROR(VLOOKUP(D571,'LEAID Match'!$A$2:$B$184,2,FALSE),"")</f>
        <v>3700180</v>
      </c>
    </row>
    <row r="572" spans="1:9" x14ac:dyDescent="0.2">
      <c r="A572">
        <f t="shared" si="8"/>
        <v>3700180</v>
      </c>
      <c r="B572" s="24">
        <v>2023</v>
      </c>
      <c r="C572" t="s">
        <v>172</v>
      </c>
      <c r="D572" t="s">
        <v>642</v>
      </c>
      <c r="E572" t="s">
        <v>642</v>
      </c>
      <c r="F572" s="11">
        <v>167734342</v>
      </c>
      <c r="G572" s="18">
        <v>1.2620999999999999E-3</v>
      </c>
      <c r="H572" s="11">
        <v>3830343.5036999998</v>
      </c>
      <c r="I572" s="22">
        <f>IFERROR(VLOOKUP(D572,'LEAID Match'!$A$2:$B$184,2,FALSE),"")</f>
        <v>3700180</v>
      </c>
    </row>
    <row r="573" spans="1:9" x14ac:dyDescent="0.2">
      <c r="A573" t="str">
        <f t="shared" si="8"/>
        <v/>
      </c>
      <c r="B573" s="24">
        <v>2015</v>
      </c>
      <c r="C573" t="s">
        <v>173</v>
      </c>
      <c r="D573" t="s">
        <v>643</v>
      </c>
      <c r="E573" t="s">
        <v>119</v>
      </c>
      <c r="F573" s="11">
        <v>92516655</v>
      </c>
      <c r="G573" s="18">
        <v>8.0889999999999998E-4</v>
      </c>
      <c r="H573" s="11">
        <v>1021630.9932</v>
      </c>
      <c r="I573" s="22" t="str">
        <f>IFERROR(VLOOKUP(D573,'LEAID Match'!$A$2:$B$184,2,FALSE),"")</f>
        <v/>
      </c>
    </row>
    <row r="574" spans="1:9" x14ac:dyDescent="0.2">
      <c r="A574" t="str">
        <f t="shared" si="8"/>
        <v/>
      </c>
      <c r="B574" s="24">
        <v>2016</v>
      </c>
      <c r="C574" t="s">
        <v>173</v>
      </c>
      <c r="D574" t="s">
        <v>643</v>
      </c>
      <c r="E574" t="s">
        <v>643</v>
      </c>
      <c r="F574" s="11">
        <v>89509451</v>
      </c>
      <c r="G574" s="18">
        <v>8.2660000000000003E-4</v>
      </c>
      <c r="H574" s="11">
        <v>1053917.4798000001</v>
      </c>
      <c r="I574" s="22" t="str">
        <f>IFERROR(VLOOKUP(D574,'LEAID Match'!$A$2:$B$184,2,FALSE),"")</f>
        <v/>
      </c>
    </row>
    <row r="575" spans="1:9" x14ac:dyDescent="0.2">
      <c r="A575" t="str">
        <f t="shared" si="8"/>
        <v/>
      </c>
      <c r="B575" s="24">
        <v>2017</v>
      </c>
      <c r="C575" t="s">
        <v>173</v>
      </c>
      <c r="D575" t="s">
        <v>643</v>
      </c>
      <c r="E575" t="s">
        <v>643</v>
      </c>
      <c r="F575" s="11">
        <v>93904404</v>
      </c>
      <c r="G575" s="18">
        <v>8.4159999999999997E-4</v>
      </c>
      <c r="H575" s="11">
        <v>1212908.8703999999</v>
      </c>
      <c r="I575" s="22" t="str">
        <f>IFERROR(VLOOKUP(D575,'LEAID Match'!$A$2:$B$184,2,FALSE),"")</f>
        <v/>
      </c>
    </row>
    <row r="576" spans="1:9" x14ac:dyDescent="0.2">
      <c r="A576" t="str">
        <f t="shared" si="8"/>
        <v/>
      </c>
      <c r="B576" s="24">
        <v>2018</v>
      </c>
      <c r="C576" t="s">
        <v>173</v>
      </c>
      <c r="D576" t="s">
        <v>643</v>
      </c>
      <c r="E576" t="s">
        <v>643</v>
      </c>
      <c r="F576" s="11">
        <v>89172137</v>
      </c>
      <c r="G576" s="18">
        <v>7.674E-4</v>
      </c>
      <c r="H576" s="11">
        <v>1230066.2274</v>
      </c>
      <c r="I576" s="22" t="str">
        <f>IFERROR(VLOOKUP(D576,'LEAID Match'!$A$2:$B$184,2,FALSE),"")</f>
        <v/>
      </c>
    </row>
    <row r="577" spans="1:9" x14ac:dyDescent="0.2">
      <c r="A577" t="str">
        <f t="shared" si="8"/>
        <v/>
      </c>
      <c r="B577" s="24">
        <v>2019</v>
      </c>
      <c r="C577" t="s">
        <v>173</v>
      </c>
      <c r="D577" t="s">
        <v>643</v>
      </c>
      <c r="E577" t="s">
        <v>643</v>
      </c>
      <c r="F577" s="11">
        <v>82590687</v>
      </c>
      <c r="G577" s="18">
        <v>6.8550000000000002E-4</v>
      </c>
      <c r="H577" s="11">
        <v>1312832.5830000001</v>
      </c>
      <c r="I577" s="22" t="str">
        <f>IFERROR(VLOOKUP(D577,'LEAID Match'!$A$2:$B$184,2,FALSE),"")</f>
        <v/>
      </c>
    </row>
    <row r="578" spans="1:9" x14ac:dyDescent="0.2">
      <c r="A578" t="str">
        <f t="shared" si="8"/>
        <v/>
      </c>
      <c r="B578" s="24">
        <v>2020</v>
      </c>
      <c r="C578" t="s">
        <v>173</v>
      </c>
      <c r="D578" t="s">
        <v>643</v>
      </c>
      <c r="E578" t="s">
        <v>643</v>
      </c>
      <c r="F578" s="11">
        <v>84266198</v>
      </c>
      <c r="G578" s="18">
        <v>6.803E-4</v>
      </c>
      <c r="H578" s="11">
        <v>1398067.5225</v>
      </c>
      <c r="I578" s="22" t="str">
        <f>IFERROR(VLOOKUP(D578,'LEAID Match'!$A$2:$B$184,2,FALSE),"")</f>
        <v/>
      </c>
    </row>
    <row r="579" spans="1:9" x14ac:dyDescent="0.2">
      <c r="A579" t="str">
        <f t="shared" ref="A579:A642" si="9">I579</f>
        <v/>
      </c>
      <c r="B579" s="24">
        <v>2021</v>
      </c>
      <c r="C579" t="s">
        <v>173</v>
      </c>
      <c r="D579" t="s">
        <v>643</v>
      </c>
      <c r="E579" t="s">
        <v>643</v>
      </c>
      <c r="F579" s="11">
        <v>87580033</v>
      </c>
      <c r="G579" s="18">
        <v>6.9979999999999999E-4</v>
      </c>
      <c r="H579" s="11">
        <v>1660801.7496</v>
      </c>
      <c r="I579" s="22" t="str">
        <f>IFERROR(VLOOKUP(D579,'LEAID Match'!$A$2:$B$184,2,FALSE),"")</f>
        <v/>
      </c>
    </row>
    <row r="580" spans="1:9" x14ac:dyDescent="0.2">
      <c r="A580" t="str">
        <f t="shared" si="9"/>
        <v/>
      </c>
      <c r="B580" s="24">
        <v>2022</v>
      </c>
      <c r="C580" t="s">
        <v>173</v>
      </c>
      <c r="D580" t="s">
        <v>643</v>
      </c>
      <c r="E580" t="s">
        <v>643</v>
      </c>
      <c r="F580" s="11">
        <v>93329972</v>
      </c>
      <c r="G580" s="18">
        <v>7.3999999999999999E-4</v>
      </c>
      <c r="H580" s="11">
        <v>2043840.04</v>
      </c>
      <c r="I580" s="22" t="str">
        <f>IFERROR(VLOOKUP(D580,'LEAID Match'!$A$2:$B$184,2,FALSE),"")</f>
        <v/>
      </c>
    </row>
    <row r="581" spans="1:9" x14ac:dyDescent="0.2">
      <c r="A581" t="str">
        <f t="shared" si="9"/>
        <v/>
      </c>
      <c r="B581" s="24">
        <v>2023</v>
      </c>
      <c r="C581" t="s">
        <v>173</v>
      </c>
      <c r="D581" t="s">
        <v>643</v>
      </c>
      <c r="E581" t="s">
        <v>643</v>
      </c>
      <c r="F581" s="11">
        <v>96422762</v>
      </c>
      <c r="G581" s="18">
        <v>7.2550000000000002E-4</v>
      </c>
      <c r="H581" s="11">
        <v>2201817.7735000001</v>
      </c>
      <c r="I581" s="22" t="str">
        <f>IFERROR(VLOOKUP(D581,'LEAID Match'!$A$2:$B$184,2,FALSE),"")</f>
        <v/>
      </c>
    </row>
    <row r="582" spans="1:9" x14ac:dyDescent="0.2">
      <c r="A582">
        <f t="shared" si="9"/>
        <v>3700210</v>
      </c>
      <c r="B582" s="24">
        <v>2015</v>
      </c>
      <c r="C582" t="s">
        <v>174</v>
      </c>
      <c r="D582" t="s">
        <v>644</v>
      </c>
      <c r="E582" t="s">
        <v>120</v>
      </c>
      <c r="F582" s="11">
        <v>151325074</v>
      </c>
      <c r="G582" s="18">
        <v>1.3231E-3</v>
      </c>
      <c r="H582" s="11">
        <v>1671059.4228000001</v>
      </c>
      <c r="I582" s="22">
        <f>IFERROR(VLOOKUP(D582,'LEAID Match'!$A$2:$B$184,2,FALSE),"")</f>
        <v>3700210</v>
      </c>
    </row>
    <row r="583" spans="1:9" x14ac:dyDescent="0.2">
      <c r="A583">
        <f t="shared" si="9"/>
        <v>3700210</v>
      </c>
      <c r="B583" s="24">
        <v>2016</v>
      </c>
      <c r="C583" t="s">
        <v>174</v>
      </c>
      <c r="D583" t="s">
        <v>644</v>
      </c>
      <c r="E583" t="s">
        <v>644</v>
      </c>
      <c r="F583" s="11">
        <v>142332694</v>
      </c>
      <c r="G583" s="18">
        <v>1.3144000000000001E-3</v>
      </c>
      <c r="H583" s="11">
        <v>1675863.9432000001</v>
      </c>
      <c r="I583" s="22">
        <f>IFERROR(VLOOKUP(D583,'LEAID Match'!$A$2:$B$184,2,FALSE),"")</f>
        <v>3700210</v>
      </c>
    </row>
    <row r="584" spans="1:9" x14ac:dyDescent="0.2">
      <c r="A584">
        <f t="shared" si="9"/>
        <v>3700210</v>
      </c>
      <c r="B584" s="24">
        <v>2017</v>
      </c>
      <c r="C584" t="s">
        <v>174</v>
      </c>
      <c r="D584" t="s">
        <v>644</v>
      </c>
      <c r="E584" t="s">
        <v>644</v>
      </c>
      <c r="F584" s="11">
        <v>142665603</v>
      </c>
      <c r="G584" s="18">
        <v>1.2786E-3</v>
      </c>
      <c r="H584" s="11">
        <v>1842710.6483999998</v>
      </c>
      <c r="I584" s="22">
        <f>IFERROR(VLOOKUP(D584,'LEAID Match'!$A$2:$B$184,2,FALSE),"")</f>
        <v>3700210</v>
      </c>
    </row>
    <row r="585" spans="1:9" x14ac:dyDescent="0.2">
      <c r="A585">
        <f t="shared" si="9"/>
        <v>3700210</v>
      </c>
      <c r="B585" s="24">
        <v>2018</v>
      </c>
      <c r="C585" t="s">
        <v>174</v>
      </c>
      <c r="D585" t="s">
        <v>644</v>
      </c>
      <c r="E585" t="s">
        <v>644</v>
      </c>
      <c r="F585" s="11">
        <v>147741436</v>
      </c>
      <c r="G585" s="18">
        <v>1.2714E-3</v>
      </c>
      <c r="H585" s="11">
        <v>2037928.3314</v>
      </c>
      <c r="I585" s="22">
        <f>IFERROR(VLOOKUP(D585,'LEAID Match'!$A$2:$B$184,2,FALSE),"")</f>
        <v>3700210</v>
      </c>
    </row>
    <row r="586" spans="1:9" x14ac:dyDescent="0.2">
      <c r="A586">
        <f t="shared" si="9"/>
        <v>3700210</v>
      </c>
      <c r="B586" s="24">
        <v>2019</v>
      </c>
      <c r="C586" t="s">
        <v>174</v>
      </c>
      <c r="D586" t="s">
        <v>644</v>
      </c>
      <c r="E586" t="s">
        <v>644</v>
      </c>
      <c r="F586" s="11">
        <v>150922939</v>
      </c>
      <c r="G586" s="18">
        <v>1.2527E-3</v>
      </c>
      <c r="H586" s="11">
        <v>2399103.3942</v>
      </c>
      <c r="I586" s="22">
        <f>IFERROR(VLOOKUP(D586,'LEAID Match'!$A$2:$B$184,2,FALSE),"")</f>
        <v>3700210</v>
      </c>
    </row>
    <row r="587" spans="1:9" x14ac:dyDescent="0.2">
      <c r="A587">
        <f t="shared" si="9"/>
        <v>3700210</v>
      </c>
      <c r="B587" s="24">
        <v>2020</v>
      </c>
      <c r="C587" t="s">
        <v>174</v>
      </c>
      <c r="D587" t="s">
        <v>644</v>
      </c>
      <c r="E587" t="s">
        <v>644</v>
      </c>
      <c r="F587" s="11">
        <v>150872104</v>
      </c>
      <c r="G587" s="18">
        <v>1.2179999999999999E-3</v>
      </c>
      <c r="H587" s="11">
        <v>2503081.3499999996</v>
      </c>
      <c r="I587" s="22">
        <f>IFERROR(VLOOKUP(D587,'LEAID Match'!$A$2:$B$184,2,FALSE),"")</f>
        <v>3700210</v>
      </c>
    </row>
    <row r="588" spans="1:9" x14ac:dyDescent="0.2">
      <c r="A588">
        <f t="shared" si="9"/>
        <v>3700210</v>
      </c>
      <c r="B588" s="24">
        <v>2021</v>
      </c>
      <c r="C588" t="s">
        <v>174</v>
      </c>
      <c r="D588" t="s">
        <v>644</v>
      </c>
      <c r="E588" t="s">
        <v>644</v>
      </c>
      <c r="F588" s="11">
        <v>143599499</v>
      </c>
      <c r="G588" s="18">
        <v>1.1474E-3</v>
      </c>
      <c r="H588" s="11">
        <v>2723069.3448000001</v>
      </c>
      <c r="I588" s="22">
        <f>IFERROR(VLOOKUP(D588,'LEAID Match'!$A$2:$B$184,2,FALSE),"")</f>
        <v>3700210</v>
      </c>
    </row>
    <row r="589" spans="1:9" x14ac:dyDescent="0.2">
      <c r="A589">
        <f t="shared" si="9"/>
        <v>3700210</v>
      </c>
      <c r="B589" s="24">
        <v>2022</v>
      </c>
      <c r="C589" t="s">
        <v>174</v>
      </c>
      <c r="D589" t="s">
        <v>644</v>
      </c>
      <c r="E589" t="s">
        <v>644</v>
      </c>
      <c r="F589" s="11">
        <v>143473447</v>
      </c>
      <c r="G589" s="18">
        <v>1.1375999999999999E-3</v>
      </c>
      <c r="H589" s="11">
        <v>3141989.7695999998</v>
      </c>
      <c r="I589" s="22">
        <f>IFERROR(VLOOKUP(D589,'LEAID Match'!$A$2:$B$184,2,FALSE),"")</f>
        <v>3700210</v>
      </c>
    </row>
    <row r="590" spans="1:9" x14ac:dyDescent="0.2">
      <c r="A590">
        <f t="shared" si="9"/>
        <v>3700210</v>
      </c>
      <c r="B590" s="24">
        <v>2023</v>
      </c>
      <c r="C590" t="s">
        <v>174</v>
      </c>
      <c r="D590" t="s">
        <v>644</v>
      </c>
      <c r="E590" t="s">
        <v>644</v>
      </c>
      <c r="F590" s="11">
        <v>160760892</v>
      </c>
      <c r="G590" s="18">
        <v>1.2095999999999999E-3</v>
      </c>
      <c r="H590" s="11">
        <v>3671011.4111999995</v>
      </c>
      <c r="I590" s="22">
        <f>IFERROR(VLOOKUP(D590,'LEAID Match'!$A$2:$B$184,2,FALSE),"")</f>
        <v>3700210</v>
      </c>
    </row>
    <row r="591" spans="1:9" x14ac:dyDescent="0.2">
      <c r="A591">
        <f t="shared" si="9"/>
        <v>3700300</v>
      </c>
      <c r="B591" s="24">
        <v>2015</v>
      </c>
      <c r="C591" t="s">
        <v>175</v>
      </c>
      <c r="D591" t="s">
        <v>645</v>
      </c>
      <c r="E591" t="s">
        <v>121</v>
      </c>
      <c r="F591" s="11">
        <v>117204650</v>
      </c>
      <c r="G591" s="18">
        <v>1.0248E-3</v>
      </c>
      <c r="H591" s="11">
        <v>1294310.1024</v>
      </c>
      <c r="I591" s="22">
        <f>IFERROR(VLOOKUP(D591,'LEAID Match'!$A$2:$B$184,2,FALSE),"")</f>
        <v>3700300</v>
      </c>
    </row>
    <row r="592" spans="1:9" x14ac:dyDescent="0.2">
      <c r="A592">
        <f t="shared" si="9"/>
        <v>3700300</v>
      </c>
      <c r="B592" s="24">
        <v>2016</v>
      </c>
      <c r="C592" t="s">
        <v>175</v>
      </c>
      <c r="D592" t="s">
        <v>645</v>
      </c>
      <c r="E592" t="s">
        <v>645</v>
      </c>
      <c r="F592" s="11">
        <v>111096885</v>
      </c>
      <c r="G592" s="18">
        <v>1.0258999999999999E-3</v>
      </c>
      <c r="H592" s="11">
        <v>1308025.5777</v>
      </c>
      <c r="I592" s="22">
        <f>IFERROR(VLOOKUP(D592,'LEAID Match'!$A$2:$B$184,2,FALSE),"")</f>
        <v>3700300</v>
      </c>
    </row>
    <row r="593" spans="1:9" x14ac:dyDescent="0.2">
      <c r="A593">
        <f t="shared" si="9"/>
        <v>3700300</v>
      </c>
      <c r="B593" s="24">
        <v>2017</v>
      </c>
      <c r="C593" t="s">
        <v>175</v>
      </c>
      <c r="D593" t="s">
        <v>645</v>
      </c>
      <c r="E593" t="s">
        <v>645</v>
      </c>
      <c r="F593" s="11">
        <v>110223425</v>
      </c>
      <c r="G593" s="18">
        <v>9.8780000000000005E-4</v>
      </c>
      <c r="H593" s="11">
        <v>1423611.4332000001</v>
      </c>
      <c r="I593" s="22">
        <f>IFERROR(VLOOKUP(D593,'LEAID Match'!$A$2:$B$184,2,FALSE),"")</f>
        <v>3700300</v>
      </c>
    </row>
    <row r="594" spans="1:9" x14ac:dyDescent="0.2">
      <c r="A594">
        <f t="shared" si="9"/>
        <v>3700300</v>
      </c>
      <c r="B594" s="24">
        <v>2018</v>
      </c>
      <c r="C594" t="s">
        <v>175</v>
      </c>
      <c r="D594" t="s">
        <v>645</v>
      </c>
      <c r="E594" t="s">
        <v>645</v>
      </c>
      <c r="F594" s="11">
        <v>111746406</v>
      </c>
      <c r="G594" s="18">
        <v>9.6159999999999995E-4</v>
      </c>
      <c r="H594" s="11">
        <v>1541349.6015999999</v>
      </c>
      <c r="I594" s="22">
        <f>IFERROR(VLOOKUP(D594,'LEAID Match'!$A$2:$B$184,2,FALSE),"")</f>
        <v>3700300</v>
      </c>
    </row>
    <row r="595" spans="1:9" x14ac:dyDescent="0.2">
      <c r="A595">
        <f t="shared" si="9"/>
        <v>3700300</v>
      </c>
      <c r="B595" s="24">
        <v>2019</v>
      </c>
      <c r="C595" t="s">
        <v>175</v>
      </c>
      <c r="D595" t="s">
        <v>645</v>
      </c>
      <c r="E595" t="s">
        <v>645</v>
      </c>
      <c r="F595" s="11">
        <v>110134828</v>
      </c>
      <c r="G595" s="18">
        <v>9.1410000000000005E-4</v>
      </c>
      <c r="H595" s="11">
        <v>1750634.9586</v>
      </c>
      <c r="I595" s="22">
        <f>IFERROR(VLOOKUP(D595,'LEAID Match'!$A$2:$B$184,2,FALSE),"")</f>
        <v>3700300</v>
      </c>
    </row>
    <row r="596" spans="1:9" x14ac:dyDescent="0.2">
      <c r="A596">
        <f t="shared" si="9"/>
        <v>3700300</v>
      </c>
      <c r="B596" s="24">
        <v>2020</v>
      </c>
      <c r="C596" t="s">
        <v>175</v>
      </c>
      <c r="D596" t="s">
        <v>645</v>
      </c>
      <c r="E596" t="s">
        <v>645</v>
      </c>
      <c r="F596" s="11">
        <v>110745188</v>
      </c>
      <c r="G596" s="18">
        <v>8.9400000000000005E-4</v>
      </c>
      <c r="H596" s="11">
        <v>1837237.05</v>
      </c>
      <c r="I596" s="22">
        <f>IFERROR(VLOOKUP(D596,'LEAID Match'!$A$2:$B$184,2,FALSE),"")</f>
        <v>3700300</v>
      </c>
    </row>
    <row r="597" spans="1:9" x14ac:dyDescent="0.2">
      <c r="A597">
        <f t="shared" si="9"/>
        <v>3700300</v>
      </c>
      <c r="B597" s="24">
        <v>2021</v>
      </c>
      <c r="C597" t="s">
        <v>175</v>
      </c>
      <c r="D597" t="s">
        <v>645</v>
      </c>
      <c r="E597" t="s">
        <v>645</v>
      </c>
      <c r="F597" s="11">
        <v>109432713</v>
      </c>
      <c r="G597" s="18">
        <v>8.744E-4</v>
      </c>
      <c r="H597" s="11">
        <v>2075171.5488</v>
      </c>
      <c r="I597" s="22">
        <f>IFERROR(VLOOKUP(D597,'LEAID Match'!$A$2:$B$184,2,FALSE),"")</f>
        <v>3700300</v>
      </c>
    </row>
    <row r="598" spans="1:9" x14ac:dyDescent="0.2">
      <c r="A598">
        <f t="shared" si="9"/>
        <v>3700300</v>
      </c>
      <c r="B598" s="24">
        <v>2022</v>
      </c>
      <c r="C598" t="s">
        <v>175</v>
      </c>
      <c r="D598" t="s">
        <v>645</v>
      </c>
      <c r="E598" t="s">
        <v>645</v>
      </c>
      <c r="F598" s="11">
        <v>116069684</v>
      </c>
      <c r="G598" s="18">
        <v>9.2029999999999998E-4</v>
      </c>
      <c r="H598" s="11">
        <v>2541818.9038</v>
      </c>
      <c r="I598" s="22">
        <f>IFERROR(VLOOKUP(D598,'LEAID Match'!$A$2:$B$184,2,FALSE),"")</f>
        <v>3700300</v>
      </c>
    </row>
    <row r="599" spans="1:9" x14ac:dyDescent="0.2">
      <c r="A599">
        <f t="shared" si="9"/>
        <v>3700300</v>
      </c>
      <c r="B599" s="24">
        <v>2023</v>
      </c>
      <c r="C599" t="s">
        <v>175</v>
      </c>
      <c r="D599" t="s">
        <v>645</v>
      </c>
      <c r="E599" t="s">
        <v>645</v>
      </c>
      <c r="F599" s="11">
        <v>127839481</v>
      </c>
      <c r="G599" s="18">
        <v>9.6190000000000002E-4</v>
      </c>
      <c r="H599" s="11">
        <v>2919267.4243000001</v>
      </c>
      <c r="I599" s="22">
        <f>IFERROR(VLOOKUP(D599,'LEAID Match'!$A$2:$B$184,2,FALSE),"")</f>
        <v>3700300</v>
      </c>
    </row>
    <row r="600" spans="1:9" x14ac:dyDescent="0.2">
      <c r="A600">
        <f t="shared" si="9"/>
        <v>3700016</v>
      </c>
      <c r="B600" s="24">
        <v>2015</v>
      </c>
      <c r="C600" t="s">
        <v>176</v>
      </c>
      <c r="D600" t="s">
        <v>646</v>
      </c>
      <c r="E600" t="s">
        <v>122</v>
      </c>
      <c r="F600" s="11">
        <v>2865127</v>
      </c>
      <c r="G600" s="18">
        <v>2.51E-5</v>
      </c>
      <c r="H600" s="11">
        <v>31700.998800000001</v>
      </c>
      <c r="I600" s="22">
        <f>IFERROR(VLOOKUP(D600,'LEAID Match'!$A$2:$B$184,2,FALSE),"")</f>
        <v>3700016</v>
      </c>
    </row>
    <row r="601" spans="1:9" x14ac:dyDescent="0.2">
      <c r="A601">
        <f t="shared" si="9"/>
        <v>3700016</v>
      </c>
      <c r="B601" s="24">
        <v>2016</v>
      </c>
      <c r="C601" t="s">
        <v>176</v>
      </c>
      <c r="D601" t="s">
        <v>646</v>
      </c>
      <c r="E601" t="s">
        <v>646</v>
      </c>
      <c r="F601" s="11">
        <v>2496169</v>
      </c>
      <c r="G601" s="18">
        <v>2.3099999999999999E-5</v>
      </c>
      <c r="H601" s="11">
        <v>29452.569299999999</v>
      </c>
      <c r="I601" s="22">
        <f>IFERROR(VLOOKUP(D601,'LEAID Match'!$A$2:$B$184,2,FALSE),"")</f>
        <v>3700016</v>
      </c>
    </row>
    <row r="602" spans="1:9" x14ac:dyDescent="0.2">
      <c r="A602">
        <f t="shared" si="9"/>
        <v>3700016</v>
      </c>
      <c r="B602" s="24">
        <v>2017</v>
      </c>
      <c r="C602" t="s">
        <v>176</v>
      </c>
      <c r="D602" t="s">
        <v>646</v>
      </c>
      <c r="E602" t="s">
        <v>646</v>
      </c>
      <c r="F602" s="11">
        <v>2431729</v>
      </c>
      <c r="G602" s="18">
        <v>2.1800000000000001E-5</v>
      </c>
      <c r="H602" s="11">
        <v>31418.029200000001</v>
      </c>
      <c r="I602" s="22">
        <f>IFERROR(VLOOKUP(D602,'LEAID Match'!$A$2:$B$184,2,FALSE),"")</f>
        <v>3700016</v>
      </c>
    </row>
    <row r="603" spans="1:9" x14ac:dyDescent="0.2">
      <c r="A603">
        <f t="shared" si="9"/>
        <v>3700016</v>
      </c>
      <c r="B603" s="24">
        <v>2018</v>
      </c>
      <c r="C603" t="s">
        <v>176</v>
      </c>
      <c r="D603" t="s">
        <v>646</v>
      </c>
      <c r="E603" t="s">
        <v>646</v>
      </c>
      <c r="F603" s="11">
        <v>2685969</v>
      </c>
      <c r="G603" s="18">
        <v>2.3099999999999999E-5</v>
      </c>
      <c r="H603" s="11">
        <v>37027.013099999996</v>
      </c>
      <c r="I603" s="22">
        <f>IFERROR(VLOOKUP(D603,'LEAID Match'!$A$2:$B$184,2,FALSE),"")</f>
        <v>3700016</v>
      </c>
    </row>
    <row r="604" spans="1:9" x14ac:dyDescent="0.2">
      <c r="A604">
        <f t="shared" si="9"/>
        <v>3700016</v>
      </c>
      <c r="B604" s="24">
        <v>2019</v>
      </c>
      <c r="C604" t="s">
        <v>176</v>
      </c>
      <c r="D604" t="s">
        <v>646</v>
      </c>
      <c r="E604" t="s">
        <v>646</v>
      </c>
      <c r="F604" s="11">
        <v>1168363</v>
      </c>
      <c r="G604" s="18">
        <v>9.7000000000000003E-6</v>
      </c>
      <c r="H604" s="11">
        <v>18576.9162</v>
      </c>
      <c r="I604" s="22">
        <f>IFERROR(VLOOKUP(D604,'LEAID Match'!$A$2:$B$184,2,FALSE),"")</f>
        <v>3700016</v>
      </c>
    </row>
    <row r="605" spans="1:9" x14ac:dyDescent="0.2">
      <c r="A605">
        <f t="shared" si="9"/>
        <v>3700016</v>
      </c>
      <c r="B605" s="24">
        <v>2020</v>
      </c>
      <c r="C605" t="s">
        <v>176</v>
      </c>
      <c r="D605" t="s">
        <v>646</v>
      </c>
      <c r="E605" t="s">
        <v>646</v>
      </c>
      <c r="F605" s="11">
        <v>2468593</v>
      </c>
      <c r="G605" s="18">
        <v>1.9899999999999999E-5</v>
      </c>
      <c r="H605" s="11">
        <v>40895.9925</v>
      </c>
      <c r="I605" s="22">
        <f>IFERROR(VLOOKUP(D605,'LEAID Match'!$A$2:$B$184,2,FALSE),"")</f>
        <v>3700016</v>
      </c>
    </row>
    <row r="606" spans="1:9" x14ac:dyDescent="0.2">
      <c r="A606">
        <f t="shared" si="9"/>
        <v>3700330</v>
      </c>
      <c r="B606" s="24">
        <v>2015</v>
      </c>
      <c r="C606" t="s">
        <v>177</v>
      </c>
      <c r="D606" t="s">
        <v>647</v>
      </c>
      <c r="E606" t="s">
        <v>123</v>
      </c>
      <c r="F606" s="11">
        <v>300383258</v>
      </c>
      <c r="G606" s="18">
        <v>2.6264000000000001E-3</v>
      </c>
      <c r="H606" s="11">
        <v>3317111.6832000003</v>
      </c>
      <c r="I606" s="22">
        <f>IFERROR(VLOOKUP(D606,'LEAID Match'!$A$2:$B$184,2,FALSE),"")</f>
        <v>3700330</v>
      </c>
    </row>
    <row r="607" spans="1:9" x14ac:dyDescent="0.2">
      <c r="A607">
        <f t="shared" si="9"/>
        <v>3700330</v>
      </c>
      <c r="B607" s="24">
        <v>2016</v>
      </c>
      <c r="C607" t="s">
        <v>177</v>
      </c>
      <c r="D607" t="s">
        <v>647</v>
      </c>
      <c r="E607" t="s">
        <v>647</v>
      </c>
      <c r="F607" s="11">
        <v>283175116</v>
      </c>
      <c r="G607" s="18">
        <v>2.6148999999999999E-3</v>
      </c>
      <c r="H607" s="11">
        <v>3334005.3446999998</v>
      </c>
      <c r="I607" s="22">
        <f>IFERROR(VLOOKUP(D607,'LEAID Match'!$A$2:$B$184,2,FALSE),"")</f>
        <v>3700330</v>
      </c>
    </row>
    <row r="608" spans="1:9" x14ac:dyDescent="0.2">
      <c r="A608">
        <f t="shared" si="9"/>
        <v>3700330</v>
      </c>
      <c r="B608" s="24">
        <v>2017</v>
      </c>
      <c r="C608" t="s">
        <v>177</v>
      </c>
      <c r="D608" t="s">
        <v>647</v>
      </c>
      <c r="E608" t="s">
        <v>647</v>
      </c>
      <c r="F608" s="11">
        <v>285956668</v>
      </c>
      <c r="G608" s="18">
        <v>2.5628000000000001E-3</v>
      </c>
      <c r="H608" s="11">
        <v>3693491.9832000001</v>
      </c>
      <c r="I608" s="22">
        <f>IFERROR(VLOOKUP(D608,'LEAID Match'!$A$2:$B$184,2,FALSE),"")</f>
        <v>3700330</v>
      </c>
    </row>
    <row r="609" spans="1:9" x14ac:dyDescent="0.2">
      <c r="A609">
        <f t="shared" si="9"/>
        <v>3700330</v>
      </c>
      <c r="B609" s="24">
        <v>2018</v>
      </c>
      <c r="C609" t="s">
        <v>177</v>
      </c>
      <c r="D609" t="s">
        <v>647</v>
      </c>
      <c r="E609" t="s">
        <v>647</v>
      </c>
      <c r="F609" s="11">
        <v>292588086</v>
      </c>
      <c r="G609" s="18">
        <v>2.5178000000000002E-3</v>
      </c>
      <c r="H609" s="11">
        <v>4035784.1378000001</v>
      </c>
      <c r="I609" s="22">
        <f>IFERROR(VLOOKUP(D609,'LEAID Match'!$A$2:$B$184,2,FALSE),"")</f>
        <v>3700330</v>
      </c>
    </row>
    <row r="610" spans="1:9" x14ac:dyDescent="0.2">
      <c r="A610">
        <f t="shared" si="9"/>
        <v>3700330</v>
      </c>
      <c r="B610" s="24">
        <v>2019</v>
      </c>
      <c r="C610" t="s">
        <v>177</v>
      </c>
      <c r="D610" t="s">
        <v>647</v>
      </c>
      <c r="E610" t="s">
        <v>647</v>
      </c>
      <c r="F610" s="11">
        <v>297395055</v>
      </c>
      <c r="G610" s="18">
        <v>2.4683999999999999E-3</v>
      </c>
      <c r="H610" s="11">
        <v>4727346.3864000002</v>
      </c>
      <c r="I610" s="22">
        <f>IFERROR(VLOOKUP(D610,'LEAID Match'!$A$2:$B$184,2,FALSE),"")</f>
        <v>3700330</v>
      </c>
    </row>
    <row r="611" spans="1:9" x14ac:dyDescent="0.2">
      <c r="A611">
        <f t="shared" si="9"/>
        <v>3700330</v>
      </c>
      <c r="B611" s="24">
        <v>2020</v>
      </c>
      <c r="C611" t="s">
        <v>177</v>
      </c>
      <c r="D611" t="s">
        <v>647</v>
      </c>
      <c r="E611" t="s">
        <v>647</v>
      </c>
      <c r="F611" s="11">
        <v>300586867</v>
      </c>
      <c r="G611" s="18">
        <v>2.4266000000000001E-3</v>
      </c>
      <c r="H611" s="11">
        <v>4986844.9950000001</v>
      </c>
      <c r="I611" s="22">
        <f>IFERROR(VLOOKUP(D611,'LEAID Match'!$A$2:$B$184,2,FALSE),"")</f>
        <v>3700330</v>
      </c>
    </row>
    <row r="612" spans="1:9" x14ac:dyDescent="0.2">
      <c r="A612">
        <f t="shared" si="9"/>
        <v>3700330</v>
      </c>
      <c r="B612" s="24">
        <v>2021</v>
      </c>
      <c r="C612" t="s">
        <v>177</v>
      </c>
      <c r="D612" t="s">
        <v>647</v>
      </c>
      <c r="E612" t="s">
        <v>647</v>
      </c>
      <c r="F612" s="11">
        <v>286711686</v>
      </c>
      <c r="G612" s="18">
        <v>2.2908999999999998E-3</v>
      </c>
      <c r="H612" s="11">
        <v>5436883.0067999996</v>
      </c>
      <c r="I612" s="22">
        <f>IFERROR(VLOOKUP(D612,'LEAID Match'!$A$2:$B$184,2,FALSE),"")</f>
        <v>3700330</v>
      </c>
    </row>
    <row r="613" spans="1:9" x14ac:dyDescent="0.2">
      <c r="A613">
        <f t="shared" si="9"/>
        <v>3700330</v>
      </c>
      <c r="B613" s="24">
        <v>2022</v>
      </c>
      <c r="C613" t="s">
        <v>177</v>
      </c>
      <c r="D613" t="s">
        <v>647</v>
      </c>
      <c r="E613" t="s">
        <v>647</v>
      </c>
      <c r="F613" s="11">
        <v>334253287</v>
      </c>
      <c r="G613" s="18">
        <v>2.6503E-3</v>
      </c>
      <c r="H613" s="11">
        <v>7319985.4837999996</v>
      </c>
      <c r="I613" s="22">
        <f>IFERROR(VLOOKUP(D613,'LEAID Match'!$A$2:$B$184,2,FALSE),"")</f>
        <v>3700330</v>
      </c>
    </row>
    <row r="614" spans="1:9" x14ac:dyDescent="0.2">
      <c r="A614">
        <f t="shared" si="9"/>
        <v>3700330</v>
      </c>
      <c r="B614" s="24">
        <v>2023</v>
      </c>
      <c r="C614" t="s">
        <v>177</v>
      </c>
      <c r="D614" t="s">
        <v>647</v>
      </c>
      <c r="E614" t="s">
        <v>647</v>
      </c>
      <c r="F614" s="11">
        <v>332084022</v>
      </c>
      <c r="G614" s="18">
        <v>2.4987E-3</v>
      </c>
      <c r="H614" s="11">
        <v>7583297.1338999998</v>
      </c>
      <c r="I614" s="22">
        <f>IFERROR(VLOOKUP(D614,'LEAID Match'!$A$2:$B$184,2,FALSE),"")</f>
        <v>3700330</v>
      </c>
    </row>
    <row r="615" spans="1:9" x14ac:dyDescent="0.2">
      <c r="A615" t="str">
        <f t="shared" si="9"/>
        <v/>
      </c>
      <c r="B615" s="24">
        <v>2015</v>
      </c>
      <c r="C615" t="s">
        <v>178</v>
      </c>
      <c r="D615" t="s">
        <v>648</v>
      </c>
      <c r="E615" t="s">
        <v>124</v>
      </c>
      <c r="F615" s="11">
        <v>56827551</v>
      </c>
      <c r="G615" s="18">
        <v>4.9689999999999999E-4</v>
      </c>
      <c r="H615" s="11">
        <v>627578.73719999997</v>
      </c>
      <c r="I615" s="22" t="str">
        <f>IFERROR(VLOOKUP(D615,'LEAID Match'!$A$2:$B$184,2,FALSE),"")</f>
        <v/>
      </c>
    </row>
    <row r="616" spans="1:9" x14ac:dyDescent="0.2">
      <c r="A616" t="str">
        <f t="shared" si="9"/>
        <v/>
      </c>
      <c r="B616" s="24">
        <v>2016</v>
      </c>
      <c r="C616" t="s">
        <v>178</v>
      </c>
      <c r="D616" t="s">
        <v>648</v>
      </c>
      <c r="E616" t="s">
        <v>648</v>
      </c>
      <c r="F616" s="11">
        <v>58031551</v>
      </c>
      <c r="G616" s="18">
        <v>5.3589999999999996E-4</v>
      </c>
      <c r="H616" s="11">
        <v>683274.10769999993</v>
      </c>
      <c r="I616" s="22" t="str">
        <f>IFERROR(VLOOKUP(D616,'LEAID Match'!$A$2:$B$184,2,FALSE),"")</f>
        <v/>
      </c>
    </row>
    <row r="617" spans="1:9" x14ac:dyDescent="0.2">
      <c r="A617" t="str">
        <f t="shared" si="9"/>
        <v/>
      </c>
      <c r="B617" s="24">
        <v>2017</v>
      </c>
      <c r="C617" t="s">
        <v>178</v>
      </c>
      <c r="D617" t="s">
        <v>648</v>
      </c>
      <c r="E617" t="s">
        <v>648</v>
      </c>
      <c r="F617" s="11">
        <v>55049599</v>
      </c>
      <c r="G617" s="18">
        <v>4.9339999999999996E-4</v>
      </c>
      <c r="H617" s="11">
        <v>711085.11959999998</v>
      </c>
      <c r="I617" s="22" t="str">
        <f>IFERROR(VLOOKUP(D617,'LEAID Match'!$A$2:$B$184,2,FALSE),"")</f>
        <v/>
      </c>
    </row>
    <row r="618" spans="1:9" x14ac:dyDescent="0.2">
      <c r="A618" t="str">
        <f t="shared" si="9"/>
        <v/>
      </c>
      <c r="B618" s="24">
        <v>2018</v>
      </c>
      <c r="C618" t="s">
        <v>178</v>
      </c>
      <c r="D618" t="s">
        <v>648</v>
      </c>
      <c r="E618" t="s">
        <v>648</v>
      </c>
      <c r="F618" s="11">
        <v>55451953</v>
      </c>
      <c r="G618" s="18">
        <v>4.772E-4</v>
      </c>
      <c r="H618" s="11">
        <v>764904.35719999997</v>
      </c>
      <c r="I618" s="22" t="str">
        <f>IFERROR(VLOOKUP(D618,'LEAID Match'!$A$2:$B$184,2,FALSE),"")</f>
        <v/>
      </c>
    </row>
    <row r="619" spans="1:9" x14ac:dyDescent="0.2">
      <c r="A619" t="str">
        <f t="shared" si="9"/>
        <v/>
      </c>
      <c r="B619" s="24">
        <v>2019</v>
      </c>
      <c r="C619" t="s">
        <v>178</v>
      </c>
      <c r="D619" t="s">
        <v>648</v>
      </c>
      <c r="E619" t="s">
        <v>648</v>
      </c>
      <c r="F619" s="11">
        <v>58786001</v>
      </c>
      <c r="G619" s="18">
        <v>4.8789999999999999E-4</v>
      </c>
      <c r="H619" s="11">
        <v>934399.73340000003</v>
      </c>
      <c r="I619" s="22" t="str">
        <f>IFERROR(VLOOKUP(D619,'LEAID Match'!$A$2:$B$184,2,FALSE),"")</f>
        <v/>
      </c>
    </row>
    <row r="620" spans="1:9" x14ac:dyDescent="0.2">
      <c r="A620" t="str">
        <f t="shared" si="9"/>
        <v/>
      </c>
      <c r="B620" s="24">
        <v>2020</v>
      </c>
      <c r="C620" t="s">
        <v>178</v>
      </c>
      <c r="D620" t="s">
        <v>648</v>
      </c>
      <c r="E620" t="s">
        <v>648</v>
      </c>
      <c r="F620" s="11">
        <v>59322594</v>
      </c>
      <c r="G620" s="18">
        <v>4.7889999999999999E-4</v>
      </c>
      <c r="H620" s="11">
        <v>984175.41749999998</v>
      </c>
      <c r="I620" s="22" t="str">
        <f>IFERROR(VLOOKUP(D620,'LEAID Match'!$A$2:$B$184,2,FALSE),"")</f>
        <v/>
      </c>
    </row>
    <row r="621" spans="1:9" x14ac:dyDescent="0.2">
      <c r="A621" t="str">
        <f t="shared" si="9"/>
        <v/>
      </c>
      <c r="B621" s="24">
        <v>2021</v>
      </c>
      <c r="C621" t="s">
        <v>178</v>
      </c>
      <c r="D621" t="s">
        <v>648</v>
      </c>
      <c r="E621" t="s">
        <v>648</v>
      </c>
      <c r="F621" s="11">
        <v>61178253</v>
      </c>
      <c r="G621" s="18">
        <v>4.8879999999999996E-4</v>
      </c>
      <c r="H621" s="11">
        <v>1160045.5776</v>
      </c>
      <c r="I621" s="22" t="str">
        <f>IFERROR(VLOOKUP(D621,'LEAID Match'!$A$2:$B$184,2,FALSE),"")</f>
        <v/>
      </c>
    </row>
    <row r="622" spans="1:9" x14ac:dyDescent="0.2">
      <c r="A622" t="str">
        <f t="shared" si="9"/>
        <v/>
      </c>
      <c r="B622" s="24">
        <v>2022</v>
      </c>
      <c r="C622" t="s">
        <v>178</v>
      </c>
      <c r="D622" t="s">
        <v>648</v>
      </c>
      <c r="E622" t="s">
        <v>648</v>
      </c>
      <c r="F622" s="11">
        <v>61431463</v>
      </c>
      <c r="G622" s="18">
        <v>4.8710000000000002E-4</v>
      </c>
      <c r="H622" s="11">
        <v>1345343.8966000001</v>
      </c>
      <c r="I622" s="22" t="str">
        <f>IFERROR(VLOOKUP(D622,'LEAID Match'!$A$2:$B$184,2,FALSE),"")</f>
        <v/>
      </c>
    </row>
    <row r="623" spans="1:9" x14ac:dyDescent="0.2">
      <c r="A623" t="str">
        <f t="shared" si="9"/>
        <v/>
      </c>
      <c r="B623" s="24">
        <v>2023</v>
      </c>
      <c r="C623" t="s">
        <v>178</v>
      </c>
      <c r="D623" t="s">
        <v>648</v>
      </c>
      <c r="E623" t="s">
        <v>648</v>
      </c>
      <c r="F623" s="11">
        <v>69000401</v>
      </c>
      <c r="G623" s="18">
        <v>5.1920000000000004E-4</v>
      </c>
      <c r="H623" s="11">
        <v>1575718.5224000001</v>
      </c>
      <c r="I623" s="22" t="str">
        <f>IFERROR(VLOOKUP(D623,'LEAID Match'!$A$2:$B$184,2,FALSE),"")</f>
        <v/>
      </c>
    </row>
    <row r="624" spans="1:9" x14ac:dyDescent="0.2">
      <c r="A624">
        <f t="shared" si="9"/>
        <v>3700360</v>
      </c>
      <c r="B624" s="24">
        <v>2015</v>
      </c>
      <c r="C624" t="s">
        <v>179</v>
      </c>
      <c r="D624" t="s">
        <v>649</v>
      </c>
      <c r="E624" t="s">
        <v>125</v>
      </c>
      <c r="F624" s="11">
        <v>128641867</v>
      </c>
      <c r="G624" s="18">
        <v>1.1248E-3</v>
      </c>
      <c r="H624" s="11">
        <v>1420608.9024</v>
      </c>
      <c r="I624" s="22">
        <f>IFERROR(VLOOKUP(D624,'LEAID Match'!$A$2:$B$184,2,FALSE),"")</f>
        <v>3700360</v>
      </c>
    </row>
    <row r="625" spans="1:9" x14ac:dyDescent="0.2">
      <c r="A625">
        <f t="shared" si="9"/>
        <v>3700360</v>
      </c>
      <c r="B625" s="24">
        <v>2016</v>
      </c>
      <c r="C625" t="s">
        <v>179</v>
      </c>
      <c r="D625" t="s">
        <v>649</v>
      </c>
      <c r="E625" t="s">
        <v>649</v>
      </c>
      <c r="F625" s="11">
        <v>113077249</v>
      </c>
      <c r="G625" s="18">
        <v>1.0441999999999999E-3</v>
      </c>
      <c r="H625" s="11">
        <v>1331358.1325999999</v>
      </c>
      <c r="I625" s="22">
        <f>IFERROR(VLOOKUP(D625,'LEAID Match'!$A$2:$B$184,2,FALSE),"")</f>
        <v>3700360</v>
      </c>
    </row>
    <row r="626" spans="1:9" x14ac:dyDescent="0.2">
      <c r="A626">
        <f t="shared" si="9"/>
        <v>3700360</v>
      </c>
      <c r="B626" s="24">
        <v>2017</v>
      </c>
      <c r="C626" t="s">
        <v>179</v>
      </c>
      <c r="D626" t="s">
        <v>649</v>
      </c>
      <c r="E626" t="s">
        <v>649</v>
      </c>
      <c r="F626" s="11">
        <v>108124458</v>
      </c>
      <c r="G626" s="18">
        <v>9.6900000000000003E-4</v>
      </c>
      <c r="H626" s="11">
        <v>1396516.986</v>
      </c>
      <c r="I626" s="22">
        <f>IFERROR(VLOOKUP(D626,'LEAID Match'!$A$2:$B$184,2,FALSE),"")</f>
        <v>3700360</v>
      </c>
    </row>
    <row r="627" spans="1:9" x14ac:dyDescent="0.2">
      <c r="A627">
        <f t="shared" si="9"/>
        <v>3700360</v>
      </c>
      <c r="B627" s="24">
        <v>2018</v>
      </c>
      <c r="C627" t="s">
        <v>179</v>
      </c>
      <c r="D627" t="s">
        <v>649</v>
      </c>
      <c r="E627" t="s">
        <v>649</v>
      </c>
      <c r="F627" s="11">
        <v>98536942</v>
      </c>
      <c r="G627" s="18">
        <v>8.4789999999999996E-4</v>
      </c>
      <c r="H627" s="11">
        <v>1359099.7578999999</v>
      </c>
      <c r="I627" s="22">
        <f>IFERROR(VLOOKUP(D627,'LEAID Match'!$A$2:$B$184,2,FALSE),"")</f>
        <v>3700360</v>
      </c>
    </row>
    <row r="628" spans="1:9" x14ac:dyDescent="0.2">
      <c r="A628">
        <f t="shared" si="9"/>
        <v>3700360</v>
      </c>
      <c r="B628" s="24">
        <v>2019</v>
      </c>
      <c r="C628" t="s">
        <v>179</v>
      </c>
      <c r="D628" t="s">
        <v>649</v>
      </c>
      <c r="E628" t="s">
        <v>649</v>
      </c>
      <c r="F628" s="11">
        <v>99132930</v>
      </c>
      <c r="G628" s="18">
        <v>8.2280000000000005E-4</v>
      </c>
      <c r="H628" s="11">
        <v>1575782.1288000001</v>
      </c>
      <c r="I628" s="22">
        <f>IFERROR(VLOOKUP(D628,'LEAID Match'!$A$2:$B$184,2,FALSE),"")</f>
        <v>3700360</v>
      </c>
    </row>
    <row r="629" spans="1:9" x14ac:dyDescent="0.2">
      <c r="A629">
        <f t="shared" si="9"/>
        <v>3700360</v>
      </c>
      <c r="B629" s="24">
        <v>2020</v>
      </c>
      <c r="C629" t="s">
        <v>179</v>
      </c>
      <c r="D629" t="s">
        <v>649</v>
      </c>
      <c r="E629" t="s">
        <v>649</v>
      </c>
      <c r="F629" s="11">
        <v>97359814</v>
      </c>
      <c r="G629" s="18">
        <v>7.8600000000000002E-4</v>
      </c>
      <c r="H629" s="11">
        <v>1615288.95</v>
      </c>
      <c r="I629" s="22">
        <f>IFERROR(VLOOKUP(D629,'LEAID Match'!$A$2:$B$184,2,FALSE),"")</f>
        <v>3700360</v>
      </c>
    </row>
    <row r="630" spans="1:9" x14ac:dyDescent="0.2">
      <c r="A630">
        <f t="shared" si="9"/>
        <v>3700360</v>
      </c>
      <c r="B630" s="24">
        <v>2021</v>
      </c>
      <c r="C630" t="s">
        <v>179</v>
      </c>
      <c r="D630" t="s">
        <v>649</v>
      </c>
      <c r="E630" t="s">
        <v>649</v>
      </c>
      <c r="F630" s="11">
        <v>90760089</v>
      </c>
      <c r="G630" s="18">
        <v>7.2519999999999995E-4</v>
      </c>
      <c r="H630" s="11">
        <v>1721082.3503999999</v>
      </c>
      <c r="I630" s="22">
        <f>IFERROR(VLOOKUP(D630,'LEAID Match'!$A$2:$B$184,2,FALSE),"")</f>
        <v>3700360</v>
      </c>
    </row>
    <row r="631" spans="1:9" x14ac:dyDescent="0.2">
      <c r="A631">
        <f t="shared" si="9"/>
        <v>3700360</v>
      </c>
      <c r="B631" s="24">
        <v>2022</v>
      </c>
      <c r="C631" t="s">
        <v>179</v>
      </c>
      <c r="D631" t="s">
        <v>649</v>
      </c>
      <c r="E631" t="s">
        <v>649</v>
      </c>
      <c r="F631" s="11">
        <v>90114964</v>
      </c>
      <c r="G631" s="18">
        <v>7.1449999999999997E-4</v>
      </c>
      <c r="H631" s="11">
        <v>1973410.4169999999</v>
      </c>
      <c r="I631" s="22">
        <f>IFERROR(VLOOKUP(D631,'LEAID Match'!$A$2:$B$184,2,FALSE),"")</f>
        <v>3700360</v>
      </c>
    </row>
    <row r="632" spans="1:9" x14ac:dyDescent="0.2">
      <c r="A632">
        <f t="shared" si="9"/>
        <v>3700360</v>
      </c>
      <c r="B632" s="24">
        <v>2023</v>
      </c>
      <c r="C632" t="s">
        <v>179</v>
      </c>
      <c r="D632" t="s">
        <v>649</v>
      </c>
      <c r="E632" t="s">
        <v>649</v>
      </c>
      <c r="F632" s="11">
        <v>95039152</v>
      </c>
      <c r="G632" s="18">
        <v>7.1509999999999998E-4</v>
      </c>
      <c r="H632" s="11">
        <v>2170254.8446999998</v>
      </c>
      <c r="I632" s="22">
        <f>IFERROR(VLOOKUP(D632,'LEAID Match'!$A$2:$B$184,2,FALSE),"")</f>
        <v>3700360</v>
      </c>
    </row>
    <row r="633" spans="1:9" x14ac:dyDescent="0.2">
      <c r="A633">
        <f t="shared" si="9"/>
        <v>3700390</v>
      </c>
      <c r="B633" s="24">
        <v>2015</v>
      </c>
      <c r="C633" t="s">
        <v>180</v>
      </c>
      <c r="D633" t="s">
        <v>650</v>
      </c>
      <c r="E633" t="s">
        <v>126</v>
      </c>
      <c r="F633" s="11">
        <v>201989698</v>
      </c>
      <c r="G633" s="18">
        <v>1.7661E-3</v>
      </c>
      <c r="H633" s="11">
        <v>2230563.1068000002</v>
      </c>
      <c r="I633" s="22">
        <f>IFERROR(VLOOKUP(D633,'LEAID Match'!$A$2:$B$184,2,FALSE),"")</f>
        <v>3700390</v>
      </c>
    </row>
    <row r="634" spans="1:9" x14ac:dyDescent="0.2">
      <c r="A634">
        <f t="shared" si="9"/>
        <v>3700390</v>
      </c>
      <c r="B634" s="24">
        <v>2016</v>
      </c>
      <c r="C634" t="s">
        <v>180</v>
      </c>
      <c r="D634" t="s">
        <v>650</v>
      </c>
      <c r="E634" t="s">
        <v>650</v>
      </c>
      <c r="F634" s="11">
        <v>187645503</v>
      </c>
      <c r="G634" s="18">
        <v>1.7328000000000001E-3</v>
      </c>
      <c r="H634" s="11">
        <v>2209325.1984000001</v>
      </c>
      <c r="I634" s="22">
        <f>IFERROR(VLOOKUP(D634,'LEAID Match'!$A$2:$B$184,2,FALSE),"")</f>
        <v>3700390</v>
      </c>
    </row>
    <row r="635" spans="1:9" x14ac:dyDescent="0.2">
      <c r="A635">
        <f t="shared" si="9"/>
        <v>3700390</v>
      </c>
      <c r="B635" s="24">
        <v>2017</v>
      </c>
      <c r="C635" t="s">
        <v>180</v>
      </c>
      <c r="D635" t="s">
        <v>650</v>
      </c>
      <c r="E635" t="s">
        <v>650</v>
      </c>
      <c r="F635" s="11">
        <v>188631723</v>
      </c>
      <c r="G635" s="18">
        <v>1.6904999999999999E-3</v>
      </c>
      <c r="H635" s="11">
        <v>2436338.4569999999</v>
      </c>
      <c r="I635" s="22">
        <f>IFERROR(VLOOKUP(D635,'LEAID Match'!$A$2:$B$184,2,FALSE),"")</f>
        <v>3700390</v>
      </c>
    </row>
    <row r="636" spans="1:9" x14ac:dyDescent="0.2">
      <c r="A636">
        <f t="shared" si="9"/>
        <v>3700390</v>
      </c>
      <c r="B636" s="24">
        <v>2018</v>
      </c>
      <c r="C636" t="s">
        <v>180</v>
      </c>
      <c r="D636" t="s">
        <v>650</v>
      </c>
      <c r="E636" t="s">
        <v>650</v>
      </c>
      <c r="F636" s="11">
        <v>191718583</v>
      </c>
      <c r="G636" s="18">
        <v>1.6498000000000001E-3</v>
      </c>
      <c r="H636" s="11">
        <v>2644466.0698000002</v>
      </c>
      <c r="I636" s="22">
        <f>IFERROR(VLOOKUP(D636,'LEAID Match'!$A$2:$B$184,2,FALSE),"")</f>
        <v>3700390</v>
      </c>
    </row>
    <row r="637" spans="1:9" x14ac:dyDescent="0.2">
      <c r="A637">
        <f t="shared" si="9"/>
        <v>3700390</v>
      </c>
      <c r="B637" s="24">
        <v>2019</v>
      </c>
      <c r="C637" t="s">
        <v>180</v>
      </c>
      <c r="D637" t="s">
        <v>650</v>
      </c>
      <c r="E637" t="s">
        <v>650</v>
      </c>
      <c r="F637" s="11">
        <v>190024803</v>
      </c>
      <c r="G637" s="18">
        <v>1.5772E-3</v>
      </c>
      <c r="H637" s="11">
        <v>3020568.2711999998</v>
      </c>
      <c r="I637" s="22">
        <f>IFERROR(VLOOKUP(D637,'LEAID Match'!$A$2:$B$184,2,FALSE),"")</f>
        <v>3700390</v>
      </c>
    </row>
    <row r="638" spans="1:9" x14ac:dyDescent="0.2">
      <c r="A638">
        <f t="shared" si="9"/>
        <v>3700390</v>
      </c>
      <c r="B638" s="24">
        <v>2020</v>
      </c>
      <c r="C638" t="s">
        <v>180</v>
      </c>
      <c r="D638" t="s">
        <v>650</v>
      </c>
      <c r="E638" t="s">
        <v>650</v>
      </c>
      <c r="F638" s="11">
        <v>194511924</v>
      </c>
      <c r="G638" s="18">
        <v>1.5703E-3</v>
      </c>
      <c r="H638" s="11">
        <v>3227084.2725</v>
      </c>
      <c r="I638" s="22">
        <f>IFERROR(VLOOKUP(D638,'LEAID Match'!$A$2:$B$184,2,FALSE),"")</f>
        <v>3700390</v>
      </c>
    </row>
    <row r="639" spans="1:9" x14ac:dyDescent="0.2">
      <c r="A639">
        <f t="shared" si="9"/>
        <v>3700390</v>
      </c>
      <c r="B639" s="24">
        <v>2021</v>
      </c>
      <c r="C639" t="s">
        <v>180</v>
      </c>
      <c r="D639" t="s">
        <v>650</v>
      </c>
      <c r="E639" t="s">
        <v>650</v>
      </c>
      <c r="F639" s="11">
        <v>194184864</v>
      </c>
      <c r="G639" s="18">
        <v>1.5516E-3</v>
      </c>
      <c r="H639" s="11">
        <v>3682337.8032</v>
      </c>
      <c r="I639" s="22">
        <f>IFERROR(VLOOKUP(D639,'LEAID Match'!$A$2:$B$184,2,FALSE),"")</f>
        <v>3700390</v>
      </c>
    </row>
    <row r="640" spans="1:9" x14ac:dyDescent="0.2">
      <c r="A640">
        <f t="shared" si="9"/>
        <v>3700390</v>
      </c>
      <c r="B640" s="24">
        <v>2022</v>
      </c>
      <c r="C640" t="s">
        <v>180</v>
      </c>
      <c r="D640" t="s">
        <v>650</v>
      </c>
      <c r="E640" t="s">
        <v>650</v>
      </c>
      <c r="F640" s="11">
        <v>184972376</v>
      </c>
      <c r="G640" s="18">
        <v>1.4666E-3</v>
      </c>
      <c r="H640" s="11">
        <v>4050670.0035999999</v>
      </c>
      <c r="I640" s="22">
        <f>IFERROR(VLOOKUP(D640,'LEAID Match'!$A$2:$B$184,2,FALSE),"")</f>
        <v>3700390</v>
      </c>
    </row>
    <row r="641" spans="1:9" x14ac:dyDescent="0.2">
      <c r="A641">
        <f t="shared" si="9"/>
        <v>3700390</v>
      </c>
      <c r="B641" s="24">
        <v>2023</v>
      </c>
      <c r="C641" t="s">
        <v>180</v>
      </c>
      <c r="D641" t="s">
        <v>650</v>
      </c>
      <c r="E641" t="s">
        <v>650</v>
      </c>
      <c r="F641" s="11">
        <v>229193262</v>
      </c>
      <c r="G641" s="18">
        <v>1.7244999999999999E-3</v>
      </c>
      <c r="H641" s="11">
        <v>5233679.8764999993</v>
      </c>
      <c r="I641" s="22">
        <f>IFERROR(VLOOKUP(D641,'LEAID Match'!$A$2:$B$184,2,FALSE),"")</f>
        <v>3700390</v>
      </c>
    </row>
    <row r="642" spans="1:9" x14ac:dyDescent="0.2">
      <c r="A642" t="str">
        <f t="shared" si="9"/>
        <v/>
      </c>
      <c r="B642" s="24">
        <v>2015</v>
      </c>
      <c r="C642" t="s">
        <v>181</v>
      </c>
      <c r="D642" t="s">
        <v>651</v>
      </c>
      <c r="E642" t="s">
        <v>127</v>
      </c>
      <c r="F642" s="11">
        <v>42909110</v>
      </c>
      <c r="G642" s="18">
        <v>3.7520000000000001E-4</v>
      </c>
      <c r="H642" s="11">
        <v>473873.09760000004</v>
      </c>
      <c r="I642" s="22" t="str">
        <f>IFERROR(VLOOKUP(D642,'LEAID Match'!$A$2:$B$184,2,FALSE),"")</f>
        <v/>
      </c>
    </row>
    <row r="643" spans="1:9" x14ac:dyDescent="0.2">
      <c r="A643" t="str">
        <f t="shared" ref="A643:A706" si="10">I643</f>
        <v/>
      </c>
      <c r="B643" s="24">
        <v>2016</v>
      </c>
      <c r="C643" t="s">
        <v>181</v>
      </c>
      <c r="D643" t="s">
        <v>651</v>
      </c>
      <c r="E643" t="s">
        <v>651</v>
      </c>
      <c r="F643" s="11">
        <v>38086592</v>
      </c>
      <c r="G643" s="18">
        <v>3.5169999999999998E-4</v>
      </c>
      <c r="H643" s="11">
        <v>448418.5551</v>
      </c>
      <c r="I643" s="22" t="str">
        <f>IFERROR(VLOOKUP(D643,'LEAID Match'!$A$2:$B$184,2,FALSE),"")</f>
        <v/>
      </c>
    </row>
    <row r="644" spans="1:9" x14ac:dyDescent="0.2">
      <c r="A644" t="str">
        <f t="shared" si="10"/>
        <v/>
      </c>
      <c r="B644" s="24">
        <v>2017</v>
      </c>
      <c r="C644" t="s">
        <v>181</v>
      </c>
      <c r="D644" t="s">
        <v>651</v>
      </c>
      <c r="E644" t="s">
        <v>651</v>
      </c>
      <c r="F644" s="11">
        <v>37268222</v>
      </c>
      <c r="G644" s="18">
        <v>3.3399999999999999E-4</v>
      </c>
      <c r="H644" s="11">
        <v>481358.79599999997</v>
      </c>
      <c r="I644" s="22" t="str">
        <f>IFERROR(VLOOKUP(D644,'LEAID Match'!$A$2:$B$184,2,FALSE),"")</f>
        <v/>
      </c>
    </row>
    <row r="645" spans="1:9" x14ac:dyDescent="0.2">
      <c r="A645" t="str">
        <f t="shared" si="10"/>
        <v/>
      </c>
      <c r="B645" s="24">
        <v>2018</v>
      </c>
      <c r="C645" t="s">
        <v>181</v>
      </c>
      <c r="D645" t="s">
        <v>651</v>
      </c>
      <c r="E645" t="s">
        <v>651</v>
      </c>
      <c r="F645" s="11">
        <v>37691813</v>
      </c>
      <c r="G645" s="18">
        <v>3.2430000000000002E-4</v>
      </c>
      <c r="H645" s="11">
        <v>519820.79430000001</v>
      </c>
      <c r="I645" s="22" t="str">
        <f>IFERROR(VLOOKUP(D645,'LEAID Match'!$A$2:$B$184,2,FALSE),"")</f>
        <v/>
      </c>
    </row>
    <row r="646" spans="1:9" x14ac:dyDescent="0.2">
      <c r="A646" t="str">
        <f t="shared" si="10"/>
        <v/>
      </c>
      <c r="B646" s="24">
        <v>2019</v>
      </c>
      <c r="C646" t="s">
        <v>181</v>
      </c>
      <c r="D646" t="s">
        <v>651</v>
      </c>
      <c r="E646" t="s">
        <v>651</v>
      </c>
      <c r="F646" s="11">
        <v>38832622</v>
      </c>
      <c r="G646" s="18">
        <v>3.2229999999999997E-4</v>
      </c>
      <c r="H646" s="11">
        <v>617251.55579999997</v>
      </c>
      <c r="I646" s="22" t="str">
        <f>IFERROR(VLOOKUP(D646,'LEAID Match'!$A$2:$B$184,2,FALSE),"")</f>
        <v/>
      </c>
    </row>
    <row r="647" spans="1:9" x14ac:dyDescent="0.2">
      <c r="A647" t="str">
        <f t="shared" si="10"/>
        <v/>
      </c>
      <c r="B647" s="24">
        <v>2020</v>
      </c>
      <c r="C647" t="s">
        <v>181</v>
      </c>
      <c r="D647" t="s">
        <v>651</v>
      </c>
      <c r="E647" t="s">
        <v>651</v>
      </c>
      <c r="F647" s="11">
        <v>38990402</v>
      </c>
      <c r="G647" s="18">
        <v>3.1480000000000001E-4</v>
      </c>
      <c r="H647" s="11">
        <v>646937.61</v>
      </c>
      <c r="I647" s="22" t="str">
        <f>IFERROR(VLOOKUP(D647,'LEAID Match'!$A$2:$B$184,2,FALSE),"")</f>
        <v/>
      </c>
    </row>
    <row r="648" spans="1:9" x14ac:dyDescent="0.2">
      <c r="A648" t="str">
        <f t="shared" si="10"/>
        <v/>
      </c>
      <c r="B648" s="24">
        <v>2021</v>
      </c>
      <c r="C648" t="s">
        <v>181</v>
      </c>
      <c r="D648" t="s">
        <v>651</v>
      </c>
      <c r="E648" t="s">
        <v>651</v>
      </c>
      <c r="F648" s="11">
        <v>36876856</v>
      </c>
      <c r="G648" s="18">
        <v>2.9470000000000001E-4</v>
      </c>
      <c r="H648" s="11">
        <v>699397.36439999996</v>
      </c>
      <c r="I648" s="22" t="str">
        <f>IFERROR(VLOOKUP(D648,'LEAID Match'!$A$2:$B$184,2,FALSE),"")</f>
        <v/>
      </c>
    </row>
    <row r="649" spans="1:9" x14ac:dyDescent="0.2">
      <c r="A649" t="str">
        <f t="shared" si="10"/>
        <v/>
      </c>
      <c r="B649" s="24">
        <v>2022</v>
      </c>
      <c r="C649" t="s">
        <v>181</v>
      </c>
      <c r="D649" t="s">
        <v>651</v>
      </c>
      <c r="E649" t="s">
        <v>651</v>
      </c>
      <c r="F649" s="11">
        <v>36783598</v>
      </c>
      <c r="G649" s="18">
        <v>2.9169999999999999E-4</v>
      </c>
      <c r="H649" s="11">
        <v>805659.64819999994</v>
      </c>
      <c r="I649" s="22" t="str">
        <f>IFERROR(VLOOKUP(D649,'LEAID Match'!$A$2:$B$184,2,FALSE),"")</f>
        <v/>
      </c>
    </row>
    <row r="650" spans="1:9" x14ac:dyDescent="0.2">
      <c r="A650" t="str">
        <f t="shared" si="10"/>
        <v/>
      </c>
      <c r="B650" s="24">
        <v>2023</v>
      </c>
      <c r="C650" t="s">
        <v>181</v>
      </c>
      <c r="D650" t="s">
        <v>651</v>
      </c>
      <c r="E650" t="s">
        <v>651</v>
      </c>
      <c r="F650" s="11">
        <v>40592270</v>
      </c>
      <c r="G650" s="18">
        <v>3.054E-4</v>
      </c>
      <c r="H650" s="11">
        <v>926857.54379999998</v>
      </c>
      <c r="I650" s="22" t="str">
        <f>IFERROR(VLOOKUP(D650,'LEAID Match'!$A$2:$B$184,2,FALSE),"")</f>
        <v/>
      </c>
    </row>
    <row r="651" spans="1:9" x14ac:dyDescent="0.2">
      <c r="A651">
        <f t="shared" si="10"/>
        <v>3700420</v>
      </c>
      <c r="B651" s="24">
        <v>2015</v>
      </c>
      <c r="C651" t="s">
        <v>182</v>
      </c>
      <c r="D651" t="s">
        <v>652</v>
      </c>
      <c r="E651" t="s">
        <v>128</v>
      </c>
      <c r="F651" s="11">
        <v>553697570</v>
      </c>
      <c r="G651" s="18">
        <v>4.8412000000000004E-3</v>
      </c>
      <c r="H651" s="11">
        <v>6114377.5056000007</v>
      </c>
      <c r="I651" s="22">
        <f>IFERROR(VLOOKUP(D651,'LEAID Match'!$A$2:$B$184,2,FALSE),"")</f>
        <v>3700420</v>
      </c>
    </row>
    <row r="652" spans="1:9" x14ac:dyDescent="0.2">
      <c r="A652">
        <f t="shared" si="10"/>
        <v>3700420</v>
      </c>
      <c r="B652" s="24">
        <v>2016</v>
      </c>
      <c r="C652" t="s">
        <v>182</v>
      </c>
      <c r="D652" t="s">
        <v>652</v>
      </c>
      <c r="E652" t="s">
        <v>652</v>
      </c>
      <c r="F652" s="11">
        <v>521479613</v>
      </c>
      <c r="G652" s="18">
        <v>4.8155000000000003E-3</v>
      </c>
      <c r="H652" s="11">
        <v>6139776.9465000005</v>
      </c>
      <c r="I652" s="22">
        <f>IFERROR(VLOOKUP(D652,'LEAID Match'!$A$2:$B$184,2,FALSE),"")</f>
        <v>3700420</v>
      </c>
    </row>
    <row r="653" spans="1:9" x14ac:dyDescent="0.2">
      <c r="A653">
        <f t="shared" si="10"/>
        <v>3700420</v>
      </c>
      <c r="B653" s="24">
        <v>2017</v>
      </c>
      <c r="C653" t="s">
        <v>182</v>
      </c>
      <c r="D653" t="s">
        <v>652</v>
      </c>
      <c r="E653" t="s">
        <v>652</v>
      </c>
      <c r="F653" s="11">
        <v>536979296</v>
      </c>
      <c r="G653" s="18">
        <v>4.8123999999999997E-3</v>
      </c>
      <c r="H653" s="11">
        <v>6935602.0055999998</v>
      </c>
      <c r="I653" s="22">
        <f>IFERROR(VLOOKUP(D653,'LEAID Match'!$A$2:$B$184,2,FALSE),"")</f>
        <v>3700420</v>
      </c>
    </row>
    <row r="654" spans="1:9" x14ac:dyDescent="0.2">
      <c r="A654">
        <f t="shared" si="10"/>
        <v>3700420</v>
      </c>
      <c r="B654" s="24">
        <v>2018</v>
      </c>
      <c r="C654" t="s">
        <v>182</v>
      </c>
      <c r="D654" t="s">
        <v>652</v>
      </c>
      <c r="E654" t="s">
        <v>652</v>
      </c>
      <c r="F654" s="11">
        <v>566554111</v>
      </c>
      <c r="G654" s="18">
        <v>4.8752999999999999E-3</v>
      </c>
      <c r="H654" s="11">
        <v>7814623.2452999996</v>
      </c>
      <c r="I654" s="22">
        <f>IFERROR(VLOOKUP(D654,'LEAID Match'!$A$2:$B$184,2,FALSE),"")</f>
        <v>3700420</v>
      </c>
    </row>
    <row r="655" spans="1:9" x14ac:dyDescent="0.2">
      <c r="A655">
        <f t="shared" si="10"/>
        <v>3700420</v>
      </c>
      <c r="B655" s="24">
        <v>2019</v>
      </c>
      <c r="C655" t="s">
        <v>182</v>
      </c>
      <c r="D655" t="s">
        <v>652</v>
      </c>
      <c r="E655" t="s">
        <v>652</v>
      </c>
      <c r="F655" s="11">
        <v>584750743</v>
      </c>
      <c r="G655" s="18">
        <v>4.8533999999999999E-3</v>
      </c>
      <c r="H655" s="11">
        <v>9294969.5964000002</v>
      </c>
      <c r="I655" s="22">
        <f>IFERROR(VLOOKUP(D655,'LEAID Match'!$A$2:$B$184,2,FALSE),"")</f>
        <v>3700420</v>
      </c>
    </row>
    <row r="656" spans="1:9" x14ac:dyDescent="0.2">
      <c r="A656">
        <f t="shared" si="10"/>
        <v>3700420</v>
      </c>
      <c r="B656" s="24">
        <v>2020</v>
      </c>
      <c r="C656" t="s">
        <v>182</v>
      </c>
      <c r="D656" t="s">
        <v>652</v>
      </c>
      <c r="E656" t="s">
        <v>652</v>
      </c>
      <c r="F656" s="11">
        <v>597051317</v>
      </c>
      <c r="G656" s="18">
        <v>4.8199000000000002E-3</v>
      </c>
      <c r="H656" s="11">
        <v>9905255.9924999997</v>
      </c>
      <c r="I656" s="22">
        <f>IFERROR(VLOOKUP(D656,'LEAID Match'!$A$2:$B$184,2,FALSE),"")</f>
        <v>3700420</v>
      </c>
    </row>
    <row r="657" spans="1:9" x14ac:dyDescent="0.2">
      <c r="A657">
        <f t="shared" si="10"/>
        <v>3700420</v>
      </c>
      <c r="B657" s="24">
        <v>2021</v>
      </c>
      <c r="C657" t="s">
        <v>182</v>
      </c>
      <c r="D657" t="s">
        <v>652</v>
      </c>
      <c r="E657" t="s">
        <v>652</v>
      </c>
      <c r="F657" s="11">
        <v>596472894</v>
      </c>
      <c r="G657" s="18">
        <v>4.7660999999999997E-3</v>
      </c>
      <c r="H657" s="11">
        <v>11311156.357199999</v>
      </c>
      <c r="I657" s="22">
        <f>IFERROR(VLOOKUP(D657,'LEAID Match'!$A$2:$B$184,2,FALSE),"")</f>
        <v>3700420</v>
      </c>
    </row>
    <row r="658" spans="1:9" x14ac:dyDescent="0.2">
      <c r="A658">
        <f t="shared" si="10"/>
        <v>3700420</v>
      </c>
      <c r="B658" s="24">
        <v>2022</v>
      </c>
      <c r="C658" t="s">
        <v>182</v>
      </c>
      <c r="D658" t="s">
        <v>652</v>
      </c>
      <c r="E658" t="s">
        <v>652</v>
      </c>
      <c r="F658" s="11">
        <v>619607995</v>
      </c>
      <c r="G658" s="18">
        <v>4.9129000000000004E-3</v>
      </c>
      <c r="H658" s="11">
        <v>13569164.503400002</v>
      </c>
      <c r="I658" s="22">
        <f>IFERROR(VLOOKUP(D658,'LEAID Match'!$A$2:$B$184,2,FALSE),"")</f>
        <v>3700420</v>
      </c>
    </row>
    <row r="659" spans="1:9" x14ac:dyDescent="0.2">
      <c r="A659">
        <f t="shared" si="10"/>
        <v>3700420</v>
      </c>
      <c r="B659" s="24">
        <v>2023</v>
      </c>
      <c r="C659" t="s">
        <v>182</v>
      </c>
      <c r="D659" t="s">
        <v>652</v>
      </c>
      <c r="E659" t="s">
        <v>652</v>
      </c>
      <c r="F659" s="11">
        <v>668896841</v>
      </c>
      <c r="G659" s="18">
        <v>5.0330000000000001E-3</v>
      </c>
      <c r="H659" s="11">
        <v>15274636.601</v>
      </c>
      <c r="I659" s="22">
        <f>IFERROR(VLOOKUP(D659,'LEAID Match'!$A$2:$B$184,2,FALSE),"")</f>
        <v>3700420</v>
      </c>
    </row>
    <row r="660" spans="1:9" x14ac:dyDescent="0.2">
      <c r="A660" t="str">
        <f t="shared" si="10"/>
        <v/>
      </c>
      <c r="B660" s="24">
        <v>2015</v>
      </c>
      <c r="C660" t="s">
        <v>183</v>
      </c>
      <c r="D660" t="s">
        <v>653</v>
      </c>
      <c r="E660" t="s">
        <v>129</v>
      </c>
      <c r="F660" s="11">
        <v>53248481</v>
      </c>
      <c r="G660" s="18">
        <v>4.6559999999999999E-4</v>
      </c>
      <c r="H660" s="11">
        <v>588047.21279999998</v>
      </c>
      <c r="I660" s="22" t="str">
        <f>IFERROR(VLOOKUP(D660,'LEAID Match'!$A$2:$B$184,2,FALSE),"")</f>
        <v/>
      </c>
    </row>
    <row r="661" spans="1:9" x14ac:dyDescent="0.2">
      <c r="A661" t="str">
        <f t="shared" si="10"/>
        <v/>
      </c>
      <c r="B661" s="24">
        <v>2016</v>
      </c>
      <c r="C661" t="s">
        <v>183</v>
      </c>
      <c r="D661" t="s">
        <v>653</v>
      </c>
      <c r="E661" t="s">
        <v>653</v>
      </c>
      <c r="F661" s="11">
        <v>52194691</v>
      </c>
      <c r="G661" s="18">
        <v>4.8200000000000001E-4</v>
      </c>
      <c r="H661" s="11">
        <v>614551.446</v>
      </c>
      <c r="I661" s="22" t="str">
        <f>IFERROR(VLOOKUP(D661,'LEAID Match'!$A$2:$B$184,2,FALSE),"")</f>
        <v/>
      </c>
    </row>
    <row r="662" spans="1:9" x14ac:dyDescent="0.2">
      <c r="A662" t="str">
        <f t="shared" si="10"/>
        <v/>
      </c>
      <c r="B662" s="24">
        <v>2017</v>
      </c>
      <c r="C662" t="s">
        <v>183</v>
      </c>
      <c r="D662" t="s">
        <v>653</v>
      </c>
      <c r="E662" t="s">
        <v>653</v>
      </c>
      <c r="F662" s="11">
        <v>52099063</v>
      </c>
      <c r="G662" s="18">
        <v>4.6690000000000002E-4</v>
      </c>
      <c r="H662" s="11">
        <v>672893.47860000003</v>
      </c>
      <c r="I662" s="22" t="str">
        <f>IFERROR(VLOOKUP(D662,'LEAID Match'!$A$2:$B$184,2,FALSE),"")</f>
        <v/>
      </c>
    </row>
    <row r="663" spans="1:9" x14ac:dyDescent="0.2">
      <c r="A663" t="str">
        <f t="shared" si="10"/>
        <v/>
      </c>
      <c r="B663" s="24">
        <v>2018</v>
      </c>
      <c r="C663" t="s">
        <v>183</v>
      </c>
      <c r="D663" t="s">
        <v>653</v>
      </c>
      <c r="E663" t="s">
        <v>653</v>
      </c>
      <c r="F663" s="11">
        <v>51519482</v>
      </c>
      <c r="G663" s="18">
        <v>4.4329999999999999E-4</v>
      </c>
      <c r="H663" s="11">
        <v>710566.01329999999</v>
      </c>
      <c r="I663" s="22" t="str">
        <f>IFERROR(VLOOKUP(D663,'LEAID Match'!$A$2:$B$184,2,FALSE),"")</f>
        <v/>
      </c>
    </row>
    <row r="664" spans="1:9" x14ac:dyDescent="0.2">
      <c r="A664" t="str">
        <f t="shared" si="10"/>
        <v/>
      </c>
      <c r="B664" s="24">
        <v>2019</v>
      </c>
      <c r="C664" t="s">
        <v>183</v>
      </c>
      <c r="D664" t="s">
        <v>653</v>
      </c>
      <c r="E664" t="s">
        <v>653</v>
      </c>
      <c r="F664" s="11">
        <v>52666237</v>
      </c>
      <c r="G664" s="18">
        <v>4.371E-4</v>
      </c>
      <c r="H664" s="11">
        <v>837110.31660000002</v>
      </c>
      <c r="I664" s="22" t="str">
        <f>IFERROR(VLOOKUP(D664,'LEAID Match'!$A$2:$B$184,2,FALSE),"")</f>
        <v/>
      </c>
    </row>
    <row r="665" spans="1:9" x14ac:dyDescent="0.2">
      <c r="A665" t="str">
        <f t="shared" si="10"/>
        <v/>
      </c>
      <c r="B665" s="24">
        <v>2020</v>
      </c>
      <c r="C665" t="s">
        <v>183</v>
      </c>
      <c r="D665" t="s">
        <v>653</v>
      </c>
      <c r="E665" t="s">
        <v>653</v>
      </c>
      <c r="F665" s="11">
        <v>54887743</v>
      </c>
      <c r="G665" s="18">
        <v>4.4309999999999998E-4</v>
      </c>
      <c r="H665" s="11">
        <v>910603.73249999993</v>
      </c>
      <c r="I665" s="22" t="str">
        <f>IFERROR(VLOOKUP(D665,'LEAID Match'!$A$2:$B$184,2,FALSE),"")</f>
        <v/>
      </c>
    </row>
    <row r="666" spans="1:9" x14ac:dyDescent="0.2">
      <c r="A666" t="str">
        <f t="shared" si="10"/>
        <v/>
      </c>
      <c r="B666" s="24">
        <v>2021</v>
      </c>
      <c r="C666" t="s">
        <v>183</v>
      </c>
      <c r="D666" t="s">
        <v>653</v>
      </c>
      <c r="E666" t="s">
        <v>653</v>
      </c>
      <c r="F666" s="11">
        <v>57550097</v>
      </c>
      <c r="G666" s="18">
        <v>4.5980000000000001E-4</v>
      </c>
      <c r="H666" s="11">
        <v>1091221.2696</v>
      </c>
      <c r="I666" s="22" t="str">
        <f>IFERROR(VLOOKUP(D666,'LEAID Match'!$A$2:$B$184,2,FALSE),"")</f>
        <v/>
      </c>
    </row>
    <row r="667" spans="1:9" x14ac:dyDescent="0.2">
      <c r="A667" t="str">
        <f t="shared" si="10"/>
        <v/>
      </c>
      <c r="B667" s="24">
        <v>2022</v>
      </c>
      <c r="C667" t="s">
        <v>183</v>
      </c>
      <c r="D667" t="s">
        <v>653</v>
      </c>
      <c r="E667" t="s">
        <v>653</v>
      </c>
      <c r="F667" s="11">
        <v>58009831</v>
      </c>
      <c r="G667" s="18">
        <v>4.6000000000000001E-4</v>
      </c>
      <c r="H667" s="11">
        <v>1270495.1600000001</v>
      </c>
      <c r="I667" s="22" t="str">
        <f>IFERROR(VLOOKUP(D667,'LEAID Match'!$A$2:$B$184,2,FALSE),"")</f>
        <v/>
      </c>
    </row>
    <row r="668" spans="1:9" x14ac:dyDescent="0.2">
      <c r="A668" t="str">
        <f t="shared" si="10"/>
        <v/>
      </c>
      <c r="B668" s="24">
        <v>2023</v>
      </c>
      <c r="C668" t="s">
        <v>183</v>
      </c>
      <c r="D668" t="s">
        <v>653</v>
      </c>
      <c r="E668" t="s">
        <v>653</v>
      </c>
      <c r="F668" s="11">
        <v>64634685</v>
      </c>
      <c r="G668" s="18">
        <v>4.863E-4</v>
      </c>
      <c r="H668" s="11">
        <v>1475870.4110999999</v>
      </c>
      <c r="I668" s="22" t="str">
        <f>IFERROR(VLOOKUP(D668,'LEAID Match'!$A$2:$B$184,2,FALSE),"")</f>
        <v/>
      </c>
    </row>
    <row r="669" spans="1:9" x14ac:dyDescent="0.2">
      <c r="A669">
        <f t="shared" si="10"/>
        <v>3700450</v>
      </c>
      <c r="B669" s="24">
        <v>2015</v>
      </c>
      <c r="C669" t="s">
        <v>184</v>
      </c>
      <c r="D669" t="s">
        <v>654</v>
      </c>
      <c r="E669" t="s">
        <v>130</v>
      </c>
      <c r="F669" s="11">
        <v>1136942358</v>
      </c>
      <c r="G669" s="18">
        <v>9.9407000000000002E-3</v>
      </c>
      <c r="H669" s="11">
        <v>12554984.8116</v>
      </c>
      <c r="I669" s="22">
        <f>IFERROR(VLOOKUP(D669,'LEAID Match'!$A$2:$B$184,2,FALSE),"")</f>
        <v>3700450</v>
      </c>
    </row>
    <row r="670" spans="1:9" x14ac:dyDescent="0.2">
      <c r="A670">
        <f t="shared" si="10"/>
        <v>3700450</v>
      </c>
      <c r="B670" s="24">
        <v>2016</v>
      </c>
      <c r="C670" t="s">
        <v>184</v>
      </c>
      <c r="D670" t="s">
        <v>654</v>
      </c>
      <c r="E670" t="s">
        <v>654</v>
      </c>
      <c r="F670" s="11">
        <v>1076259499</v>
      </c>
      <c r="G670" s="18">
        <v>9.9386000000000006E-3</v>
      </c>
      <c r="H670" s="11">
        <v>12671744.8158</v>
      </c>
      <c r="I670" s="22">
        <f>IFERROR(VLOOKUP(D670,'LEAID Match'!$A$2:$B$184,2,FALSE),"")</f>
        <v>3700450</v>
      </c>
    </row>
    <row r="671" spans="1:9" x14ac:dyDescent="0.2">
      <c r="A671">
        <f t="shared" si="10"/>
        <v>3700450</v>
      </c>
      <c r="B671" s="24">
        <v>2017</v>
      </c>
      <c r="C671" t="s">
        <v>184</v>
      </c>
      <c r="D671" t="s">
        <v>654</v>
      </c>
      <c r="E671" t="s">
        <v>654</v>
      </c>
      <c r="F671" s="11">
        <v>1109105141</v>
      </c>
      <c r="G671" s="18">
        <v>9.9398000000000004E-3</v>
      </c>
      <c r="H671" s="11">
        <v>14325180.121200001</v>
      </c>
      <c r="I671" s="22">
        <f>IFERROR(VLOOKUP(D671,'LEAID Match'!$A$2:$B$184,2,FALSE),"")</f>
        <v>3700450</v>
      </c>
    </row>
    <row r="672" spans="1:9" x14ac:dyDescent="0.2">
      <c r="A672">
        <f t="shared" si="10"/>
        <v>3700450</v>
      </c>
      <c r="B672" s="24">
        <v>2018</v>
      </c>
      <c r="C672" t="s">
        <v>184</v>
      </c>
      <c r="D672" t="s">
        <v>654</v>
      </c>
      <c r="E672" t="s">
        <v>654</v>
      </c>
      <c r="F672" s="11">
        <v>1170136234</v>
      </c>
      <c r="G672" s="18">
        <v>1.00693E-2</v>
      </c>
      <c r="H672" s="11">
        <v>16140091.0393</v>
      </c>
      <c r="I672" s="22">
        <f>IFERROR(VLOOKUP(D672,'LEAID Match'!$A$2:$B$184,2,FALSE),"")</f>
        <v>3700450</v>
      </c>
    </row>
    <row r="673" spans="1:9" x14ac:dyDescent="0.2">
      <c r="A673">
        <f t="shared" si="10"/>
        <v>3700450</v>
      </c>
      <c r="B673" s="24">
        <v>2019</v>
      </c>
      <c r="C673" t="s">
        <v>184</v>
      </c>
      <c r="D673" t="s">
        <v>654</v>
      </c>
      <c r="E673" t="s">
        <v>654</v>
      </c>
      <c r="F673" s="11">
        <v>1213656093</v>
      </c>
      <c r="G673" s="18">
        <v>1.00734E-2</v>
      </c>
      <c r="H673" s="11">
        <v>19292031.716400001</v>
      </c>
      <c r="I673" s="22">
        <f>IFERROR(VLOOKUP(D673,'LEAID Match'!$A$2:$B$184,2,FALSE),"")</f>
        <v>3700450</v>
      </c>
    </row>
    <row r="674" spans="1:9" x14ac:dyDescent="0.2">
      <c r="A674">
        <f t="shared" si="10"/>
        <v>3700450</v>
      </c>
      <c r="B674" s="24">
        <v>2020</v>
      </c>
      <c r="C674" t="s">
        <v>184</v>
      </c>
      <c r="D674" t="s">
        <v>654</v>
      </c>
      <c r="E674" t="s">
        <v>654</v>
      </c>
      <c r="F674" s="11">
        <v>1229047106</v>
      </c>
      <c r="G674" s="18">
        <v>9.9219000000000009E-3</v>
      </c>
      <c r="H674" s="11">
        <v>20390248.642500002</v>
      </c>
      <c r="I674" s="22">
        <f>IFERROR(VLOOKUP(D674,'LEAID Match'!$A$2:$B$184,2,FALSE),"")</f>
        <v>3700450</v>
      </c>
    </row>
    <row r="675" spans="1:9" x14ac:dyDescent="0.2">
      <c r="A675">
        <f t="shared" si="10"/>
        <v>3700450</v>
      </c>
      <c r="B675" s="24">
        <v>2021</v>
      </c>
      <c r="C675" t="s">
        <v>184</v>
      </c>
      <c r="D675" t="s">
        <v>654</v>
      </c>
      <c r="E675" t="s">
        <v>654</v>
      </c>
      <c r="F675" s="11">
        <v>1206300519</v>
      </c>
      <c r="G675" s="18">
        <v>9.6387999999999995E-3</v>
      </c>
      <c r="H675" s="11">
        <v>22875301.377599999</v>
      </c>
      <c r="I675" s="22">
        <f>IFERROR(VLOOKUP(D675,'LEAID Match'!$A$2:$B$184,2,FALSE),"")</f>
        <v>3700450</v>
      </c>
    </row>
    <row r="676" spans="1:9" x14ac:dyDescent="0.2">
      <c r="A676">
        <f t="shared" si="10"/>
        <v>3700450</v>
      </c>
      <c r="B676" s="24">
        <v>2022</v>
      </c>
      <c r="C676" t="s">
        <v>184</v>
      </c>
      <c r="D676" t="s">
        <v>654</v>
      </c>
      <c r="E676" t="s">
        <v>654</v>
      </c>
      <c r="F676" s="11">
        <v>1217343267</v>
      </c>
      <c r="G676" s="18">
        <v>9.6523000000000008E-3</v>
      </c>
      <c r="H676" s="11">
        <v>26659131.375800002</v>
      </c>
      <c r="I676" s="22">
        <f>IFERROR(VLOOKUP(D676,'LEAID Match'!$A$2:$B$184,2,FALSE),"")</f>
        <v>3700450</v>
      </c>
    </row>
    <row r="677" spans="1:9" x14ac:dyDescent="0.2">
      <c r="A677">
        <f t="shared" si="10"/>
        <v>3700450</v>
      </c>
      <c r="B677" s="24">
        <v>2023</v>
      </c>
      <c r="C677" t="s">
        <v>184</v>
      </c>
      <c r="D677" t="s">
        <v>654</v>
      </c>
      <c r="E677" t="s">
        <v>654</v>
      </c>
      <c r="F677" s="11">
        <v>1301565271</v>
      </c>
      <c r="G677" s="18">
        <v>9.7932999999999996E-3</v>
      </c>
      <c r="H677" s="11">
        <v>29721656.790099997</v>
      </c>
      <c r="I677" s="22">
        <f>IFERROR(VLOOKUP(D677,'LEAID Match'!$A$2:$B$184,2,FALSE),"")</f>
        <v>3700450</v>
      </c>
    </row>
    <row r="678" spans="1:9" x14ac:dyDescent="0.2">
      <c r="A678">
        <f t="shared" si="10"/>
        <v>3700017</v>
      </c>
      <c r="B678" s="24">
        <v>2015</v>
      </c>
      <c r="C678" t="s">
        <v>185</v>
      </c>
      <c r="D678" t="s">
        <v>900</v>
      </c>
      <c r="E678" t="s">
        <v>131</v>
      </c>
      <c r="F678" s="11">
        <v>7840580</v>
      </c>
      <c r="G678" s="18">
        <v>6.86E-5</v>
      </c>
      <c r="H678" s="11">
        <v>86640.976800000004</v>
      </c>
      <c r="I678" s="22">
        <f>IFERROR(VLOOKUP(D678,'LEAID Match'!$A$2:$B$184,2,FALSE),"")</f>
        <v>3700017</v>
      </c>
    </row>
    <row r="679" spans="1:9" x14ac:dyDescent="0.2">
      <c r="A679">
        <f t="shared" si="10"/>
        <v>3700017</v>
      </c>
      <c r="B679" s="24">
        <v>2016</v>
      </c>
      <c r="C679" t="s">
        <v>185</v>
      </c>
      <c r="D679" t="s">
        <v>900</v>
      </c>
      <c r="E679" t="s">
        <v>655</v>
      </c>
      <c r="F679" s="11">
        <v>7284946</v>
      </c>
      <c r="G679" s="18">
        <v>6.7299999999999996E-5</v>
      </c>
      <c r="H679" s="11">
        <v>85807.7019</v>
      </c>
      <c r="I679" s="22">
        <f>IFERROR(VLOOKUP(D679,'LEAID Match'!$A$2:$B$184,2,FALSE),"")</f>
        <v>3700017</v>
      </c>
    </row>
    <row r="680" spans="1:9" x14ac:dyDescent="0.2">
      <c r="A680">
        <f t="shared" si="10"/>
        <v>3700017</v>
      </c>
      <c r="B680" s="24">
        <v>2017</v>
      </c>
      <c r="C680" t="s">
        <v>185</v>
      </c>
      <c r="D680" t="s">
        <v>900</v>
      </c>
      <c r="E680" t="s">
        <v>900</v>
      </c>
      <c r="F680" s="11">
        <v>7583726</v>
      </c>
      <c r="G680" s="18">
        <v>6.7999999999999999E-5</v>
      </c>
      <c r="H680" s="11">
        <v>98001.191999999995</v>
      </c>
      <c r="I680" s="22">
        <f>IFERROR(VLOOKUP(D680,'LEAID Match'!$A$2:$B$184,2,FALSE),"")</f>
        <v>3700017</v>
      </c>
    </row>
    <row r="681" spans="1:9" x14ac:dyDescent="0.2">
      <c r="A681">
        <f t="shared" si="10"/>
        <v>3700017</v>
      </c>
      <c r="B681" s="24">
        <v>2018</v>
      </c>
      <c r="C681" t="s">
        <v>185</v>
      </c>
      <c r="D681" t="s">
        <v>900</v>
      </c>
      <c r="E681" t="s">
        <v>900</v>
      </c>
      <c r="F681" s="11">
        <v>7831616</v>
      </c>
      <c r="G681" s="18">
        <v>6.7399999999999998E-5</v>
      </c>
      <c r="H681" s="11">
        <v>108035.52739999999</v>
      </c>
      <c r="I681" s="22">
        <f>IFERROR(VLOOKUP(D681,'LEAID Match'!$A$2:$B$184,2,FALSE),"")</f>
        <v>3700017</v>
      </c>
    </row>
    <row r="682" spans="1:9" x14ac:dyDescent="0.2">
      <c r="A682">
        <f t="shared" si="10"/>
        <v>3700017</v>
      </c>
      <c r="B682" s="24">
        <v>2019</v>
      </c>
      <c r="C682" t="s">
        <v>185</v>
      </c>
      <c r="D682" t="s">
        <v>900</v>
      </c>
      <c r="E682" t="s">
        <v>900</v>
      </c>
      <c r="F682" s="11">
        <v>6856994</v>
      </c>
      <c r="G682" s="18">
        <v>5.6900000000000001E-5</v>
      </c>
      <c r="H682" s="11">
        <v>108971.80740000001</v>
      </c>
      <c r="I682" s="22">
        <f>IFERROR(VLOOKUP(D682,'LEAID Match'!$A$2:$B$184,2,FALSE),"")</f>
        <v>3700017</v>
      </c>
    </row>
    <row r="683" spans="1:9" x14ac:dyDescent="0.2">
      <c r="A683">
        <f t="shared" si="10"/>
        <v>3700017</v>
      </c>
      <c r="B683" s="24">
        <v>2020</v>
      </c>
      <c r="C683" t="s">
        <v>185</v>
      </c>
      <c r="D683" t="s">
        <v>900</v>
      </c>
      <c r="E683" t="s">
        <v>900</v>
      </c>
      <c r="F683" s="11">
        <v>7661117</v>
      </c>
      <c r="G683" s="18">
        <v>6.1799999999999998E-5</v>
      </c>
      <c r="H683" s="11">
        <v>127003.63499999999</v>
      </c>
      <c r="I683" s="22">
        <f>IFERROR(VLOOKUP(D683,'LEAID Match'!$A$2:$B$184,2,FALSE),"")</f>
        <v>3700017</v>
      </c>
    </row>
    <row r="684" spans="1:9" x14ac:dyDescent="0.2">
      <c r="A684">
        <f t="shared" si="10"/>
        <v>3700017</v>
      </c>
      <c r="B684" s="24">
        <v>2021</v>
      </c>
      <c r="C684" t="s">
        <v>185</v>
      </c>
      <c r="D684" t="s">
        <v>900</v>
      </c>
      <c r="E684" t="s">
        <v>900</v>
      </c>
      <c r="F684" s="11">
        <v>7600682</v>
      </c>
      <c r="G684" s="18">
        <v>6.0699999999999998E-5</v>
      </c>
      <c r="H684" s="11">
        <v>144056.3964</v>
      </c>
      <c r="I684" s="22">
        <f>IFERROR(VLOOKUP(D684,'LEAID Match'!$A$2:$B$184,2,FALSE),"")</f>
        <v>3700017</v>
      </c>
    </row>
    <row r="685" spans="1:9" x14ac:dyDescent="0.2">
      <c r="A685">
        <f t="shared" si="10"/>
        <v>3700017</v>
      </c>
      <c r="B685" s="24">
        <v>2022</v>
      </c>
      <c r="C685" t="s">
        <v>185</v>
      </c>
      <c r="D685" t="s">
        <v>900</v>
      </c>
      <c r="E685" t="s">
        <v>900</v>
      </c>
      <c r="F685" s="11">
        <v>7488419</v>
      </c>
      <c r="G685" s="18">
        <v>5.94E-5</v>
      </c>
      <c r="H685" s="11">
        <v>164059.59239999999</v>
      </c>
      <c r="I685" s="22">
        <f>IFERROR(VLOOKUP(D685,'LEAID Match'!$A$2:$B$184,2,FALSE),"")</f>
        <v>3700017</v>
      </c>
    </row>
    <row r="686" spans="1:9" x14ac:dyDescent="0.2">
      <c r="A686">
        <f t="shared" si="10"/>
        <v>3700017</v>
      </c>
      <c r="B686" s="24">
        <v>2023</v>
      </c>
      <c r="C686" t="s">
        <v>185</v>
      </c>
      <c r="D686" t="s">
        <v>900</v>
      </c>
      <c r="E686" t="s">
        <v>900</v>
      </c>
      <c r="F686" s="11">
        <v>8638967</v>
      </c>
      <c r="G686" s="18">
        <v>6.4999999999999994E-5</v>
      </c>
      <c r="H686" s="11">
        <v>197268.30499999999</v>
      </c>
      <c r="I686" s="22">
        <f>IFERROR(VLOOKUP(D686,'LEAID Match'!$A$2:$B$184,2,FALSE),"")</f>
        <v>3700017</v>
      </c>
    </row>
    <row r="687" spans="1:9" x14ac:dyDescent="0.2">
      <c r="A687">
        <f t="shared" si="10"/>
        <v>3700078</v>
      </c>
      <c r="B687" s="24">
        <v>2015</v>
      </c>
      <c r="C687" t="s">
        <v>186</v>
      </c>
      <c r="D687" t="s">
        <v>656</v>
      </c>
      <c r="E687" t="s">
        <v>132</v>
      </c>
      <c r="F687" s="11">
        <v>17828034</v>
      </c>
      <c r="G687" s="18">
        <v>1.5589999999999999E-4</v>
      </c>
      <c r="H687" s="11">
        <v>196899.82920000001</v>
      </c>
      <c r="I687" s="22">
        <f>IFERROR(VLOOKUP(D687,'LEAID Match'!$A$2:$B$184,2,FALSE),"")</f>
        <v>3700078</v>
      </c>
    </row>
    <row r="688" spans="1:9" x14ac:dyDescent="0.2">
      <c r="A688">
        <f t="shared" si="10"/>
        <v>3700078</v>
      </c>
      <c r="B688" s="24">
        <v>2016</v>
      </c>
      <c r="C688" t="s">
        <v>186</v>
      </c>
      <c r="D688" t="s">
        <v>656</v>
      </c>
      <c r="E688" t="s">
        <v>656</v>
      </c>
      <c r="F688" s="11">
        <v>16568942</v>
      </c>
      <c r="G688" s="18">
        <v>1.5300000000000001E-4</v>
      </c>
      <c r="H688" s="11">
        <v>195075.459</v>
      </c>
      <c r="I688" s="22">
        <f>IFERROR(VLOOKUP(D688,'LEAID Match'!$A$2:$B$184,2,FALSE),"")</f>
        <v>3700078</v>
      </c>
    </row>
    <row r="689" spans="1:9" x14ac:dyDescent="0.2">
      <c r="A689">
        <f t="shared" si="10"/>
        <v>3700078</v>
      </c>
      <c r="B689" s="24">
        <v>2017</v>
      </c>
      <c r="C689" t="s">
        <v>186</v>
      </c>
      <c r="D689" t="s">
        <v>656</v>
      </c>
      <c r="E689" t="s">
        <v>656</v>
      </c>
      <c r="F689" s="11">
        <v>18166857</v>
      </c>
      <c r="G689" s="18">
        <v>1.628E-4</v>
      </c>
      <c r="H689" s="11">
        <v>234626.38320000001</v>
      </c>
      <c r="I689" s="22">
        <f>IFERROR(VLOOKUP(D689,'LEAID Match'!$A$2:$B$184,2,FALSE),"")</f>
        <v>3700078</v>
      </c>
    </row>
    <row r="690" spans="1:9" x14ac:dyDescent="0.2">
      <c r="A690">
        <f t="shared" si="10"/>
        <v>3700078</v>
      </c>
      <c r="B690" s="24">
        <v>2018</v>
      </c>
      <c r="C690" t="s">
        <v>186</v>
      </c>
      <c r="D690" t="s">
        <v>656</v>
      </c>
      <c r="E690" t="s">
        <v>656</v>
      </c>
      <c r="F690" s="11">
        <v>20045294</v>
      </c>
      <c r="G690" s="18">
        <v>1.7249999999999999E-4</v>
      </c>
      <c r="H690" s="11">
        <v>276500.42249999999</v>
      </c>
      <c r="I690" s="22">
        <f>IFERROR(VLOOKUP(D690,'LEAID Match'!$A$2:$B$184,2,FALSE),"")</f>
        <v>3700078</v>
      </c>
    </row>
    <row r="691" spans="1:9" x14ac:dyDescent="0.2">
      <c r="A691">
        <f t="shared" si="10"/>
        <v>3700078</v>
      </c>
      <c r="B691" s="24">
        <v>2019</v>
      </c>
      <c r="C691" t="s">
        <v>186</v>
      </c>
      <c r="D691" t="s">
        <v>656</v>
      </c>
      <c r="E691" t="s">
        <v>656</v>
      </c>
      <c r="F691" s="11">
        <v>23550587</v>
      </c>
      <c r="G691" s="18">
        <v>1.9550000000000001E-4</v>
      </c>
      <c r="H691" s="11">
        <v>374411.04300000001</v>
      </c>
      <c r="I691" s="22">
        <f>IFERROR(VLOOKUP(D691,'LEAID Match'!$A$2:$B$184,2,FALSE),"")</f>
        <v>3700078</v>
      </c>
    </row>
    <row r="692" spans="1:9" x14ac:dyDescent="0.2">
      <c r="A692">
        <f t="shared" si="10"/>
        <v>3700078</v>
      </c>
      <c r="B692" s="24">
        <v>2020</v>
      </c>
      <c r="C692" t="s">
        <v>186</v>
      </c>
      <c r="D692" t="s">
        <v>656</v>
      </c>
      <c r="E692" t="s">
        <v>656</v>
      </c>
      <c r="F692" s="11">
        <v>20608365</v>
      </c>
      <c r="G692" s="18">
        <v>1.6640000000000001E-4</v>
      </c>
      <c r="H692" s="11">
        <v>341964.48000000004</v>
      </c>
      <c r="I692" s="22">
        <f>IFERROR(VLOOKUP(D692,'LEAID Match'!$A$2:$B$184,2,FALSE),"")</f>
        <v>3700078</v>
      </c>
    </row>
    <row r="693" spans="1:9" x14ac:dyDescent="0.2">
      <c r="A693">
        <f t="shared" si="10"/>
        <v>3700078</v>
      </c>
      <c r="B693" s="24">
        <v>2021</v>
      </c>
      <c r="C693" t="s">
        <v>186</v>
      </c>
      <c r="D693" t="s">
        <v>656</v>
      </c>
      <c r="E693" t="s">
        <v>656</v>
      </c>
      <c r="F693" s="11">
        <v>21559253</v>
      </c>
      <c r="G693" s="18">
        <v>1.7229999999999999E-4</v>
      </c>
      <c r="H693" s="11">
        <v>408911.31959999999</v>
      </c>
      <c r="I693" s="22">
        <f>IFERROR(VLOOKUP(D693,'LEAID Match'!$A$2:$B$184,2,FALSE),"")</f>
        <v>3700078</v>
      </c>
    </row>
    <row r="694" spans="1:9" x14ac:dyDescent="0.2">
      <c r="A694">
        <f t="shared" si="10"/>
        <v>3700078</v>
      </c>
      <c r="B694" s="24">
        <v>2022</v>
      </c>
      <c r="C694" t="s">
        <v>186</v>
      </c>
      <c r="D694" t="s">
        <v>656</v>
      </c>
      <c r="E694" t="s">
        <v>656</v>
      </c>
      <c r="F694" s="11">
        <v>22610630</v>
      </c>
      <c r="G694" s="18">
        <v>1.7929999999999999E-4</v>
      </c>
      <c r="H694" s="11">
        <v>495216.9178</v>
      </c>
      <c r="I694" s="22">
        <f>IFERROR(VLOOKUP(D694,'LEAID Match'!$A$2:$B$184,2,FALSE),"")</f>
        <v>3700078</v>
      </c>
    </row>
    <row r="695" spans="1:9" x14ac:dyDescent="0.2">
      <c r="A695">
        <f t="shared" si="10"/>
        <v>3700078</v>
      </c>
      <c r="B695" s="24">
        <v>2023</v>
      </c>
      <c r="C695" t="s">
        <v>186</v>
      </c>
      <c r="D695" t="s">
        <v>656</v>
      </c>
      <c r="E695" t="s">
        <v>656</v>
      </c>
      <c r="F695" s="11">
        <v>23716033</v>
      </c>
      <c r="G695" s="18">
        <v>1.784E-4</v>
      </c>
      <c r="H695" s="11">
        <v>541425.62479999999</v>
      </c>
      <c r="I695" s="22">
        <f>IFERROR(VLOOKUP(D695,'LEAID Match'!$A$2:$B$184,2,FALSE),"")</f>
        <v>3700078</v>
      </c>
    </row>
    <row r="696" spans="1:9" x14ac:dyDescent="0.2">
      <c r="A696" t="str">
        <f t="shared" si="10"/>
        <v/>
      </c>
      <c r="B696" s="24">
        <v>2015</v>
      </c>
      <c r="C696" t="s">
        <v>187</v>
      </c>
      <c r="D696" t="s">
        <v>657</v>
      </c>
      <c r="E696" t="s">
        <v>133</v>
      </c>
      <c r="F696" s="11">
        <v>186841044</v>
      </c>
      <c r="G696" s="18">
        <v>1.6336E-3</v>
      </c>
      <c r="H696" s="11">
        <v>2063217.1968</v>
      </c>
      <c r="I696" s="22" t="str">
        <f>IFERROR(VLOOKUP(D696,'LEAID Match'!$A$2:$B$184,2,FALSE),"")</f>
        <v/>
      </c>
    </row>
    <row r="697" spans="1:9" x14ac:dyDescent="0.2">
      <c r="A697" t="str">
        <f t="shared" si="10"/>
        <v/>
      </c>
      <c r="B697" s="24">
        <v>2016</v>
      </c>
      <c r="C697" t="s">
        <v>187</v>
      </c>
      <c r="D697" t="s">
        <v>657</v>
      </c>
      <c r="E697" t="s">
        <v>657</v>
      </c>
      <c r="F697" s="11">
        <v>166777411</v>
      </c>
      <c r="G697" s="18">
        <v>1.5401E-3</v>
      </c>
      <c r="H697" s="11">
        <v>1963632.1203000001</v>
      </c>
      <c r="I697" s="22" t="str">
        <f>IFERROR(VLOOKUP(D697,'LEAID Match'!$A$2:$B$184,2,FALSE),"")</f>
        <v/>
      </c>
    </row>
    <row r="698" spans="1:9" x14ac:dyDescent="0.2">
      <c r="A698" t="str">
        <f t="shared" si="10"/>
        <v/>
      </c>
      <c r="B698" s="24">
        <v>2017</v>
      </c>
      <c r="C698" t="s">
        <v>187</v>
      </c>
      <c r="D698" t="s">
        <v>657</v>
      </c>
      <c r="E698" t="s">
        <v>657</v>
      </c>
      <c r="F698" s="11">
        <v>177521295</v>
      </c>
      <c r="G698" s="18">
        <v>1.591E-3</v>
      </c>
      <c r="H698" s="11">
        <v>2292939.6540000001</v>
      </c>
      <c r="I698" s="22" t="str">
        <f>IFERROR(VLOOKUP(D698,'LEAID Match'!$A$2:$B$184,2,FALSE),"")</f>
        <v/>
      </c>
    </row>
    <row r="699" spans="1:9" x14ac:dyDescent="0.2">
      <c r="A699" t="str">
        <f t="shared" si="10"/>
        <v/>
      </c>
      <c r="B699" s="24">
        <v>2018</v>
      </c>
      <c r="C699" t="s">
        <v>187</v>
      </c>
      <c r="D699" t="s">
        <v>657</v>
      </c>
      <c r="E699" t="s">
        <v>657</v>
      </c>
      <c r="F699" s="11">
        <v>186793884</v>
      </c>
      <c r="G699" s="18">
        <v>1.6073999999999999E-3</v>
      </c>
      <c r="H699" s="11">
        <v>2576503.0674000001</v>
      </c>
      <c r="I699" s="22" t="str">
        <f>IFERROR(VLOOKUP(D699,'LEAID Match'!$A$2:$B$184,2,FALSE),"")</f>
        <v/>
      </c>
    </row>
    <row r="700" spans="1:9" x14ac:dyDescent="0.2">
      <c r="A700" t="str">
        <f t="shared" si="10"/>
        <v/>
      </c>
      <c r="B700" s="24">
        <v>2019</v>
      </c>
      <c r="C700" t="s">
        <v>187</v>
      </c>
      <c r="D700" t="s">
        <v>657</v>
      </c>
      <c r="E700" t="s">
        <v>657</v>
      </c>
      <c r="F700" s="11">
        <v>188812729</v>
      </c>
      <c r="G700" s="18">
        <v>1.5671000000000001E-3</v>
      </c>
      <c r="H700" s="11">
        <v>3001225.2966</v>
      </c>
      <c r="I700" s="22" t="str">
        <f>IFERROR(VLOOKUP(D700,'LEAID Match'!$A$2:$B$184,2,FALSE),"")</f>
        <v/>
      </c>
    </row>
    <row r="701" spans="1:9" x14ac:dyDescent="0.2">
      <c r="A701" t="str">
        <f t="shared" si="10"/>
        <v/>
      </c>
      <c r="B701" s="24">
        <v>2020</v>
      </c>
      <c r="C701" t="s">
        <v>187</v>
      </c>
      <c r="D701" t="s">
        <v>657</v>
      </c>
      <c r="E701" t="s">
        <v>657</v>
      </c>
      <c r="F701" s="11">
        <v>182587555</v>
      </c>
      <c r="G701" s="18">
        <v>1.474E-3</v>
      </c>
      <c r="H701" s="11">
        <v>3029180.5500000003</v>
      </c>
      <c r="I701" s="22" t="str">
        <f>IFERROR(VLOOKUP(D701,'LEAID Match'!$A$2:$B$184,2,FALSE),"")</f>
        <v/>
      </c>
    </row>
    <row r="702" spans="1:9" x14ac:dyDescent="0.2">
      <c r="A702" t="str">
        <f t="shared" si="10"/>
        <v/>
      </c>
      <c r="B702" s="24">
        <v>2021</v>
      </c>
      <c r="C702" t="s">
        <v>187</v>
      </c>
      <c r="D702" t="s">
        <v>657</v>
      </c>
      <c r="E702" t="s">
        <v>657</v>
      </c>
      <c r="F702" s="11">
        <v>189279880</v>
      </c>
      <c r="G702" s="18">
        <v>1.5123999999999999E-3</v>
      </c>
      <c r="H702" s="11">
        <v>3589306.3247999996</v>
      </c>
      <c r="I702" s="22" t="str">
        <f>IFERROR(VLOOKUP(D702,'LEAID Match'!$A$2:$B$184,2,FALSE),"")</f>
        <v/>
      </c>
    </row>
    <row r="703" spans="1:9" x14ac:dyDescent="0.2">
      <c r="A703" t="str">
        <f t="shared" si="10"/>
        <v/>
      </c>
      <c r="B703" s="24">
        <v>2022</v>
      </c>
      <c r="C703" t="s">
        <v>187</v>
      </c>
      <c r="D703" t="s">
        <v>657</v>
      </c>
      <c r="E703" t="s">
        <v>657</v>
      </c>
      <c r="F703" s="11">
        <v>187774620</v>
      </c>
      <c r="G703" s="18">
        <v>1.4889E-3</v>
      </c>
      <c r="H703" s="11">
        <v>4112261.3994</v>
      </c>
      <c r="I703" s="22" t="str">
        <f>IFERROR(VLOOKUP(D703,'LEAID Match'!$A$2:$B$184,2,FALSE),"")</f>
        <v/>
      </c>
    </row>
    <row r="704" spans="1:9" x14ac:dyDescent="0.2">
      <c r="A704" t="str">
        <f t="shared" si="10"/>
        <v/>
      </c>
      <c r="B704" s="24">
        <v>2023</v>
      </c>
      <c r="C704" t="s">
        <v>187</v>
      </c>
      <c r="D704" t="s">
        <v>657</v>
      </c>
      <c r="E704" t="s">
        <v>657</v>
      </c>
      <c r="F704" s="11">
        <v>199937690</v>
      </c>
      <c r="G704" s="18">
        <v>1.5043999999999999E-3</v>
      </c>
      <c r="H704" s="11">
        <v>4565699.0467999997</v>
      </c>
      <c r="I704" s="22" t="str">
        <f>IFERROR(VLOOKUP(D704,'LEAID Match'!$A$2:$B$184,2,FALSE),"")</f>
        <v/>
      </c>
    </row>
    <row r="705" spans="1:9" x14ac:dyDescent="0.2">
      <c r="A705">
        <f t="shared" si="10"/>
        <v>3700270</v>
      </c>
      <c r="B705" s="24">
        <v>2015</v>
      </c>
      <c r="C705" t="s">
        <v>188</v>
      </c>
      <c r="D705" t="s">
        <v>658</v>
      </c>
      <c r="E705" t="s">
        <v>134</v>
      </c>
      <c r="F705" s="11">
        <v>268337796</v>
      </c>
      <c r="G705" s="18">
        <v>2.3462000000000001E-3</v>
      </c>
      <c r="H705" s="11">
        <v>2963222.4456000002</v>
      </c>
      <c r="I705" s="22">
        <f>IFERROR(VLOOKUP(D705,'LEAID Match'!$A$2:$B$184,2,FALSE),"")</f>
        <v>3700270</v>
      </c>
    </row>
    <row r="706" spans="1:9" x14ac:dyDescent="0.2">
      <c r="A706">
        <f t="shared" si="10"/>
        <v>3700270</v>
      </c>
      <c r="B706" s="24">
        <v>2016</v>
      </c>
      <c r="C706" t="s">
        <v>188</v>
      </c>
      <c r="D706" t="s">
        <v>658</v>
      </c>
      <c r="E706" t="s">
        <v>658</v>
      </c>
      <c r="F706" s="11">
        <v>249269117</v>
      </c>
      <c r="G706" s="18">
        <v>2.3018000000000001E-3</v>
      </c>
      <c r="H706" s="11">
        <v>2934801.9054</v>
      </c>
      <c r="I706" s="22">
        <f>IFERROR(VLOOKUP(D706,'LEAID Match'!$A$2:$B$184,2,FALSE),"")</f>
        <v>3700270</v>
      </c>
    </row>
    <row r="707" spans="1:9" x14ac:dyDescent="0.2">
      <c r="A707">
        <f t="shared" ref="A707:A770" si="11">I707</f>
        <v>3700270</v>
      </c>
      <c r="B707" s="24">
        <v>2017</v>
      </c>
      <c r="C707" t="s">
        <v>188</v>
      </c>
      <c r="D707" t="s">
        <v>658</v>
      </c>
      <c r="E707" t="s">
        <v>658</v>
      </c>
      <c r="F707" s="11">
        <v>250622571</v>
      </c>
      <c r="G707" s="18">
        <v>2.2461E-3</v>
      </c>
      <c r="H707" s="11">
        <v>3237065.8434000001</v>
      </c>
      <c r="I707" s="22">
        <f>IFERROR(VLOOKUP(D707,'LEAID Match'!$A$2:$B$184,2,FALSE),"")</f>
        <v>3700270</v>
      </c>
    </row>
    <row r="708" spans="1:9" x14ac:dyDescent="0.2">
      <c r="A708">
        <f t="shared" si="11"/>
        <v>3700270</v>
      </c>
      <c r="B708" s="24">
        <v>2018</v>
      </c>
      <c r="C708" t="s">
        <v>188</v>
      </c>
      <c r="D708" t="s">
        <v>658</v>
      </c>
      <c r="E708" t="s">
        <v>658</v>
      </c>
      <c r="F708" s="11">
        <v>273877077</v>
      </c>
      <c r="G708" s="18">
        <v>2.3568E-3</v>
      </c>
      <c r="H708" s="11">
        <v>3777717.0767999999</v>
      </c>
      <c r="I708" s="22">
        <f>IFERROR(VLOOKUP(D708,'LEAID Match'!$A$2:$B$184,2,FALSE),"")</f>
        <v>3700270</v>
      </c>
    </row>
    <row r="709" spans="1:9" x14ac:dyDescent="0.2">
      <c r="A709">
        <f t="shared" si="11"/>
        <v>3700270</v>
      </c>
      <c r="B709" s="24">
        <v>2019</v>
      </c>
      <c r="C709" t="s">
        <v>188</v>
      </c>
      <c r="D709" t="s">
        <v>658</v>
      </c>
      <c r="E709" t="s">
        <v>658</v>
      </c>
      <c r="F709" s="11">
        <v>300200846</v>
      </c>
      <c r="G709" s="18">
        <v>2.4916999999999999E-3</v>
      </c>
      <c r="H709" s="11">
        <v>4771969.2881999994</v>
      </c>
      <c r="I709" s="22">
        <f>IFERROR(VLOOKUP(D709,'LEAID Match'!$A$2:$B$184,2,FALSE),"")</f>
        <v>3700270</v>
      </c>
    </row>
    <row r="710" spans="1:9" x14ac:dyDescent="0.2">
      <c r="A710">
        <f t="shared" si="11"/>
        <v>3700270</v>
      </c>
      <c r="B710" s="24">
        <v>2020</v>
      </c>
      <c r="C710" t="s">
        <v>188</v>
      </c>
      <c r="D710" t="s">
        <v>658</v>
      </c>
      <c r="E710" t="s">
        <v>658</v>
      </c>
      <c r="F710" s="11">
        <v>302032244</v>
      </c>
      <c r="G710" s="18">
        <v>2.4383E-3</v>
      </c>
      <c r="H710" s="11">
        <v>5010889.3724999996</v>
      </c>
      <c r="I710" s="22">
        <f>IFERROR(VLOOKUP(D710,'LEAID Match'!$A$2:$B$184,2,FALSE),"")</f>
        <v>3700270</v>
      </c>
    </row>
    <row r="711" spans="1:9" x14ac:dyDescent="0.2">
      <c r="A711">
        <f t="shared" si="11"/>
        <v>3700270</v>
      </c>
      <c r="B711" s="24">
        <v>2021</v>
      </c>
      <c r="C711" t="s">
        <v>188</v>
      </c>
      <c r="D711" t="s">
        <v>658</v>
      </c>
      <c r="E711" t="s">
        <v>658</v>
      </c>
      <c r="F711" s="11">
        <v>294015506</v>
      </c>
      <c r="G711" s="18">
        <v>2.3492999999999999E-3</v>
      </c>
      <c r="H711" s="11">
        <v>5575480.9235999994</v>
      </c>
      <c r="I711" s="22">
        <f>IFERROR(VLOOKUP(D711,'LEAID Match'!$A$2:$B$184,2,FALSE),"")</f>
        <v>3700270</v>
      </c>
    </row>
    <row r="712" spans="1:9" x14ac:dyDescent="0.2">
      <c r="A712">
        <f t="shared" si="11"/>
        <v>3700270</v>
      </c>
      <c r="B712" s="24">
        <v>2022</v>
      </c>
      <c r="C712" t="s">
        <v>188</v>
      </c>
      <c r="D712" t="s">
        <v>658</v>
      </c>
      <c r="E712" t="s">
        <v>658</v>
      </c>
      <c r="F712" s="11">
        <v>284728963</v>
      </c>
      <c r="G712" s="18">
        <v>2.2575999999999998E-3</v>
      </c>
      <c r="H712" s="11">
        <v>6235369.2895999998</v>
      </c>
      <c r="I712" s="22">
        <f>IFERROR(VLOOKUP(D712,'LEAID Match'!$A$2:$B$184,2,FALSE),"")</f>
        <v>3700270</v>
      </c>
    </row>
    <row r="713" spans="1:9" x14ac:dyDescent="0.2">
      <c r="A713">
        <f t="shared" si="11"/>
        <v>3700270</v>
      </c>
      <c r="B713" s="24">
        <v>2023</v>
      </c>
      <c r="C713" t="s">
        <v>188</v>
      </c>
      <c r="D713" t="s">
        <v>658</v>
      </c>
      <c r="E713" t="s">
        <v>658</v>
      </c>
      <c r="F713" s="11">
        <v>298043871</v>
      </c>
      <c r="G713" s="18">
        <v>2.2426E-3</v>
      </c>
      <c r="H713" s="11">
        <v>6806060.0121999998</v>
      </c>
      <c r="I713" s="22">
        <f>IFERROR(VLOOKUP(D713,'LEAID Match'!$A$2:$B$184,2,FALSE),"")</f>
        <v>3700270</v>
      </c>
    </row>
    <row r="714" spans="1:9" x14ac:dyDescent="0.2">
      <c r="A714">
        <f t="shared" si="11"/>
        <v>3700480</v>
      </c>
      <c r="B714" s="24">
        <v>2015</v>
      </c>
      <c r="C714" t="s">
        <v>189</v>
      </c>
      <c r="D714" t="s">
        <v>659</v>
      </c>
      <c r="E714" t="s">
        <v>135</v>
      </c>
      <c r="F714" s="11">
        <v>555836998</v>
      </c>
      <c r="G714" s="18">
        <v>4.8599000000000003E-3</v>
      </c>
      <c r="H714" s="11">
        <v>6137995.3812000006</v>
      </c>
      <c r="I714" s="22">
        <f>IFERROR(VLOOKUP(D714,'LEAID Match'!$A$2:$B$184,2,FALSE),"")</f>
        <v>3700480</v>
      </c>
    </row>
    <row r="715" spans="1:9" x14ac:dyDescent="0.2">
      <c r="A715">
        <f t="shared" si="11"/>
        <v>3700480</v>
      </c>
      <c r="B715" s="24">
        <v>2016</v>
      </c>
      <c r="C715" t="s">
        <v>189</v>
      </c>
      <c r="D715" t="s">
        <v>659</v>
      </c>
      <c r="E715" t="s">
        <v>659</v>
      </c>
      <c r="F715" s="11">
        <v>515462418</v>
      </c>
      <c r="G715" s="18">
        <v>4.7600000000000003E-3</v>
      </c>
      <c r="H715" s="11">
        <v>6069014.2800000003</v>
      </c>
      <c r="I715" s="22">
        <f>IFERROR(VLOOKUP(D715,'LEAID Match'!$A$2:$B$184,2,FALSE),"")</f>
        <v>3700480</v>
      </c>
    </row>
    <row r="716" spans="1:9" x14ac:dyDescent="0.2">
      <c r="A716">
        <f t="shared" si="11"/>
        <v>3700480</v>
      </c>
      <c r="B716" s="24">
        <v>2017</v>
      </c>
      <c r="C716" t="s">
        <v>189</v>
      </c>
      <c r="D716" t="s">
        <v>659</v>
      </c>
      <c r="E716" t="s">
        <v>659</v>
      </c>
      <c r="F716" s="11">
        <v>500793523</v>
      </c>
      <c r="G716" s="18">
        <v>4.4881000000000001E-3</v>
      </c>
      <c r="H716" s="11">
        <v>6468222.7914000005</v>
      </c>
      <c r="I716" s="22">
        <f>IFERROR(VLOOKUP(D716,'LEAID Match'!$A$2:$B$184,2,FALSE),"")</f>
        <v>3700480</v>
      </c>
    </row>
    <row r="717" spans="1:9" x14ac:dyDescent="0.2">
      <c r="A717">
        <f t="shared" si="11"/>
        <v>3700480</v>
      </c>
      <c r="B717" s="24">
        <v>2018</v>
      </c>
      <c r="C717" t="s">
        <v>189</v>
      </c>
      <c r="D717" t="s">
        <v>659</v>
      </c>
      <c r="E717" t="s">
        <v>659</v>
      </c>
      <c r="F717" s="11">
        <v>506590537</v>
      </c>
      <c r="G717" s="18">
        <v>4.3593E-3</v>
      </c>
      <c r="H717" s="11">
        <v>6987526.3293000003</v>
      </c>
      <c r="I717" s="22">
        <f>IFERROR(VLOOKUP(D717,'LEAID Match'!$A$2:$B$184,2,FALSE),"")</f>
        <v>3700480</v>
      </c>
    </row>
    <row r="718" spans="1:9" x14ac:dyDescent="0.2">
      <c r="A718">
        <f t="shared" si="11"/>
        <v>3700480</v>
      </c>
      <c r="B718" s="24">
        <v>2019</v>
      </c>
      <c r="C718" t="s">
        <v>189</v>
      </c>
      <c r="D718" t="s">
        <v>659</v>
      </c>
      <c r="E718" t="s">
        <v>659</v>
      </c>
      <c r="F718" s="11">
        <v>517646346</v>
      </c>
      <c r="G718" s="18">
        <v>4.2965E-3</v>
      </c>
      <c r="H718" s="11">
        <v>8228424.7889999999</v>
      </c>
      <c r="I718" s="22">
        <f>IFERROR(VLOOKUP(D718,'LEAID Match'!$A$2:$B$184,2,FALSE),"")</f>
        <v>3700480</v>
      </c>
    </row>
    <row r="719" spans="1:9" x14ac:dyDescent="0.2">
      <c r="A719">
        <f t="shared" si="11"/>
        <v>3700480</v>
      </c>
      <c r="B719" s="24">
        <v>2020</v>
      </c>
      <c r="C719" t="s">
        <v>189</v>
      </c>
      <c r="D719" t="s">
        <v>659</v>
      </c>
      <c r="E719" t="s">
        <v>659</v>
      </c>
      <c r="F719" s="11">
        <v>535399727</v>
      </c>
      <c r="G719" s="18">
        <v>4.3222E-3</v>
      </c>
      <c r="H719" s="11">
        <v>8882445.1649999991</v>
      </c>
      <c r="I719" s="22">
        <f>IFERROR(VLOOKUP(D719,'LEAID Match'!$A$2:$B$184,2,FALSE),"")</f>
        <v>3700480</v>
      </c>
    </row>
    <row r="720" spans="1:9" x14ac:dyDescent="0.2">
      <c r="A720">
        <f t="shared" si="11"/>
        <v>3700480</v>
      </c>
      <c r="B720" s="24">
        <v>2021</v>
      </c>
      <c r="C720" t="s">
        <v>189</v>
      </c>
      <c r="D720" t="s">
        <v>659</v>
      </c>
      <c r="E720" t="s">
        <v>659</v>
      </c>
      <c r="F720" s="11">
        <v>493333015</v>
      </c>
      <c r="G720" s="18">
        <v>3.9418999999999999E-3</v>
      </c>
      <c r="H720" s="11">
        <v>9355122.0588000007</v>
      </c>
      <c r="I720" s="22">
        <f>IFERROR(VLOOKUP(D720,'LEAID Match'!$A$2:$B$184,2,FALSE),"")</f>
        <v>3700480</v>
      </c>
    </row>
    <row r="721" spans="1:9" x14ac:dyDescent="0.2">
      <c r="A721">
        <f t="shared" si="11"/>
        <v>3700480</v>
      </c>
      <c r="B721" s="24">
        <v>2022</v>
      </c>
      <c r="C721" t="s">
        <v>189</v>
      </c>
      <c r="D721" t="s">
        <v>659</v>
      </c>
      <c r="E721" t="s">
        <v>659</v>
      </c>
      <c r="F721" s="11">
        <v>531422516</v>
      </c>
      <c r="G721" s="18">
        <v>4.2135999999999996E-3</v>
      </c>
      <c r="H721" s="11">
        <v>11637735.665599998</v>
      </c>
      <c r="I721" s="22">
        <f>IFERROR(VLOOKUP(D721,'LEAID Match'!$A$2:$B$184,2,FALSE),"")</f>
        <v>3700480</v>
      </c>
    </row>
    <row r="722" spans="1:9" x14ac:dyDescent="0.2">
      <c r="A722">
        <f t="shared" si="11"/>
        <v>3700480</v>
      </c>
      <c r="B722" s="24">
        <v>2023</v>
      </c>
      <c r="C722" t="s">
        <v>189</v>
      </c>
      <c r="D722" t="s">
        <v>659</v>
      </c>
      <c r="E722" t="s">
        <v>659</v>
      </c>
      <c r="F722" s="11">
        <v>559677576</v>
      </c>
      <c r="G722" s="18">
        <v>4.2112E-3</v>
      </c>
      <c r="H722" s="11">
        <v>12780558.246400001</v>
      </c>
      <c r="I722" s="22">
        <f>IFERROR(VLOOKUP(D722,'LEAID Match'!$A$2:$B$184,2,FALSE),"")</f>
        <v>3700480</v>
      </c>
    </row>
    <row r="723" spans="1:9" x14ac:dyDescent="0.2">
      <c r="A723" t="str">
        <f t="shared" si="11"/>
        <v/>
      </c>
      <c r="B723" s="24">
        <v>2015</v>
      </c>
      <c r="C723" t="s">
        <v>190</v>
      </c>
      <c r="D723" t="s">
        <v>901</v>
      </c>
      <c r="E723" t="s">
        <v>136</v>
      </c>
      <c r="F723" s="11">
        <v>71315318</v>
      </c>
      <c r="G723" s="18">
        <v>6.2350000000000003E-4</v>
      </c>
      <c r="H723" s="11">
        <v>787473.01800000004</v>
      </c>
      <c r="I723" s="22" t="str">
        <f>IFERROR(VLOOKUP(D723,'LEAID Match'!$A$2:$B$184,2,FALSE),"")</f>
        <v/>
      </c>
    </row>
    <row r="724" spans="1:9" x14ac:dyDescent="0.2">
      <c r="A724" t="str">
        <f t="shared" si="11"/>
        <v/>
      </c>
      <c r="B724" s="24">
        <v>2016</v>
      </c>
      <c r="C724" t="s">
        <v>190</v>
      </c>
      <c r="D724" t="s">
        <v>901</v>
      </c>
      <c r="E724" t="s">
        <v>660</v>
      </c>
      <c r="F724" s="11">
        <v>63819197</v>
      </c>
      <c r="G724" s="18">
        <v>5.8929999999999996E-4</v>
      </c>
      <c r="H724" s="11">
        <v>751359.26789999998</v>
      </c>
      <c r="I724" s="22" t="str">
        <f>IFERROR(VLOOKUP(D724,'LEAID Match'!$A$2:$B$184,2,FALSE),"")</f>
        <v/>
      </c>
    </row>
    <row r="725" spans="1:9" x14ac:dyDescent="0.2">
      <c r="A725" t="str">
        <f t="shared" si="11"/>
        <v/>
      </c>
      <c r="B725" s="24">
        <v>2017</v>
      </c>
      <c r="C725" t="s">
        <v>190</v>
      </c>
      <c r="D725" t="s">
        <v>901</v>
      </c>
      <c r="E725" t="s">
        <v>901</v>
      </c>
      <c r="F725" s="11">
        <v>60274233</v>
      </c>
      <c r="G725" s="18">
        <v>5.4020000000000001E-4</v>
      </c>
      <c r="H725" s="11">
        <v>778532.99880000006</v>
      </c>
      <c r="I725" s="22" t="str">
        <f>IFERROR(VLOOKUP(D725,'LEAID Match'!$A$2:$B$184,2,FALSE),"")</f>
        <v/>
      </c>
    </row>
    <row r="726" spans="1:9" x14ac:dyDescent="0.2">
      <c r="A726" t="str">
        <f t="shared" si="11"/>
        <v/>
      </c>
      <c r="B726" s="24">
        <v>2018</v>
      </c>
      <c r="C726" t="s">
        <v>190</v>
      </c>
      <c r="D726" t="s">
        <v>901</v>
      </c>
      <c r="E726" t="s">
        <v>901</v>
      </c>
      <c r="F726" s="11">
        <v>61438721</v>
      </c>
      <c r="G726" s="18">
        <v>5.287E-4</v>
      </c>
      <c r="H726" s="11">
        <v>847453.75870000001</v>
      </c>
      <c r="I726" s="22" t="str">
        <f>IFERROR(VLOOKUP(D726,'LEAID Match'!$A$2:$B$184,2,FALSE),"")</f>
        <v/>
      </c>
    </row>
    <row r="727" spans="1:9" x14ac:dyDescent="0.2">
      <c r="A727" t="str">
        <f t="shared" si="11"/>
        <v/>
      </c>
      <c r="B727" s="24">
        <v>2019</v>
      </c>
      <c r="C727" t="s">
        <v>190</v>
      </c>
      <c r="D727" t="s">
        <v>901</v>
      </c>
      <c r="E727" t="s">
        <v>901</v>
      </c>
      <c r="F727" s="11">
        <v>58400589</v>
      </c>
      <c r="G727" s="18">
        <v>4.8470000000000002E-4</v>
      </c>
      <c r="H727" s="11">
        <v>928271.26620000007</v>
      </c>
      <c r="I727" s="22" t="str">
        <f>IFERROR(VLOOKUP(D727,'LEAID Match'!$A$2:$B$184,2,FALSE),"")</f>
        <v/>
      </c>
    </row>
    <row r="728" spans="1:9" x14ac:dyDescent="0.2">
      <c r="A728" t="str">
        <f t="shared" si="11"/>
        <v/>
      </c>
      <c r="B728" s="24">
        <v>2020</v>
      </c>
      <c r="C728" t="s">
        <v>190</v>
      </c>
      <c r="D728" t="s">
        <v>901</v>
      </c>
      <c r="E728" t="s">
        <v>901</v>
      </c>
      <c r="F728" s="11">
        <v>57832412</v>
      </c>
      <c r="G728" s="18">
        <v>4.6690000000000002E-4</v>
      </c>
      <c r="H728" s="11">
        <v>959514.51750000007</v>
      </c>
      <c r="I728" s="22" t="str">
        <f>IFERROR(VLOOKUP(D728,'LEAID Match'!$A$2:$B$184,2,FALSE),"")</f>
        <v/>
      </c>
    </row>
    <row r="729" spans="1:9" x14ac:dyDescent="0.2">
      <c r="A729" t="str">
        <f t="shared" si="11"/>
        <v/>
      </c>
      <c r="B729" s="24">
        <v>2021</v>
      </c>
      <c r="C729" t="s">
        <v>190</v>
      </c>
      <c r="D729" t="s">
        <v>901</v>
      </c>
      <c r="E729" t="s">
        <v>901</v>
      </c>
      <c r="F729" s="11">
        <v>60307219</v>
      </c>
      <c r="G729" s="18">
        <v>4.819E-4</v>
      </c>
      <c r="H729" s="11">
        <v>1143670.1388000001</v>
      </c>
      <c r="I729" s="22" t="str">
        <f>IFERROR(VLOOKUP(D729,'LEAID Match'!$A$2:$B$184,2,FALSE),"")</f>
        <v/>
      </c>
    </row>
    <row r="730" spans="1:9" x14ac:dyDescent="0.2">
      <c r="A730" t="str">
        <f t="shared" si="11"/>
        <v/>
      </c>
      <c r="B730" s="24">
        <v>2022</v>
      </c>
      <c r="C730" t="s">
        <v>190</v>
      </c>
      <c r="D730" t="s">
        <v>901</v>
      </c>
      <c r="E730" t="s">
        <v>901</v>
      </c>
      <c r="F730" s="11">
        <v>59745059</v>
      </c>
      <c r="G730" s="18">
        <v>4.7370000000000002E-4</v>
      </c>
      <c r="H730" s="11">
        <v>1308333.8202</v>
      </c>
      <c r="I730" s="22" t="str">
        <f>IFERROR(VLOOKUP(D730,'LEAID Match'!$A$2:$B$184,2,FALSE),"")</f>
        <v/>
      </c>
    </row>
    <row r="731" spans="1:9" x14ac:dyDescent="0.2">
      <c r="A731" t="str">
        <f t="shared" si="11"/>
        <v/>
      </c>
      <c r="B731" s="24">
        <v>2023</v>
      </c>
      <c r="C731" t="s">
        <v>190</v>
      </c>
      <c r="D731" t="s">
        <v>901</v>
      </c>
      <c r="E731" t="s">
        <v>901</v>
      </c>
      <c r="F731" s="11">
        <v>61178715</v>
      </c>
      <c r="G731" s="18">
        <v>4.6030000000000002E-4</v>
      </c>
      <c r="H731" s="11">
        <v>1396963.0891</v>
      </c>
      <c r="I731" s="22" t="str">
        <f>IFERROR(VLOOKUP(D731,'LEAID Match'!$A$2:$B$184,2,FALSE),"")</f>
        <v/>
      </c>
    </row>
    <row r="732" spans="1:9" x14ac:dyDescent="0.2">
      <c r="A732">
        <f t="shared" si="11"/>
        <v>3700347</v>
      </c>
      <c r="B732" s="24">
        <v>2015</v>
      </c>
      <c r="C732" t="s">
        <v>191</v>
      </c>
      <c r="D732" t="s">
        <v>661</v>
      </c>
      <c r="E732" t="s">
        <v>137</v>
      </c>
      <c r="F732" s="11">
        <v>1283983848</v>
      </c>
      <c r="G732" s="18">
        <v>1.12263E-2</v>
      </c>
      <c r="H732" s="11">
        <v>14178682.1844</v>
      </c>
      <c r="I732" s="22">
        <f>IFERROR(VLOOKUP(D732,'LEAID Match'!$A$2:$B$184,2,FALSE),"")</f>
        <v>3700347</v>
      </c>
    </row>
    <row r="733" spans="1:9" x14ac:dyDescent="0.2">
      <c r="A733">
        <f t="shared" si="11"/>
        <v>3700347</v>
      </c>
      <c r="B733" s="24">
        <v>2016</v>
      </c>
      <c r="C733" t="s">
        <v>191</v>
      </c>
      <c r="D733" t="s">
        <v>661</v>
      </c>
      <c r="E733" t="s">
        <v>661</v>
      </c>
      <c r="F733" s="11">
        <v>1276261644</v>
      </c>
      <c r="G733" s="18">
        <v>1.1785500000000001E-2</v>
      </c>
      <c r="H733" s="11">
        <v>15026547.856500002</v>
      </c>
      <c r="I733" s="22">
        <f>IFERROR(VLOOKUP(D733,'LEAID Match'!$A$2:$B$184,2,FALSE),"")</f>
        <v>3700347</v>
      </c>
    </row>
    <row r="734" spans="1:9" x14ac:dyDescent="0.2">
      <c r="A734">
        <f t="shared" si="11"/>
        <v>3700347</v>
      </c>
      <c r="B734" s="24">
        <v>2017</v>
      </c>
      <c r="C734" t="s">
        <v>191</v>
      </c>
      <c r="D734" t="s">
        <v>661</v>
      </c>
      <c r="E734" t="s">
        <v>661</v>
      </c>
      <c r="F734" s="11">
        <v>1342479109</v>
      </c>
      <c r="G734" s="18">
        <v>1.20313E-2</v>
      </c>
      <c r="H734" s="11">
        <v>17339437.372200001</v>
      </c>
      <c r="I734" s="22">
        <f>IFERROR(VLOOKUP(D734,'LEAID Match'!$A$2:$B$184,2,FALSE),"")</f>
        <v>3700347</v>
      </c>
    </row>
    <row r="735" spans="1:9" x14ac:dyDescent="0.2">
      <c r="A735">
        <f t="shared" si="11"/>
        <v>3700347</v>
      </c>
      <c r="B735" s="24">
        <v>2018</v>
      </c>
      <c r="C735" t="s">
        <v>191</v>
      </c>
      <c r="D735" t="s">
        <v>661</v>
      </c>
      <c r="E735" t="s">
        <v>661</v>
      </c>
      <c r="F735" s="11">
        <v>1416518502</v>
      </c>
      <c r="G735" s="18">
        <v>1.2189500000000001E-2</v>
      </c>
      <c r="H735" s="11">
        <v>19538561.739500001</v>
      </c>
      <c r="I735" s="22">
        <f>IFERROR(VLOOKUP(D735,'LEAID Match'!$A$2:$B$184,2,FALSE),"")</f>
        <v>3700347</v>
      </c>
    </row>
    <row r="736" spans="1:9" x14ac:dyDescent="0.2">
      <c r="A736">
        <f t="shared" si="11"/>
        <v>3700347</v>
      </c>
      <c r="B736" s="24">
        <v>2019</v>
      </c>
      <c r="C736" t="s">
        <v>191</v>
      </c>
      <c r="D736" t="s">
        <v>661</v>
      </c>
      <c r="E736" t="s">
        <v>661</v>
      </c>
      <c r="F736" s="11">
        <v>1484860670</v>
      </c>
      <c r="G736" s="18">
        <v>1.2324399999999999E-2</v>
      </c>
      <c r="H736" s="11">
        <v>23603025.362399999</v>
      </c>
      <c r="I736" s="22">
        <f>IFERROR(VLOOKUP(D736,'LEAID Match'!$A$2:$B$184,2,FALSE),"")</f>
        <v>3700347</v>
      </c>
    </row>
    <row r="737" spans="1:9" x14ac:dyDescent="0.2">
      <c r="A737">
        <f t="shared" si="11"/>
        <v>3700347</v>
      </c>
      <c r="B737" s="24">
        <v>2020</v>
      </c>
      <c r="C737" t="s">
        <v>191</v>
      </c>
      <c r="D737" t="s">
        <v>661</v>
      </c>
      <c r="E737" t="s">
        <v>661</v>
      </c>
      <c r="F737" s="11">
        <v>1547429722</v>
      </c>
      <c r="G737" s="18">
        <v>1.24922E-2</v>
      </c>
      <c r="H737" s="11">
        <v>25672407.914999999</v>
      </c>
      <c r="I737" s="22">
        <f>IFERROR(VLOOKUP(D737,'LEAID Match'!$A$2:$B$184,2,FALSE),"")</f>
        <v>3700347</v>
      </c>
    </row>
    <row r="738" spans="1:9" x14ac:dyDescent="0.2">
      <c r="A738">
        <f t="shared" si="11"/>
        <v>3700347</v>
      </c>
      <c r="B738" s="24">
        <v>2021</v>
      </c>
      <c r="C738" t="s">
        <v>191</v>
      </c>
      <c r="D738" t="s">
        <v>661</v>
      </c>
      <c r="E738" t="s">
        <v>661</v>
      </c>
      <c r="F738" s="11">
        <v>1615077459</v>
      </c>
      <c r="G738" s="18">
        <v>1.2905099999999999E-2</v>
      </c>
      <c r="H738" s="11">
        <v>30627054.385199998</v>
      </c>
      <c r="I738" s="22">
        <f>IFERROR(VLOOKUP(D738,'LEAID Match'!$A$2:$B$184,2,FALSE),"")</f>
        <v>3700347</v>
      </c>
    </row>
    <row r="739" spans="1:9" x14ac:dyDescent="0.2">
      <c r="A739">
        <f t="shared" si="11"/>
        <v>3700347</v>
      </c>
      <c r="B739" s="24">
        <v>2022</v>
      </c>
      <c r="C739" t="s">
        <v>191</v>
      </c>
      <c r="D739" t="s">
        <v>661</v>
      </c>
      <c r="E739" t="s">
        <v>661</v>
      </c>
      <c r="F739" s="11">
        <v>1603459624</v>
      </c>
      <c r="G739" s="18">
        <v>1.2713800000000001E-2</v>
      </c>
      <c r="H739" s="11">
        <v>35114829.054800004</v>
      </c>
      <c r="I739" s="22">
        <f>IFERROR(VLOOKUP(D739,'LEAID Match'!$A$2:$B$184,2,FALSE),"")</f>
        <v>3700347</v>
      </c>
    </row>
    <row r="740" spans="1:9" x14ac:dyDescent="0.2">
      <c r="A740">
        <f t="shared" si="11"/>
        <v>3700347</v>
      </c>
      <c r="B740" s="24">
        <v>2023</v>
      </c>
      <c r="C740" t="s">
        <v>191</v>
      </c>
      <c r="D740" t="s">
        <v>661</v>
      </c>
      <c r="E740" t="s">
        <v>661</v>
      </c>
      <c r="F740" s="11">
        <v>1702610795</v>
      </c>
      <c r="G740" s="18">
        <v>1.28109E-2</v>
      </c>
      <c r="H740" s="11">
        <v>38879761.977300003</v>
      </c>
      <c r="I740" s="22">
        <f>IFERROR(VLOOKUP(D740,'LEAID Match'!$A$2:$B$184,2,FALSE),"")</f>
        <v>3700347</v>
      </c>
    </row>
    <row r="741" spans="1:9" x14ac:dyDescent="0.2">
      <c r="A741">
        <f t="shared" si="11"/>
        <v>3700133</v>
      </c>
      <c r="B741" s="24">
        <v>2015</v>
      </c>
      <c r="C741" t="s">
        <v>192</v>
      </c>
      <c r="D741" t="s">
        <v>662</v>
      </c>
      <c r="E741" t="s">
        <v>138</v>
      </c>
      <c r="F741" s="11">
        <v>22151408</v>
      </c>
      <c r="G741" s="18">
        <v>1.9369999999999999E-4</v>
      </c>
      <c r="H741" s="11">
        <v>244640.77559999999</v>
      </c>
      <c r="I741" s="22">
        <f>IFERROR(VLOOKUP(D741,'LEAID Match'!$A$2:$B$184,2,FALSE),"")</f>
        <v>3700133</v>
      </c>
    </row>
    <row r="742" spans="1:9" x14ac:dyDescent="0.2">
      <c r="A742">
        <f t="shared" si="11"/>
        <v>3700133</v>
      </c>
      <c r="B742" s="24">
        <v>2016</v>
      </c>
      <c r="C742" t="s">
        <v>192</v>
      </c>
      <c r="D742" t="s">
        <v>662</v>
      </c>
      <c r="E742" t="s">
        <v>662</v>
      </c>
      <c r="F742" s="11">
        <v>25700112</v>
      </c>
      <c r="G742" s="18">
        <v>2.3729999999999999E-4</v>
      </c>
      <c r="H742" s="11">
        <v>302558.21189999999</v>
      </c>
      <c r="I742" s="22">
        <f>IFERROR(VLOOKUP(D742,'LEAID Match'!$A$2:$B$184,2,FALSE),"")</f>
        <v>3700133</v>
      </c>
    </row>
    <row r="743" spans="1:9" x14ac:dyDescent="0.2">
      <c r="A743">
        <f t="shared" si="11"/>
        <v>3700133</v>
      </c>
      <c r="B743" s="24">
        <v>2017</v>
      </c>
      <c r="C743" t="s">
        <v>192</v>
      </c>
      <c r="D743" t="s">
        <v>662</v>
      </c>
      <c r="E743" t="s">
        <v>662</v>
      </c>
      <c r="F743" s="11">
        <v>33118082</v>
      </c>
      <c r="G743" s="18">
        <v>2.968E-4</v>
      </c>
      <c r="H743" s="11">
        <v>427746.37920000002</v>
      </c>
      <c r="I743" s="22">
        <f>IFERROR(VLOOKUP(D743,'LEAID Match'!$A$2:$B$184,2,FALSE),"")</f>
        <v>3700133</v>
      </c>
    </row>
    <row r="744" spans="1:9" x14ac:dyDescent="0.2">
      <c r="A744">
        <f t="shared" si="11"/>
        <v>3700133</v>
      </c>
      <c r="B744" s="24">
        <v>2018</v>
      </c>
      <c r="C744" t="s">
        <v>192</v>
      </c>
      <c r="D744" t="s">
        <v>662</v>
      </c>
      <c r="E744" t="s">
        <v>662</v>
      </c>
      <c r="F744" s="11">
        <v>31832673</v>
      </c>
      <c r="G744" s="18">
        <v>2.7389999999999999E-4</v>
      </c>
      <c r="H744" s="11">
        <v>439034.58389999997</v>
      </c>
      <c r="I744" s="22">
        <f>IFERROR(VLOOKUP(D744,'LEAID Match'!$A$2:$B$184,2,FALSE),"")</f>
        <v>3700133</v>
      </c>
    </row>
    <row r="745" spans="1:9" x14ac:dyDescent="0.2">
      <c r="A745">
        <f t="shared" si="11"/>
        <v>3700133</v>
      </c>
      <c r="B745" s="24">
        <v>2019</v>
      </c>
      <c r="C745" t="s">
        <v>192</v>
      </c>
      <c r="D745" t="s">
        <v>662</v>
      </c>
      <c r="E745" t="s">
        <v>662</v>
      </c>
      <c r="F745" s="11">
        <v>31500767</v>
      </c>
      <c r="G745" s="18">
        <v>2.6150000000000001E-4</v>
      </c>
      <c r="H745" s="11">
        <v>500810.679</v>
      </c>
      <c r="I745" s="22">
        <f>IFERROR(VLOOKUP(D745,'LEAID Match'!$A$2:$B$184,2,FALSE),"")</f>
        <v>3700133</v>
      </c>
    </row>
    <row r="746" spans="1:9" x14ac:dyDescent="0.2">
      <c r="A746">
        <f t="shared" si="11"/>
        <v>3700133</v>
      </c>
      <c r="B746" s="24">
        <v>2020</v>
      </c>
      <c r="C746" t="s">
        <v>192</v>
      </c>
      <c r="D746" t="s">
        <v>662</v>
      </c>
      <c r="E746" t="s">
        <v>662</v>
      </c>
      <c r="F746" s="11">
        <v>32301496</v>
      </c>
      <c r="G746" s="18">
        <v>2.608E-4</v>
      </c>
      <c r="H746" s="11">
        <v>535963.55999999994</v>
      </c>
      <c r="I746" s="22">
        <f>IFERROR(VLOOKUP(D746,'LEAID Match'!$A$2:$B$184,2,FALSE),"")</f>
        <v>3700133</v>
      </c>
    </row>
    <row r="747" spans="1:9" x14ac:dyDescent="0.2">
      <c r="A747">
        <f t="shared" si="11"/>
        <v>3700133</v>
      </c>
      <c r="B747" s="24">
        <v>2021</v>
      </c>
      <c r="C747" t="s">
        <v>192</v>
      </c>
      <c r="D747" t="s">
        <v>662</v>
      </c>
      <c r="E747" t="s">
        <v>662</v>
      </c>
      <c r="F747" s="11">
        <v>30187310</v>
      </c>
      <c r="G747" s="18">
        <v>2.4120000000000001E-4</v>
      </c>
      <c r="H747" s="11">
        <v>572428.3824</v>
      </c>
      <c r="I747" s="22">
        <f>IFERROR(VLOOKUP(D747,'LEAID Match'!$A$2:$B$184,2,FALSE),"")</f>
        <v>3700133</v>
      </c>
    </row>
    <row r="748" spans="1:9" x14ac:dyDescent="0.2">
      <c r="A748">
        <f t="shared" si="11"/>
        <v>3700133</v>
      </c>
      <c r="B748" s="24">
        <v>2022</v>
      </c>
      <c r="C748" t="s">
        <v>192</v>
      </c>
      <c r="D748" t="s">
        <v>662</v>
      </c>
      <c r="E748" t="s">
        <v>662</v>
      </c>
      <c r="F748" s="11">
        <v>28626755</v>
      </c>
      <c r="G748" s="18">
        <v>2.2699999999999999E-4</v>
      </c>
      <c r="H748" s="11">
        <v>626961.74199999997</v>
      </c>
      <c r="I748" s="22">
        <f>IFERROR(VLOOKUP(D748,'LEAID Match'!$A$2:$B$184,2,FALSE),"")</f>
        <v>3700133</v>
      </c>
    </row>
    <row r="749" spans="1:9" x14ac:dyDescent="0.2">
      <c r="A749">
        <f t="shared" si="11"/>
        <v>3700133</v>
      </c>
      <c r="B749" s="24">
        <v>2023</v>
      </c>
      <c r="C749" t="s">
        <v>192</v>
      </c>
      <c r="D749" t="s">
        <v>662</v>
      </c>
      <c r="E749" t="s">
        <v>662</v>
      </c>
      <c r="F749" s="11">
        <v>29802068</v>
      </c>
      <c r="G749" s="18">
        <v>2.242E-4</v>
      </c>
      <c r="H749" s="11">
        <v>680423.90740000003</v>
      </c>
      <c r="I749" s="22">
        <f>IFERROR(VLOOKUP(D749,'LEAID Match'!$A$2:$B$184,2,FALSE),"")</f>
        <v>3700133</v>
      </c>
    </row>
    <row r="750" spans="1:9" x14ac:dyDescent="0.2">
      <c r="A750">
        <f t="shared" si="11"/>
        <v>3702430</v>
      </c>
      <c r="B750" s="24">
        <v>2015</v>
      </c>
      <c r="C750" t="s">
        <v>193</v>
      </c>
      <c r="D750" t="s">
        <v>663</v>
      </c>
      <c r="E750" t="s">
        <v>139</v>
      </c>
      <c r="F750" s="11">
        <v>252701615</v>
      </c>
      <c r="G750" s="18">
        <v>2.2095000000000001E-3</v>
      </c>
      <c r="H750" s="11">
        <v>2790571.986</v>
      </c>
      <c r="I750" s="22">
        <f>IFERROR(VLOOKUP(D750,'LEAID Match'!$A$2:$B$184,2,FALSE),"")</f>
        <v>3702430</v>
      </c>
    </row>
    <row r="751" spans="1:9" x14ac:dyDescent="0.2">
      <c r="A751">
        <f t="shared" si="11"/>
        <v>3702430</v>
      </c>
      <c r="B751" s="24">
        <v>2016</v>
      </c>
      <c r="C751" t="s">
        <v>193</v>
      </c>
      <c r="D751" t="s">
        <v>663</v>
      </c>
      <c r="E751" t="s">
        <v>663</v>
      </c>
      <c r="F751" s="11">
        <v>239145124</v>
      </c>
      <c r="G751" s="18">
        <v>2.2084000000000001E-3</v>
      </c>
      <c r="H751" s="11">
        <v>2815716.6252000001</v>
      </c>
      <c r="I751" s="22">
        <f>IFERROR(VLOOKUP(D751,'LEAID Match'!$A$2:$B$184,2,FALSE),"")</f>
        <v>3702430</v>
      </c>
    </row>
    <row r="752" spans="1:9" x14ac:dyDescent="0.2">
      <c r="A752">
        <f t="shared" si="11"/>
        <v>3702430</v>
      </c>
      <c r="B752" s="24">
        <v>2017</v>
      </c>
      <c r="C752" t="s">
        <v>193</v>
      </c>
      <c r="D752" t="s">
        <v>663</v>
      </c>
      <c r="E752" t="s">
        <v>663</v>
      </c>
      <c r="F752" s="11">
        <v>243085392</v>
      </c>
      <c r="G752" s="18">
        <v>2.1784999999999999E-3</v>
      </c>
      <c r="H752" s="11">
        <v>3139641.1289999997</v>
      </c>
      <c r="I752" s="22">
        <f>IFERROR(VLOOKUP(D752,'LEAID Match'!$A$2:$B$184,2,FALSE),"")</f>
        <v>3702430</v>
      </c>
    </row>
    <row r="753" spans="1:9" x14ac:dyDescent="0.2">
      <c r="A753">
        <f t="shared" si="11"/>
        <v>3702430</v>
      </c>
      <c r="B753" s="24">
        <v>2018</v>
      </c>
      <c r="C753" t="s">
        <v>193</v>
      </c>
      <c r="D753" t="s">
        <v>663</v>
      </c>
      <c r="E753" t="s">
        <v>663</v>
      </c>
      <c r="F753" s="11">
        <v>249057180</v>
      </c>
      <c r="G753" s="18">
        <v>2.1432000000000001E-3</v>
      </c>
      <c r="H753" s="11">
        <v>3435337.4232000001</v>
      </c>
      <c r="I753" s="22">
        <f>IFERROR(VLOOKUP(D753,'LEAID Match'!$A$2:$B$184,2,FALSE),"")</f>
        <v>3702430</v>
      </c>
    </row>
    <row r="754" spans="1:9" x14ac:dyDescent="0.2">
      <c r="A754">
        <f t="shared" si="11"/>
        <v>3702430</v>
      </c>
      <c r="B754" s="24">
        <v>2019</v>
      </c>
      <c r="C754" t="s">
        <v>193</v>
      </c>
      <c r="D754" t="s">
        <v>663</v>
      </c>
      <c r="E754" t="s">
        <v>663</v>
      </c>
      <c r="F754" s="11">
        <v>260156347</v>
      </c>
      <c r="G754" s="18">
        <v>2.1592999999999998E-3</v>
      </c>
      <c r="H754" s="11">
        <v>4135374.7577999998</v>
      </c>
      <c r="I754" s="22">
        <f>IFERROR(VLOOKUP(D754,'LEAID Match'!$A$2:$B$184,2,FALSE),"")</f>
        <v>3702430</v>
      </c>
    </row>
    <row r="755" spans="1:9" x14ac:dyDescent="0.2">
      <c r="A755">
        <f t="shared" si="11"/>
        <v>3702430</v>
      </c>
      <c r="B755" s="24">
        <v>2020</v>
      </c>
      <c r="C755" t="s">
        <v>193</v>
      </c>
      <c r="D755" t="s">
        <v>663</v>
      </c>
      <c r="E755" t="s">
        <v>663</v>
      </c>
      <c r="F755" s="11">
        <v>262024003</v>
      </c>
      <c r="G755" s="18">
        <v>2.1153000000000001E-3</v>
      </c>
      <c r="H755" s="11">
        <v>4347100.1475</v>
      </c>
      <c r="I755" s="22">
        <f>IFERROR(VLOOKUP(D755,'LEAID Match'!$A$2:$B$184,2,FALSE),"")</f>
        <v>3702430</v>
      </c>
    </row>
    <row r="756" spans="1:9" x14ac:dyDescent="0.2">
      <c r="A756">
        <f t="shared" si="11"/>
        <v>3702430</v>
      </c>
      <c r="B756" s="24">
        <v>2021</v>
      </c>
      <c r="C756" t="s">
        <v>193</v>
      </c>
      <c r="D756" t="s">
        <v>663</v>
      </c>
      <c r="E756" t="s">
        <v>663</v>
      </c>
      <c r="F756" s="11">
        <v>258056968</v>
      </c>
      <c r="G756" s="18">
        <v>2.062E-3</v>
      </c>
      <c r="H756" s="11">
        <v>4893645.6239999998</v>
      </c>
      <c r="I756" s="22">
        <f>IFERROR(VLOOKUP(D756,'LEAID Match'!$A$2:$B$184,2,FALSE),"")</f>
        <v>3702430</v>
      </c>
    </row>
    <row r="757" spans="1:9" x14ac:dyDescent="0.2">
      <c r="A757">
        <f t="shared" si="11"/>
        <v>3702430</v>
      </c>
      <c r="B757" s="24">
        <v>2022</v>
      </c>
      <c r="C757" t="s">
        <v>193</v>
      </c>
      <c r="D757" t="s">
        <v>663</v>
      </c>
      <c r="E757" t="s">
        <v>663</v>
      </c>
      <c r="F757" s="11">
        <v>259567515</v>
      </c>
      <c r="G757" s="18">
        <v>2.0581000000000002E-3</v>
      </c>
      <c r="H757" s="11">
        <v>5684361.0626000008</v>
      </c>
      <c r="I757" s="22">
        <f>IFERROR(VLOOKUP(D757,'LEAID Match'!$A$2:$B$184,2,FALSE),"")</f>
        <v>3702430</v>
      </c>
    </row>
    <row r="758" spans="1:9" x14ac:dyDescent="0.2">
      <c r="A758">
        <f t="shared" si="11"/>
        <v>3702430</v>
      </c>
      <c r="B758" s="24">
        <v>2023</v>
      </c>
      <c r="C758" t="s">
        <v>193</v>
      </c>
      <c r="D758" t="s">
        <v>663</v>
      </c>
      <c r="E758" t="s">
        <v>663</v>
      </c>
      <c r="F758" s="11">
        <v>286495531</v>
      </c>
      <c r="G758" s="18">
        <v>2.1557E-3</v>
      </c>
      <c r="H758" s="11">
        <v>6542327.4628999997</v>
      </c>
      <c r="I758" s="22">
        <f>IFERROR(VLOOKUP(D758,'LEAID Match'!$A$2:$B$184,2,FALSE),"")</f>
        <v>3702430</v>
      </c>
    </row>
    <row r="759" spans="1:9" x14ac:dyDescent="0.2">
      <c r="A759">
        <f t="shared" si="11"/>
        <v>3700580</v>
      </c>
      <c r="B759" s="24">
        <v>2015</v>
      </c>
      <c r="C759" t="s">
        <v>194</v>
      </c>
      <c r="D759" t="s">
        <v>664</v>
      </c>
      <c r="E759" t="s">
        <v>140</v>
      </c>
      <c r="F759" s="11">
        <v>541470778</v>
      </c>
      <c r="G759" s="18">
        <v>4.7343000000000003E-3</v>
      </c>
      <c r="H759" s="11">
        <v>5979364.0884000007</v>
      </c>
      <c r="I759" s="22">
        <f>IFERROR(VLOOKUP(D759,'LEAID Match'!$A$2:$B$184,2,FALSE),"")</f>
        <v>3700580</v>
      </c>
    </row>
    <row r="760" spans="1:9" x14ac:dyDescent="0.2">
      <c r="A760">
        <f t="shared" si="11"/>
        <v>3700580</v>
      </c>
      <c r="B760" s="24">
        <v>2016</v>
      </c>
      <c r="C760" t="s">
        <v>194</v>
      </c>
      <c r="D760" t="s">
        <v>664</v>
      </c>
      <c r="E760" t="s">
        <v>664</v>
      </c>
      <c r="F760" s="11">
        <v>512328536</v>
      </c>
      <c r="G760" s="18">
        <v>4.731E-3</v>
      </c>
      <c r="H760" s="11">
        <v>6032039.193</v>
      </c>
      <c r="I760" s="22">
        <f>IFERROR(VLOOKUP(D760,'LEAID Match'!$A$2:$B$184,2,FALSE),"")</f>
        <v>3700580</v>
      </c>
    </row>
    <row r="761" spans="1:9" x14ac:dyDescent="0.2">
      <c r="A761">
        <f t="shared" si="11"/>
        <v>3700580</v>
      </c>
      <c r="B761" s="24">
        <v>2017</v>
      </c>
      <c r="C761" t="s">
        <v>194</v>
      </c>
      <c r="D761" t="s">
        <v>664</v>
      </c>
      <c r="E761" t="s">
        <v>664</v>
      </c>
      <c r="F761" s="11">
        <v>515914199</v>
      </c>
      <c r="G761" s="18">
        <v>4.6236000000000003E-3</v>
      </c>
      <c r="H761" s="11">
        <v>6663504.5784</v>
      </c>
      <c r="I761" s="22">
        <f>IFERROR(VLOOKUP(D761,'LEAID Match'!$A$2:$B$184,2,FALSE),"")</f>
        <v>3700580</v>
      </c>
    </row>
    <row r="762" spans="1:9" x14ac:dyDescent="0.2">
      <c r="A762">
        <f t="shared" si="11"/>
        <v>3700580</v>
      </c>
      <c r="B762" s="24">
        <v>2018</v>
      </c>
      <c r="C762" t="s">
        <v>194</v>
      </c>
      <c r="D762" t="s">
        <v>664</v>
      </c>
      <c r="E762" t="s">
        <v>664</v>
      </c>
      <c r="F762" s="11">
        <v>531085603</v>
      </c>
      <c r="G762" s="18">
        <v>4.5700999999999997E-3</v>
      </c>
      <c r="H762" s="11">
        <v>7325417.8600999992</v>
      </c>
      <c r="I762" s="22">
        <f>IFERROR(VLOOKUP(D762,'LEAID Match'!$A$2:$B$184,2,FALSE),"")</f>
        <v>3700580</v>
      </c>
    </row>
    <row r="763" spans="1:9" x14ac:dyDescent="0.2">
      <c r="A763">
        <f t="shared" si="11"/>
        <v>3700580</v>
      </c>
      <c r="B763" s="24">
        <v>2019</v>
      </c>
      <c r="C763" t="s">
        <v>194</v>
      </c>
      <c r="D763" t="s">
        <v>664</v>
      </c>
      <c r="E763" t="s">
        <v>664</v>
      </c>
      <c r="F763" s="11">
        <v>536326110</v>
      </c>
      <c r="G763" s="18">
        <v>4.4514999999999997E-3</v>
      </c>
      <c r="H763" s="11">
        <v>8525272.4189999998</v>
      </c>
      <c r="I763" s="22">
        <f>IFERROR(VLOOKUP(D763,'LEAID Match'!$A$2:$B$184,2,FALSE),"")</f>
        <v>3700580</v>
      </c>
    </row>
    <row r="764" spans="1:9" x14ac:dyDescent="0.2">
      <c r="A764">
        <f t="shared" si="11"/>
        <v>3700580</v>
      </c>
      <c r="B764" s="24">
        <v>2020</v>
      </c>
      <c r="C764" t="s">
        <v>194</v>
      </c>
      <c r="D764" t="s">
        <v>664</v>
      </c>
      <c r="E764" t="s">
        <v>664</v>
      </c>
      <c r="F764" s="11">
        <v>529448906</v>
      </c>
      <c r="G764" s="18">
        <v>4.2741999999999997E-3</v>
      </c>
      <c r="H764" s="11">
        <v>8783801.5649999995</v>
      </c>
      <c r="I764" s="22">
        <f>IFERROR(VLOOKUP(D764,'LEAID Match'!$A$2:$B$184,2,FALSE),"")</f>
        <v>3700580</v>
      </c>
    </row>
    <row r="765" spans="1:9" x14ac:dyDescent="0.2">
      <c r="A765">
        <f t="shared" si="11"/>
        <v>3700580</v>
      </c>
      <c r="B765" s="24">
        <v>2021</v>
      </c>
      <c r="C765" t="s">
        <v>194</v>
      </c>
      <c r="D765" t="s">
        <v>664</v>
      </c>
      <c r="E765" t="s">
        <v>664</v>
      </c>
      <c r="F765" s="11">
        <v>490422059</v>
      </c>
      <c r="G765" s="18">
        <v>3.9186999999999998E-3</v>
      </c>
      <c r="H765" s="11">
        <v>9300062.6123999991</v>
      </c>
      <c r="I765" s="22">
        <f>IFERROR(VLOOKUP(D765,'LEAID Match'!$A$2:$B$184,2,FALSE),"")</f>
        <v>3700580</v>
      </c>
    </row>
    <row r="766" spans="1:9" x14ac:dyDescent="0.2">
      <c r="A766">
        <f t="shared" si="11"/>
        <v>3700580</v>
      </c>
      <c r="B766" s="24">
        <v>2022</v>
      </c>
      <c r="C766" t="s">
        <v>194</v>
      </c>
      <c r="D766" t="s">
        <v>664</v>
      </c>
      <c r="E766" t="s">
        <v>664</v>
      </c>
      <c r="F766" s="11">
        <v>512824039</v>
      </c>
      <c r="G766" s="18">
        <v>4.0661999999999998E-3</v>
      </c>
      <c r="H766" s="11">
        <v>11230624.825199999</v>
      </c>
      <c r="I766" s="22">
        <f>IFERROR(VLOOKUP(D766,'LEAID Match'!$A$2:$B$184,2,FALSE),"")</f>
        <v>3700580</v>
      </c>
    </row>
    <row r="767" spans="1:9" x14ac:dyDescent="0.2">
      <c r="A767">
        <f t="shared" si="11"/>
        <v>3700580</v>
      </c>
      <c r="B767" s="24">
        <v>2023</v>
      </c>
      <c r="C767" t="s">
        <v>194</v>
      </c>
      <c r="D767" t="s">
        <v>664</v>
      </c>
      <c r="E767" t="s">
        <v>664</v>
      </c>
      <c r="F767" s="11">
        <v>528768380</v>
      </c>
      <c r="G767" s="18">
        <v>3.9785999999999997E-3</v>
      </c>
      <c r="H767" s="11">
        <v>12074641.2042</v>
      </c>
      <c r="I767" s="22">
        <f>IFERROR(VLOOKUP(D767,'LEAID Match'!$A$2:$B$184,2,FALSE),"")</f>
        <v>3700580</v>
      </c>
    </row>
    <row r="768" spans="1:9" x14ac:dyDescent="0.2">
      <c r="A768" t="str">
        <f t="shared" si="11"/>
        <v/>
      </c>
      <c r="B768" s="24">
        <v>2015</v>
      </c>
      <c r="C768" t="s">
        <v>195</v>
      </c>
      <c r="D768" t="s">
        <v>665</v>
      </c>
      <c r="E768" t="s">
        <v>141</v>
      </c>
      <c r="F768" s="11">
        <v>112152777</v>
      </c>
      <c r="G768" s="18">
        <v>9.8060000000000009E-4</v>
      </c>
      <c r="H768" s="11">
        <v>1238486.0328000002</v>
      </c>
      <c r="I768" s="22" t="str">
        <f>IFERROR(VLOOKUP(D768,'LEAID Match'!$A$2:$B$184,2,FALSE),"")</f>
        <v/>
      </c>
    </row>
    <row r="769" spans="1:9" x14ac:dyDescent="0.2">
      <c r="A769" t="str">
        <f t="shared" si="11"/>
        <v/>
      </c>
      <c r="B769" s="24">
        <v>2016</v>
      </c>
      <c r="C769" t="s">
        <v>195</v>
      </c>
      <c r="D769" t="s">
        <v>665</v>
      </c>
      <c r="E769" t="s">
        <v>665</v>
      </c>
      <c r="F769" s="11">
        <v>102240215</v>
      </c>
      <c r="G769" s="18">
        <v>9.4410000000000002E-4</v>
      </c>
      <c r="H769" s="11">
        <v>1203730.3323000001</v>
      </c>
      <c r="I769" s="22" t="str">
        <f>IFERROR(VLOOKUP(D769,'LEAID Match'!$A$2:$B$184,2,FALSE),"")</f>
        <v/>
      </c>
    </row>
    <row r="770" spans="1:9" x14ac:dyDescent="0.2">
      <c r="A770" t="str">
        <f t="shared" si="11"/>
        <v/>
      </c>
      <c r="B770" s="24">
        <v>2017</v>
      </c>
      <c r="C770" t="s">
        <v>195</v>
      </c>
      <c r="D770" t="s">
        <v>665</v>
      </c>
      <c r="E770" t="s">
        <v>665</v>
      </c>
      <c r="F770" s="11">
        <v>101875557</v>
      </c>
      <c r="G770" s="18">
        <v>9.1299999999999997E-4</v>
      </c>
      <c r="H770" s="11">
        <v>1315810.122</v>
      </c>
      <c r="I770" s="22" t="str">
        <f>IFERROR(VLOOKUP(D770,'LEAID Match'!$A$2:$B$184,2,FALSE),"")</f>
        <v/>
      </c>
    </row>
    <row r="771" spans="1:9" x14ac:dyDescent="0.2">
      <c r="A771" t="str">
        <f t="shared" ref="A771:A834" si="12">I771</f>
        <v/>
      </c>
      <c r="B771" s="24">
        <v>2018</v>
      </c>
      <c r="C771" t="s">
        <v>195</v>
      </c>
      <c r="D771" t="s">
        <v>665</v>
      </c>
      <c r="E771" t="s">
        <v>665</v>
      </c>
      <c r="F771" s="11">
        <v>108576138</v>
      </c>
      <c r="G771" s="18">
        <v>9.343E-4</v>
      </c>
      <c r="H771" s="11">
        <v>1497590.4043000001</v>
      </c>
      <c r="I771" s="22" t="str">
        <f>IFERROR(VLOOKUP(D771,'LEAID Match'!$A$2:$B$184,2,FALSE),"")</f>
        <v/>
      </c>
    </row>
    <row r="772" spans="1:9" x14ac:dyDescent="0.2">
      <c r="A772" t="str">
        <f t="shared" si="12"/>
        <v/>
      </c>
      <c r="B772" s="24">
        <v>2019</v>
      </c>
      <c r="C772" t="s">
        <v>195</v>
      </c>
      <c r="D772" t="s">
        <v>665</v>
      </c>
      <c r="E772" t="s">
        <v>665</v>
      </c>
      <c r="F772" s="11">
        <v>106298323</v>
      </c>
      <c r="G772" s="18">
        <v>8.8230000000000003E-4</v>
      </c>
      <c r="H772" s="11">
        <v>1689733.3158</v>
      </c>
      <c r="I772" s="22" t="str">
        <f>IFERROR(VLOOKUP(D772,'LEAID Match'!$A$2:$B$184,2,FALSE),"")</f>
        <v/>
      </c>
    </row>
    <row r="773" spans="1:9" x14ac:dyDescent="0.2">
      <c r="A773" t="str">
        <f t="shared" si="12"/>
        <v/>
      </c>
      <c r="B773" s="24">
        <v>2020</v>
      </c>
      <c r="C773" t="s">
        <v>195</v>
      </c>
      <c r="D773" t="s">
        <v>665</v>
      </c>
      <c r="E773" t="s">
        <v>665</v>
      </c>
      <c r="F773" s="11">
        <v>105437966</v>
      </c>
      <c r="G773" s="18">
        <v>8.5119999999999998E-4</v>
      </c>
      <c r="H773" s="11">
        <v>1749279.8399999999</v>
      </c>
      <c r="I773" s="22" t="str">
        <f>IFERROR(VLOOKUP(D773,'LEAID Match'!$A$2:$B$184,2,FALSE),"")</f>
        <v/>
      </c>
    </row>
    <row r="774" spans="1:9" x14ac:dyDescent="0.2">
      <c r="A774" t="str">
        <f t="shared" si="12"/>
        <v/>
      </c>
      <c r="B774" s="24">
        <v>2021</v>
      </c>
      <c r="C774" t="s">
        <v>195</v>
      </c>
      <c r="D774" t="s">
        <v>665</v>
      </c>
      <c r="E774" t="s">
        <v>665</v>
      </c>
      <c r="F774" s="11">
        <v>109096683</v>
      </c>
      <c r="G774" s="18">
        <v>8.7169999999999999E-4</v>
      </c>
      <c r="H774" s="11">
        <v>2068763.7683999999</v>
      </c>
      <c r="I774" s="22" t="str">
        <f>IFERROR(VLOOKUP(D774,'LEAID Match'!$A$2:$B$184,2,FALSE),"")</f>
        <v/>
      </c>
    </row>
    <row r="775" spans="1:9" x14ac:dyDescent="0.2">
      <c r="A775" t="str">
        <f t="shared" si="12"/>
        <v/>
      </c>
      <c r="B775" s="24">
        <v>2022</v>
      </c>
      <c r="C775" t="s">
        <v>195</v>
      </c>
      <c r="D775" t="s">
        <v>665</v>
      </c>
      <c r="E775" t="s">
        <v>665</v>
      </c>
      <c r="F775" s="11">
        <v>114316589</v>
      </c>
      <c r="G775" s="18">
        <v>9.0640000000000002E-4</v>
      </c>
      <c r="H775" s="11">
        <v>2503427.8544000001</v>
      </c>
      <c r="I775" s="22" t="str">
        <f>IFERROR(VLOOKUP(D775,'LEAID Match'!$A$2:$B$184,2,FALSE),"")</f>
        <v/>
      </c>
    </row>
    <row r="776" spans="1:9" x14ac:dyDescent="0.2">
      <c r="A776" t="str">
        <f t="shared" si="12"/>
        <v/>
      </c>
      <c r="B776" s="24">
        <v>2023</v>
      </c>
      <c r="C776" t="s">
        <v>195</v>
      </c>
      <c r="D776" t="s">
        <v>665</v>
      </c>
      <c r="E776" t="s">
        <v>665</v>
      </c>
      <c r="F776" s="11">
        <v>127325707</v>
      </c>
      <c r="G776" s="18">
        <v>9.5799999999999998E-4</v>
      </c>
      <c r="H776" s="11">
        <v>2907431.3259999999</v>
      </c>
      <c r="I776" s="22" t="str">
        <f>IFERROR(VLOOKUP(D776,'LEAID Match'!$A$2:$B$184,2,FALSE),"")</f>
        <v/>
      </c>
    </row>
    <row r="777" spans="1:9" x14ac:dyDescent="0.2">
      <c r="A777">
        <f t="shared" si="12"/>
        <v>3700600</v>
      </c>
      <c r="B777" s="24">
        <v>2015</v>
      </c>
      <c r="C777" t="s">
        <v>196</v>
      </c>
      <c r="D777" t="s">
        <v>666</v>
      </c>
      <c r="E777" t="s">
        <v>142</v>
      </c>
      <c r="F777" s="11">
        <v>85031086</v>
      </c>
      <c r="G777" s="18">
        <v>7.4350000000000002E-4</v>
      </c>
      <c r="H777" s="11">
        <v>939031.57799999998</v>
      </c>
      <c r="I777" s="22">
        <f>IFERROR(VLOOKUP(D777,'LEAID Match'!$A$2:$B$184,2,FALSE),"")</f>
        <v>3700600</v>
      </c>
    </row>
    <row r="778" spans="1:9" x14ac:dyDescent="0.2">
      <c r="A778">
        <f t="shared" si="12"/>
        <v>3700600</v>
      </c>
      <c r="B778" s="24">
        <v>2016</v>
      </c>
      <c r="C778" t="s">
        <v>196</v>
      </c>
      <c r="D778" t="s">
        <v>666</v>
      </c>
      <c r="E778" t="s">
        <v>666</v>
      </c>
      <c r="F778" s="11">
        <v>78965038</v>
      </c>
      <c r="G778" s="18">
        <v>7.2920000000000005E-4</v>
      </c>
      <c r="H778" s="11">
        <v>929732.18760000006</v>
      </c>
      <c r="I778" s="22">
        <f>IFERROR(VLOOKUP(D778,'LEAID Match'!$A$2:$B$184,2,FALSE),"")</f>
        <v>3700600</v>
      </c>
    </row>
    <row r="779" spans="1:9" x14ac:dyDescent="0.2">
      <c r="A779">
        <f t="shared" si="12"/>
        <v>3700600</v>
      </c>
      <c r="B779" s="24">
        <v>2017</v>
      </c>
      <c r="C779" t="s">
        <v>196</v>
      </c>
      <c r="D779" t="s">
        <v>666</v>
      </c>
      <c r="E779" t="s">
        <v>666</v>
      </c>
      <c r="F779" s="11">
        <v>79290210</v>
      </c>
      <c r="G779" s="18">
        <v>7.1060000000000003E-4</v>
      </c>
      <c r="H779" s="11">
        <v>1024112.4564</v>
      </c>
      <c r="I779" s="22">
        <f>IFERROR(VLOOKUP(D779,'LEAID Match'!$A$2:$B$184,2,FALSE),"")</f>
        <v>3700600</v>
      </c>
    </row>
    <row r="780" spans="1:9" x14ac:dyDescent="0.2">
      <c r="A780">
        <f t="shared" si="12"/>
        <v>3700600</v>
      </c>
      <c r="B780" s="24">
        <v>2018</v>
      </c>
      <c r="C780" t="s">
        <v>196</v>
      </c>
      <c r="D780" t="s">
        <v>666</v>
      </c>
      <c r="E780" t="s">
        <v>666</v>
      </c>
      <c r="F780" s="11">
        <v>82729490</v>
      </c>
      <c r="G780" s="18">
        <v>7.1190000000000001E-4</v>
      </c>
      <c r="H780" s="11">
        <v>1141105.2219</v>
      </c>
      <c r="I780" s="22">
        <f>IFERROR(VLOOKUP(D780,'LEAID Match'!$A$2:$B$184,2,FALSE),"")</f>
        <v>3700600</v>
      </c>
    </row>
    <row r="781" spans="1:9" x14ac:dyDescent="0.2">
      <c r="A781">
        <f t="shared" si="12"/>
        <v>3700600</v>
      </c>
      <c r="B781" s="24">
        <v>2019</v>
      </c>
      <c r="C781" t="s">
        <v>196</v>
      </c>
      <c r="D781" t="s">
        <v>666</v>
      </c>
      <c r="E781" t="s">
        <v>666</v>
      </c>
      <c r="F781" s="11">
        <v>87353204</v>
      </c>
      <c r="G781" s="18">
        <v>7.2499999999999995E-4</v>
      </c>
      <c r="H781" s="11">
        <v>1388480.8499999999</v>
      </c>
      <c r="I781" s="22">
        <f>IFERROR(VLOOKUP(D781,'LEAID Match'!$A$2:$B$184,2,FALSE),"")</f>
        <v>3700600</v>
      </c>
    </row>
    <row r="782" spans="1:9" x14ac:dyDescent="0.2">
      <c r="A782">
        <f t="shared" si="12"/>
        <v>3700600</v>
      </c>
      <c r="B782" s="24">
        <v>2020</v>
      </c>
      <c r="C782" t="s">
        <v>196</v>
      </c>
      <c r="D782" t="s">
        <v>666</v>
      </c>
      <c r="E782" t="s">
        <v>666</v>
      </c>
      <c r="F782" s="11">
        <v>88856440</v>
      </c>
      <c r="G782" s="18">
        <v>7.1730000000000003E-4</v>
      </c>
      <c r="H782" s="11">
        <v>1474105.2975000001</v>
      </c>
      <c r="I782" s="22">
        <f>IFERROR(VLOOKUP(D782,'LEAID Match'!$A$2:$B$184,2,FALSE),"")</f>
        <v>3700600</v>
      </c>
    </row>
    <row r="783" spans="1:9" x14ac:dyDescent="0.2">
      <c r="A783">
        <f t="shared" si="12"/>
        <v>3700600</v>
      </c>
      <c r="B783" s="24">
        <v>2021</v>
      </c>
      <c r="C783" t="s">
        <v>196</v>
      </c>
      <c r="D783" t="s">
        <v>666</v>
      </c>
      <c r="E783" t="s">
        <v>666</v>
      </c>
      <c r="F783" s="11">
        <v>85492775</v>
      </c>
      <c r="G783" s="18">
        <v>6.8309999999999996E-4</v>
      </c>
      <c r="H783" s="11">
        <v>1621168.4412</v>
      </c>
      <c r="I783" s="22">
        <f>IFERROR(VLOOKUP(D783,'LEAID Match'!$A$2:$B$184,2,FALSE),"")</f>
        <v>3700600</v>
      </c>
    </row>
    <row r="784" spans="1:9" x14ac:dyDescent="0.2">
      <c r="A784">
        <f t="shared" si="12"/>
        <v>3700600</v>
      </c>
      <c r="B784" s="24">
        <v>2022</v>
      </c>
      <c r="C784" t="s">
        <v>196</v>
      </c>
      <c r="D784" t="s">
        <v>666</v>
      </c>
      <c r="E784" t="s">
        <v>666</v>
      </c>
      <c r="F784" s="11">
        <v>97372771</v>
      </c>
      <c r="G784" s="18">
        <v>7.7209999999999996E-4</v>
      </c>
      <c r="H784" s="11">
        <v>2132498.5066</v>
      </c>
      <c r="I784" s="22">
        <f>IFERROR(VLOOKUP(D784,'LEAID Match'!$A$2:$B$184,2,FALSE),"")</f>
        <v>3700600</v>
      </c>
    </row>
    <row r="785" spans="1:9" x14ac:dyDescent="0.2">
      <c r="A785">
        <f t="shared" si="12"/>
        <v>3700600</v>
      </c>
      <c r="B785" s="24">
        <v>2023</v>
      </c>
      <c r="C785" t="s">
        <v>196</v>
      </c>
      <c r="D785" t="s">
        <v>666</v>
      </c>
      <c r="E785" t="s">
        <v>666</v>
      </c>
      <c r="F785" s="11">
        <v>102703269</v>
      </c>
      <c r="G785" s="18">
        <v>7.7280000000000003E-4</v>
      </c>
      <c r="H785" s="11">
        <v>2345368.4016</v>
      </c>
      <c r="I785" s="22">
        <f>IFERROR(VLOOKUP(D785,'LEAID Match'!$A$2:$B$184,2,FALSE),"")</f>
        <v>3700600</v>
      </c>
    </row>
    <row r="786" spans="1:9" x14ac:dyDescent="0.2">
      <c r="A786">
        <f t="shared" si="12"/>
        <v>3700630</v>
      </c>
      <c r="B786" s="24">
        <v>2015</v>
      </c>
      <c r="C786" t="s">
        <v>197</v>
      </c>
      <c r="D786" t="s">
        <v>667</v>
      </c>
      <c r="E786" t="s">
        <v>143</v>
      </c>
      <c r="F786" s="11">
        <v>372930954</v>
      </c>
      <c r="G786" s="18">
        <v>3.2607000000000001E-3</v>
      </c>
      <c r="H786" s="11">
        <v>4118224.9716000003</v>
      </c>
      <c r="I786" s="22">
        <f>IFERROR(VLOOKUP(D786,'LEAID Match'!$A$2:$B$184,2,FALSE),"")</f>
        <v>3700630</v>
      </c>
    </row>
    <row r="787" spans="1:9" x14ac:dyDescent="0.2">
      <c r="A787">
        <f t="shared" si="12"/>
        <v>3700630</v>
      </c>
      <c r="B787" s="24">
        <v>2016</v>
      </c>
      <c r="C787" t="s">
        <v>197</v>
      </c>
      <c r="D787" t="s">
        <v>667</v>
      </c>
      <c r="E787" t="s">
        <v>667</v>
      </c>
      <c r="F787" s="11">
        <v>356665695</v>
      </c>
      <c r="G787" s="18">
        <v>3.2935999999999998E-3</v>
      </c>
      <c r="H787" s="11">
        <v>4199349.8807999995</v>
      </c>
      <c r="I787" s="22">
        <f>IFERROR(VLOOKUP(D787,'LEAID Match'!$A$2:$B$184,2,FALSE),"")</f>
        <v>3700630</v>
      </c>
    </row>
    <row r="788" spans="1:9" x14ac:dyDescent="0.2">
      <c r="A788">
        <f t="shared" si="12"/>
        <v>3700630</v>
      </c>
      <c r="B788" s="24">
        <v>2017</v>
      </c>
      <c r="C788" t="s">
        <v>197</v>
      </c>
      <c r="D788" t="s">
        <v>667</v>
      </c>
      <c r="E788" t="s">
        <v>667</v>
      </c>
      <c r="F788" s="11">
        <v>360886582</v>
      </c>
      <c r="G788" s="18">
        <v>3.2342999999999998E-3</v>
      </c>
      <c r="H788" s="11">
        <v>4661253.7541999994</v>
      </c>
      <c r="I788" s="22">
        <f>IFERROR(VLOOKUP(D788,'LEAID Match'!$A$2:$B$184,2,FALSE),"")</f>
        <v>3700630</v>
      </c>
    </row>
    <row r="789" spans="1:9" x14ac:dyDescent="0.2">
      <c r="A789">
        <f t="shared" si="12"/>
        <v>3700630</v>
      </c>
      <c r="B789" s="24">
        <v>2018</v>
      </c>
      <c r="C789" t="s">
        <v>197</v>
      </c>
      <c r="D789" t="s">
        <v>667</v>
      </c>
      <c r="E789" t="s">
        <v>667</v>
      </c>
      <c r="F789" s="11">
        <v>373476671</v>
      </c>
      <c r="G789" s="18">
        <v>3.2139E-3</v>
      </c>
      <c r="H789" s="11">
        <v>5151563.5239000004</v>
      </c>
      <c r="I789" s="22">
        <f>IFERROR(VLOOKUP(D789,'LEAID Match'!$A$2:$B$184,2,FALSE),"")</f>
        <v>3700630</v>
      </c>
    </row>
    <row r="790" spans="1:9" x14ac:dyDescent="0.2">
      <c r="A790">
        <f t="shared" si="12"/>
        <v>3700630</v>
      </c>
      <c r="B790" s="24">
        <v>2019</v>
      </c>
      <c r="C790" t="s">
        <v>197</v>
      </c>
      <c r="D790" t="s">
        <v>667</v>
      </c>
      <c r="E790" t="s">
        <v>667</v>
      </c>
      <c r="F790" s="11">
        <v>392054325</v>
      </c>
      <c r="G790" s="18">
        <v>3.2540999999999998E-3</v>
      </c>
      <c r="H790" s="11">
        <v>6232076.5985999992</v>
      </c>
      <c r="I790" s="22">
        <f>IFERROR(VLOOKUP(D790,'LEAID Match'!$A$2:$B$184,2,FALSE),"")</f>
        <v>3700630</v>
      </c>
    </row>
    <row r="791" spans="1:9" x14ac:dyDescent="0.2">
      <c r="A791">
        <f t="shared" si="12"/>
        <v>3700630</v>
      </c>
      <c r="B791" s="24">
        <v>2020</v>
      </c>
      <c r="C791" t="s">
        <v>197</v>
      </c>
      <c r="D791" t="s">
        <v>667</v>
      </c>
      <c r="E791" t="s">
        <v>667</v>
      </c>
      <c r="F791" s="11">
        <v>400084246</v>
      </c>
      <c r="G791" s="18">
        <v>3.2298000000000001E-3</v>
      </c>
      <c r="H791" s="11">
        <v>6637481.2350000003</v>
      </c>
      <c r="I791" s="22">
        <f>IFERROR(VLOOKUP(D791,'LEAID Match'!$A$2:$B$184,2,FALSE),"")</f>
        <v>3700630</v>
      </c>
    </row>
    <row r="792" spans="1:9" x14ac:dyDescent="0.2">
      <c r="A792">
        <f t="shared" si="12"/>
        <v>3700630</v>
      </c>
      <c r="B792" s="24">
        <v>2021</v>
      </c>
      <c r="C792" t="s">
        <v>197</v>
      </c>
      <c r="D792" t="s">
        <v>667</v>
      </c>
      <c r="E792" t="s">
        <v>667</v>
      </c>
      <c r="F792" s="11">
        <v>383893345</v>
      </c>
      <c r="G792" s="18">
        <v>3.0674999999999999E-3</v>
      </c>
      <c r="H792" s="11">
        <v>7279950.5099999998</v>
      </c>
      <c r="I792" s="22">
        <f>IFERROR(VLOOKUP(D792,'LEAID Match'!$A$2:$B$184,2,FALSE),"")</f>
        <v>3700630</v>
      </c>
    </row>
    <row r="793" spans="1:9" x14ac:dyDescent="0.2">
      <c r="A793">
        <f t="shared" si="12"/>
        <v>3700630</v>
      </c>
      <c r="B793" s="24">
        <v>2022</v>
      </c>
      <c r="C793" t="s">
        <v>197</v>
      </c>
      <c r="D793" t="s">
        <v>667</v>
      </c>
      <c r="E793" t="s">
        <v>667</v>
      </c>
      <c r="F793" s="11">
        <v>431021929</v>
      </c>
      <c r="G793" s="18">
        <v>3.4175999999999998E-3</v>
      </c>
      <c r="H793" s="11">
        <v>9439226.6495999992</v>
      </c>
      <c r="I793" s="22">
        <f>IFERROR(VLOOKUP(D793,'LEAID Match'!$A$2:$B$184,2,FALSE),"")</f>
        <v>3700630</v>
      </c>
    </row>
    <row r="794" spans="1:9" x14ac:dyDescent="0.2">
      <c r="A794">
        <f t="shared" si="12"/>
        <v>3700630</v>
      </c>
      <c r="B794" s="24">
        <v>2023</v>
      </c>
      <c r="C794" t="s">
        <v>197</v>
      </c>
      <c r="D794" t="s">
        <v>667</v>
      </c>
      <c r="E794" t="s">
        <v>667</v>
      </c>
      <c r="F794" s="11">
        <v>431203392</v>
      </c>
      <c r="G794" s="18">
        <v>3.2445E-3</v>
      </c>
      <c r="H794" s="11">
        <v>9846723.3165000007</v>
      </c>
      <c r="I794" s="22">
        <f>IFERROR(VLOOKUP(D794,'LEAID Match'!$A$2:$B$184,2,FALSE),"")</f>
        <v>3700630</v>
      </c>
    </row>
    <row r="795" spans="1:9" x14ac:dyDescent="0.2">
      <c r="A795" t="str">
        <f t="shared" si="12"/>
        <v/>
      </c>
      <c r="B795" s="24">
        <v>2015</v>
      </c>
      <c r="C795" t="s">
        <v>198</v>
      </c>
      <c r="D795" t="s">
        <v>668</v>
      </c>
      <c r="E795" t="s">
        <v>144</v>
      </c>
      <c r="F795" s="11">
        <v>54248279</v>
      </c>
      <c r="G795" s="18">
        <v>4.7429999999999998E-4</v>
      </c>
      <c r="H795" s="11">
        <v>599035.2084</v>
      </c>
      <c r="I795" s="22" t="str">
        <f>IFERROR(VLOOKUP(D795,'LEAID Match'!$A$2:$B$184,2,FALSE),"")</f>
        <v/>
      </c>
    </row>
    <row r="796" spans="1:9" x14ac:dyDescent="0.2">
      <c r="A796" t="str">
        <f t="shared" si="12"/>
        <v/>
      </c>
      <c r="B796" s="24">
        <v>2016</v>
      </c>
      <c r="C796" t="s">
        <v>198</v>
      </c>
      <c r="D796" t="s">
        <v>668</v>
      </c>
      <c r="E796" t="s">
        <v>668</v>
      </c>
      <c r="F796" s="11">
        <v>51162331</v>
      </c>
      <c r="G796" s="18">
        <v>4.7249999999999999E-4</v>
      </c>
      <c r="H796" s="11">
        <v>602438.91749999998</v>
      </c>
      <c r="I796" s="22" t="str">
        <f>IFERROR(VLOOKUP(D796,'LEAID Match'!$A$2:$B$184,2,FALSE),"")</f>
        <v/>
      </c>
    </row>
    <row r="797" spans="1:9" x14ac:dyDescent="0.2">
      <c r="A797" t="str">
        <f t="shared" si="12"/>
        <v/>
      </c>
      <c r="B797" s="24">
        <v>2017</v>
      </c>
      <c r="C797" t="s">
        <v>198</v>
      </c>
      <c r="D797" t="s">
        <v>668</v>
      </c>
      <c r="E797" t="s">
        <v>668</v>
      </c>
      <c r="F797" s="11">
        <v>54771425</v>
      </c>
      <c r="G797" s="18">
        <v>4.9089999999999995E-4</v>
      </c>
      <c r="H797" s="11">
        <v>707482.13459999987</v>
      </c>
      <c r="I797" s="22" t="str">
        <f>IFERROR(VLOOKUP(D797,'LEAID Match'!$A$2:$B$184,2,FALSE),"")</f>
        <v/>
      </c>
    </row>
    <row r="798" spans="1:9" x14ac:dyDescent="0.2">
      <c r="A798" t="str">
        <f t="shared" si="12"/>
        <v/>
      </c>
      <c r="B798" s="24">
        <v>2018</v>
      </c>
      <c r="C798" t="s">
        <v>198</v>
      </c>
      <c r="D798" t="s">
        <v>668</v>
      </c>
      <c r="E798" t="s">
        <v>668</v>
      </c>
      <c r="F798" s="11">
        <v>54578074</v>
      </c>
      <c r="G798" s="18">
        <v>4.6969999999999998E-4</v>
      </c>
      <c r="H798" s="11">
        <v>752882.59970000002</v>
      </c>
      <c r="I798" s="22" t="str">
        <f>IFERROR(VLOOKUP(D798,'LEAID Match'!$A$2:$B$184,2,FALSE),"")</f>
        <v/>
      </c>
    </row>
    <row r="799" spans="1:9" x14ac:dyDescent="0.2">
      <c r="A799" t="str">
        <f t="shared" si="12"/>
        <v/>
      </c>
      <c r="B799" s="24">
        <v>2019</v>
      </c>
      <c r="C799" t="s">
        <v>198</v>
      </c>
      <c r="D799" t="s">
        <v>668</v>
      </c>
      <c r="E799" t="s">
        <v>668</v>
      </c>
      <c r="F799" s="11">
        <v>56693059</v>
      </c>
      <c r="G799" s="18">
        <v>4.706E-4</v>
      </c>
      <c r="H799" s="11">
        <v>901267.70759999997</v>
      </c>
      <c r="I799" s="22" t="str">
        <f>IFERROR(VLOOKUP(D799,'LEAID Match'!$A$2:$B$184,2,FALSE),"")</f>
        <v/>
      </c>
    </row>
    <row r="800" spans="1:9" x14ac:dyDescent="0.2">
      <c r="A800" t="str">
        <f t="shared" si="12"/>
        <v/>
      </c>
      <c r="B800" s="24">
        <v>2020</v>
      </c>
      <c r="C800" t="s">
        <v>198</v>
      </c>
      <c r="D800" t="s">
        <v>668</v>
      </c>
      <c r="E800" t="s">
        <v>668</v>
      </c>
      <c r="F800" s="11">
        <v>60794674</v>
      </c>
      <c r="G800" s="18">
        <v>4.908E-4</v>
      </c>
      <c r="H800" s="11">
        <v>1008630.81</v>
      </c>
      <c r="I800" s="22" t="str">
        <f>IFERROR(VLOOKUP(D800,'LEAID Match'!$A$2:$B$184,2,FALSE),"")</f>
        <v/>
      </c>
    </row>
    <row r="801" spans="1:9" x14ac:dyDescent="0.2">
      <c r="A801" t="str">
        <f t="shared" si="12"/>
        <v/>
      </c>
      <c r="B801" s="24">
        <v>2021</v>
      </c>
      <c r="C801" t="s">
        <v>198</v>
      </c>
      <c r="D801" t="s">
        <v>668</v>
      </c>
      <c r="E801" t="s">
        <v>668</v>
      </c>
      <c r="F801" s="11">
        <v>60612451</v>
      </c>
      <c r="G801" s="18">
        <v>4.8430000000000001E-4</v>
      </c>
      <c r="H801" s="11">
        <v>1149365.9436000001</v>
      </c>
      <c r="I801" s="22" t="str">
        <f>IFERROR(VLOOKUP(D801,'LEAID Match'!$A$2:$B$184,2,FALSE),"")</f>
        <v/>
      </c>
    </row>
    <row r="802" spans="1:9" x14ac:dyDescent="0.2">
      <c r="A802" t="str">
        <f t="shared" si="12"/>
        <v/>
      </c>
      <c r="B802" s="24">
        <v>2022</v>
      </c>
      <c r="C802" t="s">
        <v>198</v>
      </c>
      <c r="D802" t="s">
        <v>668</v>
      </c>
      <c r="E802" t="s">
        <v>668</v>
      </c>
      <c r="F802" s="11">
        <v>62863407</v>
      </c>
      <c r="G802" s="18">
        <v>4.9839999999999997E-4</v>
      </c>
      <c r="H802" s="11">
        <v>1376553.8864</v>
      </c>
      <c r="I802" s="22" t="str">
        <f>IFERROR(VLOOKUP(D802,'LEAID Match'!$A$2:$B$184,2,FALSE),"")</f>
        <v/>
      </c>
    </row>
    <row r="803" spans="1:9" x14ac:dyDescent="0.2">
      <c r="A803" t="str">
        <f t="shared" si="12"/>
        <v/>
      </c>
      <c r="B803" s="24">
        <v>2023</v>
      </c>
      <c r="C803" t="s">
        <v>198</v>
      </c>
      <c r="D803" t="s">
        <v>668</v>
      </c>
      <c r="E803" t="s">
        <v>668</v>
      </c>
      <c r="F803" s="11">
        <v>68852099</v>
      </c>
      <c r="G803" s="18">
        <v>5.1809999999999996E-4</v>
      </c>
      <c r="H803" s="11">
        <v>1572380.1357</v>
      </c>
      <c r="I803" s="22" t="str">
        <f>IFERROR(VLOOKUP(D803,'LEAID Match'!$A$2:$B$184,2,FALSE),"")</f>
        <v/>
      </c>
    </row>
    <row r="804" spans="1:9" x14ac:dyDescent="0.2">
      <c r="A804">
        <f t="shared" si="12"/>
        <v>3700660</v>
      </c>
      <c r="B804" s="24">
        <v>2015</v>
      </c>
      <c r="C804" t="s">
        <v>199</v>
      </c>
      <c r="D804" t="s">
        <v>669</v>
      </c>
      <c r="E804" t="s">
        <v>145</v>
      </c>
      <c r="F804" s="11">
        <v>112811634</v>
      </c>
      <c r="G804" s="18">
        <v>9.8630000000000007E-4</v>
      </c>
      <c r="H804" s="11">
        <v>1245685.0644</v>
      </c>
      <c r="I804" s="22">
        <f>IFERROR(VLOOKUP(D804,'LEAID Match'!$A$2:$B$184,2,FALSE),"")</f>
        <v>3700660</v>
      </c>
    </row>
    <row r="805" spans="1:9" x14ac:dyDescent="0.2">
      <c r="A805">
        <f t="shared" si="12"/>
        <v>3700660</v>
      </c>
      <c r="B805" s="24">
        <v>2016</v>
      </c>
      <c r="C805" t="s">
        <v>199</v>
      </c>
      <c r="D805" t="s">
        <v>669</v>
      </c>
      <c r="E805" t="s">
        <v>669</v>
      </c>
      <c r="F805" s="11">
        <v>106825351</v>
      </c>
      <c r="G805" s="18">
        <v>9.8649999999999996E-4</v>
      </c>
      <c r="H805" s="11">
        <v>1257790.4594999999</v>
      </c>
      <c r="I805" s="22">
        <f>IFERROR(VLOOKUP(D805,'LEAID Match'!$A$2:$B$184,2,FALSE),"")</f>
        <v>3700660</v>
      </c>
    </row>
    <row r="806" spans="1:9" x14ac:dyDescent="0.2">
      <c r="A806">
        <f t="shared" si="12"/>
        <v>3700660</v>
      </c>
      <c r="B806" s="24">
        <v>2017</v>
      </c>
      <c r="C806" t="s">
        <v>199</v>
      </c>
      <c r="D806" t="s">
        <v>669</v>
      </c>
      <c r="E806" t="s">
        <v>669</v>
      </c>
      <c r="F806" s="11">
        <v>108975521</v>
      </c>
      <c r="G806" s="18">
        <v>9.7659999999999999E-4</v>
      </c>
      <c r="H806" s="11">
        <v>1407470.0604000001</v>
      </c>
      <c r="I806" s="22">
        <f>IFERROR(VLOOKUP(D806,'LEAID Match'!$A$2:$B$184,2,FALSE),"")</f>
        <v>3700660</v>
      </c>
    </row>
    <row r="807" spans="1:9" x14ac:dyDescent="0.2">
      <c r="A807">
        <f t="shared" si="12"/>
        <v>3700660</v>
      </c>
      <c r="B807" s="24">
        <v>2018</v>
      </c>
      <c r="C807" t="s">
        <v>199</v>
      </c>
      <c r="D807" t="s">
        <v>669</v>
      </c>
      <c r="E807" t="s">
        <v>669</v>
      </c>
      <c r="F807" s="11">
        <v>116622918</v>
      </c>
      <c r="G807" s="18">
        <v>1.0036000000000001E-3</v>
      </c>
      <c r="H807" s="11">
        <v>1608671.4436000001</v>
      </c>
      <c r="I807" s="22">
        <f>IFERROR(VLOOKUP(D807,'LEAID Match'!$A$2:$B$184,2,FALSE),"")</f>
        <v>3700660</v>
      </c>
    </row>
    <row r="808" spans="1:9" x14ac:dyDescent="0.2">
      <c r="A808">
        <f t="shared" si="12"/>
        <v>3700660</v>
      </c>
      <c r="B808" s="24">
        <v>2019</v>
      </c>
      <c r="C808" t="s">
        <v>199</v>
      </c>
      <c r="D808" t="s">
        <v>669</v>
      </c>
      <c r="E808" t="s">
        <v>669</v>
      </c>
      <c r="F808" s="11">
        <v>114043298</v>
      </c>
      <c r="G808" s="18">
        <v>9.4660000000000002E-4</v>
      </c>
      <c r="H808" s="11">
        <v>1812877.2036000001</v>
      </c>
      <c r="I808" s="22">
        <f>IFERROR(VLOOKUP(D808,'LEAID Match'!$A$2:$B$184,2,FALSE),"")</f>
        <v>3700660</v>
      </c>
    </row>
    <row r="809" spans="1:9" x14ac:dyDescent="0.2">
      <c r="A809">
        <f t="shared" si="12"/>
        <v>3700660</v>
      </c>
      <c r="B809" s="24">
        <v>2020</v>
      </c>
      <c r="C809" t="s">
        <v>199</v>
      </c>
      <c r="D809" t="s">
        <v>669</v>
      </c>
      <c r="E809" t="s">
        <v>669</v>
      </c>
      <c r="F809" s="11">
        <v>112051368</v>
      </c>
      <c r="G809" s="18">
        <v>9.0459999999999998E-4</v>
      </c>
      <c r="H809" s="11">
        <v>1859020.845</v>
      </c>
      <c r="I809" s="22">
        <f>IFERROR(VLOOKUP(D809,'LEAID Match'!$A$2:$B$184,2,FALSE),"")</f>
        <v>3700660</v>
      </c>
    </row>
    <row r="810" spans="1:9" x14ac:dyDescent="0.2">
      <c r="A810">
        <f t="shared" si="12"/>
        <v>3700660</v>
      </c>
      <c r="B810" s="24">
        <v>2021</v>
      </c>
      <c r="C810" t="s">
        <v>199</v>
      </c>
      <c r="D810" t="s">
        <v>669</v>
      </c>
      <c r="E810" t="s">
        <v>669</v>
      </c>
      <c r="F810" s="11">
        <v>107095126</v>
      </c>
      <c r="G810" s="18">
        <v>8.5570000000000004E-4</v>
      </c>
      <c r="H810" s="11">
        <v>2030791.7364000001</v>
      </c>
      <c r="I810" s="22">
        <f>IFERROR(VLOOKUP(D810,'LEAID Match'!$A$2:$B$184,2,FALSE),"")</f>
        <v>3700660</v>
      </c>
    </row>
    <row r="811" spans="1:9" x14ac:dyDescent="0.2">
      <c r="A811">
        <f t="shared" si="12"/>
        <v>3700660</v>
      </c>
      <c r="B811" s="24">
        <v>2022</v>
      </c>
      <c r="C811" t="s">
        <v>199</v>
      </c>
      <c r="D811" t="s">
        <v>669</v>
      </c>
      <c r="E811" t="s">
        <v>669</v>
      </c>
      <c r="F811" s="11">
        <v>107100740</v>
      </c>
      <c r="G811" s="18">
        <v>8.4920000000000004E-4</v>
      </c>
      <c r="H811" s="11">
        <v>2345444.5432000002</v>
      </c>
      <c r="I811" s="22">
        <f>IFERROR(VLOOKUP(D811,'LEAID Match'!$A$2:$B$184,2,FALSE),"")</f>
        <v>3700660</v>
      </c>
    </row>
    <row r="812" spans="1:9" x14ac:dyDescent="0.2">
      <c r="A812">
        <f t="shared" si="12"/>
        <v>3700660</v>
      </c>
      <c r="B812" s="24">
        <v>2023</v>
      </c>
      <c r="C812" t="s">
        <v>199</v>
      </c>
      <c r="D812" t="s">
        <v>669</v>
      </c>
      <c r="E812" t="s">
        <v>669</v>
      </c>
      <c r="F812" s="11">
        <v>117738086</v>
      </c>
      <c r="G812" s="18">
        <v>8.8590000000000001E-4</v>
      </c>
      <c r="H812" s="11">
        <v>2688615.2522999998</v>
      </c>
      <c r="I812" s="22">
        <f>IFERROR(VLOOKUP(D812,'LEAID Match'!$A$2:$B$184,2,FALSE),"")</f>
        <v>3700660</v>
      </c>
    </row>
    <row r="813" spans="1:9" x14ac:dyDescent="0.2">
      <c r="A813">
        <f t="shared" si="12"/>
        <v>3700421</v>
      </c>
      <c r="B813" s="24">
        <v>2015</v>
      </c>
      <c r="C813" t="s">
        <v>200</v>
      </c>
      <c r="D813" t="s">
        <v>670</v>
      </c>
      <c r="E813" t="s">
        <v>146</v>
      </c>
      <c r="F813" s="11">
        <v>715812672</v>
      </c>
      <c r="G813" s="18">
        <v>6.2585999999999996E-3</v>
      </c>
      <c r="H813" s="11">
        <v>7904536.6967999991</v>
      </c>
      <c r="I813" s="22">
        <f>IFERROR(VLOOKUP(D813,'LEAID Match'!$A$2:$B$184,2,FALSE),"")</f>
        <v>3700421</v>
      </c>
    </row>
    <row r="814" spans="1:9" x14ac:dyDescent="0.2">
      <c r="A814">
        <f t="shared" si="12"/>
        <v>3700421</v>
      </c>
      <c r="B814" s="24">
        <v>2016</v>
      </c>
      <c r="C814" t="s">
        <v>200</v>
      </c>
      <c r="D814" t="s">
        <v>670</v>
      </c>
      <c r="E814" t="s">
        <v>670</v>
      </c>
      <c r="F814" s="11">
        <v>663860721</v>
      </c>
      <c r="G814" s="18">
        <v>6.1303E-3</v>
      </c>
      <c r="H814" s="11">
        <v>7816150.8909</v>
      </c>
      <c r="I814" s="22">
        <f>IFERROR(VLOOKUP(D814,'LEAID Match'!$A$2:$B$184,2,FALSE),"")</f>
        <v>3700421</v>
      </c>
    </row>
    <row r="815" spans="1:9" x14ac:dyDescent="0.2">
      <c r="A815">
        <f t="shared" si="12"/>
        <v>3700421</v>
      </c>
      <c r="B815" s="24">
        <v>2017</v>
      </c>
      <c r="C815" t="s">
        <v>200</v>
      </c>
      <c r="D815" t="s">
        <v>670</v>
      </c>
      <c r="E815" t="s">
        <v>670</v>
      </c>
      <c r="F815" s="11">
        <v>658207932</v>
      </c>
      <c r="G815" s="18">
        <v>5.8989000000000003E-3</v>
      </c>
      <c r="H815" s="11">
        <v>8501459.2866000012</v>
      </c>
      <c r="I815" s="22">
        <f>IFERROR(VLOOKUP(D815,'LEAID Match'!$A$2:$B$184,2,FALSE),"")</f>
        <v>3700421</v>
      </c>
    </row>
    <row r="816" spans="1:9" x14ac:dyDescent="0.2">
      <c r="A816">
        <f t="shared" si="12"/>
        <v>3700421</v>
      </c>
      <c r="B816" s="24">
        <v>2018</v>
      </c>
      <c r="C816" t="s">
        <v>200</v>
      </c>
      <c r="D816" t="s">
        <v>670</v>
      </c>
      <c r="E816" t="s">
        <v>670</v>
      </c>
      <c r="F816" s="11">
        <v>664883169</v>
      </c>
      <c r="G816" s="18">
        <v>5.7215E-3</v>
      </c>
      <c r="H816" s="11">
        <v>9170998.0714999996</v>
      </c>
      <c r="I816" s="22">
        <f>IFERROR(VLOOKUP(D816,'LEAID Match'!$A$2:$B$184,2,FALSE),"")</f>
        <v>3700421</v>
      </c>
    </row>
    <row r="817" spans="1:9" x14ac:dyDescent="0.2">
      <c r="A817">
        <f t="shared" si="12"/>
        <v>3700421</v>
      </c>
      <c r="B817" s="24">
        <v>2019</v>
      </c>
      <c r="C817" t="s">
        <v>200</v>
      </c>
      <c r="D817" t="s">
        <v>670</v>
      </c>
      <c r="E817" t="s">
        <v>670</v>
      </c>
      <c r="F817" s="11">
        <v>681283019</v>
      </c>
      <c r="G817" s="18">
        <v>5.6547000000000004E-3</v>
      </c>
      <c r="H817" s="11">
        <v>10829576.086200001</v>
      </c>
      <c r="I817" s="22">
        <f>IFERROR(VLOOKUP(D817,'LEAID Match'!$A$2:$B$184,2,FALSE),"")</f>
        <v>3700421</v>
      </c>
    </row>
    <row r="818" spans="1:9" x14ac:dyDescent="0.2">
      <c r="A818">
        <f t="shared" si="12"/>
        <v>3700421</v>
      </c>
      <c r="B818" s="24">
        <v>2020</v>
      </c>
      <c r="C818" t="s">
        <v>200</v>
      </c>
      <c r="D818" t="s">
        <v>670</v>
      </c>
      <c r="E818" t="s">
        <v>670</v>
      </c>
      <c r="F818" s="11">
        <v>706864652</v>
      </c>
      <c r="G818" s="18">
        <v>5.7064000000000004E-3</v>
      </c>
      <c r="H818" s="11">
        <v>11727079.98</v>
      </c>
      <c r="I818" s="22">
        <f>IFERROR(VLOOKUP(D818,'LEAID Match'!$A$2:$B$184,2,FALSE),"")</f>
        <v>3700421</v>
      </c>
    </row>
    <row r="819" spans="1:9" x14ac:dyDescent="0.2">
      <c r="A819">
        <f t="shared" si="12"/>
        <v>3700421</v>
      </c>
      <c r="B819" s="24">
        <v>2021</v>
      </c>
      <c r="C819" t="s">
        <v>200</v>
      </c>
      <c r="D819" t="s">
        <v>670</v>
      </c>
      <c r="E819" t="s">
        <v>670</v>
      </c>
      <c r="F819" s="11">
        <v>673867886</v>
      </c>
      <c r="G819" s="18">
        <v>5.3845000000000004E-3</v>
      </c>
      <c r="H819" s="11">
        <v>12778775.394000001</v>
      </c>
      <c r="I819" s="22">
        <f>IFERROR(VLOOKUP(D819,'LEAID Match'!$A$2:$B$184,2,FALSE),"")</f>
        <v>3700421</v>
      </c>
    </row>
    <row r="820" spans="1:9" x14ac:dyDescent="0.2">
      <c r="A820">
        <f t="shared" si="12"/>
        <v>3700421</v>
      </c>
      <c r="B820" s="24">
        <v>2022</v>
      </c>
      <c r="C820" t="s">
        <v>200</v>
      </c>
      <c r="D820" t="s">
        <v>670</v>
      </c>
      <c r="E820" t="s">
        <v>670</v>
      </c>
      <c r="F820" s="11">
        <v>723613594</v>
      </c>
      <c r="G820" s="18">
        <v>5.7375000000000004E-3</v>
      </c>
      <c r="H820" s="11">
        <v>15846665.175000001</v>
      </c>
      <c r="I820" s="22">
        <f>IFERROR(VLOOKUP(D820,'LEAID Match'!$A$2:$B$184,2,FALSE),"")</f>
        <v>3700421</v>
      </c>
    </row>
    <row r="821" spans="1:9" x14ac:dyDescent="0.2">
      <c r="A821">
        <f t="shared" si="12"/>
        <v>3700421</v>
      </c>
      <c r="B821" s="24">
        <v>2023</v>
      </c>
      <c r="C821" t="s">
        <v>200</v>
      </c>
      <c r="D821" t="s">
        <v>670</v>
      </c>
      <c r="E821" t="s">
        <v>670</v>
      </c>
      <c r="F821" s="11">
        <v>758629666</v>
      </c>
      <c r="G821" s="18">
        <v>5.7080999999999998E-3</v>
      </c>
      <c r="H821" s="11">
        <v>17323495.565699998</v>
      </c>
      <c r="I821" s="22">
        <f>IFERROR(VLOOKUP(D821,'LEAID Match'!$A$2:$B$184,2,FALSE),"")</f>
        <v>3700421</v>
      </c>
    </row>
    <row r="822" spans="1:9" x14ac:dyDescent="0.2">
      <c r="A822" t="str">
        <f t="shared" si="12"/>
        <v/>
      </c>
      <c r="B822" s="24">
        <v>2015</v>
      </c>
      <c r="C822" t="s">
        <v>201</v>
      </c>
      <c r="D822" t="s">
        <v>671</v>
      </c>
      <c r="E822" t="s">
        <v>147</v>
      </c>
      <c r="F822" s="11">
        <v>133155019</v>
      </c>
      <c r="G822" s="18">
        <v>1.1642E-3</v>
      </c>
      <c r="H822" s="11">
        <v>1470370.6296000001</v>
      </c>
      <c r="I822" s="22" t="str">
        <f>IFERROR(VLOOKUP(D822,'LEAID Match'!$A$2:$B$184,2,FALSE),"")</f>
        <v/>
      </c>
    </row>
    <row r="823" spans="1:9" x14ac:dyDescent="0.2">
      <c r="A823" t="str">
        <f t="shared" si="12"/>
        <v/>
      </c>
      <c r="B823" s="24">
        <v>2016</v>
      </c>
      <c r="C823" t="s">
        <v>201</v>
      </c>
      <c r="D823" t="s">
        <v>671</v>
      </c>
      <c r="E823" t="s">
        <v>671</v>
      </c>
      <c r="F823" s="11">
        <v>126344500</v>
      </c>
      <c r="G823" s="18">
        <v>1.1666999999999999E-3</v>
      </c>
      <c r="H823" s="11">
        <v>1487546.0000999998</v>
      </c>
      <c r="I823" s="22" t="str">
        <f>IFERROR(VLOOKUP(D823,'LEAID Match'!$A$2:$B$184,2,FALSE),"")</f>
        <v/>
      </c>
    </row>
    <row r="824" spans="1:9" x14ac:dyDescent="0.2">
      <c r="A824" t="str">
        <f t="shared" si="12"/>
        <v/>
      </c>
      <c r="B824" s="24">
        <v>2017</v>
      </c>
      <c r="C824" t="s">
        <v>201</v>
      </c>
      <c r="D824" t="s">
        <v>671</v>
      </c>
      <c r="E824" t="s">
        <v>671</v>
      </c>
      <c r="F824" s="11">
        <v>129261859</v>
      </c>
      <c r="G824" s="18">
        <v>1.1584E-3</v>
      </c>
      <c r="H824" s="11">
        <v>1669479.1295999999</v>
      </c>
      <c r="I824" s="22" t="str">
        <f>IFERROR(VLOOKUP(D824,'LEAID Match'!$A$2:$B$184,2,FALSE),"")</f>
        <v/>
      </c>
    </row>
    <row r="825" spans="1:9" x14ac:dyDescent="0.2">
      <c r="A825" t="str">
        <f t="shared" si="12"/>
        <v/>
      </c>
      <c r="B825" s="24">
        <v>2018</v>
      </c>
      <c r="C825" t="s">
        <v>201</v>
      </c>
      <c r="D825" t="s">
        <v>671</v>
      </c>
      <c r="E825" t="s">
        <v>671</v>
      </c>
      <c r="F825" s="11">
        <v>134988158</v>
      </c>
      <c r="G825" s="18">
        <v>1.1616E-3</v>
      </c>
      <c r="H825" s="11">
        <v>1861929.8016000001</v>
      </c>
      <c r="I825" s="22" t="str">
        <f>IFERROR(VLOOKUP(D825,'LEAID Match'!$A$2:$B$184,2,FALSE),"")</f>
        <v/>
      </c>
    </row>
    <row r="826" spans="1:9" x14ac:dyDescent="0.2">
      <c r="A826" t="str">
        <f t="shared" si="12"/>
        <v/>
      </c>
      <c r="B826" s="24">
        <v>2019</v>
      </c>
      <c r="C826" t="s">
        <v>201</v>
      </c>
      <c r="D826" t="s">
        <v>671</v>
      </c>
      <c r="E826" t="s">
        <v>671</v>
      </c>
      <c r="F826" s="11">
        <v>146293064</v>
      </c>
      <c r="G826" s="18">
        <v>1.2141999999999999E-3</v>
      </c>
      <c r="H826" s="11">
        <v>2325370.2731999997</v>
      </c>
      <c r="I826" s="22" t="str">
        <f>IFERROR(VLOOKUP(D826,'LEAID Match'!$A$2:$B$184,2,FALSE),"")</f>
        <v/>
      </c>
    </row>
    <row r="827" spans="1:9" x14ac:dyDescent="0.2">
      <c r="A827" t="str">
        <f t="shared" si="12"/>
        <v/>
      </c>
      <c r="B827" s="24">
        <v>2020</v>
      </c>
      <c r="C827" t="s">
        <v>201</v>
      </c>
      <c r="D827" t="s">
        <v>671</v>
      </c>
      <c r="E827" t="s">
        <v>671</v>
      </c>
      <c r="F827" s="11">
        <v>147339211</v>
      </c>
      <c r="G827" s="18">
        <v>1.1895E-3</v>
      </c>
      <c r="H827" s="11">
        <v>2444511.7124999999</v>
      </c>
      <c r="I827" s="22" t="str">
        <f>IFERROR(VLOOKUP(D827,'LEAID Match'!$A$2:$B$184,2,FALSE),"")</f>
        <v/>
      </c>
    </row>
    <row r="828" spans="1:9" x14ac:dyDescent="0.2">
      <c r="A828" t="str">
        <f t="shared" si="12"/>
        <v/>
      </c>
      <c r="B828" s="24">
        <v>2021</v>
      </c>
      <c r="C828" t="s">
        <v>201</v>
      </c>
      <c r="D828" t="s">
        <v>671</v>
      </c>
      <c r="E828" t="s">
        <v>671</v>
      </c>
      <c r="F828" s="11">
        <v>148260227</v>
      </c>
      <c r="G828" s="18">
        <v>1.1846999999999999E-3</v>
      </c>
      <c r="H828" s="11">
        <v>2811591.6443999996</v>
      </c>
      <c r="I828" s="22" t="str">
        <f>IFERROR(VLOOKUP(D828,'LEAID Match'!$A$2:$B$184,2,FALSE),"")</f>
        <v/>
      </c>
    </row>
    <row r="829" spans="1:9" x14ac:dyDescent="0.2">
      <c r="A829" t="str">
        <f t="shared" si="12"/>
        <v/>
      </c>
      <c r="B829" s="24">
        <v>2022</v>
      </c>
      <c r="C829" t="s">
        <v>201</v>
      </c>
      <c r="D829" t="s">
        <v>671</v>
      </c>
      <c r="E829" t="s">
        <v>671</v>
      </c>
      <c r="F829" s="11">
        <v>158224659</v>
      </c>
      <c r="G829" s="18">
        <v>1.2546E-3</v>
      </c>
      <c r="H829" s="11">
        <v>3465137.4516000003</v>
      </c>
      <c r="I829" s="22" t="str">
        <f>IFERROR(VLOOKUP(D829,'LEAID Match'!$A$2:$B$184,2,FALSE),"")</f>
        <v/>
      </c>
    </row>
    <row r="830" spans="1:9" x14ac:dyDescent="0.2">
      <c r="A830" t="str">
        <f t="shared" si="12"/>
        <v/>
      </c>
      <c r="B830" s="24">
        <v>2023</v>
      </c>
      <c r="C830" t="s">
        <v>201</v>
      </c>
      <c r="D830" t="s">
        <v>671</v>
      </c>
      <c r="E830" t="s">
        <v>671</v>
      </c>
      <c r="F830" s="11">
        <v>169720917</v>
      </c>
      <c r="G830" s="18">
        <v>1.2769999999999999E-3</v>
      </c>
      <c r="H830" s="11">
        <v>3875563.4689999996</v>
      </c>
      <c r="I830" s="22" t="str">
        <f>IFERROR(VLOOKUP(D830,'LEAID Match'!$A$2:$B$184,2,FALSE),"")</f>
        <v/>
      </c>
    </row>
    <row r="831" spans="1:9" x14ac:dyDescent="0.2">
      <c r="A831">
        <f t="shared" si="12"/>
        <v>3702190</v>
      </c>
      <c r="B831" s="24">
        <v>2015</v>
      </c>
      <c r="C831" t="s">
        <v>202</v>
      </c>
      <c r="D831" t="s">
        <v>672</v>
      </c>
      <c r="E831" t="s">
        <v>148</v>
      </c>
      <c r="F831" s="11">
        <v>170112307</v>
      </c>
      <c r="G831" s="18">
        <v>1.4873E-3</v>
      </c>
      <c r="H831" s="11">
        <v>1878442.0523999999</v>
      </c>
      <c r="I831" s="22">
        <f>IFERROR(VLOOKUP(D831,'LEAID Match'!$A$2:$B$184,2,FALSE),"")</f>
        <v>3702190</v>
      </c>
    </row>
    <row r="832" spans="1:9" x14ac:dyDescent="0.2">
      <c r="A832">
        <f t="shared" si="12"/>
        <v>3702190</v>
      </c>
      <c r="B832" s="24">
        <v>2016</v>
      </c>
      <c r="C832" t="s">
        <v>202</v>
      </c>
      <c r="D832" t="s">
        <v>672</v>
      </c>
      <c r="E832" t="s">
        <v>672</v>
      </c>
      <c r="F832" s="11">
        <v>165231559</v>
      </c>
      <c r="G832" s="18">
        <v>1.5257999999999999E-3</v>
      </c>
      <c r="H832" s="11">
        <v>1945399.5773999998</v>
      </c>
      <c r="I832" s="22">
        <f>IFERROR(VLOOKUP(D832,'LEAID Match'!$A$2:$B$184,2,FALSE),"")</f>
        <v>3702190</v>
      </c>
    </row>
    <row r="833" spans="1:9" x14ac:dyDescent="0.2">
      <c r="A833">
        <f t="shared" si="12"/>
        <v>3702190</v>
      </c>
      <c r="B833" s="24">
        <v>2017</v>
      </c>
      <c r="C833" t="s">
        <v>202</v>
      </c>
      <c r="D833" t="s">
        <v>672</v>
      </c>
      <c r="E833" t="s">
        <v>672</v>
      </c>
      <c r="F833" s="11">
        <v>170619652</v>
      </c>
      <c r="G833" s="18">
        <v>1.5291E-3</v>
      </c>
      <c r="H833" s="11">
        <v>2203729.7453999999</v>
      </c>
      <c r="I833" s="22">
        <f>IFERROR(VLOOKUP(D833,'LEAID Match'!$A$2:$B$184,2,FALSE),"")</f>
        <v>3702190</v>
      </c>
    </row>
    <row r="834" spans="1:9" x14ac:dyDescent="0.2">
      <c r="A834">
        <f t="shared" si="12"/>
        <v>3702190</v>
      </c>
      <c r="B834" s="24">
        <v>2018</v>
      </c>
      <c r="C834" t="s">
        <v>202</v>
      </c>
      <c r="D834" t="s">
        <v>672</v>
      </c>
      <c r="E834" t="s">
        <v>672</v>
      </c>
      <c r="F834" s="11">
        <v>178340114</v>
      </c>
      <c r="G834" s="18">
        <v>1.5347E-3</v>
      </c>
      <c r="H834" s="11">
        <v>2459972.1647000001</v>
      </c>
      <c r="I834" s="22">
        <f>IFERROR(VLOOKUP(D834,'LEAID Match'!$A$2:$B$184,2,FALSE),"")</f>
        <v>3702190</v>
      </c>
    </row>
    <row r="835" spans="1:9" x14ac:dyDescent="0.2">
      <c r="A835">
        <f t="shared" ref="A835:A898" si="13">I835</f>
        <v>3702190</v>
      </c>
      <c r="B835" s="24">
        <v>2019</v>
      </c>
      <c r="C835" t="s">
        <v>202</v>
      </c>
      <c r="D835" t="s">
        <v>672</v>
      </c>
      <c r="E835" t="s">
        <v>672</v>
      </c>
      <c r="F835" s="11">
        <v>175038774</v>
      </c>
      <c r="G835" s="18">
        <v>1.4528E-3</v>
      </c>
      <c r="H835" s="11">
        <v>2782324.1088</v>
      </c>
      <c r="I835" s="22">
        <f>IFERROR(VLOOKUP(D835,'LEAID Match'!$A$2:$B$184,2,FALSE),"")</f>
        <v>3702190</v>
      </c>
    </row>
    <row r="836" spans="1:9" x14ac:dyDescent="0.2">
      <c r="A836">
        <f t="shared" si="13"/>
        <v>3702190</v>
      </c>
      <c r="B836" s="24">
        <v>2020</v>
      </c>
      <c r="C836" t="s">
        <v>202</v>
      </c>
      <c r="D836" t="s">
        <v>672</v>
      </c>
      <c r="E836" t="s">
        <v>672</v>
      </c>
      <c r="F836" s="11">
        <v>179753909</v>
      </c>
      <c r="G836" s="18">
        <v>1.4511000000000001E-3</v>
      </c>
      <c r="H836" s="11">
        <v>2982119.3325</v>
      </c>
      <c r="I836" s="22">
        <f>IFERROR(VLOOKUP(D836,'LEAID Match'!$A$2:$B$184,2,FALSE),"")</f>
        <v>3702190</v>
      </c>
    </row>
    <row r="837" spans="1:9" x14ac:dyDescent="0.2">
      <c r="A837">
        <f t="shared" si="13"/>
        <v>3702190</v>
      </c>
      <c r="B837" s="24">
        <v>2021</v>
      </c>
      <c r="C837" t="s">
        <v>202</v>
      </c>
      <c r="D837" t="s">
        <v>672</v>
      </c>
      <c r="E837" t="s">
        <v>672</v>
      </c>
      <c r="F837" s="11">
        <v>175182663</v>
      </c>
      <c r="G837" s="18">
        <v>1.3998000000000001E-3</v>
      </c>
      <c r="H837" s="11">
        <v>3322078.1496000001</v>
      </c>
      <c r="I837" s="22">
        <f>IFERROR(VLOOKUP(D837,'LEAID Match'!$A$2:$B$184,2,FALSE),"")</f>
        <v>3702190</v>
      </c>
    </row>
    <row r="838" spans="1:9" x14ac:dyDescent="0.2">
      <c r="A838">
        <f t="shared" si="13"/>
        <v>3702190</v>
      </c>
      <c r="B838" s="24">
        <v>2022</v>
      </c>
      <c r="C838" t="s">
        <v>202</v>
      </c>
      <c r="D838" t="s">
        <v>672</v>
      </c>
      <c r="E838" t="s">
        <v>672</v>
      </c>
      <c r="F838" s="11">
        <v>177254749</v>
      </c>
      <c r="G838" s="18">
        <v>1.4054E-3</v>
      </c>
      <c r="H838" s="11">
        <v>3881638.9084000001</v>
      </c>
      <c r="I838" s="22">
        <f>IFERROR(VLOOKUP(D838,'LEAID Match'!$A$2:$B$184,2,FALSE),"")</f>
        <v>3702190</v>
      </c>
    </row>
    <row r="839" spans="1:9" x14ac:dyDescent="0.2">
      <c r="A839">
        <f t="shared" si="13"/>
        <v>3702190</v>
      </c>
      <c r="B839" s="24">
        <v>2023</v>
      </c>
      <c r="C839" t="s">
        <v>202</v>
      </c>
      <c r="D839" t="s">
        <v>672</v>
      </c>
      <c r="E839" t="s">
        <v>672</v>
      </c>
      <c r="F839" s="11">
        <v>178315794</v>
      </c>
      <c r="G839" s="18">
        <v>1.3416999999999999E-3</v>
      </c>
      <c r="H839" s="11">
        <v>4071921.3048999999</v>
      </c>
      <c r="I839" s="22">
        <f>IFERROR(VLOOKUP(D839,'LEAID Match'!$A$2:$B$184,2,FALSE),"")</f>
        <v>3702190</v>
      </c>
    </row>
    <row r="840" spans="1:9" x14ac:dyDescent="0.2">
      <c r="A840">
        <f t="shared" si="13"/>
        <v>3703360</v>
      </c>
      <c r="B840" s="24">
        <v>2015</v>
      </c>
      <c r="C840" t="s">
        <v>203</v>
      </c>
      <c r="D840" t="s">
        <v>673</v>
      </c>
      <c r="E840" t="s">
        <v>149</v>
      </c>
      <c r="F840" s="11">
        <v>148017425</v>
      </c>
      <c r="G840" s="18">
        <v>1.2941999999999999E-3</v>
      </c>
      <c r="H840" s="11">
        <v>1634559.0695999998</v>
      </c>
      <c r="I840" s="22">
        <f>IFERROR(VLOOKUP(D840,'LEAID Match'!$A$2:$B$184,2,FALSE),"")</f>
        <v>3703360</v>
      </c>
    </row>
    <row r="841" spans="1:9" x14ac:dyDescent="0.2">
      <c r="A841">
        <f t="shared" si="13"/>
        <v>3703360</v>
      </c>
      <c r="B841" s="24">
        <v>2016</v>
      </c>
      <c r="C841" t="s">
        <v>203</v>
      </c>
      <c r="D841" t="s">
        <v>673</v>
      </c>
      <c r="E841" t="s">
        <v>673</v>
      </c>
      <c r="F841" s="11">
        <v>148107350</v>
      </c>
      <c r="G841" s="18">
        <v>1.3676999999999999E-3</v>
      </c>
      <c r="H841" s="11">
        <v>1743821.6030999999</v>
      </c>
      <c r="I841" s="22">
        <f>IFERROR(VLOOKUP(D841,'LEAID Match'!$A$2:$B$184,2,FALSE),"")</f>
        <v>3703360</v>
      </c>
    </row>
    <row r="842" spans="1:9" x14ac:dyDescent="0.2">
      <c r="A842">
        <f t="shared" si="13"/>
        <v>3703360</v>
      </c>
      <c r="B842" s="24">
        <v>2017</v>
      </c>
      <c r="C842" t="s">
        <v>203</v>
      </c>
      <c r="D842" t="s">
        <v>673</v>
      </c>
      <c r="E842" t="s">
        <v>673</v>
      </c>
      <c r="F842" s="11">
        <v>144377208</v>
      </c>
      <c r="G842" s="18">
        <v>1.2939E-3</v>
      </c>
      <c r="H842" s="11">
        <v>1864760.9165999999</v>
      </c>
      <c r="I842" s="22">
        <f>IFERROR(VLOOKUP(D842,'LEAID Match'!$A$2:$B$184,2,FALSE),"")</f>
        <v>3703360</v>
      </c>
    </row>
    <row r="843" spans="1:9" x14ac:dyDescent="0.2">
      <c r="A843">
        <f t="shared" si="13"/>
        <v>3703360</v>
      </c>
      <c r="B843" s="24">
        <v>2018</v>
      </c>
      <c r="C843" t="s">
        <v>203</v>
      </c>
      <c r="D843" t="s">
        <v>673</v>
      </c>
      <c r="E843" t="s">
        <v>673</v>
      </c>
      <c r="F843" s="11">
        <v>150448427</v>
      </c>
      <c r="G843" s="18">
        <v>1.2945999999999999E-3</v>
      </c>
      <c r="H843" s="11">
        <v>2075115.6345999998</v>
      </c>
      <c r="I843" s="22">
        <f>IFERROR(VLOOKUP(D843,'LEAID Match'!$A$2:$B$184,2,FALSE),"")</f>
        <v>3703360</v>
      </c>
    </row>
    <row r="844" spans="1:9" x14ac:dyDescent="0.2">
      <c r="A844">
        <f t="shared" si="13"/>
        <v>3703360</v>
      </c>
      <c r="B844" s="24">
        <v>2019</v>
      </c>
      <c r="C844" t="s">
        <v>203</v>
      </c>
      <c r="D844" t="s">
        <v>673</v>
      </c>
      <c r="E844" t="s">
        <v>673</v>
      </c>
      <c r="F844" s="11">
        <v>149924409</v>
      </c>
      <c r="G844" s="18">
        <v>1.2444000000000001E-3</v>
      </c>
      <c r="H844" s="11">
        <v>2383207.6824000003</v>
      </c>
      <c r="I844" s="22">
        <f>IFERROR(VLOOKUP(D844,'LEAID Match'!$A$2:$B$184,2,FALSE),"")</f>
        <v>3703360</v>
      </c>
    </row>
    <row r="845" spans="1:9" x14ac:dyDescent="0.2">
      <c r="A845">
        <f t="shared" si="13"/>
        <v>3703360</v>
      </c>
      <c r="B845" s="24">
        <v>2020</v>
      </c>
      <c r="C845" t="s">
        <v>203</v>
      </c>
      <c r="D845" t="s">
        <v>673</v>
      </c>
      <c r="E845" t="s">
        <v>673</v>
      </c>
      <c r="F845" s="11">
        <v>147256827</v>
      </c>
      <c r="G845" s="18">
        <v>1.1888000000000001E-3</v>
      </c>
      <c r="H845" s="11">
        <v>2443073.16</v>
      </c>
      <c r="I845" s="22">
        <f>IFERROR(VLOOKUP(D845,'LEAID Match'!$A$2:$B$184,2,FALSE),"")</f>
        <v>3703360</v>
      </c>
    </row>
    <row r="846" spans="1:9" x14ac:dyDescent="0.2">
      <c r="A846">
        <f t="shared" si="13"/>
        <v>3703360</v>
      </c>
      <c r="B846" s="24">
        <v>2021</v>
      </c>
      <c r="C846" t="s">
        <v>203</v>
      </c>
      <c r="D846" t="s">
        <v>673</v>
      </c>
      <c r="E846" t="s">
        <v>673</v>
      </c>
      <c r="F846" s="11">
        <v>147395980</v>
      </c>
      <c r="G846" s="18">
        <v>1.1777999999999999E-3</v>
      </c>
      <c r="H846" s="11">
        <v>2795216.2056</v>
      </c>
      <c r="I846" s="22">
        <f>IFERROR(VLOOKUP(D846,'LEAID Match'!$A$2:$B$184,2,FALSE),"")</f>
        <v>3703360</v>
      </c>
    </row>
    <row r="847" spans="1:9" x14ac:dyDescent="0.2">
      <c r="A847">
        <f t="shared" si="13"/>
        <v>3703360</v>
      </c>
      <c r="B847" s="24">
        <v>2022</v>
      </c>
      <c r="C847" t="s">
        <v>203</v>
      </c>
      <c r="D847" t="s">
        <v>673</v>
      </c>
      <c r="E847" t="s">
        <v>673</v>
      </c>
      <c r="F847" s="11">
        <v>148933893</v>
      </c>
      <c r="G847" s="18">
        <v>1.1808999999999999E-3</v>
      </c>
      <c r="H847" s="11">
        <v>3261582.0313999997</v>
      </c>
      <c r="I847" s="22">
        <f>IFERROR(VLOOKUP(D847,'LEAID Match'!$A$2:$B$184,2,FALSE),"")</f>
        <v>3703360</v>
      </c>
    </row>
    <row r="848" spans="1:9" x14ac:dyDescent="0.2">
      <c r="A848">
        <f t="shared" si="13"/>
        <v>3703360</v>
      </c>
      <c r="B848" s="24">
        <v>2023</v>
      </c>
      <c r="C848" t="s">
        <v>203</v>
      </c>
      <c r="D848" t="s">
        <v>673</v>
      </c>
      <c r="E848" t="s">
        <v>673</v>
      </c>
      <c r="F848" s="11">
        <v>150742684</v>
      </c>
      <c r="G848" s="18">
        <v>1.1341999999999999E-3</v>
      </c>
      <c r="H848" s="11">
        <v>3442180.1773999999</v>
      </c>
      <c r="I848" s="22">
        <f>IFERROR(VLOOKUP(D848,'LEAID Match'!$A$2:$B$184,2,FALSE),"")</f>
        <v>3703360</v>
      </c>
    </row>
    <row r="849" spans="1:9" x14ac:dyDescent="0.2">
      <c r="A849">
        <f t="shared" si="13"/>
        <v>3700750</v>
      </c>
      <c r="B849" s="24">
        <v>2015</v>
      </c>
      <c r="C849" t="s">
        <v>204</v>
      </c>
      <c r="D849" t="s">
        <v>674</v>
      </c>
      <c r="E849" t="s">
        <v>150</v>
      </c>
      <c r="F849" s="11">
        <v>408862127</v>
      </c>
      <c r="G849" s="18">
        <v>3.5747999999999999E-3</v>
      </c>
      <c r="H849" s="11">
        <v>4514929.5023999996</v>
      </c>
      <c r="I849" s="22">
        <f>IFERROR(VLOOKUP(D849,'LEAID Match'!$A$2:$B$184,2,FALSE),"")</f>
        <v>3700750</v>
      </c>
    </row>
    <row r="850" spans="1:9" x14ac:dyDescent="0.2">
      <c r="A850">
        <f t="shared" si="13"/>
        <v>3700750</v>
      </c>
      <c r="B850" s="24">
        <v>2016</v>
      </c>
      <c r="C850" t="s">
        <v>204</v>
      </c>
      <c r="D850" t="s">
        <v>674</v>
      </c>
      <c r="E850" t="s">
        <v>674</v>
      </c>
      <c r="F850" s="11">
        <v>380797870</v>
      </c>
      <c r="G850" s="18">
        <v>3.5163999999999998E-3</v>
      </c>
      <c r="H850" s="11">
        <v>4483420.5491999993</v>
      </c>
      <c r="I850" s="22">
        <f>IFERROR(VLOOKUP(D850,'LEAID Match'!$A$2:$B$184,2,FALSE),"")</f>
        <v>3700750</v>
      </c>
    </row>
    <row r="851" spans="1:9" x14ac:dyDescent="0.2">
      <c r="A851">
        <f t="shared" si="13"/>
        <v>3700750</v>
      </c>
      <c r="B851" s="24">
        <v>2017</v>
      </c>
      <c r="C851" t="s">
        <v>204</v>
      </c>
      <c r="D851" t="s">
        <v>674</v>
      </c>
      <c r="E851" t="s">
        <v>674</v>
      </c>
      <c r="F851" s="11">
        <v>409149781</v>
      </c>
      <c r="G851" s="18">
        <v>3.6668E-3</v>
      </c>
      <c r="H851" s="11">
        <v>5284570.1591999996</v>
      </c>
      <c r="I851" s="22">
        <f>IFERROR(VLOOKUP(D851,'LEAID Match'!$A$2:$B$184,2,FALSE),"")</f>
        <v>3700750</v>
      </c>
    </row>
    <row r="852" spans="1:9" x14ac:dyDescent="0.2">
      <c r="A852">
        <f t="shared" si="13"/>
        <v>3700750</v>
      </c>
      <c r="B852" s="24">
        <v>2018</v>
      </c>
      <c r="C852" t="s">
        <v>204</v>
      </c>
      <c r="D852" t="s">
        <v>674</v>
      </c>
      <c r="E852" t="s">
        <v>674</v>
      </c>
      <c r="F852" s="11">
        <v>424620425</v>
      </c>
      <c r="G852" s="18">
        <v>3.6540000000000001E-3</v>
      </c>
      <c r="H852" s="11">
        <v>5857000.2540000007</v>
      </c>
      <c r="I852" s="22">
        <f>IFERROR(VLOOKUP(D852,'LEAID Match'!$A$2:$B$184,2,FALSE),"")</f>
        <v>3700750</v>
      </c>
    </row>
    <row r="853" spans="1:9" x14ac:dyDescent="0.2">
      <c r="A853">
        <f t="shared" si="13"/>
        <v>3700750</v>
      </c>
      <c r="B853" s="24">
        <v>2019</v>
      </c>
      <c r="C853" t="s">
        <v>204</v>
      </c>
      <c r="D853" t="s">
        <v>674</v>
      </c>
      <c r="E853" t="s">
        <v>674</v>
      </c>
      <c r="F853" s="11">
        <v>445821840</v>
      </c>
      <c r="G853" s="18">
        <v>3.7003000000000001E-3</v>
      </c>
      <c r="H853" s="11">
        <v>7086614.7438000003</v>
      </c>
      <c r="I853" s="22">
        <f>IFERROR(VLOOKUP(D853,'LEAID Match'!$A$2:$B$184,2,FALSE),"")</f>
        <v>3700750</v>
      </c>
    </row>
    <row r="854" spans="1:9" x14ac:dyDescent="0.2">
      <c r="A854">
        <f t="shared" si="13"/>
        <v>3700750</v>
      </c>
      <c r="B854" s="24">
        <v>2020</v>
      </c>
      <c r="C854" t="s">
        <v>204</v>
      </c>
      <c r="D854" t="s">
        <v>674</v>
      </c>
      <c r="E854" t="s">
        <v>674</v>
      </c>
      <c r="F854" s="11">
        <v>465023503</v>
      </c>
      <c r="G854" s="18">
        <v>3.7540999999999998E-3</v>
      </c>
      <c r="H854" s="11">
        <v>7714957.0574999992</v>
      </c>
      <c r="I854" s="22">
        <f>IFERROR(VLOOKUP(D854,'LEAID Match'!$A$2:$B$184,2,FALSE),"")</f>
        <v>3700750</v>
      </c>
    </row>
    <row r="855" spans="1:9" x14ac:dyDescent="0.2">
      <c r="A855">
        <f t="shared" si="13"/>
        <v>3700750</v>
      </c>
      <c r="B855" s="24">
        <v>2021</v>
      </c>
      <c r="C855" t="s">
        <v>204</v>
      </c>
      <c r="D855" t="s">
        <v>674</v>
      </c>
      <c r="E855" t="s">
        <v>674</v>
      </c>
      <c r="F855" s="11">
        <v>456961351</v>
      </c>
      <c r="G855" s="18">
        <v>3.6513000000000001E-3</v>
      </c>
      <c r="H855" s="11">
        <v>8665455.0275999997</v>
      </c>
      <c r="I855" s="22">
        <f>IFERROR(VLOOKUP(D855,'LEAID Match'!$A$2:$B$184,2,FALSE),"")</f>
        <v>3700750</v>
      </c>
    </row>
    <row r="856" spans="1:9" x14ac:dyDescent="0.2">
      <c r="A856">
        <f t="shared" si="13"/>
        <v>3700750</v>
      </c>
      <c r="B856" s="24">
        <v>2022</v>
      </c>
      <c r="C856" t="s">
        <v>204</v>
      </c>
      <c r="D856" t="s">
        <v>674</v>
      </c>
      <c r="E856" t="s">
        <v>674</v>
      </c>
      <c r="F856" s="11">
        <v>476093079</v>
      </c>
      <c r="G856" s="18">
        <v>3.7748999999999999E-3</v>
      </c>
      <c r="H856" s="11">
        <v>10426069.955399999</v>
      </c>
      <c r="I856" s="22">
        <f>IFERROR(VLOOKUP(D856,'LEAID Match'!$A$2:$B$184,2,FALSE),"")</f>
        <v>3700750</v>
      </c>
    </row>
    <row r="857" spans="1:9" x14ac:dyDescent="0.2">
      <c r="A857">
        <f t="shared" si="13"/>
        <v>3700750</v>
      </c>
      <c r="B857" s="24">
        <v>2023</v>
      </c>
      <c r="C857" t="s">
        <v>204</v>
      </c>
      <c r="D857" t="s">
        <v>674</v>
      </c>
      <c r="E857" t="s">
        <v>674</v>
      </c>
      <c r="F857" s="11">
        <v>499082768</v>
      </c>
      <c r="G857" s="18">
        <v>3.7552000000000002E-3</v>
      </c>
      <c r="H857" s="11">
        <v>11396645.214400001</v>
      </c>
      <c r="I857" s="22">
        <f>IFERROR(VLOOKUP(D857,'LEAID Match'!$A$2:$B$184,2,FALSE),"")</f>
        <v>3700750</v>
      </c>
    </row>
    <row r="858" spans="1:9" x14ac:dyDescent="0.2">
      <c r="A858">
        <f t="shared" si="13"/>
        <v>3700780</v>
      </c>
      <c r="B858" s="24">
        <v>2015</v>
      </c>
      <c r="C858" t="s">
        <v>205</v>
      </c>
      <c r="D858" t="s">
        <v>675</v>
      </c>
      <c r="E858" t="s">
        <v>151</v>
      </c>
      <c r="F858" s="11">
        <v>156178726</v>
      </c>
      <c r="G858" s="18">
        <v>1.3655E-3</v>
      </c>
      <c r="H858" s="11">
        <v>1724610.1140000001</v>
      </c>
      <c r="I858" s="22">
        <f>IFERROR(VLOOKUP(D858,'LEAID Match'!$A$2:$B$184,2,FALSE),"")</f>
        <v>3700780</v>
      </c>
    </row>
    <row r="859" spans="1:9" x14ac:dyDescent="0.2">
      <c r="A859">
        <f t="shared" si="13"/>
        <v>3700780</v>
      </c>
      <c r="B859" s="24">
        <v>2016</v>
      </c>
      <c r="C859" t="s">
        <v>205</v>
      </c>
      <c r="D859" t="s">
        <v>675</v>
      </c>
      <c r="E859" t="s">
        <v>675</v>
      </c>
      <c r="F859" s="11">
        <v>155955216</v>
      </c>
      <c r="G859" s="18">
        <v>1.4400999999999999E-3</v>
      </c>
      <c r="H859" s="11">
        <v>1836131.8203</v>
      </c>
      <c r="I859" s="22">
        <f>IFERROR(VLOOKUP(D859,'LEAID Match'!$A$2:$B$184,2,FALSE),"")</f>
        <v>3700780</v>
      </c>
    </row>
    <row r="860" spans="1:9" x14ac:dyDescent="0.2">
      <c r="A860">
        <f t="shared" si="13"/>
        <v>3700780</v>
      </c>
      <c r="B860" s="24">
        <v>2017</v>
      </c>
      <c r="C860" t="s">
        <v>205</v>
      </c>
      <c r="D860" t="s">
        <v>675</v>
      </c>
      <c r="E860" t="s">
        <v>675</v>
      </c>
      <c r="F860" s="11">
        <v>164882870</v>
      </c>
      <c r="G860" s="18">
        <v>1.4777E-3</v>
      </c>
      <c r="H860" s="11">
        <v>2129652.3738000002</v>
      </c>
      <c r="I860" s="22">
        <f>IFERROR(VLOOKUP(D860,'LEAID Match'!$A$2:$B$184,2,FALSE),"")</f>
        <v>3700780</v>
      </c>
    </row>
    <row r="861" spans="1:9" x14ac:dyDescent="0.2">
      <c r="A861">
        <f t="shared" si="13"/>
        <v>3700780</v>
      </c>
      <c r="B861" s="24">
        <v>2018</v>
      </c>
      <c r="C861" t="s">
        <v>205</v>
      </c>
      <c r="D861" t="s">
        <v>675</v>
      </c>
      <c r="E861" t="s">
        <v>675</v>
      </c>
      <c r="F861" s="11">
        <v>172900708</v>
      </c>
      <c r="G861" s="18">
        <v>1.4878999999999999E-3</v>
      </c>
      <c r="H861" s="11">
        <v>2384956.3978999997</v>
      </c>
      <c r="I861" s="22">
        <f>IFERROR(VLOOKUP(D861,'LEAID Match'!$A$2:$B$184,2,FALSE),"")</f>
        <v>3700780</v>
      </c>
    </row>
    <row r="862" spans="1:9" x14ac:dyDescent="0.2">
      <c r="A862">
        <f t="shared" si="13"/>
        <v>3700780</v>
      </c>
      <c r="B862" s="24">
        <v>2019</v>
      </c>
      <c r="C862" t="s">
        <v>205</v>
      </c>
      <c r="D862" t="s">
        <v>675</v>
      </c>
      <c r="E862" t="s">
        <v>675</v>
      </c>
      <c r="F862" s="11">
        <v>180072668</v>
      </c>
      <c r="G862" s="18">
        <v>1.4946E-3</v>
      </c>
      <c r="H862" s="11">
        <v>2862377.2116</v>
      </c>
      <c r="I862" s="22">
        <f>IFERROR(VLOOKUP(D862,'LEAID Match'!$A$2:$B$184,2,FALSE),"")</f>
        <v>3700780</v>
      </c>
    </row>
    <row r="863" spans="1:9" x14ac:dyDescent="0.2">
      <c r="A863">
        <f t="shared" si="13"/>
        <v>3700780</v>
      </c>
      <c r="B863" s="24">
        <v>2020</v>
      </c>
      <c r="C863" t="s">
        <v>205</v>
      </c>
      <c r="D863" t="s">
        <v>675</v>
      </c>
      <c r="E863" t="s">
        <v>675</v>
      </c>
      <c r="F863" s="11">
        <v>181603218</v>
      </c>
      <c r="G863" s="18">
        <v>1.4660999999999999E-3</v>
      </c>
      <c r="H863" s="11">
        <v>3012945.4575</v>
      </c>
      <c r="I863" s="22">
        <f>IFERROR(VLOOKUP(D863,'LEAID Match'!$A$2:$B$184,2,FALSE),"")</f>
        <v>3700780</v>
      </c>
    </row>
    <row r="864" spans="1:9" x14ac:dyDescent="0.2">
      <c r="A864">
        <f t="shared" si="13"/>
        <v>3700780</v>
      </c>
      <c r="B864" s="24">
        <v>2021</v>
      </c>
      <c r="C864" t="s">
        <v>205</v>
      </c>
      <c r="D864" t="s">
        <v>675</v>
      </c>
      <c r="E864" t="s">
        <v>675</v>
      </c>
      <c r="F864" s="11">
        <v>171068229</v>
      </c>
      <c r="G864" s="18">
        <v>1.3669000000000001E-3</v>
      </c>
      <c r="H864" s="11">
        <v>3243998.1588000003</v>
      </c>
      <c r="I864" s="22">
        <f>IFERROR(VLOOKUP(D864,'LEAID Match'!$A$2:$B$184,2,FALSE),"")</f>
        <v>3700780</v>
      </c>
    </row>
    <row r="865" spans="1:9" x14ac:dyDescent="0.2">
      <c r="A865">
        <f t="shared" si="13"/>
        <v>3700780</v>
      </c>
      <c r="B865" s="24">
        <v>2022</v>
      </c>
      <c r="C865" t="s">
        <v>205</v>
      </c>
      <c r="D865" t="s">
        <v>675</v>
      </c>
      <c r="E865" t="s">
        <v>675</v>
      </c>
      <c r="F865" s="11">
        <v>175382583</v>
      </c>
      <c r="G865" s="18">
        <v>1.3906000000000001E-3</v>
      </c>
      <c r="H865" s="11">
        <v>3840762.1076000002</v>
      </c>
      <c r="I865" s="22">
        <f>IFERROR(VLOOKUP(D865,'LEAID Match'!$A$2:$B$184,2,FALSE),"")</f>
        <v>3700780</v>
      </c>
    </row>
    <row r="866" spans="1:9" x14ac:dyDescent="0.2">
      <c r="A866">
        <f t="shared" si="13"/>
        <v>3700780</v>
      </c>
      <c r="B866" s="24">
        <v>2023</v>
      </c>
      <c r="C866" t="s">
        <v>205</v>
      </c>
      <c r="D866" t="s">
        <v>675</v>
      </c>
      <c r="E866" t="s">
        <v>675</v>
      </c>
      <c r="F866" s="11">
        <v>188625139</v>
      </c>
      <c r="G866" s="18">
        <v>1.4193000000000001E-3</v>
      </c>
      <c r="H866" s="11">
        <v>4307429.3121000007</v>
      </c>
      <c r="I866" s="22">
        <f>IFERROR(VLOOKUP(D866,'LEAID Match'!$A$2:$B$184,2,FALSE),"")</f>
        <v>3700780</v>
      </c>
    </row>
    <row r="867" spans="1:9" x14ac:dyDescent="0.2">
      <c r="A867" t="str">
        <f t="shared" si="13"/>
        <v/>
      </c>
      <c r="B867" s="24">
        <v>2015</v>
      </c>
      <c r="C867" t="s">
        <v>206</v>
      </c>
      <c r="D867" t="s">
        <v>676</v>
      </c>
      <c r="E867" t="s">
        <v>152</v>
      </c>
      <c r="F867" s="11">
        <v>39113450</v>
      </c>
      <c r="G867" s="18">
        <v>3.4200000000000002E-4</v>
      </c>
      <c r="H867" s="11">
        <v>431941.89600000001</v>
      </c>
      <c r="I867" s="22" t="str">
        <f>IFERROR(VLOOKUP(D867,'LEAID Match'!$A$2:$B$184,2,FALSE),"")</f>
        <v/>
      </c>
    </row>
    <row r="868" spans="1:9" x14ac:dyDescent="0.2">
      <c r="A868" t="str">
        <f t="shared" si="13"/>
        <v/>
      </c>
      <c r="B868" s="24">
        <v>2016</v>
      </c>
      <c r="C868" t="s">
        <v>206</v>
      </c>
      <c r="D868" t="s">
        <v>676</v>
      </c>
      <c r="E868" t="s">
        <v>676</v>
      </c>
      <c r="F868" s="11">
        <v>35595605</v>
      </c>
      <c r="G868" s="18">
        <v>3.2870000000000002E-4</v>
      </c>
      <c r="H868" s="11">
        <v>419093.48610000004</v>
      </c>
      <c r="I868" s="22" t="str">
        <f>IFERROR(VLOOKUP(D868,'LEAID Match'!$A$2:$B$184,2,FALSE),"")</f>
        <v/>
      </c>
    </row>
    <row r="869" spans="1:9" x14ac:dyDescent="0.2">
      <c r="A869" t="str">
        <f t="shared" si="13"/>
        <v/>
      </c>
      <c r="B869" s="24">
        <v>2017</v>
      </c>
      <c r="C869" t="s">
        <v>206</v>
      </c>
      <c r="D869" t="s">
        <v>676</v>
      </c>
      <c r="E869" t="s">
        <v>676</v>
      </c>
      <c r="F869" s="11">
        <v>37174057</v>
      </c>
      <c r="G869" s="18">
        <v>3.3320000000000002E-4</v>
      </c>
      <c r="H869" s="11">
        <v>480205.84080000001</v>
      </c>
      <c r="I869" s="22" t="str">
        <f>IFERROR(VLOOKUP(D869,'LEAID Match'!$A$2:$B$184,2,FALSE),"")</f>
        <v/>
      </c>
    </row>
    <row r="870" spans="1:9" x14ac:dyDescent="0.2">
      <c r="A870" t="str">
        <f t="shared" si="13"/>
        <v/>
      </c>
      <c r="B870" s="24">
        <v>2018</v>
      </c>
      <c r="C870" t="s">
        <v>206</v>
      </c>
      <c r="D870" t="s">
        <v>676</v>
      </c>
      <c r="E870" t="s">
        <v>676</v>
      </c>
      <c r="F870" s="11">
        <v>37412042</v>
      </c>
      <c r="G870" s="18">
        <v>3.2190000000000002E-4</v>
      </c>
      <c r="H870" s="11">
        <v>515973.83190000005</v>
      </c>
      <c r="I870" s="22" t="str">
        <f>IFERROR(VLOOKUP(D870,'LEAID Match'!$A$2:$B$184,2,FALSE),"")</f>
        <v/>
      </c>
    </row>
    <row r="871" spans="1:9" x14ac:dyDescent="0.2">
      <c r="A871" t="str">
        <f t="shared" si="13"/>
        <v/>
      </c>
      <c r="B871" s="24">
        <v>2019</v>
      </c>
      <c r="C871" t="s">
        <v>206</v>
      </c>
      <c r="D871" t="s">
        <v>676</v>
      </c>
      <c r="E871" t="s">
        <v>676</v>
      </c>
      <c r="F871" s="11">
        <v>36236105</v>
      </c>
      <c r="G871" s="18">
        <v>3.0079999999999999E-4</v>
      </c>
      <c r="H871" s="11">
        <v>576075.91680000001</v>
      </c>
      <c r="I871" s="22" t="str">
        <f>IFERROR(VLOOKUP(D871,'LEAID Match'!$A$2:$B$184,2,FALSE),"")</f>
        <v/>
      </c>
    </row>
    <row r="872" spans="1:9" x14ac:dyDescent="0.2">
      <c r="A872" t="str">
        <f t="shared" si="13"/>
        <v/>
      </c>
      <c r="B872" s="24">
        <v>2020</v>
      </c>
      <c r="C872" t="s">
        <v>206</v>
      </c>
      <c r="D872" t="s">
        <v>676</v>
      </c>
      <c r="E872" t="s">
        <v>676</v>
      </c>
      <c r="F872" s="11">
        <v>38478654</v>
      </c>
      <c r="G872" s="18">
        <v>3.1060000000000001E-4</v>
      </c>
      <c r="H872" s="11">
        <v>638306.29500000004</v>
      </c>
      <c r="I872" s="22" t="str">
        <f>IFERROR(VLOOKUP(D872,'LEAID Match'!$A$2:$B$184,2,FALSE),"")</f>
        <v/>
      </c>
    </row>
    <row r="873" spans="1:9" x14ac:dyDescent="0.2">
      <c r="A873" t="str">
        <f t="shared" si="13"/>
        <v/>
      </c>
      <c r="B873" s="24">
        <v>2021</v>
      </c>
      <c r="C873" t="s">
        <v>206</v>
      </c>
      <c r="D873" t="s">
        <v>676</v>
      </c>
      <c r="E873" t="s">
        <v>676</v>
      </c>
      <c r="F873" s="11">
        <v>42657432</v>
      </c>
      <c r="G873" s="18">
        <v>3.4079999999999999E-4</v>
      </c>
      <c r="H873" s="11">
        <v>808804.28159999999</v>
      </c>
      <c r="I873" s="22" t="str">
        <f>IFERROR(VLOOKUP(D873,'LEAID Match'!$A$2:$B$184,2,FALSE),"")</f>
        <v/>
      </c>
    </row>
    <row r="874" spans="1:9" x14ac:dyDescent="0.2">
      <c r="A874" t="str">
        <f t="shared" si="13"/>
        <v/>
      </c>
      <c r="B874" s="24">
        <v>2022</v>
      </c>
      <c r="C874" t="s">
        <v>206</v>
      </c>
      <c r="D874" t="s">
        <v>676</v>
      </c>
      <c r="E874" t="s">
        <v>676</v>
      </c>
      <c r="F874" s="11">
        <v>45339116</v>
      </c>
      <c r="G874" s="18">
        <v>3.5950000000000001E-4</v>
      </c>
      <c r="H874" s="11">
        <v>992919.58700000006</v>
      </c>
      <c r="I874" s="22" t="str">
        <f>IFERROR(VLOOKUP(D874,'LEAID Match'!$A$2:$B$184,2,FALSE),"")</f>
        <v/>
      </c>
    </row>
    <row r="875" spans="1:9" x14ac:dyDescent="0.2">
      <c r="A875" t="str">
        <f t="shared" si="13"/>
        <v/>
      </c>
      <c r="B875" s="24">
        <v>2023</v>
      </c>
      <c r="C875" t="s">
        <v>206</v>
      </c>
      <c r="D875" t="s">
        <v>676</v>
      </c>
      <c r="E875" t="s">
        <v>676</v>
      </c>
      <c r="F875" s="11">
        <v>48234304</v>
      </c>
      <c r="G875" s="18">
        <v>3.6289999999999998E-4</v>
      </c>
      <c r="H875" s="11">
        <v>1101364.1213</v>
      </c>
      <c r="I875" s="22" t="str">
        <f>IFERROR(VLOOKUP(D875,'LEAID Match'!$A$2:$B$184,2,FALSE),"")</f>
        <v/>
      </c>
    </row>
    <row r="876" spans="1:9" x14ac:dyDescent="0.2">
      <c r="A876">
        <f t="shared" si="13"/>
        <v>3700840</v>
      </c>
      <c r="B876" s="24">
        <v>2015</v>
      </c>
      <c r="C876" t="s">
        <v>207</v>
      </c>
      <c r="D876" t="s">
        <v>677</v>
      </c>
      <c r="E876" t="s">
        <v>153</v>
      </c>
      <c r="F876" s="11">
        <v>106486552</v>
      </c>
      <c r="G876" s="18">
        <v>9.3099999999999997E-4</v>
      </c>
      <c r="H876" s="11">
        <v>1175841.828</v>
      </c>
      <c r="I876" s="22">
        <f>IFERROR(VLOOKUP(D876,'LEAID Match'!$A$2:$B$184,2,FALSE),"")</f>
        <v>3700840</v>
      </c>
    </row>
    <row r="877" spans="1:9" x14ac:dyDescent="0.2">
      <c r="A877">
        <f t="shared" si="13"/>
        <v>3700840</v>
      </c>
      <c r="B877" s="24">
        <v>2016</v>
      </c>
      <c r="C877" t="s">
        <v>207</v>
      </c>
      <c r="D877" t="s">
        <v>677</v>
      </c>
      <c r="E877" t="s">
        <v>677</v>
      </c>
      <c r="F877" s="11">
        <v>96091355</v>
      </c>
      <c r="G877" s="18">
        <v>8.8730000000000005E-4</v>
      </c>
      <c r="H877" s="11">
        <v>1131310.1618999999</v>
      </c>
      <c r="I877" s="22">
        <f>IFERROR(VLOOKUP(D877,'LEAID Match'!$A$2:$B$184,2,FALSE),"")</f>
        <v>3700840</v>
      </c>
    </row>
    <row r="878" spans="1:9" x14ac:dyDescent="0.2">
      <c r="A878">
        <f t="shared" si="13"/>
        <v>3700840</v>
      </c>
      <c r="B878" s="24">
        <v>2017</v>
      </c>
      <c r="C878" t="s">
        <v>207</v>
      </c>
      <c r="D878" t="s">
        <v>677</v>
      </c>
      <c r="E878" t="s">
        <v>677</v>
      </c>
      <c r="F878" s="11">
        <v>93185331</v>
      </c>
      <c r="G878" s="18">
        <v>8.3509999999999997E-4</v>
      </c>
      <c r="H878" s="11">
        <v>1203541.1094</v>
      </c>
      <c r="I878" s="22">
        <f>IFERROR(VLOOKUP(D878,'LEAID Match'!$A$2:$B$184,2,FALSE),"")</f>
        <v>3700840</v>
      </c>
    </row>
    <row r="879" spans="1:9" x14ac:dyDescent="0.2">
      <c r="A879">
        <f t="shared" si="13"/>
        <v>3700840</v>
      </c>
      <c r="B879" s="24">
        <v>2018</v>
      </c>
      <c r="C879" t="s">
        <v>207</v>
      </c>
      <c r="D879" t="s">
        <v>677</v>
      </c>
      <c r="E879" t="s">
        <v>677</v>
      </c>
      <c r="F879" s="11">
        <v>95680621</v>
      </c>
      <c r="G879" s="18">
        <v>8.2339999999999996E-4</v>
      </c>
      <c r="H879" s="11">
        <v>1319828.6834</v>
      </c>
      <c r="I879" s="22">
        <f>IFERROR(VLOOKUP(D879,'LEAID Match'!$A$2:$B$184,2,FALSE),"")</f>
        <v>3700840</v>
      </c>
    </row>
    <row r="880" spans="1:9" x14ac:dyDescent="0.2">
      <c r="A880">
        <f t="shared" si="13"/>
        <v>3700840</v>
      </c>
      <c r="B880" s="24">
        <v>2019</v>
      </c>
      <c r="C880" t="s">
        <v>207</v>
      </c>
      <c r="D880" t="s">
        <v>677</v>
      </c>
      <c r="E880" t="s">
        <v>677</v>
      </c>
      <c r="F880" s="11">
        <v>101701251</v>
      </c>
      <c r="G880" s="18">
        <v>8.4409999999999997E-4</v>
      </c>
      <c r="H880" s="11">
        <v>1616574.7386</v>
      </c>
      <c r="I880" s="22">
        <f>IFERROR(VLOOKUP(D880,'LEAID Match'!$A$2:$B$184,2,FALSE),"")</f>
        <v>3700840</v>
      </c>
    </row>
    <row r="881" spans="1:9" x14ac:dyDescent="0.2">
      <c r="A881">
        <f t="shared" si="13"/>
        <v>3700840</v>
      </c>
      <c r="B881" s="24">
        <v>2020</v>
      </c>
      <c r="C881" t="s">
        <v>207</v>
      </c>
      <c r="D881" t="s">
        <v>677</v>
      </c>
      <c r="E881" t="s">
        <v>677</v>
      </c>
      <c r="F881" s="11">
        <v>101543513</v>
      </c>
      <c r="G881" s="18">
        <v>8.1970000000000003E-4</v>
      </c>
      <c r="H881" s="11">
        <v>1684544.9775</v>
      </c>
      <c r="I881" s="22">
        <f>IFERROR(VLOOKUP(D881,'LEAID Match'!$A$2:$B$184,2,FALSE),"")</f>
        <v>3700840</v>
      </c>
    </row>
    <row r="882" spans="1:9" x14ac:dyDescent="0.2">
      <c r="A882">
        <f t="shared" si="13"/>
        <v>3700840</v>
      </c>
      <c r="B882" s="24">
        <v>2021</v>
      </c>
      <c r="C882" t="s">
        <v>207</v>
      </c>
      <c r="D882" t="s">
        <v>677</v>
      </c>
      <c r="E882" t="s">
        <v>677</v>
      </c>
      <c r="F882" s="11">
        <v>92431784</v>
      </c>
      <c r="G882" s="18">
        <v>7.3859999999999996E-4</v>
      </c>
      <c r="H882" s="11">
        <v>1752883.9271999998</v>
      </c>
      <c r="I882" s="22">
        <f>IFERROR(VLOOKUP(D882,'LEAID Match'!$A$2:$B$184,2,FALSE),"")</f>
        <v>3700840</v>
      </c>
    </row>
    <row r="883" spans="1:9" x14ac:dyDescent="0.2">
      <c r="A883">
        <f t="shared" si="13"/>
        <v>3700840</v>
      </c>
      <c r="B883" s="24">
        <v>2022</v>
      </c>
      <c r="C883" t="s">
        <v>207</v>
      </c>
      <c r="D883" t="s">
        <v>677</v>
      </c>
      <c r="E883" t="s">
        <v>677</v>
      </c>
      <c r="F883" s="11">
        <v>98350154</v>
      </c>
      <c r="G883" s="18">
        <v>7.7979999999999998E-4</v>
      </c>
      <c r="H883" s="11">
        <v>2153765.4907999998</v>
      </c>
      <c r="I883" s="22">
        <f>IFERROR(VLOOKUP(D883,'LEAID Match'!$A$2:$B$184,2,FALSE),"")</f>
        <v>3700840</v>
      </c>
    </row>
    <row r="884" spans="1:9" x14ac:dyDescent="0.2">
      <c r="A884">
        <f t="shared" si="13"/>
        <v>3700840</v>
      </c>
      <c r="B884" s="24">
        <v>2023</v>
      </c>
      <c r="C884" t="s">
        <v>207</v>
      </c>
      <c r="D884" t="s">
        <v>677</v>
      </c>
      <c r="E884" t="s">
        <v>677</v>
      </c>
      <c r="F884" s="11">
        <v>107439671</v>
      </c>
      <c r="G884" s="18">
        <v>8.0840000000000003E-4</v>
      </c>
      <c r="H884" s="11">
        <v>2453410.7348000002</v>
      </c>
      <c r="I884" s="22">
        <f>IFERROR(VLOOKUP(D884,'LEAID Match'!$A$2:$B$184,2,FALSE),"")</f>
        <v>3700840</v>
      </c>
    </row>
    <row r="885" spans="1:9" x14ac:dyDescent="0.2">
      <c r="A885">
        <f t="shared" si="13"/>
        <v>3700870</v>
      </c>
      <c r="B885" s="24">
        <v>2015</v>
      </c>
      <c r="C885" t="s">
        <v>208</v>
      </c>
      <c r="D885" t="s">
        <v>678</v>
      </c>
      <c r="E885" t="s">
        <v>154</v>
      </c>
      <c r="F885" s="11">
        <v>62268190</v>
      </c>
      <c r="G885" s="18">
        <v>5.4440000000000001E-4</v>
      </c>
      <c r="H885" s="11">
        <v>687570.66720000003</v>
      </c>
      <c r="I885" s="22">
        <f>IFERROR(VLOOKUP(D885,'LEAID Match'!$A$2:$B$184,2,FALSE),"")</f>
        <v>3700870</v>
      </c>
    </row>
    <row r="886" spans="1:9" x14ac:dyDescent="0.2">
      <c r="A886">
        <f t="shared" si="13"/>
        <v>3700870</v>
      </c>
      <c r="B886" s="24">
        <v>2016</v>
      </c>
      <c r="C886" t="s">
        <v>208</v>
      </c>
      <c r="D886" t="s">
        <v>678</v>
      </c>
      <c r="E886" t="s">
        <v>678</v>
      </c>
      <c r="F886" s="11">
        <v>59416923</v>
      </c>
      <c r="G886" s="18">
        <v>5.4869999999999995E-4</v>
      </c>
      <c r="H886" s="11">
        <v>699594.1460999999</v>
      </c>
      <c r="I886" s="22">
        <f>IFERROR(VLOOKUP(D886,'LEAID Match'!$A$2:$B$184,2,FALSE),"")</f>
        <v>3700870</v>
      </c>
    </row>
    <row r="887" spans="1:9" x14ac:dyDescent="0.2">
      <c r="A887">
        <f t="shared" si="13"/>
        <v>3700870</v>
      </c>
      <c r="B887" s="24">
        <v>2017</v>
      </c>
      <c r="C887" t="s">
        <v>208</v>
      </c>
      <c r="D887" t="s">
        <v>678</v>
      </c>
      <c r="E887" t="s">
        <v>678</v>
      </c>
      <c r="F887" s="11">
        <v>61717373</v>
      </c>
      <c r="G887" s="18">
        <v>5.5309999999999995E-4</v>
      </c>
      <c r="H887" s="11">
        <v>797124.40139999997</v>
      </c>
      <c r="I887" s="22">
        <f>IFERROR(VLOOKUP(D887,'LEAID Match'!$A$2:$B$184,2,FALSE),"")</f>
        <v>3700870</v>
      </c>
    </row>
    <row r="888" spans="1:9" x14ac:dyDescent="0.2">
      <c r="A888">
        <f t="shared" si="13"/>
        <v>3700870</v>
      </c>
      <c r="B888" s="24">
        <v>2018</v>
      </c>
      <c r="C888" t="s">
        <v>208</v>
      </c>
      <c r="D888" t="s">
        <v>678</v>
      </c>
      <c r="E888" t="s">
        <v>678</v>
      </c>
      <c r="F888" s="11">
        <v>65816034</v>
      </c>
      <c r="G888" s="18">
        <v>5.664E-4</v>
      </c>
      <c r="H888" s="11">
        <v>907883.12639999995</v>
      </c>
      <c r="I888" s="22">
        <f>IFERROR(VLOOKUP(D888,'LEAID Match'!$A$2:$B$184,2,FALSE),"")</f>
        <v>3700870</v>
      </c>
    </row>
    <row r="889" spans="1:9" x14ac:dyDescent="0.2">
      <c r="A889">
        <f t="shared" si="13"/>
        <v>3700870</v>
      </c>
      <c r="B889" s="24">
        <v>2019</v>
      </c>
      <c r="C889" t="s">
        <v>208</v>
      </c>
      <c r="D889" t="s">
        <v>678</v>
      </c>
      <c r="E889" t="s">
        <v>678</v>
      </c>
      <c r="F889" s="11">
        <v>68078430</v>
      </c>
      <c r="G889" s="18">
        <v>5.6510000000000002E-4</v>
      </c>
      <c r="H889" s="11">
        <v>1082249.0046000001</v>
      </c>
      <c r="I889" s="22">
        <f>IFERROR(VLOOKUP(D889,'LEAID Match'!$A$2:$B$184,2,FALSE),"")</f>
        <v>3700870</v>
      </c>
    </row>
    <row r="890" spans="1:9" x14ac:dyDescent="0.2">
      <c r="A890">
        <f t="shared" si="13"/>
        <v>3700870</v>
      </c>
      <c r="B890" s="24">
        <v>2020</v>
      </c>
      <c r="C890" t="s">
        <v>208</v>
      </c>
      <c r="D890" t="s">
        <v>678</v>
      </c>
      <c r="E890" t="s">
        <v>678</v>
      </c>
      <c r="F890" s="11">
        <v>69194733</v>
      </c>
      <c r="G890" s="18">
        <v>5.5860000000000003E-4</v>
      </c>
      <c r="H890" s="11">
        <v>1147964.895</v>
      </c>
      <c r="I890" s="22">
        <f>IFERROR(VLOOKUP(D890,'LEAID Match'!$A$2:$B$184,2,FALSE),"")</f>
        <v>3700870</v>
      </c>
    </row>
    <row r="891" spans="1:9" x14ac:dyDescent="0.2">
      <c r="A891">
        <f t="shared" si="13"/>
        <v>3700870</v>
      </c>
      <c r="B891" s="24">
        <v>2021</v>
      </c>
      <c r="C891" t="s">
        <v>208</v>
      </c>
      <c r="D891" t="s">
        <v>678</v>
      </c>
      <c r="E891" t="s">
        <v>678</v>
      </c>
      <c r="F891" s="11">
        <v>66955742</v>
      </c>
      <c r="G891" s="18">
        <v>5.3499999999999999E-4</v>
      </c>
      <c r="H891" s="11">
        <v>1269689.82</v>
      </c>
      <c r="I891" s="22">
        <f>IFERROR(VLOOKUP(D891,'LEAID Match'!$A$2:$B$184,2,FALSE),"")</f>
        <v>3700870</v>
      </c>
    </row>
    <row r="892" spans="1:9" x14ac:dyDescent="0.2">
      <c r="A892">
        <f t="shared" si="13"/>
        <v>3700870</v>
      </c>
      <c r="B892" s="24">
        <v>2022</v>
      </c>
      <c r="C892" t="s">
        <v>208</v>
      </c>
      <c r="D892" t="s">
        <v>678</v>
      </c>
      <c r="E892" t="s">
        <v>678</v>
      </c>
      <c r="F892" s="11">
        <v>71863480</v>
      </c>
      <c r="G892" s="18">
        <v>5.6979999999999997E-4</v>
      </c>
      <c r="H892" s="11">
        <v>1573756.8307999999</v>
      </c>
      <c r="I892" s="22">
        <f>IFERROR(VLOOKUP(D892,'LEAID Match'!$A$2:$B$184,2,FALSE),"")</f>
        <v>3700870</v>
      </c>
    </row>
    <row r="893" spans="1:9" x14ac:dyDescent="0.2">
      <c r="A893">
        <f t="shared" si="13"/>
        <v>3700870</v>
      </c>
      <c r="B893" s="24">
        <v>2023</v>
      </c>
      <c r="C893" t="s">
        <v>208</v>
      </c>
      <c r="D893" t="s">
        <v>678</v>
      </c>
      <c r="E893" t="s">
        <v>678</v>
      </c>
      <c r="F893" s="11">
        <v>81779448</v>
      </c>
      <c r="G893" s="18">
        <v>6.1530000000000005E-4</v>
      </c>
      <c r="H893" s="11">
        <v>1867372.1241000001</v>
      </c>
      <c r="I893" s="22">
        <f>IFERROR(VLOOKUP(D893,'LEAID Match'!$A$2:$B$184,2,FALSE),"")</f>
        <v>3700870</v>
      </c>
    </row>
    <row r="894" spans="1:9" x14ac:dyDescent="0.2">
      <c r="A894">
        <f t="shared" si="13"/>
        <v>3700174</v>
      </c>
      <c r="B894" s="24">
        <v>2015</v>
      </c>
      <c r="C894" t="s">
        <v>209</v>
      </c>
      <c r="D894" t="s">
        <v>679</v>
      </c>
      <c r="E894" t="s">
        <v>155</v>
      </c>
      <c r="F894" s="11">
        <v>721879296</v>
      </c>
      <c r="G894" s="18">
        <v>6.3115999999999997E-3</v>
      </c>
      <c r="H894" s="11">
        <v>7971475.0607999992</v>
      </c>
      <c r="I894" s="22">
        <f>IFERROR(VLOOKUP(D894,'LEAID Match'!$A$2:$B$184,2,FALSE),"")</f>
        <v>3700174</v>
      </c>
    </row>
    <row r="895" spans="1:9" x14ac:dyDescent="0.2">
      <c r="A895">
        <f t="shared" si="13"/>
        <v>3700174</v>
      </c>
      <c r="B895" s="24">
        <v>2016</v>
      </c>
      <c r="C895" t="s">
        <v>209</v>
      </c>
      <c r="D895" t="s">
        <v>679</v>
      </c>
      <c r="E895" t="s">
        <v>679</v>
      </c>
      <c r="F895" s="11">
        <v>680375655</v>
      </c>
      <c r="G895" s="18">
        <v>6.2827999999999998E-3</v>
      </c>
      <c r="H895" s="11">
        <v>8010588.8483999996</v>
      </c>
      <c r="I895" s="22">
        <f>IFERROR(VLOOKUP(D895,'LEAID Match'!$A$2:$B$184,2,FALSE),"")</f>
        <v>3700174</v>
      </c>
    </row>
    <row r="896" spans="1:9" x14ac:dyDescent="0.2">
      <c r="A896">
        <f t="shared" si="13"/>
        <v>3700174</v>
      </c>
      <c r="B896" s="24">
        <v>2017</v>
      </c>
      <c r="C896" t="s">
        <v>209</v>
      </c>
      <c r="D896" t="s">
        <v>679</v>
      </c>
      <c r="E896" t="s">
        <v>679</v>
      </c>
      <c r="F896" s="11">
        <v>693044225</v>
      </c>
      <c r="G896" s="18">
        <v>6.2110999999999998E-3</v>
      </c>
      <c r="H896" s="11">
        <v>8951400.0534000006</v>
      </c>
      <c r="I896" s="22">
        <f>IFERROR(VLOOKUP(D896,'LEAID Match'!$A$2:$B$184,2,FALSE),"")</f>
        <v>3700174</v>
      </c>
    </row>
    <row r="897" spans="1:9" x14ac:dyDescent="0.2">
      <c r="A897">
        <f t="shared" si="13"/>
        <v>3700174</v>
      </c>
      <c r="B897" s="24">
        <v>2018</v>
      </c>
      <c r="C897" t="s">
        <v>209</v>
      </c>
      <c r="D897" t="s">
        <v>679</v>
      </c>
      <c r="E897" t="s">
        <v>679</v>
      </c>
      <c r="F897" s="11">
        <v>700355586</v>
      </c>
      <c r="G897" s="18">
        <v>6.0267000000000003E-3</v>
      </c>
      <c r="H897" s="11">
        <v>9660203.4567000009</v>
      </c>
      <c r="I897" s="22">
        <f>IFERROR(VLOOKUP(D897,'LEAID Match'!$A$2:$B$184,2,FALSE),"")</f>
        <v>3700174</v>
      </c>
    </row>
    <row r="898" spans="1:9" x14ac:dyDescent="0.2">
      <c r="A898">
        <f t="shared" si="13"/>
        <v>3700174</v>
      </c>
      <c r="B898" s="24">
        <v>2019</v>
      </c>
      <c r="C898" t="s">
        <v>209</v>
      </c>
      <c r="D898" t="s">
        <v>679</v>
      </c>
      <c r="E898" t="s">
        <v>679</v>
      </c>
      <c r="F898" s="11">
        <v>683919355</v>
      </c>
      <c r="G898" s="18">
        <v>5.6765000000000001E-3</v>
      </c>
      <c r="H898" s="11">
        <v>10871326.268999999</v>
      </c>
      <c r="I898" s="22">
        <f>IFERROR(VLOOKUP(D898,'LEAID Match'!$A$2:$B$184,2,FALSE),"")</f>
        <v>3700174</v>
      </c>
    </row>
    <row r="899" spans="1:9" x14ac:dyDescent="0.2">
      <c r="A899">
        <f t="shared" ref="A899:A962" si="14">I899</f>
        <v>3700174</v>
      </c>
      <c r="B899" s="24">
        <v>2020</v>
      </c>
      <c r="C899" t="s">
        <v>209</v>
      </c>
      <c r="D899" t="s">
        <v>679</v>
      </c>
      <c r="E899" t="s">
        <v>679</v>
      </c>
      <c r="F899" s="11">
        <v>691401978</v>
      </c>
      <c r="G899" s="18">
        <v>5.5815999999999999E-3</v>
      </c>
      <c r="H899" s="11">
        <v>11470606.619999999</v>
      </c>
      <c r="I899" s="22">
        <f>IFERROR(VLOOKUP(D899,'LEAID Match'!$A$2:$B$184,2,FALSE),"")</f>
        <v>3700174</v>
      </c>
    </row>
    <row r="900" spans="1:9" x14ac:dyDescent="0.2">
      <c r="A900">
        <f t="shared" si="14"/>
        <v>3700174</v>
      </c>
      <c r="B900" s="24">
        <v>2021</v>
      </c>
      <c r="C900" t="s">
        <v>209</v>
      </c>
      <c r="D900" t="s">
        <v>679</v>
      </c>
      <c r="E900" t="s">
        <v>679</v>
      </c>
      <c r="F900" s="11">
        <v>670848459</v>
      </c>
      <c r="G900" s="18">
        <v>5.3603000000000001E-3</v>
      </c>
      <c r="H900" s="11">
        <v>12721342.695600001</v>
      </c>
      <c r="I900" s="22">
        <f>IFERROR(VLOOKUP(D900,'LEAID Match'!$A$2:$B$184,2,FALSE),"")</f>
        <v>3700174</v>
      </c>
    </row>
    <row r="901" spans="1:9" x14ac:dyDescent="0.2">
      <c r="A901">
        <f t="shared" si="14"/>
        <v>3700174</v>
      </c>
      <c r="B901" s="24">
        <v>2022</v>
      </c>
      <c r="C901" t="s">
        <v>209</v>
      </c>
      <c r="D901" t="s">
        <v>679</v>
      </c>
      <c r="E901" t="s">
        <v>679</v>
      </c>
      <c r="F901" s="11">
        <v>708377681</v>
      </c>
      <c r="G901" s="18">
        <v>5.6166999999999996E-3</v>
      </c>
      <c r="H901" s="11">
        <v>15513022.098199999</v>
      </c>
      <c r="I901" s="22">
        <f>IFERROR(VLOOKUP(D901,'LEAID Match'!$A$2:$B$184,2,FALSE),"")</f>
        <v>3700174</v>
      </c>
    </row>
    <row r="902" spans="1:9" x14ac:dyDescent="0.2">
      <c r="A902">
        <f t="shared" si="14"/>
        <v>3700174</v>
      </c>
      <c r="B902" s="24">
        <v>2023</v>
      </c>
      <c r="C902" t="s">
        <v>209</v>
      </c>
      <c r="D902" t="s">
        <v>679</v>
      </c>
      <c r="E902" t="s">
        <v>679</v>
      </c>
      <c r="F902" s="11">
        <v>742429063</v>
      </c>
      <c r="G902" s="18">
        <v>5.5862000000000004E-3</v>
      </c>
      <c r="H902" s="11">
        <v>16953541.621400002</v>
      </c>
      <c r="I902" s="22">
        <f>IFERROR(VLOOKUP(D902,'LEAID Match'!$A$2:$B$184,2,FALSE),"")</f>
        <v>3700174</v>
      </c>
    </row>
    <row r="903" spans="1:9" x14ac:dyDescent="0.2">
      <c r="A903" t="str">
        <f t="shared" si="14"/>
        <v/>
      </c>
      <c r="B903" s="24">
        <v>2015</v>
      </c>
      <c r="C903" t="s">
        <v>210</v>
      </c>
      <c r="D903" t="s">
        <v>930</v>
      </c>
      <c r="E903" t="s">
        <v>156</v>
      </c>
      <c r="F903" s="11">
        <v>73107565</v>
      </c>
      <c r="G903" s="18">
        <v>6.3920000000000003E-4</v>
      </c>
      <c r="H903" s="11">
        <v>807301.92960000003</v>
      </c>
      <c r="I903" s="22" t="str">
        <f>IFERROR(VLOOKUP(D903,'LEAID Match'!$A$2:$B$184,2,FALSE),"")</f>
        <v/>
      </c>
    </row>
    <row r="904" spans="1:9" x14ac:dyDescent="0.2">
      <c r="A904" t="str">
        <f t="shared" si="14"/>
        <v/>
      </c>
      <c r="B904" s="24">
        <v>2016</v>
      </c>
      <c r="C904" t="s">
        <v>210</v>
      </c>
      <c r="D904" t="s">
        <v>930</v>
      </c>
      <c r="E904" t="s">
        <v>680</v>
      </c>
      <c r="F904" s="11">
        <v>67770511</v>
      </c>
      <c r="G904" s="18">
        <v>6.2580000000000003E-4</v>
      </c>
      <c r="H904" s="11">
        <v>797896.8774</v>
      </c>
      <c r="I904" s="22" t="str">
        <f>IFERROR(VLOOKUP(D904,'LEAID Match'!$A$2:$B$184,2,FALSE),"")</f>
        <v/>
      </c>
    </row>
    <row r="905" spans="1:9" x14ac:dyDescent="0.2">
      <c r="A905" t="str">
        <f t="shared" si="14"/>
        <v/>
      </c>
      <c r="B905" s="24">
        <v>2017</v>
      </c>
      <c r="C905" t="s">
        <v>210</v>
      </c>
      <c r="D905" t="s">
        <v>930</v>
      </c>
      <c r="E905" t="s">
        <v>680</v>
      </c>
      <c r="F905" s="11">
        <v>69961278</v>
      </c>
      <c r="G905" s="18">
        <v>6.2699999999999995E-4</v>
      </c>
      <c r="H905" s="11">
        <v>903628.63799999992</v>
      </c>
      <c r="I905" s="22" t="str">
        <f>IFERROR(VLOOKUP(D905,'LEAID Match'!$A$2:$B$184,2,FALSE),"")</f>
        <v/>
      </c>
    </row>
    <row r="906" spans="1:9" x14ac:dyDescent="0.2">
      <c r="A906" t="str">
        <f t="shared" si="14"/>
        <v/>
      </c>
      <c r="B906" s="24">
        <v>2018</v>
      </c>
      <c r="C906" t="s">
        <v>210</v>
      </c>
      <c r="D906" t="s">
        <v>930</v>
      </c>
      <c r="E906" t="s">
        <v>680</v>
      </c>
      <c r="F906" s="11">
        <v>68940564</v>
      </c>
      <c r="G906" s="18">
        <v>5.9329999999999995E-4</v>
      </c>
      <c r="H906" s="11">
        <v>951001.1632999999</v>
      </c>
      <c r="I906" s="22" t="str">
        <f>IFERROR(VLOOKUP(D906,'LEAID Match'!$A$2:$B$184,2,FALSE),"")</f>
        <v/>
      </c>
    </row>
    <row r="907" spans="1:9" x14ac:dyDescent="0.2">
      <c r="A907" t="str">
        <f t="shared" si="14"/>
        <v/>
      </c>
      <c r="B907" s="24">
        <v>2019</v>
      </c>
      <c r="C907" t="s">
        <v>210</v>
      </c>
      <c r="D907" t="s">
        <v>930</v>
      </c>
      <c r="E907" t="s">
        <v>930</v>
      </c>
      <c r="F907" s="11">
        <v>75733702</v>
      </c>
      <c r="G907" s="18">
        <v>6.2859999999999999E-4</v>
      </c>
      <c r="H907" s="11">
        <v>1203860.7756000001</v>
      </c>
      <c r="I907" s="22" t="str">
        <f>IFERROR(VLOOKUP(D907,'LEAID Match'!$A$2:$B$184,2,FALSE),"")</f>
        <v/>
      </c>
    </row>
    <row r="908" spans="1:9" x14ac:dyDescent="0.2">
      <c r="A908" t="str">
        <f t="shared" si="14"/>
        <v/>
      </c>
      <c r="B908" s="24">
        <v>2020</v>
      </c>
      <c r="C908" t="s">
        <v>210</v>
      </c>
      <c r="D908" t="s">
        <v>930</v>
      </c>
      <c r="E908" t="s">
        <v>930</v>
      </c>
      <c r="F908" s="11">
        <v>72601978</v>
      </c>
      <c r="G908" s="18">
        <v>5.8609999999999999E-4</v>
      </c>
      <c r="H908" s="11">
        <v>1204479.4575</v>
      </c>
      <c r="I908" s="22" t="str">
        <f>IFERROR(VLOOKUP(D908,'LEAID Match'!$A$2:$B$184,2,FALSE),"")</f>
        <v/>
      </c>
    </row>
    <row r="909" spans="1:9" x14ac:dyDescent="0.2">
      <c r="A909" t="str">
        <f t="shared" si="14"/>
        <v/>
      </c>
      <c r="B909" s="24">
        <v>2021</v>
      </c>
      <c r="C909" t="s">
        <v>210</v>
      </c>
      <c r="D909" t="s">
        <v>930</v>
      </c>
      <c r="E909" t="s">
        <v>930</v>
      </c>
      <c r="F909" s="11">
        <v>74128464</v>
      </c>
      <c r="G909" s="18">
        <v>5.9230000000000003E-4</v>
      </c>
      <c r="H909" s="11">
        <v>1405677.1596000001</v>
      </c>
      <c r="I909" s="22" t="str">
        <f>IFERROR(VLOOKUP(D909,'LEAID Match'!$A$2:$B$184,2,FALSE),"")</f>
        <v/>
      </c>
    </row>
    <row r="910" spans="1:9" x14ac:dyDescent="0.2">
      <c r="A910" t="str">
        <f t="shared" si="14"/>
        <v/>
      </c>
      <c r="B910" s="24">
        <v>2022</v>
      </c>
      <c r="C910" t="s">
        <v>210</v>
      </c>
      <c r="D910" t="s">
        <v>930</v>
      </c>
      <c r="E910" t="s">
        <v>930</v>
      </c>
      <c r="F910" s="11">
        <v>78054289</v>
      </c>
      <c r="G910" s="18">
        <v>6.1890000000000003E-4</v>
      </c>
      <c r="H910" s="11">
        <v>1709368.3794</v>
      </c>
      <c r="I910" s="22" t="str">
        <f>IFERROR(VLOOKUP(D910,'LEAID Match'!$A$2:$B$184,2,FALSE),"")</f>
        <v/>
      </c>
    </row>
    <row r="911" spans="1:9" x14ac:dyDescent="0.2">
      <c r="A911" t="str">
        <f t="shared" si="14"/>
        <v/>
      </c>
      <c r="B911" s="24">
        <v>2023</v>
      </c>
      <c r="C911" t="s">
        <v>210</v>
      </c>
      <c r="D911" t="s">
        <v>930</v>
      </c>
      <c r="E911" t="s">
        <v>930</v>
      </c>
      <c r="F911" s="11">
        <v>91900728</v>
      </c>
      <c r="G911" s="18">
        <v>6.9149999999999995E-4</v>
      </c>
      <c r="H911" s="11">
        <v>2098631.2755</v>
      </c>
      <c r="I911" s="22" t="str">
        <f>IFERROR(VLOOKUP(D911,'LEAID Match'!$A$2:$B$184,2,FALSE),"")</f>
        <v/>
      </c>
    </row>
    <row r="912" spans="1:9" x14ac:dyDescent="0.2">
      <c r="A912">
        <f t="shared" si="14"/>
        <v>3700960</v>
      </c>
      <c r="B912" s="24">
        <v>2015</v>
      </c>
      <c r="C912" t="s">
        <v>211</v>
      </c>
      <c r="D912" t="s">
        <v>681</v>
      </c>
      <c r="E912" t="s">
        <v>157</v>
      </c>
      <c r="F912" s="11">
        <v>258548202</v>
      </c>
      <c r="G912" s="18">
        <v>2.2606000000000002E-3</v>
      </c>
      <c r="H912" s="11">
        <v>2855110.6728000003</v>
      </c>
      <c r="I912" s="22">
        <f>IFERROR(VLOOKUP(D912,'LEAID Match'!$A$2:$B$184,2,FALSE),"")</f>
        <v>3700960</v>
      </c>
    </row>
    <row r="913" spans="1:9" x14ac:dyDescent="0.2">
      <c r="A913">
        <f t="shared" si="14"/>
        <v>3700960</v>
      </c>
      <c r="B913" s="24">
        <v>2016</v>
      </c>
      <c r="C913" t="s">
        <v>211</v>
      </c>
      <c r="D913" t="s">
        <v>681</v>
      </c>
      <c r="E913" t="s">
        <v>681</v>
      </c>
      <c r="F913" s="11">
        <v>244652894</v>
      </c>
      <c r="G913" s="18">
        <v>2.2591999999999998E-3</v>
      </c>
      <c r="H913" s="11">
        <v>2880486.7775999997</v>
      </c>
      <c r="I913" s="22">
        <f>IFERROR(VLOOKUP(D913,'LEAID Match'!$A$2:$B$184,2,FALSE),"")</f>
        <v>3700960</v>
      </c>
    </row>
    <row r="914" spans="1:9" x14ac:dyDescent="0.2">
      <c r="A914">
        <f t="shared" si="14"/>
        <v>3700960</v>
      </c>
      <c r="B914" s="24">
        <v>2017</v>
      </c>
      <c r="C914" t="s">
        <v>211</v>
      </c>
      <c r="D914" t="s">
        <v>681</v>
      </c>
      <c r="E914" t="s">
        <v>681</v>
      </c>
      <c r="F914" s="11">
        <v>249810409</v>
      </c>
      <c r="G914" s="18">
        <v>2.2388E-3</v>
      </c>
      <c r="H914" s="11">
        <v>3226545.1272</v>
      </c>
      <c r="I914" s="22">
        <f>IFERROR(VLOOKUP(D914,'LEAID Match'!$A$2:$B$184,2,FALSE),"")</f>
        <v>3700960</v>
      </c>
    </row>
    <row r="915" spans="1:9" x14ac:dyDescent="0.2">
      <c r="A915">
        <f t="shared" si="14"/>
        <v>3700960</v>
      </c>
      <c r="B915" s="24">
        <v>2018</v>
      </c>
      <c r="C915" t="s">
        <v>211</v>
      </c>
      <c r="D915" t="s">
        <v>681</v>
      </c>
      <c r="E915" t="s">
        <v>681</v>
      </c>
      <c r="F915" s="11">
        <v>246019550</v>
      </c>
      <c r="G915" s="18">
        <v>2.1170999999999998E-3</v>
      </c>
      <c r="H915" s="11">
        <v>3393501.7070999998</v>
      </c>
      <c r="I915" s="22">
        <f>IFERROR(VLOOKUP(D915,'LEAID Match'!$A$2:$B$184,2,FALSE),"")</f>
        <v>3700960</v>
      </c>
    </row>
    <row r="916" spans="1:9" x14ac:dyDescent="0.2">
      <c r="A916">
        <f t="shared" si="14"/>
        <v>3700960</v>
      </c>
      <c r="B916" s="24">
        <v>2019</v>
      </c>
      <c r="C916" t="s">
        <v>211</v>
      </c>
      <c r="D916" t="s">
        <v>681</v>
      </c>
      <c r="E916" t="s">
        <v>681</v>
      </c>
      <c r="F916" s="11">
        <v>241301489</v>
      </c>
      <c r="G916" s="18">
        <v>2.0027999999999999E-3</v>
      </c>
      <c r="H916" s="11">
        <v>3835654.4087999999</v>
      </c>
      <c r="I916" s="22">
        <f>IFERROR(VLOOKUP(D916,'LEAID Match'!$A$2:$B$184,2,FALSE),"")</f>
        <v>3700960</v>
      </c>
    </row>
    <row r="917" spans="1:9" x14ac:dyDescent="0.2">
      <c r="A917">
        <f t="shared" si="14"/>
        <v>3700960</v>
      </c>
      <c r="B917" s="24">
        <v>2020</v>
      </c>
      <c r="C917" t="s">
        <v>211</v>
      </c>
      <c r="D917" t="s">
        <v>681</v>
      </c>
      <c r="E917" t="s">
        <v>681</v>
      </c>
      <c r="F917" s="11">
        <v>246429461</v>
      </c>
      <c r="G917" s="18">
        <v>1.9894000000000001E-3</v>
      </c>
      <c r="H917" s="11">
        <v>4088366.2050000001</v>
      </c>
      <c r="I917" s="22">
        <f>IFERROR(VLOOKUP(D917,'LEAID Match'!$A$2:$B$184,2,FALSE),"")</f>
        <v>3700960</v>
      </c>
    </row>
    <row r="918" spans="1:9" x14ac:dyDescent="0.2">
      <c r="A918">
        <f t="shared" si="14"/>
        <v>3700960</v>
      </c>
      <c r="B918" s="24">
        <v>2021</v>
      </c>
      <c r="C918" t="s">
        <v>211</v>
      </c>
      <c r="D918" t="s">
        <v>681</v>
      </c>
      <c r="E918" t="s">
        <v>681</v>
      </c>
      <c r="F918" s="11">
        <v>235361748</v>
      </c>
      <c r="G918" s="18">
        <v>1.8806000000000001E-3</v>
      </c>
      <c r="H918" s="11">
        <v>4463137.7111999998</v>
      </c>
      <c r="I918" s="22">
        <f>IFERROR(VLOOKUP(D918,'LEAID Match'!$A$2:$B$184,2,FALSE),"")</f>
        <v>3700960</v>
      </c>
    </row>
    <row r="919" spans="1:9" x14ac:dyDescent="0.2">
      <c r="A919">
        <f t="shared" si="14"/>
        <v>3700960</v>
      </c>
      <c r="B919" s="24">
        <v>2022</v>
      </c>
      <c r="C919" t="s">
        <v>211</v>
      </c>
      <c r="D919" t="s">
        <v>681</v>
      </c>
      <c r="E919" t="s">
        <v>681</v>
      </c>
      <c r="F919" s="11">
        <v>252577124</v>
      </c>
      <c r="G919" s="18">
        <v>2.0027000000000001E-3</v>
      </c>
      <c r="H919" s="11">
        <v>5531349.2542000003</v>
      </c>
      <c r="I919" s="22">
        <f>IFERROR(VLOOKUP(D919,'LEAID Match'!$A$2:$B$184,2,FALSE),"")</f>
        <v>3700960</v>
      </c>
    </row>
    <row r="920" spans="1:9" x14ac:dyDescent="0.2">
      <c r="A920">
        <f t="shared" si="14"/>
        <v>3700960</v>
      </c>
      <c r="B920" s="24">
        <v>2023</v>
      </c>
      <c r="C920" t="s">
        <v>211</v>
      </c>
      <c r="D920" t="s">
        <v>681</v>
      </c>
      <c r="E920" t="s">
        <v>681</v>
      </c>
      <c r="F920" s="11">
        <v>269000572</v>
      </c>
      <c r="G920" s="18">
        <v>2.0240000000000002E-3</v>
      </c>
      <c r="H920" s="11">
        <v>6142631.5280000009</v>
      </c>
      <c r="I920" s="22">
        <f>IFERROR(VLOOKUP(D920,'LEAID Match'!$A$2:$B$184,2,FALSE),"")</f>
        <v>3700960</v>
      </c>
    </row>
    <row r="921" spans="1:9" x14ac:dyDescent="0.2">
      <c r="A921" t="str">
        <f t="shared" si="14"/>
        <v/>
      </c>
      <c r="B921" s="24">
        <v>2015</v>
      </c>
      <c r="C921" t="s">
        <v>212</v>
      </c>
      <c r="D921" t="s">
        <v>682</v>
      </c>
      <c r="E921" t="s">
        <v>158</v>
      </c>
      <c r="F921" s="11">
        <v>65949288</v>
      </c>
      <c r="G921" s="18">
        <v>5.7660000000000003E-4</v>
      </c>
      <c r="H921" s="11">
        <v>728238.88080000004</v>
      </c>
      <c r="I921" s="22" t="str">
        <f>IFERROR(VLOOKUP(D921,'LEAID Match'!$A$2:$B$184,2,FALSE),"")</f>
        <v/>
      </c>
    </row>
    <row r="922" spans="1:9" x14ac:dyDescent="0.2">
      <c r="A922" t="str">
        <f t="shared" si="14"/>
        <v/>
      </c>
      <c r="B922" s="24">
        <v>2016</v>
      </c>
      <c r="C922" t="s">
        <v>212</v>
      </c>
      <c r="D922" t="s">
        <v>682</v>
      </c>
      <c r="E922" t="s">
        <v>682</v>
      </c>
      <c r="F922" s="11">
        <v>61158539</v>
      </c>
      <c r="G922" s="18">
        <v>5.6479999999999996E-4</v>
      </c>
      <c r="H922" s="11">
        <v>720121.69439999992</v>
      </c>
      <c r="I922" s="22" t="str">
        <f>IFERROR(VLOOKUP(D922,'LEAID Match'!$A$2:$B$184,2,FALSE),"")</f>
        <v/>
      </c>
    </row>
    <row r="923" spans="1:9" x14ac:dyDescent="0.2">
      <c r="A923" t="str">
        <f t="shared" si="14"/>
        <v/>
      </c>
      <c r="B923" s="24">
        <v>2017</v>
      </c>
      <c r="C923" t="s">
        <v>212</v>
      </c>
      <c r="D923" t="s">
        <v>682</v>
      </c>
      <c r="E923" t="s">
        <v>682</v>
      </c>
      <c r="F923" s="11">
        <v>64493808</v>
      </c>
      <c r="G923" s="18">
        <v>5.7799999999999995E-4</v>
      </c>
      <c r="H923" s="11">
        <v>833010.13199999998</v>
      </c>
      <c r="I923" s="22" t="str">
        <f>IFERROR(VLOOKUP(D923,'LEAID Match'!$A$2:$B$184,2,FALSE),"")</f>
        <v/>
      </c>
    </row>
    <row r="924" spans="1:9" x14ac:dyDescent="0.2">
      <c r="A924" t="str">
        <f t="shared" si="14"/>
        <v/>
      </c>
      <c r="B924" s="24">
        <v>2018</v>
      </c>
      <c r="C924" t="s">
        <v>212</v>
      </c>
      <c r="D924" t="s">
        <v>682</v>
      </c>
      <c r="E924" t="s">
        <v>682</v>
      </c>
      <c r="F924" s="11">
        <v>66174907</v>
      </c>
      <c r="G924" s="18">
        <v>5.6950000000000002E-4</v>
      </c>
      <c r="H924" s="11">
        <v>912852.11950000003</v>
      </c>
      <c r="I924" s="22" t="str">
        <f>IFERROR(VLOOKUP(D924,'LEAID Match'!$A$2:$B$184,2,FALSE),"")</f>
        <v/>
      </c>
    </row>
    <row r="925" spans="1:9" x14ac:dyDescent="0.2">
      <c r="A925" t="str">
        <f t="shared" si="14"/>
        <v/>
      </c>
      <c r="B925" s="24">
        <v>2019</v>
      </c>
      <c r="C925" t="s">
        <v>212</v>
      </c>
      <c r="D925" t="s">
        <v>682</v>
      </c>
      <c r="E925" t="s">
        <v>682</v>
      </c>
      <c r="F925" s="11">
        <v>67518020</v>
      </c>
      <c r="G925" s="18">
        <v>5.6039999999999996E-4</v>
      </c>
      <c r="H925" s="11">
        <v>1073247.8184</v>
      </c>
      <c r="I925" s="22" t="str">
        <f>IFERROR(VLOOKUP(D925,'LEAID Match'!$A$2:$B$184,2,FALSE),"")</f>
        <v/>
      </c>
    </row>
    <row r="926" spans="1:9" x14ac:dyDescent="0.2">
      <c r="A926" t="str">
        <f t="shared" si="14"/>
        <v/>
      </c>
      <c r="B926" s="24">
        <v>2020</v>
      </c>
      <c r="C926" t="s">
        <v>212</v>
      </c>
      <c r="D926" t="s">
        <v>682</v>
      </c>
      <c r="E926" t="s">
        <v>682</v>
      </c>
      <c r="F926" s="11">
        <v>65585551</v>
      </c>
      <c r="G926" s="18">
        <v>5.2950000000000002E-4</v>
      </c>
      <c r="H926" s="11">
        <v>1088162.2125000001</v>
      </c>
      <c r="I926" s="22" t="str">
        <f>IFERROR(VLOOKUP(D926,'LEAID Match'!$A$2:$B$184,2,FALSE),"")</f>
        <v/>
      </c>
    </row>
    <row r="927" spans="1:9" x14ac:dyDescent="0.2">
      <c r="A927" t="str">
        <f t="shared" si="14"/>
        <v/>
      </c>
      <c r="B927" s="24">
        <v>2021</v>
      </c>
      <c r="C927" t="s">
        <v>212</v>
      </c>
      <c r="D927" t="s">
        <v>682</v>
      </c>
      <c r="E927" t="s">
        <v>682</v>
      </c>
      <c r="F927" s="11">
        <v>62823718</v>
      </c>
      <c r="G927" s="18">
        <v>5.0199999999999995E-4</v>
      </c>
      <c r="H927" s="11">
        <v>1191372.504</v>
      </c>
      <c r="I927" s="22" t="str">
        <f>IFERROR(VLOOKUP(D927,'LEAID Match'!$A$2:$B$184,2,FALSE),"")</f>
        <v/>
      </c>
    </row>
    <row r="928" spans="1:9" x14ac:dyDescent="0.2">
      <c r="A928" t="str">
        <f t="shared" si="14"/>
        <v/>
      </c>
      <c r="B928" s="24">
        <v>2022</v>
      </c>
      <c r="C928" t="s">
        <v>212</v>
      </c>
      <c r="D928" t="s">
        <v>682</v>
      </c>
      <c r="E928" t="s">
        <v>682</v>
      </c>
      <c r="F928" s="11">
        <v>63067021</v>
      </c>
      <c r="G928" s="18">
        <v>5.0009999999999996E-4</v>
      </c>
      <c r="H928" s="11">
        <v>1381249.1945999998</v>
      </c>
      <c r="I928" s="22" t="str">
        <f>IFERROR(VLOOKUP(D928,'LEAID Match'!$A$2:$B$184,2,FALSE),"")</f>
        <v/>
      </c>
    </row>
    <row r="929" spans="1:9" x14ac:dyDescent="0.2">
      <c r="A929" t="str">
        <f t="shared" si="14"/>
        <v/>
      </c>
      <c r="B929" s="24">
        <v>2023</v>
      </c>
      <c r="C929" t="s">
        <v>212</v>
      </c>
      <c r="D929" t="s">
        <v>682</v>
      </c>
      <c r="E929" t="s">
        <v>682</v>
      </c>
      <c r="F929" s="11">
        <v>65614080</v>
      </c>
      <c r="G929" s="18">
        <v>4.9370000000000002E-4</v>
      </c>
      <c r="H929" s="11">
        <v>1498328.6489000001</v>
      </c>
      <c r="I929" s="22" t="str">
        <f>IFERROR(VLOOKUP(D929,'LEAID Match'!$A$2:$B$184,2,FALSE),"")</f>
        <v/>
      </c>
    </row>
    <row r="930" spans="1:9" x14ac:dyDescent="0.2">
      <c r="A930">
        <f t="shared" si="14"/>
        <v>3704920</v>
      </c>
      <c r="B930" s="24">
        <v>2015</v>
      </c>
      <c r="C930" t="s">
        <v>213</v>
      </c>
      <c r="D930" t="s">
        <v>683</v>
      </c>
      <c r="E930" t="s">
        <v>159</v>
      </c>
      <c r="F930" s="11">
        <v>102754328</v>
      </c>
      <c r="G930" s="18">
        <v>8.9840000000000004E-4</v>
      </c>
      <c r="H930" s="11">
        <v>1134668.4192000001</v>
      </c>
      <c r="I930" s="22">
        <f>IFERROR(VLOOKUP(D930,'LEAID Match'!$A$2:$B$184,2,FALSE),"")</f>
        <v>3704920</v>
      </c>
    </row>
    <row r="931" spans="1:9" x14ac:dyDescent="0.2">
      <c r="A931">
        <f t="shared" si="14"/>
        <v>3704920</v>
      </c>
      <c r="B931" s="24">
        <v>2016</v>
      </c>
      <c r="C931" t="s">
        <v>213</v>
      </c>
      <c r="D931" t="s">
        <v>683</v>
      </c>
      <c r="E931" t="s">
        <v>683</v>
      </c>
      <c r="F931" s="11">
        <v>96591458</v>
      </c>
      <c r="G931" s="18">
        <v>8.92E-4</v>
      </c>
      <c r="H931" s="11">
        <v>1137302.676</v>
      </c>
      <c r="I931" s="22">
        <f>IFERROR(VLOOKUP(D931,'LEAID Match'!$A$2:$B$184,2,FALSE),"")</f>
        <v>3704920</v>
      </c>
    </row>
    <row r="932" spans="1:9" x14ac:dyDescent="0.2">
      <c r="A932">
        <f t="shared" si="14"/>
        <v>3704920</v>
      </c>
      <c r="B932" s="24">
        <v>2017</v>
      </c>
      <c r="C932" t="s">
        <v>213</v>
      </c>
      <c r="D932" t="s">
        <v>683</v>
      </c>
      <c r="E932" t="s">
        <v>683</v>
      </c>
      <c r="F932" s="11">
        <v>94106860</v>
      </c>
      <c r="G932" s="18">
        <v>8.4340000000000001E-4</v>
      </c>
      <c r="H932" s="11">
        <v>1215503.0196</v>
      </c>
      <c r="I932" s="22">
        <f>IFERROR(VLOOKUP(D932,'LEAID Match'!$A$2:$B$184,2,FALSE),"")</f>
        <v>3704920</v>
      </c>
    </row>
    <row r="933" spans="1:9" x14ac:dyDescent="0.2">
      <c r="A933">
        <f t="shared" si="14"/>
        <v>3704920</v>
      </c>
      <c r="B933" s="24">
        <v>2018</v>
      </c>
      <c r="C933" t="s">
        <v>213</v>
      </c>
      <c r="D933" t="s">
        <v>683</v>
      </c>
      <c r="E933" t="s">
        <v>683</v>
      </c>
      <c r="F933" s="11">
        <v>95981508</v>
      </c>
      <c r="G933" s="18">
        <v>8.2589999999999996E-4</v>
      </c>
      <c r="H933" s="11">
        <v>1323835.9358999999</v>
      </c>
      <c r="I933" s="22">
        <f>IFERROR(VLOOKUP(D933,'LEAID Match'!$A$2:$B$184,2,FALSE),"")</f>
        <v>3704920</v>
      </c>
    </row>
    <row r="934" spans="1:9" x14ac:dyDescent="0.2">
      <c r="A934">
        <f t="shared" si="14"/>
        <v>3704920</v>
      </c>
      <c r="B934" s="24">
        <v>2019</v>
      </c>
      <c r="C934" t="s">
        <v>213</v>
      </c>
      <c r="D934" t="s">
        <v>683</v>
      </c>
      <c r="E934" t="s">
        <v>683</v>
      </c>
      <c r="F934" s="11">
        <v>101457163</v>
      </c>
      <c r="G934" s="18">
        <v>8.4210000000000003E-4</v>
      </c>
      <c r="H934" s="11">
        <v>1612744.4466000001</v>
      </c>
      <c r="I934" s="22">
        <f>IFERROR(VLOOKUP(D934,'LEAID Match'!$A$2:$B$184,2,FALSE),"")</f>
        <v>3704920</v>
      </c>
    </row>
    <row r="935" spans="1:9" x14ac:dyDescent="0.2">
      <c r="A935">
        <f t="shared" si="14"/>
        <v>3704920</v>
      </c>
      <c r="B935" s="24">
        <v>2020</v>
      </c>
      <c r="C935" t="s">
        <v>213</v>
      </c>
      <c r="D935" t="s">
        <v>683</v>
      </c>
      <c r="E935" t="s">
        <v>683</v>
      </c>
      <c r="F935" s="11">
        <v>104413923</v>
      </c>
      <c r="G935" s="18">
        <v>8.4290000000000005E-4</v>
      </c>
      <c r="H935" s="11">
        <v>1732222.7175</v>
      </c>
      <c r="I935" s="22">
        <f>IFERROR(VLOOKUP(D935,'LEAID Match'!$A$2:$B$184,2,FALSE),"")</f>
        <v>3704920</v>
      </c>
    </row>
    <row r="936" spans="1:9" x14ac:dyDescent="0.2">
      <c r="A936">
        <f t="shared" si="14"/>
        <v>3704920</v>
      </c>
      <c r="B936" s="24">
        <v>2021</v>
      </c>
      <c r="C936" t="s">
        <v>213</v>
      </c>
      <c r="D936" t="s">
        <v>683</v>
      </c>
      <c r="E936" t="s">
        <v>683</v>
      </c>
      <c r="F936" s="11">
        <v>102212514</v>
      </c>
      <c r="G936" s="18">
        <v>8.1669999999999996E-4</v>
      </c>
      <c r="H936" s="11">
        <v>1938234.9083999998</v>
      </c>
      <c r="I936" s="22">
        <f>IFERROR(VLOOKUP(D936,'LEAID Match'!$A$2:$B$184,2,FALSE),"")</f>
        <v>3704920</v>
      </c>
    </row>
    <row r="937" spans="1:9" x14ac:dyDescent="0.2">
      <c r="A937">
        <f t="shared" si="14"/>
        <v>3704920</v>
      </c>
      <c r="B937" s="24">
        <v>2022</v>
      </c>
      <c r="C937" t="s">
        <v>213</v>
      </c>
      <c r="D937" t="s">
        <v>683</v>
      </c>
      <c r="E937" t="s">
        <v>683</v>
      </c>
      <c r="F937" s="11">
        <v>119052764</v>
      </c>
      <c r="G937" s="18">
        <v>9.4399999999999996E-4</v>
      </c>
      <c r="H937" s="11">
        <v>2607277.0239999997</v>
      </c>
      <c r="I937" s="22">
        <f>IFERROR(VLOOKUP(D937,'LEAID Match'!$A$2:$B$184,2,FALSE),"")</f>
        <v>3704920</v>
      </c>
    </row>
    <row r="938" spans="1:9" x14ac:dyDescent="0.2">
      <c r="A938">
        <f t="shared" si="14"/>
        <v>3704920</v>
      </c>
      <c r="B938" s="24">
        <v>2023</v>
      </c>
      <c r="C938" t="s">
        <v>213</v>
      </c>
      <c r="D938" t="s">
        <v>683</v>
      </c>
      <c r="E938" t="s">
        <v>683</v>
      </c>
      <c r="F938" s="11">
        <v>121242702</v>
      </c>
      <c r="G938" s="18">
        <v>9.123E-4</v>
      </c>
      <c r="H938" s="11">
        <v>2768736.5331000001</v>
      </c>
      <c r="I938" s="22">
        <f>IFERROR(VLOOKUP(D938,'LEAID Match'!$A$2:$B$184,2,FALSE),"")</f>
        <v>3704920</v>
      </c>
    </row>
    <row r="939" spans="1:9" x14ac:dyDescent="0.2">
      <c r="A939">
        <f t="shared" si="14"/>
        <v>3700335</v>
      </c>
      <c r="B939" s="24">
        <v>2015</v>
      </c>
      <c r="C939" t="s">
        <v>214</v>
      </c>
      <c r="D939" t="s">
        <v>160</v>
      </c>
      <c r="E939" t="s">
        <v>160</v>
      </c>
      <c r="F939" s="11">
        <v>3080093</v>
      </c>
      <c r="G939" s="18">
        <v>2.69E-5</v>
      </c>
      <c r="H939" s="11">
        <v>33974.377200000003</v>
      </c>
      <c r="I939" s="22">
        <f>IFERROR(VLOOKUP(D939,'LEAID Match'!$A$2:$B$184,2,FALSE),"")</f>
        <v>3700335</v>
      </c>
    </row>
    <row r="940" spans="1:9" x14ac:dyDescent="0.2">
      <c r="A940">
        <f t="shared" si="14"/>
        <v>3703310</v>
      </c>
      <c r="B940" s="24">
        <v>2015</v>
      </c>
      <c r="C940" t="s">
        <v>215</v>
      </c>
      <c r="D940" t="s">
        <v>684</v>
      </c>
      <c r="E940" t="s">
        <v>161</v>
      </c>
      <c r="F940" s="11">
        <v>581744271</v>
      </c>
      <c r="G940" s="18">
        <v>5.0863999999999996E-3</v>
      </c>
      <c r="H940" s="11">
        <v>6424062.1631999994</v>
      </c>
      <c r="I940" s="22">
        <f>IFERROR(VLOOKUP(D940,'LEAID Match'!$A$2:$B$184,2,FALSE),"")</f>
        <v>3703310</v>
      </c>
    </row>
    <row r="941" spans="1:9" x14ac:dyDescent="0.2">
      <c r="A941">
        <f t="shared" si="14"/>
        <v>3703310</v>
      </c>
      <c r="B941" s="24">
        <v>2016</v>
      </c>
      <c r="C941" t="s">
        <v>215</v>
      </c>
      <c r="D941" t="s">
        <v>684</v>
      </c>
      <c r="E941" t="s">
        <v>684</v>
      </c>
      <c r="F941" s="11">
        <v>549393798</v>
      </c>
      <c r="G941" s="18">
        <v>5.0733000000000002E-3</v>
      </c>
      <c r="H941" s="11">
        <v>6468472.7198999999</v>
      </c>
      <c r="I941" s="22">
        <f>IFERROR(VLOOKUP(D941,'LEAID Match'!$A$2:$B$184,2,FALSE),"")</f>
        <v>3703310</v>
      </c>
    </row>
    <row r="942" spans="1:9" x14ac:dyDescent="0.2">
      <c r="A942">
        <f t="shared" si="14"/>
        <v>3703310</v>
      </c>
      <c r="B942" s="24">
        <v>2017</v>
      </c>
      <c r="C942" t="s">
        <v>215</v>
      </c>
      <c r="D942" t="s">
        <v>684</v>
      </c>
      <c r="E942" t="s">
        <v>902</v>
      </c>
      <c r="F942" s="11">
        <v>535353970</v>
      </c>
      <c r="G942" s="18">
        <v>4.7978999999999999E-3</v>
      </c>
      <c r="H942" s="11">
        <v>6914704.6925999997</v>
      </c>
      <c r="I942" s="22">
        <f>IFERROR(VLOOKUP(D942,'LEAID Match'!$A$2:$B$184,2,FALSE),"")</f>
        <v>3703310</v>
      </c>
    </row>
    <row r="943" spans="1:9" x14ac:dyDescent="0.2">
      <c r="A943">
        <f t="shared" si="14"/>
        <v>3703310</v>
      </c>
      <c r="B943" s="24">
        <v>2018</v>
      </c>
      <c r="C943" t="s">
        <v>215</v>
      </c>
      <c r="D943" t="s">
        <v>684</v>
      </c>
      <c r="E943" t="s">
        <v>902</v>
      </c>
      <c r="F943" s="11">
        <v>554237286</v>
      </c>
      <c r="G943" s="18">
        <v>4.7694E-3</v>
      </c>
      <c r="H943" s="11">
        <v>7644876.0294000003</v>
      </c>
      <c r="I943" s="22">
        <f>IFERROR(VLOOKUP(D943,'LEAID Match'!$A$2:$B$184,2,FALSE),"")</f>
        <v>3703310</v>
      </c>
    </row>
    <row r="944" spans="1:9" x14ac:dyDescent="0.2">
      <c r="A944">
        <f t="shared" si="14"/>
        <v>3703310</v>
      </c>
      <c r="B944" s="24">
        <v>2019</v>
      </c>
      <c r="C944" t="s">
        <v>215</v>
      </c>
      <c r="D944" t="s">
        <v>684</v>
      </c>
      <c r="E944" t="s">
        <v>684</v>
      </c>
      <c r="F944" s="11">
        <v>588686913</v>
      </c>
      <c r="G944" s="18">
        <v>4.8861E-3</v>
      </c>
      <c r="H944" s="11">
        <v>9357594.8706</v>
      </c>
      <c r="I944" s="22">
        <f>IFERROR(VLOOKUP(D944,'LEAID Match'!$A$2:$B$184,2,FALSE),"")</f>
        <v>3703310</v>
      </c>
    </row>
    <row r="945" spans="1:9" x14ac:dyDescent="0.2">
      <c r="A945">
        <f t="shared" si="14"/>
        <v>3703310</v>
      </c>
      <c r="B945" s="24">
        <v>2020</v>
      </c>
      <c r="C945" t="s">
        <v>215</v>
      </c>
      <c r="D945" t="s">
        <v>684</v>
      </c>
      <c r="E945" t="s">
        <v>684</v>
      </c>
      <c r="F945" s="11">
        <v>592555859</v>
      </c>
      <c r="G945" s="18">
        <v>4.7835999999999998E-3</v>
      </c>
      <c r="H945" s="11">
        <v>9830656.7699999996</v>
      </c>
      <c r="I945" s="22">
        <f>IFERROR(VLOOKUP(D945,'LEAID Match'!$A$2:$B$184,2,FALSE),"")</f>
        <v>3703310</v>
      </c>
    </row>
    <row r="946" spans="1:9" x14ac:dyDescent="0.2">
      <c r="A946">
        <f t="shared" si="14"/>
        <v>3703310</v>
      </c>
      <c r="B946" s="24">
        <v>2021</v>
      </c>
      <c r="C946" t="s">
        <v>215</v>
      </c>
      <c r="D946" t="s">
        <v>684</v>
      </c>
      <c r="E946" t="s">
        <v>684</v>
      </c>
      <c r="F946" s="11">
        <v>571052894</v>
      </c>
      <c r="G946" s="18">
        <v>4.5628999999999999E-3</v>
      </c>
      <c r="H946" s="11">
        <v>10828911.550799999</v>
      </c>
      <c r="I946" s="22">
        <f>IFERROR(VLOOKUP(D946,'LEAID Match'!$A$2:$B$184,2,FALSE),"")</f>
        <v>3703310</v>
      </c>
    </row>
    <row r="947" spans="1:9" x14ac:dyDescent="0.2">
      <c r="A947">
        <f t="shared" si="14"/>
        <v>3703310</v>
      </c>
      <c r="B947" s="24">
        <v>2022</v>
      </c>
      <c r="C947" t="s">
        <v>215</v>
      </c>
      <c r="D947" t="s">
        <v>684</v>
      </c>
      <c r="E947" t="s">
        <v>684</v>
      </c>
      <c r="F947" s="11">
        <v>603300015</v>
      </c>
      <c r="G947" s="18">
        <v>4.7835999999999998E-3</v>
      </c>
      <c r="H947" s="11">
        <v>13212044.885599999</v>
      </c>
      <c r="I947" s="22">
        <f>IFERROR(VLOOKUP(D947,'LEAID Match'!$A$2:$B$184,2,FALSE),"")</f>
        <v>3703310</v>
      </c>
    </row>
    <row r="948" spans="1:9" x14ac:dyDescent="0.2">
      <c r="A948">
        <f t="shared" si="14"/>
        <v>3703310</v>
      </c>
      <c r="B948" s="24">
        <v>2023</v>
      </c>
      <c r="C948" t="s">
        <v>215</v>
      </c>
      <c r="D948" t="s">
        <v>684</v>
      </c>
      <c r="E948" t="s">
        <v>684</v>
      </c>
      <c r="F948" s="11">
        <v>637737249</v>
      </c>
      <c r="G948" s="18">
        <v>4.7984999999999998E-3</v>
      </c>
      <c r="H948" s="11">
        <v>14562953.2545</v>
      </c>
      <c r="I948" s="22">
        <f>IFERROR(VLOOKUP(D948,'LEAID Match'!$A$2:$B$184,2,FALSE),"")</f>
        <v>3703310</v>
      </c>
    </row>
    <row r="949" spans="1:9" x14ac:dyDescent="0.2">
      <c r="A949" t="str">
        <f t="shared" si="14"/>
        <v/>
      </c>
      <c r="B949" s="24">
        <v>2015</v>
      </c>
      <c r="C949" t="s">
        <v>216</v>
      </c>
      <c r="D949" t="s">
        <v>685</v>
      </c>
      <c r="E949" t="s">
        <v>162</v>
      </c>
      <c r="F949" s="11">
        <v>85657879</v>
      </c>
      <c r="G949" s="18">
        <v>7.4890000000000004E-4</v>
      </c>
      <c r="H949" s="11">
        <v>945851.7132</v>
      </c>
      <c r="I949" s="22" t="str">
        <f>IFERROR(VLOOKUP(D949,'LEAID Match'!$A$2:$B$184,2,FALSE),"")</f>
        <v/>
      </c>
    </row>
    <row r="950" spans="1:9" x14ac:dyDescent="0.2">
      <c r="A950" t="str">
        <f t="shared" si="14"/>
        <v/>
      </c>
      <c r="B950" s="24">
        <v>2016</v>
      </c>
      <c r="C950" t="s">
        <v>216</v>
      </c>
      <c r="D950" t="s">
        <v>685</v>
      </c>
      <c r="E950" t="s">
        <v>685</v>
      </c>
      <c r="F950" s="11">
        <v>78668814</v>
      </c>
      <c r="G950" s="18">
        <v>7.2650000000000004E-4</v>
      </c>
      <c r="H950" s="11">
        <v>926289.67950000009</v>
      </c>
      <c r="I950" s="22" t="str">
        <f>IFERROR(VLOOKUP(D950,'LEAID Match'!$A$2:$B$184,2,FALSE),"")</f>
        <v/>
      </c>
    </row>
    <row r="951" spans="1:9" x14ac:dyDescent="0.2">
      <c r="A951" t="str">
        <f t="shared" si="14"/>
        <v/>
      </c>
      <c r="B951" s="24">
        <v>2017</v>
      </c>
      <c r="C951" t="s">
        <v>216</v>
      </c>
      <c r="D951" t="s">
        <v>685</v>
      </c>
      <c r="E951" t="s">
        <v>685</v>
      </c>
      <c r="F951" s="11">
        <v>84334023</v>
      </c>
      <c r="G951" s="18">
        <v>7.5580000000000005E-4</v>
      </c>
      <c r="H951" s="11">
        <v>1089254.4252000002</v>
      </c>
      <c r="I951" s="22" t="str">
        <f>IFERROR(VLOOKUP(D951,'LEAID Match'!$A$2:$B$184,2,FALSE),"")</f>
        <v/>
      </c>
    </row>
    <row r="952" spans="1:9" x14ac:dyDescent="0.2">
      <c r="A952" t="str">
        <f t="shared" si="14"/>
        <v/>
      </c>
      <c r="B952" s="24">
        <v>2018</v>
      </c>
      <c r="C952" t="s">
        <v>216</v>
      </c>
      <c r="D952" t="s">
        <v>685</v>
      </c>
      <c r="E952" t="s">
        <v>685</v>
      </c>
      <c r="F952" s="11">
        <v>89992505</v>
      </c>
      <c r="G952" s="18">
        <v>7.7439999999999996E-4</v>
      </c>
      <c r="H952" s="11">
        <v>1241286.5344</v>
      </c>
      <c r="I952" s="22" t="str">
        <f>IFERROR(VLOOKUP(D952,'LEAID Match'!$A$2:$B$184,2,FALSE),"")</f>
        <v/>
      </c>
    </row>
    <row r="953" spans="1:9" x14ac:dyDescent="0.2">
      <c r="A953" t="str">
        <f t="shared" si="14"/>
        <v/>
      </c>
      <c r="B953" s="24">
        <v>2019</v>
      </c>
      <c r="C953" t="s">
        <v>216</v>
      </c>
      <c r="D953" t="s">
        <v>685</v>
      </c>
      <c r="E953" t="s">
        <v>685</v>
      </c>
      <c r="F953" s="11">
        <v>88502701</v>
      </c>
      <c r="G953" s="18">
        <v>7.3459999999999997E-4</v>
      </c>
      <c r="H953" s="11">
        <v>1406866.2515999998</v>
      </c>
      <c r="I953" s="22" t="str">
        <f>IFERROR(VLOOKUP(D953,'LEAID Match'!$A$2:$B$184,2,FALSE),"")</f>
        <v/>
      </c>
    </row>
    <row r="954" spans="1:9" x14ac:dyDescent="0.2">
      <c r="A954" t="str">
        <f t="shared" si="14"/>
        <v/>
      </c>
      <c r="B954" s="24">
        <v>2020</v>
      </c>
      <c r="C954" t="s">
        <v>216</v>
      </c>
      <c r="D954" t="s">
        <v>685</v>
      </c>
      <c r="E954" t="s">
        <v>685</v>
      </c>
      <c r="F954" s="11">
        <v>89829297</v>
      </c>
      <c r="G954" s="18">
        <v>7.2519999999999995E-4</v>
      </c>
      <c r="H954" s="11">
        <v>1490340.39</v>
      </c>
      <c r="I954" s="22" t="str">
        <f>IFERROR(VLOOKUP(D954,'LEAID Match'!$A$2:$B$184,2,FALSE),"")</f>
        <v/>
      </c>
    </row>
    <row r="955" spans="1:9" x14ac:dyDescent="0.2">
      <c r="A955" t="str">
        <f t="shared" si="14"/>
        <v/>
      </c>
      <c r="B955" s="24">
        <v>2021</v>
      </c>
      <c r="C955" t="s">
        <v>216</v>
      </c>
      <c r="D955" t="s">
        <v>685</v>
      </c>
      <c r="E955" t="s">
        <v>685</v>
      </c>
      <c r="F955" s="11">
        <v>93275303</v>
      </c>
      <c r="G955" s="18">
        <v>7.4529999999999996E-4</v>
      </c>
      <c r="H955" s="11">
        <v>1768784.7156</v>
      </c>
      <c r="I955" s="22" t="str">
        <f>IFERROR(VLOOKUP(D955,'LEAID Match'!$A$2:$B$184,2,FALSE),"")</f>
        <v/>
      </c>
    </row>
    <row r="956" spans="1:9" x14ac:dyDescent="0.2">
      <c r="A956" t="str">
        <f t="shared" si="14"/>
        <v/>
      </c>
      <c r="B956" s="24">
        <v>2022</v>
      </c>
      <c r="C956" t="s">
        <v>216</v>
      </c>
      <c r="D956" t="s">
        <v>685</v>
      </c>
      <c r="E956" t="s">
        <v>685</v>
      </c>
      <c r="F956" s="11">
        <v>95381268</v>
      </c>
      <c r="G956" s="18">
        <v>7.5630000000000001E-4</v>
      </c>
      <c r="H956" s="11">
        <v>2088859.7598000001</v>
      </c>
      <c r="I956" s="22" t="str">
        <f>IFERROR(VLOOKUP(D956,'LEAID Match'!$A$2:$B$184,2,FALSE),"")</f>
        <v/>
      </c>
    </row>
    <row r="957" spans="1:9" x14ac:dyDescent="0.2">
      <c r="A957" t="str">
        <f t="shared" si="14"/>
        <v/>
      </c>
      <c r="B957" s="24">
        <v>2023</v>
      </c>
      <c r="C957" t="s">
        <v>216</v>
      </c>
      <c r="D957" t="s">
        <v>685</v>
      </c>
      <c r="E957" t="s">
        <v>685</v>
      </c>
      <c r="F957" s="11">
        <v>102354839</v>
      </c>
      <c r="G957" s="18">
        <v>7.7010000000000002E-4</v>
      </c>
      <c r="H957" s="11">
        <v>2337174.1797000002</v>
      </c>
      <c r="I957" s="22" t="str">
        <f>IFERROR(VLOOKUP(D957,'LEAID Match'!$A$2:$B$184,2,FALSE),"")</f>
        <v/>
      </c>
    </row>
    <row r="958" spans="1:9" x14ac:dyDescent="0.2">
      <c r="A958">
        <f t="shared" si="14"/>
        <v>3700011</v>
      </c>
      <c r="B958" s="24">
        <v>2015</v>
      </c>
      <c r="C958" t="s">
        <v>217</v>
      </c>
      <c r="D958" t="s">
        <v>686</v>
      </c>
      <c r="E958" t="s">
        <v>163</v>
      </c>
      <c r="F958" s="11">
        <v>2128349466</v>
      </c>
      <c r="G958" s="18">
        <v>1.8608900000000001E-2</v>
      </c>
      <c r="H958" s="11">
        <v>23502817.393200003</v>
      </c>
      <c r="I958" s="22">
        <f>IFERROR(VLOOKUP(D958,'LEAID Match'!$A$2:$B$184,2,FALSE),"")</f>
        <v>3700011</v>
      </c>
    </row>
    <row r="959" spans="1:9" x14ac:dyDescent="0.2">
      <c r="A959">
        <f t="shared" si="14"/>
        <v>3700011</v>
      </c>
      <c r="B959" s="24">
        <v>2016</v>
      </c>
      <c r="C959" t="s">
        <v>217</v>
      </c>
      <c r="D959" t="s">
        <v>686</v>
      </c>
      <c r="E959" t="s">
        <v>686</v>
      </c>
      <c r="F959" s="11">
        <v>1922392823</v>
      </c>
      <c r="G959" s="18">
        <v>1.77521E-2</v>
      </c>
      <c r="H959" s="11">
        <v>22633980.756299999</v>
      </c>
      <c r="I959" s="22">
        <f>IFERROR(VLOOKUP(D959,'LEAID Match'!$A$2:$B$184,2,FALSE),"")</f>
        <v>3700011</v>
      </c>
    </row>
    <row r="960" spans="1:9" x14ac:dyDescent="0.2">
      <c r="A960">
        <f t="shared" si="14"/>
        <v>3700011</v>
      </c>
      <c r="B960" s="24">
        <v>2017</v>
      </c>
      <c r="C960" t="s">
        <v>217</v>
      </c>
      <c r="D960" t="s">
        <v>686</v>
      </c>
      <c r="E960" t="s">
        <v>686</v>
      </c>
      <c r="F960" s="11">
        <v>1923428026</v>
      </c>
      <c r="G960" s="18">
        <v>1.7237800000000001E-2</v>
      </c>
      <c r="H960" s="11">
        <v>24843013.933200002</v>
      </c>
      <c r="I960" s="22">
        <f>IFERROR(VLOOKUP(D960,'LEAID Match'!$A$2:$B$184,2,FALSE),"")</f>
        <v>3700011</v>
      </c>
    </row>
    <row r="961" spans="1:9" x14ac:dyDescent="0.2">
      <c r="A961">
        <f t="shared" si="14"/>
        <v>3700011</v>
      </c>
      <c r="B961" s="24">
        <v>2018</v>
      </c>
      <c r="C961" t="s">
        <v>217</v>
      </c>
      <c r="D961" t="s">
        <v>686</v>
      </c>
      <c r="E961" t="s">
        <v>686</v>
      </c>
      <c r="F961" s="11">
        <v>1993228890</v>
      </c>
      <c r="G961" s="18">
        <v>1.7152299999999999E-2</v>
      </c>
      <c r="H961" s="11">
        <v>27493438.822299998</v>
      </c>
      <c r="I961" s="22">
        <f>IFERROR(VLOOKUP(D961,'LEAID Match'!$A$2:$B$184,2,FALSE),"")</f>
        <v>3700011</v>
      </c>
    </row>
    <row r="962" spans="1:9" x14ac:dyDescent="0.2">
      <c r="A962">
        <f t="shared" si="14"/>
        <v>3700011</v>
      </c>
      <c r="B962" s="24">
        <v>2019</v>
      </c>
      <c r="C962" t="s">
        <v>217</v>
      </c>
      <c r="D962" t="s">
        <v>686</v>
      </c>
      <c r="E962" t="s">
        <v>686</v>
      </c>
      <c r="F962" s="11">
        <v>2135816433</v>
      </c>
      <c r="G962" s="18">
        <v>1.7727300000000001E-2</v>
      </c>
      <c r="H962" s="11">
        <v>33950367.685800001</v>
      </c>
      <c r="I962" s="22">
        <f>IFERROR(VLOOKUP(D962,'LEAID Match'!$A$2:$B$184,2,FALSE),"")</f>
        <v>3700011</v>
      </c>
    </row>
    <row r="963" spans="1:9" x14ac:dyDescent="0.2">
      <c r="A963">
        <f t="shared" ref="A963:A1026" si="15">I963</f>
        <v>3700011</v>
      </c>
      <c r="B963" s="24">
        <v>2020</v>
      </c>
      <c r="C963" t="s">
        <v>217</v>
      </c>
      <c r="D963" t="s">
        <v>686</v>
      </c>
      <c r="E963" t="s">
        <v>686</v>
      </c>
      <c r="F963" s="11">
        <v>2098209488</v>
      </c>
      <c r="G963" s="18">
        <v>1.6938600000000002E-2</v>
      </c>
      <c r="H963" s="11">
        <v>34810093.395000003</v>
      </c>
      <c r="I963" s="22">
        <f>IFERROR(VLOOKUP(D963,'LEAID Match'!$A$2:$B$184,2,FALSE),"")</f>
        <v>3700011</v>
      </c>
    </row>
    <row r="964" spans="1:9" x14ac:dyDescent="0.2">
      <c r="A964">
        <f t="shared" si="15"/>
        <v>3700011</v>
      </c>
      <c r="B964" s="24">
        <v>2021</v>
      </c>
      <c r="C964" t="s">
        <v>217</v>
      </c>
      <c r="D964" t="s">
        <v>686</v>
      </c>
      <c r="E964" t="s">
        <v>686</v>
      </c>
      <c r="F964" s="11">
        <v>2114926306</v>
      </c>
      <c r="G964" s="18">
        <v>1.68991E-2</v>
      </c>
      <c r="H964" s="11">
        <v>40105822.873199999</v>
      </c>
      <c r="I964" s="22">
        <f>IFERROR(VLOOKUP(D964,'LEAID Match'!$A$2:$B$184,2,FALSE),"")</f>
        <v>3700011</v>
      </c>
    </row>
    <row r="965" spans="1:9" x14ac:dyDescent="0.2">
      <c r="A965">
        <f t="shared" si="15"/>
        <v>3700011</v>
      </c>
      <c r="B965" s="24">
        <v>2022</v>
      </c>
      <c r="C965" t="s">
        <v>217</v>
      </c>
      <c r="D965" t="s">
        <v>686</v>
      </c>
      <c r="E965" t="s">
        <v>686</v>
      </c>
      <c r="F965" s="11">
        <v>2336620411</v>
      </c>
      <c r="G965" s="18">
        <v>1.8526999999999998E-2</v>
      </c>
      <c r="H965" s="11">
        <v>51170573.541999996</v>
      </c>
      <c r="I965" s="22">
        <f>IFERROR(VLOOKUP(D965,'LEAID Match'!$A$2:$B$184,2,FALSE),"")</f>
        <v>3700011</v>
      </c>
    </row>
    <row r="966" spans="1:9" x14ac:dyDescent="0.2">
      <c r="A966">
        <f t="shared" si="15"/>
        <v>3700011</v>
      </c>
      <c r="B966" s="24">
        <v>2023</v>
      </c>
      <c r="C966" t="s">
        <v>217</v>
      </c>
      <c r="D966" t="s">
        <v>686</v>
      </c>
      <c r="E966" t="s">
        <v>686</v>
      </c>
      <c r="F966" s="11">
        <v>2324638201</v>
      </c>
      <c r="G966" s="18">
        <v>1.7491199999999998E-2</v>
      </c>
      <c r="H966" s="11">
        <v>53083990.406399995</v>
      </c>
      <c r="I966" s="22">
        <f>IFERROR(VLOOKUP(D966,'LEAID Match'!$A$2:$B$184,2,FALSE),"")</f>
        <v>3700011</v>
      </c>
    </row>
    <row r="967" spans="1:9" x14ac:dyDescent="0.2">
      <c r="A967" t="str">
        <f t="shared" si="15"/>
        <v/>
      </c>
      <c r="B967" s="24">
        <v>2015</v>
      </c>
      <c r="C967" t="s">
        <v>218</v>
      </c>
      <c r="D967" t="s">
        <v>687</v>
      </c>
      <c r="E967" t="s">
        <v>164</v>
      </c>
      <c r="F967" s="11">
        <v>288010470</v>
      </c>
      <c r="G967" s="18">
        <v>2.5182E-3</v>
      </c>
      <c r="H967" s="11">
        <v>3180456.3816</v>
      </c>
      <c r="I967" s="22" t="str">
        <f>IFERROR(VLOOKUP(D967,'LEAID Match'!$A$2:$B$184,2,FALSE),"")</f>
        <v/>
      </c>
    </row>
    <row r="968" spans="1:9" x14ac:dyDescent="0.2">
      <c r="A968" t="str">
        <f t="shared" si="15"/>
        <v/>
      </c>
      <c r="B968" s="24">
        <v>2016</v>
      </c>
      <c r="C968" t="s">
        <v>218</v>
      </c>
      <c r="D968" t="s">
        <v>687</v>
      </c>
      <c r="E968" t="s">
        <v>687</v>
      </c>
      <c r="F968" s="11">
        <v>276922349</v>
      </c>
      <c r="G968" s="18">
        <v>2.5571999999999999E-3</v>
      </c>
      <c r="H968" s="11">
        <v>3260437.6716</v>
      </c>
      <c r="I968" s="22" t="str">
        <f>IFERROR(VLOOKUP(D968,'LEAID Match'!$A$2:$B$184,2,FALSE),"")</f>
        <v/>
      </c>
    </row>
    <row r="969" spans="1:9" x14ac:dyDescent="0.2">
      <c r="A969" t="str">
        <f t="shared" si="15"/>
        <v/>
      </c>
      <c r="B969" s="24">
        <v>2017</v>
      </c>
      <c r="C969" t="s">
        <v>218</v>
      </c>
      <c r="D969" t="s">
        <v>687</v>
      </c>
      <c r="E969" t="s">
        <v>687</v>
      </c>
      <c r="F969" s="11">
        <v>285706899</v>
      </c>
      <c r="G969" s="18">
        <v>2.5604999999999998E-3</v>
      </c>
      <c r="H969" s="11">
        <v>3690177.2369999997</v>
      </c>
      <c r="I969" s="22" t="str">
        <f>IFERROR(VLOOKUP(D969,'LEAID Match'!$A$2:$B$184,2,FALSE),"")</f>
        <v/>
      </c>
    </row>
    <row r="970" spans="1:9" x14ac:dyDescent="0.2">
      <c r="A970" t="str">
        <f t="shared" si="15"/>
        <v/>
      </c>
      <c r="B970" s="24">
        <v>2018</v>
      </c>
      <c r="C970" t="s">
        <v>218</v>
      </c>
      <c r="D970" t="s">
        <v>687</v>
      </c>
      <c r="E970" t="s">
        <v>687</v>
      </c>
      <c r="F970" s="11">
        <v>295385556</v>
      </c>
      <c r="G970" s="18">
        <v>2.5419000000000001E-3</v>
      </c>
      <c r="H970" s="11">
        <v>4074414.0519000003</v>
      </c>
      <c r="I970" s="22" t="str">
        <f>IFERROR(VLOOKUP(D970,'LEAID Match'!$A$2:$B$184,2,FALSE),"")</f>
        <v/>
      </c>
    </row>
    <row r="971" spans="1:9" x14ac:dyDescent="0.2">
      <c r="A971" t="str">
        <f t="shared" si="15"/>
        <v/>
      </c>
      <c r="B971" s="24">
        <v>2019</v>
      </c>
      <c r="C971" t="s">
        <v>218</v>
      </c>
      <c r="D971" t="s">
        <v>687</v>
      </c>
      <c r="E971" t="s">
        <v>687</v>
      </c>
      <c r="F971" s="11">
        <v>308292762</v>
      </c>
      <c r="G971" s="18">
        <v>2.5588E-3</v>
      </c>
      <c r="H971" s="11">
        <v>4900475.5848000003</v>
      </c>
      <c r="I971" s="22" t="str">
        <f>IFERROR(VLOOKUP(D971,'LEAID Match'!$A$2:$B$184,2,FALSE),"")</f>
        <v/>
      </c>
    </row>
    <row r="972" spans="1:9" x14ac:dyDescent="0.2">
      <c r="A972" t="str">
        <f t="shared" si="15"/>
        <v/>
      </c>
      <c r="B972" s="24">
        <v>2020</v>
      </c>
      <c r="C972" t="s">
        <v>218</v>
      </c>
      <c r="D972" t="s">
        <v>687</v>
      </c>
      <c r="E972" t="s">
        <v>687</v>
      </c>
      <c r="F972" s="11">
        <v>325069227</v>
      </c>
      <c r="G972" s="18">
        <v>2.6242000000000001E-3</v>
      </c>
      <c r="H972" s="11">
        <v>5392927.8150000004</v>
      </c>
      <c r="I972" s="22" t="str">
        <f>IFERROR(VLOOKUP(D972,'LEAID Match'!$A$2:$B$184,2,FALSE),"")</f>
        <v/>
      </c>
    </row>
    <row r="973" spans="1:9" x14ac:dyDescent="0.2">
      <c r="A973" t="str">
        <f t="shared" si="15"/>
        <v/>
      </c>
      <c r="B973" s="24">
        <v>2021</v>
      </c>
      <c r="C973" t="s">
        <v>218</v>
      </c>
      <c r="D973" t="s">
        <v>687</v>
      </c>
      <c r="E973" t="s">
        <v>687</v>
      </c>
      <c r="F973" s="11">
        <v>349022187</v>
      </c>
      <c r="G973" s="18">
        <v>2.7888000000000001E-3</v>
      </c>
      <c r="H973" s="11">
        <v>6618525.1776000001</v>
      </c>
      <c r="I973" s="22" t="str">
        <f>IFERROR(VLOOKUP(D973,'LEAID Match'!$A$2:$B$184,2,FALSE),"")</f>
        <v/>
      </c>
    </row>
    <row r="974" spans="1:9" x14ac:dyDescent="0.2">
      <c r="A974" t="str">
        <f t="shared" si="15"/>
        <v/>
      </c>
      <c r="B974" s="24">
        <v>2022</v>
      </c>
      <c r="C974" t="s">
        <v>218</v>
      </c>
      <c r="D974" t="s">
        <v>687</v>
      </c>
      <c r="E974" t="s">
        <v>687</v>
      </c>
      <c r="F974" s="11">
        <v>353495835</v>
      </c>
      <c r="G974" s="18">
        <v>2.8029000000000001E-3</v>
      </c>
      <c r="H974" s="11">
        <v>7741458.4434000002</v>
      </c>
      <c r="I974" s="22" t="str">
        <f>IFERROR(VLOOKUP(D974,'LEAID Match'!$A$2:$B$184,2,FALSE),"")</f>
        <v/>
      </c>
    </row>
    <row r="975" spans="1:9" x14ac:dyDescent="0.2">
      <c r="A975" t="str">
        <f t="shared" si="15"/>
        <v/>
      </c>
      <c r="B975" s="24">
        <v>2023</v>
      </c>
      <c r="C975" t="s">
        <v>218</v>
      </c>
      <c r="D975" t="s">
        <v>687</v>
      </c>
      <c r="E975" t="s">
        <v>687</v>
      </c>
      <c r="F975" s="11">
        <v>410397597</v>
      </c>
      <c r="G975" s="18">
        <v>3.0879000000000002E-3</v>
      </c>
      <c r="H975" s="11">
        <v>9371458.4463</v>
      </c>
      <c r="I975" s="22" t="str">
        <f>IFERROR(VLOOKUP(D975,'LEAID Match'!$A$2:$B$184,2,FALSE),"")</f>
        <v/>
      </c>
    </row>
    <row r="976" spans="1:9" x14ac:dyDescent="0.2">
      <c r="A976">
        <f t="shared" si="15"/>
        <v>3701080</v>
      </c>
      <c r="B976" s="24">
        <v>2015</v>
      </c>
      <c r="C976" t="s">
        <v>219</v>
      </c>
      <c r="D976" t="s">
        <v>688</v>
      </c>
      <c r="E976" t="s">
        <v>165</v>
      </c>
      <c r="F976" s="11">
        <v>174975050</v>
      </c>
      <c r="G976" s="18">
        <v>1.5299000000000001E-3</v>
      </c>
      <c r="H976" s="11">
        <v>1932245.3412000001</v>
      </c>
      <c r="I976" s="22">
        <f>IFERROR(VLOOKUP(D976,'LEAID Match'!$A$2:$B$184,2,FALSE),"")</f>
        <v>3701080</v>
      </c>
    </row>
    <row r="977" spans="1:9" x14ac:dyDescent="0.2">
      <c r="A977">
        <f t="shared" si="15"/>
        <v>3701080</v>
      </c>
      <c r="B977" s="24">
        <v>2016</v>
      </c>
      <c r="C977" t="s">
        <v>219</v>
      </c>
      <c r="D977" t="s">
        <v>688</v>
      </c>
      <c r="E977" t="s">
        <v>688</v>
      </c>
      <c r="F977" s="11">
        <v>169126796</v>
      </c>
      <c r="G977" s="18">
        <v>1.5617999999999999E-3</v>
      </c>
      <c r="H977" s="11">
        <v>1991299.6853999998</v>
      </c>
      <c r="I977" s="22">
        <f>IFERROR(VLOOKUP(D977,'LEAID Match'!$A$2:$B$184,2,FALSE),"")</f>
        <v>3701080</v>
      </c>
    </row>
    <row r="978" spans="1:9" x14ac:dyDescent="0.2">
      <c r="A978">
        <f t="shared" si="15"/>
        <v>3701080</v>
      </c>
      <c r="B978" s="24">
        <v>2017</v>
      </c>
      <c r="C978" t="s">
        <v>219</v>
      </c>
      <c r="D978" t="s">
        <v>688</v>
      </c>
      <c r="E978" t="s">
        <v>688</v>
      </c>
      <c r="F978" s="11">
        <v>180868100</v>
      </c>
      <c r="G978" s="18">
        <v>1.6209E-3</v>
      </c>
      <c r="H978" s="11">
        <v>2336031.3546000002</v>
      </c>
      <c r="I978" s="22">
        <f>IFERROR(VLOOKUP(D978,'LEAID Match'!$A$2:$B$184,2,FALSE),"")</f>
        <v>3701080</v>
      </c>
    </row>
    <row r="979" spans="1:9" x14ac:dyDescent="0.2">
      <c r="A979">
        <f t="shared" si="15"/>
        <v>3701080</v>
      </c>
      <c r="B979" s="24">
        <v>2018</v>
      </c>
      <c r="C979" t="s">
        <v>219</v>
      </c>
      <c r="D979" t="s">
        <v>688</v>
      </c>
      <c r="E979" t="s">
        <v>688</v>
      </c>
      <c r="F979" s="11">
        <v>186712844</v>
      </c>
      <c r="G979" s="18">
        <v>1.6067E-3</v>
      </c>
      <c r="H979" s="11">
        <v>2575381.0367000001</v>
      </c>
      <c r="I979" s="22">
        <f>IFERROR(VLOOKUP(D979,'LEAID Match'!$A$2:$B$184,2,FALSE),"")</f>
        <v>3701080</v>
      </c>
    </row>
    <row r="980" spans="1:9" x14ac:dyDescent="0.2">
      <c r="A980">
        <f t="shared" si="15"/>
        <v>3701080</v>
      </c>
      <c r="B980" s="24">
        <v>2019</v>
      </c>
      <c r="C980" t="s">
        <v>219</v>
      </c>
      <c r="D980" t="s">
        <v>688</v>
      </c>
      <c r="E980" t="s">
        <v>688</v>
      </c>
      <c r="F980" s="11">
        <v>194992838</v>
      </c>
      <c r="G980" s="18">
        <v>1.6184000000000001E-3</v>
      </c>
      <c r="H980" s="11">
        <v>3099472.2864000001</v>
      </c>
      <c r="I980" s="22">
        <f>IFERROR(VLOOKUP(D980,'LEAID Match'!$A$2:$B$184,2,FALSE),"")</f>
        <v>3701080</v>
      </c>
    </row>
    <row r="981" spans="1:9" x14ac:dyDescent="0.2">
      <c r="A981">
        <f t="shared" si="15"/>
        <v>3701080</v>
      </c>
      <c r="B981" s="24">
        <v>2020</v>
      </c>
      <c r="C981" t="s">
        <v>219</v>
      </c>
      <c r="D981" t="s">
        <v>688</v>
      </c>
      <c r="E981" t="s">
        <v>688</v>
      </c>
      <c r="F981" s="11">
        <v>204243893</v>
      </c>
      <c r="G981" s="18">
        <v>1.6488E-3</v>
      </c>
      <c r="H981" s="11">
        <v>3388407.66</v>
      </c>
      <c r="I981" s="22">
        <f>IFERROR(VLOOKUP(D981,'LEAID Match'!$A$2:$B$184,2,FALSE),"")</f>
        <v>3701080</v>
      </c>
    </row>
    <row r="982" spans="1:9" x14ac:dyDescent="0.2">
      <c r="A982">
        <f t="shared" si="15"/>
        <v>3701080</v>
      </c>
      <c r="B982" s="24">
        <v>2021</v>
      </c>
      <c r="C982" t="s">
        <v>219</v>
      </c>
      <c r="D982" t="s">
        <v>688</v>
      </c>
      <c r="E982" t="s">
        <v>688</v>
      </c>
      <c r="F982" s="11">
        <v>205865573</v>
      </c>
      <c r="G982" s="18">
        <v>1.6448999999999999E-3</v>
      </c>
      <c r="H982" s="11">
        <v>3903762.2147999997</v>
      </c>
      <c r="I982" s="22">
        <f>IFERROR(VLOOKUP(D982,'LEAID Match'!$A$2:$B$184,2,FALSE),"")</f>
        <v>3701080</v>
      </c>
    </row>
    <row r="983" spans="1:9" x14ac:dyDescent="0.2">
      <c r="A983">
        <f t="shared" si="15"/>
        <v>3701080</v>
      </c>
      <c r="B983" s="24">
        <v>2022</v>
      </c>
      <c r="C983" t="s">
        <v>219</v>
      </c>
      <c r="D983" t="s">
        <v>688</v>
      </c>
      <c r="E983" t="s">
        <v>688</v>
      </c>
      <c r="F983" s="11">
        <v>221125435</v>
      </c>
      <c r="G983" s="18">
        <v>1.7533E-3</v>
      </c>
      <c r="H983" s="11">
        <v>4842519.9217999997</v>
      </c>
      <c r="I983" s="22">
        <f>IFERROR(VLOOKUP(D983,'LEAID Match'!$A$2:$B$184,2,FALSE),"")</f>
        <v>3701080</v>
      </c>
    </row>
    <row r="984" spans="1:9" x14ac:dyDescent="0.2">
      <c r="A984">
        <f t="shared" si="15"/>
        <v>3701080</v>
      </c>
      <c r="B984" s="24">
        <v>2023</v>
      </c>
      <c r="C984" t="s">
        <v>219</v>
      </c>
      <c r="D984" t="s">
        <v>688</v>
      </c>
      <c r="E984" t="s">
        <v>688</v>
      </c>
      <c r="F984" s="11">
        <v>241630356</v>
      </c>
      <c r="G984" s="18">
        <v>1.8181E-3</v>
      </c>
      <c r="H984" s="11">
        <v>5517746.2357000001</v>
      </c>
      <c r="I984" s="22">
        <f>IFERROR(VLOOKUP(D984,'LEAID Match'!$A$2:$B$184,2,FALSE),"")</f>
        <v>3701080</v>
      </c>
    </row>
    <row r="985" spans="1:9" x14ac:dyDescent="0.2">
      <c r="A985">
        <f t="shared" si="15"/>
        <v>3701110</v>
      </c>
      <c r="B985" s="24">
        <v>2015</v>
      </c>
      <c r="C985" t="s">
        <v>274</v>
      </c>
      <c r="D985" t="s">
        <v>689</v>
      </c>
      <c r="E985" t="s">
        <v>220</v>
      </c>
      <c r="F985" s="11">
        <v>240282966</v>
      </c>
      <c r="G985" s="18">
        <v>2.1009000000000002E-3</v>
      </c>
      <c r="H985" s="11">
        <v>2653411.4892000002</v>
      </c>
      <c r="I985" s="22">
        <f>IFERROR(VLOOKUP(D985,'LEAID Match'!$A$2:$B$184,2,FALSE),"")</f>
        <v>3701110</v>
      </c>
    </row>
    <row r="986" spans="1:9" x14ac:dyDescent="0.2">
      <c r="A986">
        <f t="shared" si="15"/>
        <v>3701110</v>
      </c>
      <c r="B986" s="24">
        <v>2016</v>
      </c>
      <c r="C986" t="s">
        <v>274</v>
      </c>
      <c r="D986" t="s">
        <v>689</v>
      </c>
      <c r="E986" t="s">
        <v>689</v>
      </c>
      <c r="F986" s="11">
        <v>232865697</v>
      </c>
      <c r="G986" s="18">
        <v>2.1503999999999998E-3</v>
      </c>
      <c r="H986" s="11">
        <v>2741766.4511999995</v>
      </c>
      <c r="I986" s="22">
        <f>IFERROR(VLOOKUP(D986,'LEAID Match'!$A$2:$B$184,2,FALSE),"")</f>
        <v>3701110</v>
      </c>
    </row>
    <row r="987" spans="1:9" x14ac:dyDescent="0.2">
      <c r="A987">
        <f t="shared" si="15"/>
        <v>3701110</v>
      </c>
      <c r="B987" s="24">
        <v>2017</v>
      </c>
      <c r="C987" t="s">
        <v>274</v>
      </c>
      <c r="D987" t="s">
        <v>689</v>
      </c>
      <c r="E987" t="s">
        <v>689</v>
      </c>
      <c r="F987" s="11">
        <v>243570816</v>
      </c>
      <c r="G987" s="18">
        <v>2.1829000000000002E-3</v>
      </c>
      <c r="H987" s="11">
        <v>3145982.3826000001</v>
      </c>
      <c r="I987" s="22">
        <f>IFERROR(VLOOKUP(D987,'LEAID Match'!$A$2:$B$184,2,FALSE),"")</f>
        <v>3701110</v>
      </c>
    </row>
    <row r="988" spans="1:9" x14ac:dyDescent="0.2">
      <c r="A988">
        <f t="shared" si="15"/>
        <v>3701110</v>
      </c>
      <c r="B988" s="24">
        <v>2018</v>
      </c>
      <c r="C988" t="s">
        <v>274</v>
      </c>
      <c r="D988" t="s">
        <v>689</v>
      </c>
      <c r="E988" t="s">
        <v>689</v>
      </c>
      <c r="F988" s="11">
        <v>259402801</v>
      </c>
      <c r="G988" s="18">
        <v>2.2322000000000002E-3</v>
      </c>
      <c r="H988" s="11">
        <v>3577995.6122000003</v>
      </c>
      <c r="I988" s="22">
        <f>IFERROR(VLOOKUP(D988,'LEAID Match'!$A$2:$B$184,2,FALSE),"")</f>
        <v>3701110</v>
      </c>
    </row>
    <row r="989" spans="1:9" x14ac:dyDescent="0.2">
      <c r="A989">
        <f t="shared" si="15"/>
        <v>3701110</v>
      </c>
      <c r="B989" s="24">
        <v>2019</v>
      </c>
      <c r="C989" t="s">
        <v>274</v>
      </c>
      <c r="D989" t="s">
        <v>689</v>
      </c>
      <c r="E989" t="s">
        <v>689</v>
      </c>
      <c r="F989" s="11">
        <v>279255650</v>
      </c>
      <c r="G989" s="18">
        <v>2.3178000000000001E-3</v>
      </c>
      <c r="H989" s="11">
        <v>4438925.3988000005</v>
      </c>
      <c r="I989" s="22">
        <f>IFERROR(VLOOKUP(D989,'LEAID Match'!$A$2:$B$184,2,FALSE),"")</f>
        <v>3701110</v>
      </c>
    </row>
    <row r="990" spans="1:9" x14ac:dyDescent="0.2">
      <c r="A990">
        <f t="shared" si="15"/>
        <v>3701110</v>
      </c>
      <c r="B990" s="24">
        <v>2020</v>
      </c>
      <c r="C990" t="s">
        <v>274</v>
      </c>
      <c r="D990" t="s">
        <v>689</v>
      </c>
      <c r="E990" t="s">
        <v>689</v>
      </c>
      <c r="F990" s="11">
        <v>287540948</v>
      </c>
      <c r="G990" s="18">
        <v>2.3213000000000001E-3</v>
      </c>
      <c r="H990" s="11">
        <v>4770445.5975000001</v>
      </c>
      <c r="I990" s="22">
        <f>IFERROR(VLOOKUP(D990,'LEAID Match'!$A$2:$B$184,2,FALSE),"")</f>
        <v>3701110</v>
      </c>
    </row>
    <row r="991" spans="1:9" x14ac:dyDescent="0.2">
      <c r="A991">
        <f t="shared" si="15"/>
        <v>3701110</v>
      </c>
      <c r="B991" s="24">
        <v>2021</v>
      </c>
      <c r="C991" t="s">
        <v>274</v>
      </c>
      <c r="D991" t="s">
        <v>689</v>
      </c>
      <c r="E991" t="s">
        <v>689</v>
      </c>
      <c r="F991" s="11">
        <v>278763425</v>
      </c>
      <c r="G991" s="18">
        <v>2.2274E-3</v>
      </c>
      <c r="H991" s="11">
        <v>5286181.5048000002</v>
      </c>
      <c r="I991" s="22">
        <f>IFERROR(VLOOKUP(D991,'LEAID Match'!$A$2:$B$184,2,FALSE),"")</f>
        <v>3701110</v>
      </c>
    </row>
    <row r="992" spans="1:9" x14ac:dyDescent="0.2">
      <c r="A992">
        <f t="shared" si="15"/>
        <v>3701110</v>
      </c>
      <c r="B992" s="24">
        <v>2022</v>
      </c>
      <c r="C992" t="s">
        <v>274</v>
      </c>
      <c r="D992" t="s">
        <v>689</v>
      </c>
      <c r="E992" t="s">
        <v>689</v>
      </c>
      <c r="F992" s="11">
        <v>300899537</v>
      </c>
      <c r="G992" s="18">
        <v>2.3858E-3</v>
      </c>
      <c r="H992" s="11">
        <v>6589450.7668000003</v>
      </c>
      <c r="I992" s="22">
        <f>IFERROR(VLOOKUP(D992,'LEAID Match'!$A$2:$B$184,2,FALSE),"")</f>
        <v>3701110</v>
      </c>
    </row>
    <row r="993" spans="1:9" x14ac:dyDescent="0.2">
      <c r="A993">
        <f t="shared" si="15"/>
        <v>3701110</v>
      </c>
      <c r="B993" s="24">
        <v>2023</v>
      </c>
      <c r="C993" t="s">
        <v>274</v>
      </c>
      <c r="D993" t="s">
        <v>689</v>
      </c>
      <c r="E993" t="s">
        <v>689</v>
      </c>
      <c r="F993" s="11">
        <v>317701471</v>
      </c>
      <c r="G993" s="18">
        <v>2.3904999999999998E-3</v>
      </c>
      <c r="H993" s="11">
        <v>7254921.2784999991</v>
      </c>
      <c r="I993" s="22">
        <f>IFERROR(VLOOKUP(D993,'LEAID Match'!$A$2:$B$184,2,FALSE),"")</f>
        <v>3701110</v>
      </c>
    </row>
    <row r="994" spans="1:9" x14ac:dyDescent="0.2">
      <c r="A994">
        <f t="shared" si="15"/>
        <v>3701140</v>
      </c>
      <c r="B994" s="24">
        <v>2015</v>
      </c>
      <c r="C994" t="s">
        <v>275</v>
      </c>
      <c r="D994" t="s">
        <v>690</v>
      </c>
      <c r="E994" t="s">
        <v>221</v>
      </c>
      <c r="F994" s="11">
        <v>753124042</v>
      </c>
      <c r="G994" s="18">
        <v>6.5848E-3</v>
      </c>
      <c r="H994" s="11">
        <v>8316523.3824000005</v>
      </c>
      <c r="I994" s="22">
        <f>IFERROR(VLOOKUP(D994,'LEAID Match'!$A$2:$B$184,2,FALSE),"")</f>
        <v>3701140</v>
      </c>
    </row>
    <row r="995" spans="1:9" x14ac:dyDescent="0.2">
      <c r="A995">
        <f t="shared" si="15"/>
        <v>3701140</v>
      </c>
      <c r="B995" s="24">
        <v>2016</v>
      </c>
      <c r="C995" t="s">
        <v>275</v>
      </c>
      <c r="D995" t="s">
        <v>690</v>
      </c>
      <c r="E995" t="s">
        <v>690</v>
      </c>
      <c r="F995" s="11">
        <v>718292352</v>
      </c>
      <c r="G995" s="18">
        <v>6.633E-3</v>
      </c>
      <c r="H995" s="11">
        <v>8457094.8990000002</v>
      </c>
      <c r="I995" s="22">
        <f>IFERROR(VLOOKUP(D995,'LEAID Match'!$A$2:$B$184,2,FALSE),"")</f>
        <v>3701140</v>
      </c>
    </row>
    <row r="996" spans="1:9" x14ac:dyDescent="0.2">
      <c r="A996">
        <f t="shared" si="15"/>
        <v>3701140</v>
      </c>
      <c r="B996" s="24">
        <v>2017</v>
      </c>
      <c r="C996" t="s">
        <v>275</v>
      </c>
      <c r="D996" t="s">
        <v>690</v>
      </c>
      <c r="E996" t="s">
        <v>690</v>
      </c>
      <c r="F996" s="11">
        <v>728853363</v>
      </c>
      <c r="G996" s="18">
        <v>6.5319999999999996E-3</v>
      </c>
      <c r="H996" s="11">
        <v>9413879.2079999987</v>
      </c>
      <c r="I996" s="22">
        <f>IFERROR(VLOOKUP(D996,'LEAID Match'!$A$2:$B$184,2,FALSE),"")</f>
        <v>3701140</v>
      </c>
    </row>
    <row r="997" spans="1:9" x14ac:dyDescent="0.2">
      <c r="A997">
        <f t="shared" si="15"/>
        <v>3701140</v>
      </c>
      <c r="B997" s="24">
        <v>2018</v>
      </c>
      <c r="C997" t="s">
        <v>275</v>
      </c>
      <c r="D997" t="s">
        <v>690</v>
      </c>
      <c r="E997" t="s">
        <v>690</v>
      </c>
      <c r="F997" s="11">
        <v>763732229</v>
      </c>
      <c r="G997" s="18">
        <v>6.5721E-3</v>
      </c>
      <c r="H997" s="11">
        <v>10534425.6621</v>
      </c>
      <c r="I997" s="22">
        <f>IFERROR(VLOOKUP(D997,'LEAID Match'!$A$2:$B$184,2,FALSE),"")</f>
        <v>3701140</v>
      </c>
    </row>
    <row r="998" spans="1:9" x14ac:dyDescent="0.2">
      <c r="A998">
        <f t="shared" si="15"/>
        <v>3701140</v>
      </c>
      <c r="B998" s="24">
        <v>2019</v>
      </c>
      <c r="C998" t="s">
        <v>275</v>
      </c>
      <c r="D998" t="s">
        <v>690</v>
      </c>
      <c r="E998" t="s">
        <v>690</v>
      </c>
      <c r="F998" s="11">
        <v>779373650</v>
      </c>
      <c r="G998" s="18">
        <v>6.4688000000000002E-3</v>
      </c>
      <c r="H998" s="11">
        <v>12388696.444800001</v>
      </c>
      <c r="I998" s="22">
        <f>IFERROR(VLOOKUP(D998,'LEAID Match'!$A$2:$B$184,2,FALSE),"")</f>
        <v>3701140</v>
      </c>
    </row>
    <row r="999" spans="1:9" x14ac:dyDescent="0.2">
      <c r="A999">
        <f t="shared" si="15"/>
        <v>3701140</v>
      </c>
      <c r="B999" s="24">
        <v>2020</v>
      </c>
      <c r="C999" t="s">
        <v>275</v>
      </c>
      <c r="D999" t="s">
        <v>690</v>
      </c>
      <c r="E999" t="s">
        <v>690</v>
      </c>
      <c r="F999" s="11">
        <v>778119213</v>
      </c>
      <c r="G999" s="18">
        <v>6.2817000000000003E-3</v>
      </c>
      <c r="H999" s="11">
        <v>12909364.627500001</v>
      </c>
      <c r="I999" s="22">
        <f>IFERROR(VLOOKUP(D999,'LEAID Match'!$A$2:$B$184,2,FALSE),"")</f>
        <v>3701140</v>
      </c>
    </row>
    <row r="1000" spans="1:9" x14ac:dyDescent="0.2">
      <c r="A1000">
        <f t="shared" si="15"/>
        <v>3701140</v>
      </c>
      <c r="B1000" s="24">
        <v>2021</v>
      </c>
      <c r="C1000" t="s">
        <v>275</v>
      </c>
      <c r="D1000" t="s">
        <v>690</v>
      </c>
      <c r="E1000" t="s">
        <v>690</v>
      </c>
      <c r="F1000" s="11">
        <v>747126572</v>
      </c>
      <c r="G1000" s="18">
        <v>5.9697999999999999E-3</v>
      </c>
      <c r="H1000" s="11">
        <v>14167839.7896</v>
      </c>
      <c r="I1000" s="22">
        <f>IFERROR(VLOOKUP(D1000,'LEAID Match'!$A$2:$B$184,2,FALSE),"")</f>
        <v>3701140</v>
      </c>
    </row>
    <row r="1001" spans="1:9" x14ac:dyDescent="0.2">
      <c r="A1001">
        <f t="shared" si="15"/>
        <v>3701140</v>
      </c>
      <c r="B1001" s="24">
        <v>2022</v>
      </c>
      <c r="C1001" t="s">
        <v>275</v>
      </c>
      <c r="D1001" t="s">
        <v>690</v>
      </c>
      <c r="E1001" t="s">
        <v>690</v>
      </c>
      <c r="F1001" s="11">
        <v>778122663</v>
      </c>
      <c r="G1001" s="18">
        <v>6.1697000000000002E-3</v>
      </c>
      <c r="H1001" s="11">
        <v>17040378.236200001</v>
      </c>
      <c r="I1001" s="22">
        <f>IFERROR(VLOOKUP(D1001,'LEAID Match'!$A$2:$B$184,2,FALSE),"")</f>
        <v>3701140</v>
      </c>
    </row>
    <row r="1002" spans="1:9" x14ac:dyDescent="0.2">
      <c r="A1002">
        <f t="shared" si="15"/>
        <v>3701140</v>
      </c>
      <c r="B1002" s="24">
        <v>2023</v>
      </c>
      <c r="C1002" t="s">
        <v>275</v>
      </c>
      <c r="D1002" t="s">
        <v>690</v>
      </c>
      <c r="E1002" t="s">
        <v>690</v>
      </c>
      <c r="F1002" s="11">
        <v>804832757</v>
      </c>
      <c r="G1002" s="18">
        <v>6.0558000000000001E-3</v>
      </c>
      <c r="H1002" s="11">
        <v>18378729.252599999</v>
      </c>
      <c r="I1002" s="22">
        <f>IFERROR(VLOOKUP(D1002,'LEAID Match'!$A$2:$B$184,2,FALSE),"")</f>
        <v>3701140</v>
      </c>
    </row>
    <row r="1003" spans="1:9" x14ac:dyDescent="0.2">
      <c r="A1003">
        <f t="shared" si="15"/>
        <v>3700333</v>
      </c>
      <c r="B1003" s="24">
        <v>2015</v>
      </c>
      <c r="C1003" t="s">
        <v>276</v>
      </c>
      <c r="D1003" t="s">
        <v>691</v>
      </c>
      <c r="E1003" t="s">
        <v>222</v>
      </c>
      <c r="F1003" s="11">
        <v>19526207</v>
      </c>
      <c r="G1003" s="18">
        <v>1.707E-4</v>
      </c>
      <c r="H1003" s="11">
        <v>215592.05160000001</v>
      </c>
      <c r="I1003" s="22">
        <f>IFERROR(VLOOKUP(D1003,'LEAID Match'!$A$2:$B$184,2,FALSE),"")</f>
        <v>3700333</v>
      </c>
    </row>
    <row r="1004" spans="1:9" x14ac:dyDescent="0.2">
      <c r="A1004">
        <f t="shared" si="15"/>
        <v>3700333</v>
      </c>
      <c r="B1004" s="24">
        <v>2016</v>
      </c>
      <c r="C1004" t="s">
        <v>276</v>
      </c>
      <c r="D1004" t="s">
        <v>691</v>
      </c>
      <c r="E1004" t="s">
        <v>691</v>
      </c>
      <c r="F1004" s="11">
        <v>21180970</v>
      </c>
      <c r="G1004" s="18">
        <v>1.9560000000000001E-4</v>
      </c>
      <c r="H1004" s="11">
        <v>249390.58680000002</v>
      </c>
      <c r="I1004" s="22">
        <f>IFERROR(VLOOKUP(D1004,'LEAID Match'!$A$2:$B$184,2,FALSE),"")</f>
        <v>3700333</v>
      </c>
    </row>
    <row r="1005" spans="1:9" x14ac:dyDescent="0.2">
      <c r="A1005">
        <f t="shared" si="15"/>
        <v>3700333</v>
      </c>
      <c r="B1005" s="24">
        <v>2017</v>
      </c>
      <c r="C1005" t="s">
        <v>276</v>
      </c>
      <c r="D1005" t="s">
        <v>691</v>
      </c>
      <c r="E1005" t="s">
        <v>903</v>
      </c>
      <c r="F1005" s="11">
        <v>15970188</v>
      </c>
      <c r="G1005" s="18">
        <v>1.4310000000000001E-4</v>
      </c>
      <c r="H1005" s="11">
        <v>206234.86140000002</v>
      </c>
      <c r="I1005" s="22">
        <f>IFERROR(VLOOKUP(D1005,'LEAID Match'!$A$2:$B$184,2,FALSE),"")</f>
        <v>3700333</v>
      </c>
    </row>
    <row r="1006" spans="1:9" x14ac:dyDescent="0.2">
      <c r="A1006">
        <f t="shared" si="15"/>
        <v>3700333</v>
      </c>
      <c r="B1006" s="24">
        <v>2018</v>
      </c>
      <c r="C1006" t="s">
        <v>276</v>
      </c>
      <c r="D1006" t="s">
        <v>691</v>
      </c>
      <c r="E1006" t="s">
        <v>903</v>
      </c>
      <c r="F1006" s="11">
        <v>19510366</v>
      </c>
      <c r="G1006" s="18">
        <v>1.6789999999999999E-4</v>
      </c>
      <c r="H1006" s="11">
        <v>269127.07789999997</v>
      </c>
      <c r="I1006" s="22">
        <f>IFERROR(VLOOKUP(D1006,'LEAID Match'!$A$2:$B$184,2,FALSE),"")</f>
        <v>3700333</v>
      </c>
    </row>
    <row r="1007" spans="1:9" x14ac:dyDescent="0.2">
      <c r="A1007">
        <f t="shared" si="15"/>
        <v>3700333</v>
      </c>
      <c r="B1007" s="24">
        <v>2019</v>
      </c>
      <c r="C1007" t="s">
        <v>276</v>
      </c>
      <c r="D1007" t="s">
        <v>691</v>
      </c>
      <c r="E1007" t="s">
        <v>691</v>
      </c>
      <c r="F1007" s="11">
        <v>15150995</v>
      </c>
      <c r="G1007" s="18">
        <v>1.2579999999999999E-4</v>
      </c>
      <c r="H1007" s="11">
        <v>240925.36679999999</v>
      </c>
      <c r="I1007" s="22">
        <f>IFERROR(VLOOKUP(D1007,'LEAID Match'!$A$2:$B$184,2,FALSE),"")</f>
        <v>3700333</v>
      </c>
    </row>
    <row r="1008" spans="1:9" x14ac:dyDescent="0.2">
      <c r="A1008">
        <f t="shared" si="15"/>
        <v>3700333</v>
      </c>
      <c r="B1008" s="24">
        <v>2020</v>
      </c>
      <c r="C1008" t="s">
        <v>276</v>
      </c>
      <c r="D1008" t="s">
        <v>691</v>
      </c>
      <c r="E1008" t="s">
        <v>691</v>
      </c>
      <c r="F1008" s="11">
        <v>17870676</v>
      </c>
      <c r="G1008" s="18">
        <v>1.4430000000000001E-4</v>
      </c>
      <c r="H1008" s="11">
        <v>296547.32250000001</v>
      </c>
      <c r="I1008" s="22">
        <f>IFERROR(VLOOKUP(D1008,'LEAID Match'!$A$2:$B$184,2,FALSE),"")</f>
        <v>3700333</v>
      </c>
    </row>
    <row r="1009" spans="1:9" x14ac:dyDescent="0.2">
      <c r="A1009">
        <f t="shared" si="15"/>
        <v>3700333</v>
      </c>
      <c r="B1009" s="24">
        <v>2021</v>
      </c>
      <c r="C1009" t="s">
        <v>276</v>
      </c>
      <c r="D1009" t="s">
        <v>691</v>
      </c>
      <c r="E1009" t="s">
        <v>691</v>
      </c>
      <c r="F1009" s="11">
        <v>15191637</v>
      </c>
      <c r="G1009" s="18">
        <v>1.214E-4</v>
      </c>
      <c r="H1009" s="11">
        <v>288112.7928</v>
      </c>
      <c r="I1009" s="22">
        <f>IFERROR(VLOOKUP(D1009,'LEAID Match'!$A$2:$B$184,2,FALSE),"")</f>
        <v>3700333</v>
      </c>
    </row>
    <row r="1010" spans="1:9" x14ac:dyDescent="0.2">
      <c r="A1010">
        <f t="shared" si="15"/>
        <v>3700333</v>
      </c>
      <c r="B1010" s="24">
        <v>2022</v>
      </c>
      <c r="C1010" t="s">
        <v>276</v>
      </c>
      <c r="D1010" t="s">
        <v>691</v>
      </c>
      <c r="E1010" t="s">
        <v>691</v>
      </c>
      <c r="F1010" s="11">
        <v>18453127</v>
      </c>
      <c r="G1010" s="18">
        <v>1.4630000000000001E-4</v>
      </c>
      <c r="H1010" s="11">
        <v>404072.6998</v>
      </c>
      <c r="I1010" s="22">
        <f>IFERROR(VLOOKUP(D1010,'LEAID Match'!$A$2:$B$184,2,FALSE),"")</f>
        <v>3700333</v>
      </c>
    </row>
    <row r="1011" spans="1:9" x14ac:dyDescent="0.2">
      <c r="A1011">
        <f t="shared" si="15"/>
        <v>3700333</v>
      </c>
      <c r="B1011" s="24">
        <v>2023</v>
      </c>
      <c r="C1011" t="s">
        <v>276</v>
      </c>
      <c r="D1011" t="s">
        <v>691</v>
      </c>
      <c r="E1011" t="s">
        <v>691</v>
      </c>
      <c r="F1011" s="11">
        <v>12532588</v>
      </c>
      <c r="G1011" s="18">
        <v>9.4300000000000002E-5</v>
      </c>
      <c r="H1011" s="11">
        <v>286190.78710000002</v>
      </c>
      <c r="I1011" s="22">
        <f>IFERROR(VLOOKUP(D1011,'LEAID Match'!$A$2:$B$184,2,FALSE),"")</f>
        <v>3700333</v>
      </c>
    </row>
    <row r="1012" spans="1:9" x14ac:dyDescent="0.2">
      <c r="A1012">
        <f t="shared" si="15"/>
        <v>3700418</v>
      </c>
      <c r="B1012" s="24">
        <v>2020</v>
      </c>
      <c r="C1012" t="s">
        <v>935</v>
      </c>
      <c r="D1012" t="s">
        <v>934</v>
      </c>
      <c r="E1012" t="s">
        <v>934</v>
      </c>
      <c r="F1012" s="11">
        <v>3866334</v>
      </c>
      <c r="G1012" s="18">
        <v>3.1199999999999999E-5</v>
      </c>
      <c r="H1012" s="11">
        <v>64118.34</v>
      </c>
      <c r="I1012" s="22">
        <f>IFERROR(VLOOKUP(D1012,'LEAID Match'!$A$2:$B$184,2,FALSE),"")</f>
        <v>3700418</v>
      </c>
    </row>
    <row r="1013" spans="1:9" x14ac:dyDescent="0.2">
      <c r="A1013">
        <f t="shared" si="15"/>
        <v>3700418</v>
      </c>
      <c r="B1013" s="24">
        <v>2021</v>
      </c>
      <c r="C1013" t="s">
        <v>935</v>
      </c>
      <c r="D1013" t="s">
        <v>934</v>
      </c>
      <c r="E1013" t="s">
        <v>934</v>
      </c>
      <c r="F1013" s="11">
        <v>4531707</v>
      </c>
      <c r="G1013" s="18">
        <v>3.6199999999999999E-5</v>
      </c>
      <c r="H1013" s="11">
        <v>85911.722399999999</v>
      </c>
      <c r="I1013" s="22">
        <f>IFERROR(VLOOKUP(D1013,'LEAID Match'!$A$2:$B$184,2,FALSE),"")</f>
        <v>3700418</v>
      </c>
    </row>
    <row r="1014" spans="1:9" x14ac:dyDescent="0.2">
      <c r="A1014">
        <f t="shared" si="15"/>
        <v>3700418</v>
      </c>
      <c r="B1014" s="24">
        <v>2022</v>
      </c>
      <c r="C1014" t="s">
        <v>935</v>
      </c>
      <c r="D1014" t="s">
        <v>934</v>
      </c>
      <c r="E1014" t="s">
        <v>934</v>
      </c>
      <c r="F1014" s="11">
        <v>8789406</v>
      </c>
      <c r="G1014" s="18">
        <v>6.97E-5</v>
      </c>
      <c r="H1014" s="11">
        <v>192507.63620000001</v>
      </c>
      <c r="I1014" s="22">
        <f>IFERROR(VLOOKUP(D1014,'LEAID Match'!$A$2:$B$184,2,FALSE),"")</f>
        <v>3700418</v>
      </c>
    </row>
    <row r="1015" spans="1:9" x14ac:dyDescent="0.2">
      <c r="A1015">
        <f t="shared" si="15"/>
        <v>3700418</v>
      </c>
      <c r="B1015" s="24">
        <v>2023</v>
      </c>
      <c r="C1015" t="s">
        <v>935</v>
      </c>
      <c r="D1015" t="s">
        <v>934</v>
      </c>
      <c r="E1015" t="s">
        <v>934</v>
      </c>
      <c r="F1015" s="11">
        <v>13387976</v>
      </c>
      <c r="G1015" s="18">
        <v>1.0069999999999999E-4</v>
      </c>
      <c r="H1015" s="11">
        <v>305614.12789999996</v>
      </c>
      <c r="I1015" s="22">
        <f>IFERROR(VLOOKUP(D1015,'LEAID Match'!$A$2:$B$184,2,FALSE),"")</f>
        <v>3700418</v>
      </c>
    </row>
    <row r="1016" spans="1:9" x14ac:dyDescent="0.2">
      <c r="A1016" t="str">
        <f t="shared" si="15"/>
        <v/>
      </c>
      <c r="B1016" s="24">
        <v>2015</v>
      </c>
      <c r="C1016" t="s">
        <v>277</v>
      </c>
      <c r="D1016" t="s">
        <v>692</v>
      </c>
      <c r="E1016" t="s">
        <v>223</v>
      </c>
      <c r="F1016" s="11">
        <v>107888702</v>
      </c>
      <c r="G1016" s="18">
        <v>9.433E-4</v>
      </c>
      <c r="H1016" s="11">
        <v>1191376.5804000001</v>
      </c>
      <c r="I1016" s="22" t="str">
        <f>IFERROR(VLOOKUP(D1016,'LEAID Match'!$A$2:$B$184,2,FALSE),"")</f>
        <v/>
      </c>
    </row>
    <row r="1017" spans="1:9" x14ac:dyDescent="0.2">
      <c r="A1017" t="str">
        <f t="shared" si="15"/>
        <v/>
      </c>
      <c r="B1017" s="24">
        <v>2016</v>
      </c>
      <c r="C1017" t="s">
        <v>277</v>
      </c>
      <c r="D1017" t="s">
        <v>692</v>
      </c>
      <c r="E1017" t="s">
        <v>692</v>
      </c>
      <c r="F1017" s="11">
        <v>101636404</v>
      </c>
      <c r="G1017" s="18">
        <v>9.3849999999999999E-4</v>
      </c>
      <c r="H1017" s="11">
        <v>1196590.3155</v>
      </c>
      <c r="I1017" s="22" t="str">
        <f>IFERROR(VLOOKUP(D1017,'LEAID Match'!$A$2:$B$184,2,FALSE),"")</f>
        <v/>
      </c>
    </row>
    <row r="1018" spans="1:9" x14ac:dyDescent="0.2">
      <c r="A1018" t="str">
        <f t="shared" si="15"/>
        <v/>
      </c>
      <c r="B1018" s="24">
        <v>2017</v>
      </c>
      <c r="C1018" t="s">
        <v>277</v>
      </c>
      <c r="D1018" t="s">
        <v>692</v>
      </c>
      <c r="E1018" t="s">
        <v>692</v>
      </c>
      <c r="F1018" s="11">
        <v>107564248</v>
      </c>
      <c r="G1018" s="18">
        <v>9.6400000000000001E-4</v>
      </c>
      <c r="H1018" s="11">
        <v>1389311.0160000001</v>
      </c>
      <c r="I1018" s="22" t="str">
        <f>IFERROR(VLOOKUP(D1018,'LEAID Match'!$A$2:$B$184,2,FALSE),"")</f>
        <v/>
      </c>
    </row>
    <row r="1019" spans="1:9" x14ac:dyDescent="0.2">
      <c r="A1019" t="str">
        <f t="shared" si="15"/>
        <v/>
      </c>
      <c r="B1019" s="24">
        <v>2018</v>
      </c>
      <c r="C1019" t="s">
        <v>277</v>
      </c>
      <c r="D1019" t="s">
        <v>692</v>
      </c>
      <c r="E1019" t="s">
        <v>692</v>
      </c>
      <c r="F1019" s="11">
        <v>108619594</v>
      </c>
      <c r="G1019" s="18">
        <v>9.3470000000000001E-4</v>
      </c>
      <c r="H1019" s="11">
        <v>1498231.5647</v>
      </c>
      <c r="I1019" s="22" t="str">
        <f>IFERROR(VLOOKUP(D1019,'LEAID Match'!$A$2:$B$184,2,FALSE),"")</f>
        <v/>
      </c>
    </row>
    <row r="1020" spans="1:9" x14ac:dyDescent="0.2">
      <c r="A1020" t="str">
        <f t="shared" si="15"/>
        <v/>
      </c>
      <c r="B1020" s="24">
        <v>2019</v>
      </c>
      <c r="C1020" t="s">
        <v>277</v>
      </c>
      <c r="D1020" t="s">
        <v>692</v>
      </c>
      <c r="E1020" t="s">
        <v>692</v>
      </c>
      <c r="F1020" s="11">
        <v>105527545</v>
      </c>
      <c r="G1020" s="18">
        <v>8.7589999999999999E-4</v>
      </c>
      <c r="H1020" s="11">
        <v>1677476.3814000001</v>
      </c>
      <c r="I1020" s="22" t="str">
        <f>IFERROR(VLOOKUP(D1020,'LEAID Match'!$A$2:$B$184,2,FALSE),"")</f>
        <v/>
      </c>
    </row>
    <row r="1021" spans="1:9" x14ac:dyDescent="0.2">
      <c r="A1021" t="str">
        <f t="shared" si="15"/>
        <v/>
      </c>
      <c r="B1021" s="24">
        <v>2020</v>
      </c>
      <c r="C1021" t="s">
        <v>277</v>
      </c>
      <c r="D1021" t="s">
        <v>692</v>
      </c>
      <c r="E1021" t="s">
        <v>692</v>
      </c>
      <c r="F1021" s="11">
        <v>106834915</v>
      </c>
      <c r="G1021" s="18">
        <v>8.6249999999999999E-4</v>
      </c>
      <c r="H1021" s="11">
        <v>1772502.1875</v>
      </c>
      <c r="I1021" s="22" t="str">
        <f>IFERROR(VLOOKUP(D1021,'LEAID Match'!$A$2:$B$184,2,FALSE),"")</f>
        <v/>
      </c>
    </row>
    <row r="1022" spans="1:9" x14ac:dyDescent="0.2">
      <c r="A1022" t="str">
        <f t="shared" si="15"/>
        <v/>
      </c>
      <c r="B1022" s="24">
        <v>2021</v>
      </c>
      <c r="C1022" t="s">
        <v>277</v>
      </c>
      <c r="D1022" t="s">
        <v>692</v>
      </c>
      <c r="E1022" t="s">
        <v>692</v>
      </c>
      <c r="F1022" s="11">
        <v>108714570</v>
      </c>
      <c r="G1022" s="18">
        <v>8.6870000000000003E-4</v>
      </c>
      <c r="H1022" s="11">
        <v>2061644.0124000001</v>
      </c>
      <c r="I1022" s="22" t="str">
        <f>IFERROR(VLOOKUP(D1022,'LEAID Match'!$A$2:$B$184,2,FALSE),"")</f>
        <v/>
      </c>
    </row>
    <row r="1023" spans="1:9" x14ac:dyDescent="0.2">
      <c r="A1023" t="str">
        <f t="shared" si="15"/>
        <v/>
      </c>
      <c r="B1023" s="24">
        <v>2022</v>
      </c>
      <c r="C1023" t="s">
        <v>277</v>
      </c>
      <c r="D1023" t="s">
        <v>692</v>
      </c>
      <c r="E1023" t="s">
        <v>692</v>
      </c>
      <c r="F1023" s="11">
        <v>109876508</v>
      </c>
      <c r="G1023" s="18">
        <v>8.7120000000000003E-4</v>
      </c>
      <c r="H1023" s="11">
        <v>2406207.3552000001</v>
      </c>
      <c r="I1023" s="22" t="str">
        <f>IFERROR(VLOOKUP(D1023,'LEAID Match'!$A$2:$B$184,2,FALSE),"")</f>
        <v/>
      </c>
    </row>
    <row r="1024" spans="1:9" x14ac:dyDescent="0.2">
      <c r="A1024" t="str">
        <f t="shared" si="15"/>
        <v/>
      </c>
      <c r="B1024" s="24">
        <v>2023</v>
      </c>
      <c r="C1024" t="s">
        <v>277</v>
      </c>
      <c r="D1024" t="s">
        <v>692</v>
      </c>
      <c r="E1024" t="s">
        <v>692</v>
      </c>
      <c r="F1024" s="11">
        <v>115583604</v>
      </c>
      <c r="G1024" s="18">
        <v>8.6970000000000005E-4</v>
      </c>
      <c r="H1024" s="11">
        <v>2639449.9209000003</v>
      </c>
      <c r="I1024" s="22" t="str">
        <f>IFERROR(VLOOKUP(D1024,'LEAID Match'!$A$2:$B$184,2,FALSE),"")</f>
        <v/>
      </c>
    </row>
    <row r="1025" spans="1:9" x14ac:dyDescent="0.2">
      <c r="A1025">
        <f t="shared" si="15"/>
        <v>3702640</v>
      </c>
      <c r="B1025" s="24">
        <v>2015</v>
      </c>
      <c r="C1025" t="s">
        <v>278</v>
      </c>
      <c r="D1025" t="s">
        <v>693</v>
      </c>
      <c r="E1025" t="s">
        <v>224</v>
      </c>
      <c r="F1025" s="11">
        <v>142341021</v>
      </c>
      <c r="G1025" s="18">
        <v>1.2444999999999999E-3</v>
      </c>
      <c r="H1025" s="11">
        <v>1571788.5659999999</v>
      </c>
      <c r="I1025" s="22">
        <f>IFERROR(VLOOKUP(D1025,'LEAID Match'!$A$2:$B$184,2,FALSE),"")</f>
        <v>3702640</v>
      </c>
    </row>
    <row r="1026" spans="1:9" x14ac:dyDescent="0.2">
      <c r="A1026">
        <f t="shared" si="15"/>
        <v>3702640</v>
      </c>
      <c r="B1026" s="24">
        <v>2016</v>
      </c>
      <c r="C1026" t="s">
        <v>278</v>
      </c>
      <c r="D1026" t="s">
        <v>693</v>
      </c>
      <c r="E1026" t="s">
        <v>693</v>
      </c>
      <c r="F1026" s="11">
        <v>132338943</v>
      </c>
      <c r="G1026" s="18">
        <v>1.2221000000000001E-3</v>
      </c>
      <c r="H1026" s="11">
        <v>1558181.1663000002</v>
      </c>
      <c r="I1026" s="22">
        <f>IFERROR(VLOOKUP(D1026,'LEAID Match'!$A$2:$B$184,2,FALSE),"")</f>
        <v>3702640</v>
      </c>
    </row>
    <row r="1027" spans="1:9" x14ac:dyDescent="0.2">
      <c r="A1027">
        <f t="shared" ref="A1027:A1090" si="16">I1027</f>
        <v>3702640</v>
      </c>
      <c r="B1027" s="24">
        <v>2017</v>
      </c>
      <c r="C1027" t="s">
        <v>278</v>
      </c>
      <c r="D1027" t="s">
        <v>693</v>
      </c>
      <c r="E1027" t="s">
        <v>693</v>
      </c>
      <c r="F1027" s="11">
        <v>136873721</v>
      </c>
      <c r="G1027" s="18">
        <v>1.2267000000000001E-3</v>
      </c>
      <c r="H1027" s="11">
        <v>1767912.6798</v>
      </c>
      <c r="I1027" s="22">
        <f>IFERROR(VLOOKUP(D1027,'LEAID Match'!$A$2:$B$184,2,FALSE),"")</f>
        <v>3702640</v>
      </c>
    </row>
    <row r="1028" spans="1:9" x14ac:dyDescent="0.2">
      <c r="A1028">
        <f t="shared" si="16"/>
        <v>3702640</v>
      </c>
      <c r="B1028" s="24">
        <v>2018</v>
      </c>
      <c r="C1028" t="s">
        <v>278</v>
      </c>
      <c r="D1028" t="s">
        <v>693</v>
      </c>
      <c r="E1028" t="s">
        <v>693</v>
      </c>
      <c r="F1028" s="11">
        <v>141631554</v>
      </c>
      <c r="G1028" s="18">
        <v>1.2187999999999999E-3</v>
      </c>
      <c r="H1028" s="11">
        <v>1953615.7387999999</v>
      </c>
      <c r="I1028" s="22">
        <f>IFERROR(VLOOKUP(D1028,'LEAID Match'!$A$2:$B$184,2,FALSE),"")</f>
        <v>3702640</v>
      </c>
    </row>
    <row r="1029" spans="1:9" x14ac:dyDescent="0.2">
      <c r="A1029">
        <f t="shared" si="16"/>
        <v>3702640</v>
      </c>
      <c r="B1029" s="24">
        <v>2019</v>
      </c>
      <c r="C1029" t="s">
        <v>278</v>
      </c>
      <c r="D1029" t="s">
        <v>693</v>
      </c>
      <c r="E1029" t="s">
        <v>693</v>
      </c>
      <c r="F1029" s="11">
        <v>149006162</v>
      </c>
      <c r="G1029" s="18">
        <v>1.2367999999999999E-3</v>
      </c>
      <c r="H1029" s="11">
        <v>2368652.5727999997</v>
      </c>
      <c r="I1029" s="22">
        <f>IFERROR(VLOOKUP(D1029,'LEAID Match'!$A$2:$B$184,2,FALSE),"")</f>
        <v>3702640</v>
      </c>
    </row>
    <row r="1030" spans="1:9" x14ac:dyDescent="0.2">
      <c r="A1030">
        <f t="shared" si="16"/>
        <v>3702640</v>
      </c>
      <c r="B1030" s="24">
        <v>2020</v>
      </c>
      <c r="C1030" t="s">
        <v>278</v>
      </c>
      <c r="D1030" t="s">
        <v>693</v>
      </c>
      <c r="E1030" t="s">
        <v>693</v>
      </c>
      <c r="F1030" s="11">
        <v>144614185</v>
      </c>
      <c r="G1030" s="18">
        <v>1.1674999999999999E-3</v>
      </c>
      <c r="H1030" s="11">
        <v>2399300.0625</v>
      </c>
      <c r="I1030" s="22">
        <f>IFERROR(VLOOKUP(D1030,'LEAID Match'!$A$2:$B$184,2,FALSE),"")</f>
        <v>3702640</v>
      </c>
    </row>
    <row r="1031" spans="1:9" x14ac:dyDescent="0.2">
      <c r="A1031">
        <f t="shared" si="16"/>
        <v>3702640</v>
      </c>
      <c r="B1031" s="24">
        <v>2021</v>
      </c>
      <c r="C1031" t="s">
        <v>278</v>
      </c>
      <c r="D1031" t="s">
        <v>693</v>
      </c>
      <c r="E1031" t="s">
        <v>693</v>
      </c>
      <c r="F1031" s="11">
        <v>143098446</v>
      </c>
      <c r="G1031" s="18">
        <v>1.1433999999999999E-3</v>
      </c>
      <c r="H1031" s="11">
        <v>2713576.3367999997</v>
      </c>
      <c r="I1031" s="22">
        <f>IFERROR(VLOOKUP(D1031,'LEAID Match'!$A$2:$B$184,2,FALSE),"")</f>
        <v>3702640</v>
      </c>
    </row>
    <row r="1032" spans="1:9" x14ac:dyDescent="0.2">
      <c r="A1032">
        <f t="shared" si="16"/>
        <v>3702640</v>
      </c>
      <c r="B1032" s="24">
        <v>2022</v>
      </c>
      <c r="C1032" t="s">
        <v>278</v>
      </c>
      <c r="D1032" t="s">
        <v>693</v>
      </c>
      <c r="E1032" t="s">
        <v>693</v>
      </c>
      <c r="F1032" s="11">
        <v>152639498</v>
      </c>
      <c r="G1032" s="18">
        <v>1.2103000000000001E-3</v>
      </c>
      <c r="H1032" s="11">
        <v>3342783.2438000003</v>
      </c>
      <c r="I1032" s="22">
        <f>IFERROR(VLOOKUP(D1032,'LEAID Match'!$A$2:$B$184,2,FALSE),"")</f>
        <v>3702640</v>
      </c>
    </row>
    <row r="1033" spans="1:9" x14ac:dyDescent="0.2">
      <c r="A1033">
        <f t="shared" si="16"/>
        <v>3702640</v>
      </c>
      <c r="B1033" s="24">
        <v>2023</v>
      </c>
      <c r="C1033" t="s">
        <v>278</v>
      </c>
      <c r="D1033" t="s">
        <v>693</v>
      </c>
      <c r="E1033" t="s">
        <v>693</v>
      </c>
      <c r="F1033" s="11">
        <v>156986212</v>
      </c>
      <c r="G1033" s="18">
        <v>1.1812000000000001E-3</v>
      </c>
      <c r="H1033" s="11">
        <v>3584820.3364000004</v>
      </c>
      <c r="I1033" s="22">
        <f>IFERROR(VLOOKUP(D1033,'LEAID Match'!$A$2:$B$184,2,FALSE),"")</f>
        <v>3702640</v>
      </c>
    </row>
    <row r="1034" spans="1:9" x14ac:dyDescent="0.2">
      <c r="A1034">
        <f t="shared" si="16"/>
        <v>3700467</v>
      </c>
      <c r="B1034" s="24">
        <v>2021</v>
      </c>
      <c r="C1034" t="s">
        <v>937</v>
      </c>
      <c r="D1034" t="s">
        <v>936</v>
      </c>
      <c r="E1034" t="s">
        <v>936</v>
      </c>
      <c r="F1034" s="11">
        <v>9297883</v>
      </c>
      <c r="G1034" s="18">
        <v>7.4300000000000004E-5</v>
      </c>
      <c r="H1034" s="11">
        <v>176332.62360000002</v>
      </c>
      <c r="I1034" s="22">
        <f>IFERROR(VLOOKUP(D1034,'LEAID Match'!$A$2:$B$184,2,FALSE),"")</f>
        <v>3700467</v>
      </c>
    </row>
    <row r="1035" spans="1:9" x14ac:dyDescent="0.2">
      <c r="A1035">
        <f t="shared" si="16"/>
        <v>3700467</v>
      </c>
      <c r="B1035" s="24">
        <v>2022</v>
      </c>
      <c r="C1035" t="s">
        <v>937</v>
      </c>
      <c r="D1035" t="s">
        <v>936</v>
      </c>
      <c r="E1035" t="s">
        <v>936</v>
      </c>
      <c r="F1035" s="11">
        <v>13825774</v>
      </c>
      <c r="G1035" s="18">
        <v>1.0959999999999999E-4</v>
      </c>
      <c r="H1035" s="11">
        <v>302709.28159999999</v>
      </c>
      <c r="I1035" s="22">
        <f>IFERROR(VLOOKUP(D1035,'LEAID Match'!$A$2:$B$184,2,FALSE),"")</f>
        <v>3700467</v>
      </c>
    </row>
    <row r="1036" spans="1:9" x14ac:dyDescent="0.2">
      <c r="A1036">
        <f t="shared" si="16"/>
        <v>3700467</v>
      </c>
      <c r="B1036" s="24">
        <v>2023</v>
      </c>
      <c r="C1036" t="s">
        <v>937</v>
      </c>
      <c r="D1036" t="s">
        <v>936</v>
      </c>
      <c r="E1036" t="s">
        <v>936</v>
      </c>
      <c r="F1036" s="11">
        <v>18438922</v>
      </c>
      <c r="G1036" s="18">
        <v>1.3870000000000001E-4</v>
      </c>
      <c r="H1036" s="11">
        <v>420940.21390000003</v>
      </c>
      <c r="I1036" s="22">
        <f>IFERROR(VLOOKUP(D1036,'LEAID Match'!$A$2:$B$184,2,FALSE),"")</f>
        <v>3700467</v>
      </c>
    </row>
    <row r="1037" spans="1:9" x14ac:dyDescent="0.2">
      <c r="A1037">
        <f t="shared" si="16"/>
        <v>3704500</v>
      </c>
      <c r="B1037" s="24">
        <v>2015</v>
      </c>
      <c r="C1037" t="s">
        <v>279</v>
      </c>
      <c r="D1037" t="s">
        <v>694</v>
      </c>
      <c r="E1037" t="s">
        <v>225</v>
      </c>
      <c r="F1037" s="11">
        <v>118289620</v>
      </c>
      <c r="G1037" s="18">
        <v>1.0342000000000001E-3</v>
      </c>
      <c r="H1037" s="11">
        <v>1306182.1896000002</v>
      </c>
      <c r="I1037" s="22">
        <f>IFERROR(VLOOKUP(D1037,'LEAID Match'!$A$2:$B$184,2,FALSE),"")</f>
        <v>3704500</v>
      </c>
    </row>
    <row r="1038" spans="1:9" x14ac:dyDescent="0.2">
      <c r="A1038">
        <f t="shared" si="16"/>
        <v>3704500</v>
      </c>
      <c r="B1038" s="24">
        <v>2016</v>
      </c>
      <c r="C1038" t="s">
        <v>279</v>
      </c>
      <c r="D1038" t="s">
        <v>694</v>
      </c>
      <c r="E1038" t="s">
        <v>694</v>
      </c>
      <c r="F1038" s="11">
        <v>109185008</v>
      </c>
      <c r="G1038" s="18">
        <v>1.0083E-3</v>
      </c>
      <c r="H1038" s="11">
        <v>1285585.5248999998</v>
      </c>
      <c r="I1038" s="22">
        <f>IFERROR(VLOOKUP(D1038,'LEAID Match'!$A$2:$B$184,2,FALSE),"")</f>
        <v>3704500</v>
      </c>
    </row>
    <row r="1039" spans="1:9" x14ac:dyDescent="0.2">
      <c r="A1039">
        <f t="shared" si="16"/>
        <v>3704500</v>
      </c>
      <c r="B1039" s="24">
        <v>2017</v>
      </c>
      <c r="C1039" t="s">
        <v>279</v>
      </c>
      <c r="D1039" t="s">
        <v>694</v>
      </c>
      <c r="E1039" t="s">
        <v>694</v>
      </c>
      <c r="F1039" s="11">
        <v>113200782</v>
      </c>
      <c r="G1039" s="18">
        <v>1.0145E-3</v>
      </c>
      <c r="H1039" s="11">
        <v>1462091.3130000001</v>
      </c>
      <c r="I1039" s="22">
        <f>IFERROR(VLOOKUP(D1039,'LEAID Match'!$A$2:$B$184,2,FALSE),"")</f>
        <v>3704500</v>
      </c>
    </row>
    <row r="1040" spans="1:9" x14ac:dyDescent="0.2">
      <c r="A1040">
        <f t="shared" si="16"/>
        <v>3704500</v>
      </c>
      <c r="B1040" s="24">
        <v>2018</v>
      </c>
      <c r="C1040" t="s">
        <v>279</v>
      </c>
      <c r="D1040" t="s">
        <v>694</v>
      </c>
      <c r="E1040" t="s">
        <v>694</v>
      </c>
      <c r="F1040" s="11">
        <v>121941606</v>
      </c>
      <c r="G1040" s="18">
        <v>1.0493E-3</v>
      </c>
      <c r="H1040" s="11">
        <v>1681924.0193</v>
      </c>
      <c r="I1040" s="22">
        <f>IFERROR(VLOOKUP(D1040,'LEAID Match'!$A$2:$B$184,2,FALSE),"")</f>
        <v>3704500</v>
      </c>
    </row>
    <row r="1041" spans="1:9" x14ac:dyDescent="0.2">
      <c r="A1041">
        <f t="shared" si="16"/>
        <v>3704500</v>
      </c>
      <c r="B1041" s="24">
        <v>2019</v>
      </c>
      <c r="C1041" t="s">
        <v>279</v>
      </c>
      <c r="D1041" t="s">
        <v>694</v>
      </c>
      <c r="E1041" t="s">
        <v>694</v>
      </c>
      <c r="F1041" s="11">
        <v>125463280</v>
      </c>
      <c r="G1041" s="18">
        <v>1.0413E-3</v>
      </c>
      <c r="H1041" s="11">
        <v>1994241.5297999999</v>
      </c>
      <c r="I1041" s="22">
        <f>IFERROR(VLOOKUP(D1041,'LEAID Match'!$A$2:$B$184,2,FALSE),"")</f>
        <v>3704500</v>
      </c>
    </row>
    <row r="1042" spans="1:9" x14ac:dyDescent="0.2">
      <c r="A1042">
        <f t="shared" si="16"/>
        <v>3704500</v>
      </c>
      <c r="B1042" s="24">
        <v>2020</v>
      </c>
      <c r="C1042" t="s">
        <v>279</v>
      </c>
      <c r="D1042" t="s">
        <v>694</v>
      </c>
      <c r="E1042" t="s">
        <v>694</v>
      </c>
      <c r="F1042" s="11">
        <v>127798301</v>
      </c>
      <c r="G1042" s="18">
        <v>1.0317E-3</v>
      </c>
      <c r="H1042" s="11">
        <v>2120220.8774999999</v>
      </c>
      <c r="I1042" s="22">
        <f>IFERROR(VLOOKUP(D1042,'LEAID Match'!$A$2:$B$184,2,FALSE),"")</f>
        <v>3704500</v>
      </c>
    </row>
    <row r="1043" spans="1:9" x14ac:dyDescent="0.2">
      <c r="A1043">
        <f t="shared" si="16"/>
        <v>3704500</v>
      </c>
      <c r="B1043" s="24">
        <v>2021</v>
      </c>
      <c r="C1043" t="s">
        <v>279</v>
      </c>
      <c r="D1043" t="s">
        <v>694</v>
      </c>
      <c r="E1043" t="s">
        <v>694</v>
      </c>
      <c r="F1043" s="11">
        <v>125325815</v>
      </c>
      <c r="G1043" s="18">
        <v>1.0013999999999999E-3</v>
      </c>
      <c r="H1043" s="11">
        <v>2376574.5527999997</v>
      </c>
      <c r="I1043" s="22">
        <f>IFERROR(VLOOKUP(D1043,'LEAID Match'!$A$2:$B$184,2,FALSE),"")</f>
        <v>3704500</v>
      </c>
    </row>
    <row r="1044" spans="1:9" x14ac:dyDescent="0.2">
      <c r="A1044">
        <f t="shared" si="16"/>
        <v>3704500</v>
      </c>
      <c r="B1044" s="24">
        <v>2022</v>
      </c>
      <c r="C1044" t="s">
        <v>279</v>
      </c>
      <c r="D1044" t="s">
        <v>694</v>
      </c>
      <c r="E1044" t="s">
        <v>694</v>
      </c>
      <c r="F1044" s="11">
        <v>121864739</v>
      </c>
      <c r="G1044" s="18">
        <v>9.6630000000000001E-4</v>
      </c>
      <c r="H1044" s="11">
        <v>2668868.4198000003</v>
      </c>
      <c r="I1044" s="22">
        <f>IFERROR(VLOOKUP(D1044,'LEAID Match'!$A$2:$B$184,2,FALSE),"")</f>
        <v>3704500</v>
      </c>
    </row>
    <row r="1045" spans="1:9" x14ac:dyDescent="0.2">
      <c r="A1045">
        <f t="shared" si="16"/>
        <v>3704500</v>
      </c>
      <c r="B1045" s="24">
        <v>2023</v>
      </c>
      <c r="C1045" t="s">
        <v>279</v>
      </c>
      <c r="D1045" t="s">
        <v>694</v>
      </c>
      <c r="E1045" t="s">
        <v>694</v>
      </c>
      <c r="F1045" s="11">
        <v>126173874</v>
      </c>
      <c r="G1045" s="18">
        <v>9.4939999999999998E-4</v>
      </c>
      <c r="H1045" s="11">
        <v>2881331.2118000002</v>
      </c>
      <c r="I1045" s="22">
        <f>IFERROR(VLOOKUP(D1045,'LEAID Match'!$A$2:$B$184,2,FALSE),"")</f>
        <v>3704500</v>
      </c>
    </row>
    <row r="1046" spans="1:9" x14ac:dyDescent="0.2">
      <c r="A1046">
        <f t="shared" si="16"/>
        <v>3701170</v>
      </c>
      <c r="B1046" s="24">
        <v>2015</v>
      </c>
      <c r="C1046" t="s">
        <v>280</v>
      </c>
      <c r="D1046" t="s">
        <v>695</v>
      </c>
      <c r="E1046" t="s">
        <v>226</v>
      </c>
      <c r="F1046" s="11">
        <v>292412290</v>
      </c>
      <c r="G1046" s="18">
        <v>2.5566999999999999E-3</v>
      </c>
      <c r="H1046" s="11">
        <v>3229081.4195999997</v>
      </c>
      <c r="I1046" s="22">
        <f>IFERROR(VLOOKUP(D1046,'LEAID Match'!$A$2:$B$184,2,FALSE),"")</f>
        <v>3701170</v>
      </c>
    </row>
    <row r="1047" spans="1:9" x14ac:dyDescent="0.2">
      <c r="A1047">
        <f t="shared" si="16"/>
        <v>3701170</v>
      </c>
      <c r="B1047" s="24">
        <v>2016</v>
      </c>
      <c r="C1047" t="s">
        <v>280</v>
      </c>
      <c r="D1047" t="s">
        <v>695</v>
      </c>
      <c r="E1047" t="s">
        <v>695</v>
      </c>
      <c r="F1047" s="11">
        <v>276566050</v>
      </c>
      <c r="G1047" s="18">
        <v>2.5539E-3</v>
      </c>
      <c r="H1047" s="11">
        <v>3256230.1617000001</v>
      </c>
      <c r="I1047" s="22">
        <f>IFERROR(VLOOKUP(D1047,'LEAID Match'!$A$2:$B$184,2,FALSE),"")</f>
        <v>3701170</v>
      </c>
    </row>
    <row r="1048" spans="1:9" x14ac:dyDescent="0.2">
      <c r="A1048">
        <f t="shared" si="16"/>
        <v>3701170</v>
      </c>
      <c r="B1048" s="24">
        <v>2017</v>
      </c>
      <c r="C1048" t="s">
        <v>280</v>
      </c>
      <c r="D1048" t="s">
        <v>695</v>
      </c>
      <c r="E1048" t="s">
        <v>695</v>
      </c>
      <c r="F1048" s="11">
        <v>276229277</v>
      </c>
      <c r="G1048" s="18">
        <v>2.4756000000000001E-3</v>
      </c>
      <c r="H1048" s="11">
        <v>3567819.8664000002</v>
      </c>
      <c r="I1048" s="22">
        <f>IFERROR(VLOOKUP(D1048,'LEAID Match'!$A$2:$B$184,2,FALSE),"")</f>
        <v>3701170</v>
      </c>
    </row>
    <row r="1049" spans="1:9" x14ac:dyDescent="0.2">
      <c r="A1049">
        <f t="shared" si="16"/>
        <v>3701170</v>
      </c>
      <c r="B1049" s="24">
        <v>2018</v>
      </c>
      <c r="C1049" t="s">
        <v>280</v>
      </c>
      <c r="D1049" t="s">
        <v>695</v>
      </c>
      <c r="E1049" t="s">
        <v>695</v>
      </c>
      <c r="F1049" s="11">
        <v>289294258</v>
      </c>
      <c r="G1049" s="18">
        <v>2.4895E-3</v>
      </c>
      <c r="H1049" s="11">
        <v>3990422.0395</v>
      </c>
      <c r="I1049" s="22">
        <f>IFERROR(VLOOKUP(D1049,'LEAID Match'!$A$2:$B$184,2,FALSE),"")</f>
        <v>3701170</v>
      </c>
    </row>
    <row r="1050" spans="1:9" x14ac:dyDescent="0.2">
      <c r="A1050">
        <f t="shared" si="16"/>
        <v>3701170</v>
      </c>
      <c r="B1050" s="24">
        <v>2019</v>
      </c>
      <c r="C1050" t="s">
        <v>280</v>
      </c>
      <c r="D1050" t="s">
        <v>695</v>
      </c>
      <c r="E1050" t="s">
        <v>695</v>
      </c>
      <c r="F1050" s="11">
        <v>296934506</v>
      </c>
      <c r="G1050" s="18">
        <v>2.4646E-3</v>
      </c>
      <c r="H1050" s="11">
        <v>4720068.8316000002</v>
      </c>
      <c r="I1050" s="22">
        <f>IFERROR(VLOOKUP(D1050,'LEAID Match'!$A$2:$B$184,2,FALSE),"")</f>
        <v>3701170</v>
      </c>
    </row>
    <row r="1051" spans="1:9" x14ac:dyDescent="0.2">
      <c r="A1051">
        <f t="shared" si="16"/>
        <v>3701170</v>
      </c>
      <c r="B1051" s="24">
        <v>2020</v>
      </c>
      <c r="C1051" t="s">
        <v>280</v>
      </c>
      <c r="D1051" t="s">
        <v>695</v>
      </c>
      <c r="E1051" t="s">
        <v>695</v>
      </c>
      <c r="F1051" s="11">
        <v>298405708</v>
      </c>
      <c r="G1051" s="18">
        <v>2.4090000000000001E-3</v>
      </c>
      <c r="H1051" s="11">
        <v>4950675.6749999998</v>
      </c>
      <c r="I1051" s="22">
        <f>IFERROR(VLOOKUP(D1051,'LEAID Match'!$A$2:$B$184,2,FALSE),"")</f>
        <v>3701170</v>
      </c>
    </row>
    <row r="1052" spans="1:9" x14ac:dyDescent="0.2">
      <c r="A1052">
        <f t="shared" si="16"/>
        <v>3701170</v>
      </c>
      <c r="B1052" s="24">
        <v>2021</v>
      </c>
      <c r="C1052" t="s">
        <v>280</v>
      </c>
      <c r="D1052" t="s">
        <v>695</v>
      </c>
      <c r="E1052" t="s">
        <v>695</v>
      </c>
      <c r="F1052" s="11">
        <v>274856328</v>
      </c>
      <c r="G1052" s="18">
        <v>2.1962000000000001E-3</v>
      </c>
      <c r="H1052" s="11">
        <v>5212136.0424000006</v>
      </c>
      <c r="I1052" s="22">
        <f>IFERROR(VLOOKUP(D1052,'LEAID Match'!$A$2:$B$184,2,FALSE),"")</f>
        <v>3701170</v>
      </c>
    </row>
    <row r="1053" spans="1:9" x14ac:dyDescent="0.2">
      <c r="A1053">
        <f t="shared" si="16"/>
        <v>3701170</v>
      </c>
      <c r="B1053" s="24">
        <v>2022</v>
      </c>
      <c r="C1053" t="s">
        <v>280</v>
      </c>
      <c r="D1053" t="s">
        <v>695</v>
      </c>
      <c r="E1053" t="s">
        <v>695</v>
      </c>
      <c r="F1053" s="11">
        <v>286188736</v>
      </c>
      <c r="G1053" s="18">
        <v>2.2691999999999999E-3</v>
      </c>
      <c r="H1053" s="11">
        <v>6267407.8631999996</v>
      </c>
      <c r="I1053" s="22">
        <f>IFERROR(VLOOKUP(D1053,'LEAID Match'!$A$2:$B$184,2,FALSE),"")</f>
        <v>3701170</v>
      </c>
    </row>
    <row r="1054" spans="1:9" x14ac:dyDescent="0.2">
      <c r="A1054">
        <f t="shared" si="16"/>
        <v>3701170</v>
      </c>
      <c r="B1054" s="24">
        <v>2023</v>
      </c>
      <c r="C1054" t="s">
        <v>280</v>
      </c>
      <c r="D1054" t="s">
        <v>695</v>
      </c>
      <c r="E1054" t="s">
        <v>695</v>
      </c>
      <c r="F1054" s="11">
        <v>307463144</v>
      </c>
      <c r="G1054" s="18">
        <v>2.3134000000000002E-3</v>
      </c>
      <c r="H1054" s="11">
        <v>7020930.7198000001</v>
      </c>
      <c r="I1054" s="22">
        <f>IFERROR(VLOOKUP(D1054,'LEAID Match'!$A$2:$B$184,2,FALSE),"")</f>
        <v>3701170</v>
      </c>
    </row>
    <row r="1055" spans="1:9" x14ac:dyDescent="0.2">
      <c r="A1055">
        <f t="shared" si="16"/>
        <v>3700321</v>
      </c>
      <c r="B1055" s="24">
        <v>2015</v>
      </c>
      <c r="C1055" t="s">
        <v>281</v>
      </c>
      <c r="D1055" t="s">
        <v>904</v>
      </c>
      <c r="E1055" t="s">
        <v>227</v>
      </c>
      <c r="F1055" s="11">
        <v>6904947</v>
      </c>
      <c r="G1055" s="18">
        <v>6.0399999999999998E-5</v>
      </c>
      <c r="H1055" s="11">
        <v>76284.475200000001</v>
      </c>
      <c r="I1055" s="22">
        <f>IFERROR(VLOOKUP(D1055,'LEAID Match'!$A$2:$B$184,2,FALSE),"")</f>
        <v>3700321</v>
      </c>
    </row>
    <row r="1056" spans="1:9" x14ac:dyDescent="0.2">
      <c r="A1056">
        <f t="shared" si="16"/>
        <v>3700321</v>
      </c>
      <c r="B1056" s="24">
        <v>2016</v>
      </c>
      <c r="C1056" t="s">
        <v>281</v>
      </c>
      <c r="D1056" t="s">
        <v>904</v>
      </c>
      <c r="E1056" t="s">
        <v>696</v>
      </c>
      <c r="F1056" s="11">
        <v>7767235</v>
      </c>
      <c r="G1056" s="18">
        <v>7.1699999999999995E-5</v>
      </c>
      <c r="H1056" s="11">
        <v>91417.715099999987</v>
      </c>
      <c r="I1056" s="22">
        <f>IFERROR(VLOOKUP(D1056,'LEAID Match'!$A$2:$B$184,2,FALSE),"")</f>
        <v>3700321</v>
      </c>
    </row>
    <row r="1057" spans="1:9" x14ac:dyDescent="0.2">
      <c r="A1057">
        <f t="shared" si="16"/>
        <v>3700321</v>
      </c>
      <c r="B1057" s="24">
        <v>2017</v>
      </c>
      <c r="C1057" t="s">
        <v>281</v>
      </c>
      <c r="D1057" t="s">
        <v>904</v>
      </c>
      <c r="E1057" t="s">
        <v>904</v>
      </c>
      <c r="F1057" s="11">
        <v>9335117</v>
      </c>
      <c r="G1057" s="18">
        <v>8.3700000000000002E-5</v>
      </c>
      <c r="H1057" s="11">
        <v>120627.9378</v>
      </c>
      <c r="I1057" s="22">
        <f>IFERROR(VLOOKUP(D1057,'LEAID Match'!$A$2:$B$184,2,FALSE),"")</f>
        <v>3700321</v>
      </c>
    </row>
    <row r="1058" spans="1:9" x14ac:dyDescent="0.2">
      <c r="A1058">
        <f t="shared" si="16"/>
        <v>3700321</v>
      </c>
      <c r="B1058" s="24">
        <v>2018</v>
      </c>
      <c r="C1058" t="s">
        <v>281</v>
      </c>
      <c r="D1058" t="s">
        <v>904</v>
      </c>
      <c r="E1058" t="s">
        <v>904</v>
      </c>
      <c r="F1058" s="11">
        <v>8872847</v>
      </c>
      <c r="G1058" s="18">
        <v>7.64E-5</v>
      </c>
      <c r="H1058" s="11">
        <v>122461.6364</v>
      </c>
      <c r="I1058" s="22">
        <f>IFERROR(VLOOKUP(D1058,'LEAID Match'!$A$2:$B$184,2,FALSE),"")</f>
        <v>3700321</v>
      </c>
    </row>
    <row r="1059" spans="1:9" x14ac:dyDescent="0.2">
      <c r="A1059">
        <f t="shared" si="16"/>
        <v>3700321</v>
      </c>
      <c r="B1059" s="24">
        <v>2019</v>
      </c>
      <c r="C1059" t="s">
        <v>281</v>
      </c>
      <c r="D1059" t="s">
        <v>904</v>
      </c>
      <c r="E1059" t="s">
        <v>904</v>
      </c>
      <c r="F1059" s="11">
        <v>7182752</v>
      </c>
      <c r="G1059" s="18">
        <v>5.9599999999999999E-5</v>
      </c>
      <c r="H1059" s="11">
        <v>114142.7016</v>
      </c>
      <c r="I1059" s="22">
        <f>IFERROR(VLOOKUP(D1059,'LEAID Match'!$A$2:$B$184,2,FALSE),"")</f>
        <v>3700321</v>
      </c>
    </row>
    <row r="1060" spans="1:9" x14ac:dyDescent="0.2">
      <c r="A1060">
        <f t="shared" si="16"/>
        <v>3700321</v>
      </c>
      <c r="B1060" s="24">
        <v>2020</v>
      </c>
      <c r="C1060" t="s">
        <v>281</v>
      </c>
      <c r="D1060" t="s">
        <v>904</v>
      </c>
      <c r="E1060" t="s">
        <v>904</v>
      </c>
      <c r="F1060" s="11">
        <v>7345812</v>
      </c>
      <c r="G1060" s="18">
        <v>5.9299999999999998E-5</v>
      </c>
      <c r="H1060" s="11">
        <v>121865.94749999999</v>
      </c>
      <c r="I1060" s="22">
        <f>IFERROR(VLOOKUP(D1060,'LEAID Match'!$A$2:$B$184,2,FALSE),"")</f>
        <v>3700321</v>
      </c>
    </row>
    <row r="1061" spans="1:9" x14ac:dyDescent="0.2">
      <c r="A1061">
        <f t="shared" si="16"/>
        <v>3700321</v>
      </c>
      <c r="B1061" s="24">
        <v>2021</v>
      </c>
      <c r="C1061" t="s">
        <v>281</v>
      </c>
      <c r="D1061" t="s">
        <v>904</v>
      </c>
      <c r="E1061" t="s">
        <v>904</v>
      </c>
      <c r="F1061" s="11">
        <v>6450400</v>
      </c>
      <c r="G1061" s="18">
        <v>5.1499999999999998E-5</v>
      </c>
      <c r="H1061" s="11">
        <v>122222.478</v>
      </c>
      <c r="I1061" s="22">
        <f>IFERROR(VLOOKUP(D1061,'LEAID Match'!$A$2:$B$184,2,FALSE),"")</f>
        <v>3700321</v>
      </c>
    </row>
    <row r="1062" spans="1:9" x14ac:dyDescent="0.2">
      <c r="A1062">
        <f t="shared" si="16"/>
        <v>3700321</v>
      </c>
      <c r="B1062" s="24">
        <v>2022</v>
      </c>
      <c r="C1062" t="s">
        <v>281</v>
      </c>
      <c r="D1062" t="s">
        <v>904</v>
      </c>
      <c r="E1062" t="s">
        <v>904</v>
      </c>
      <c r="F1062" s="11">
        <v>6527112</v>
      </c>
      <c r="G1062" s="18">
        <v>5.1799999999999999E-5</v>
      </c>
      <c r="H1062" s="11">
        <v>143068.8028</v>
      </c>
      <c r="I1062" s="22">
        <f>IFERROR(VLOOKUP(D1062,'LEAID Match'!$A$2:$B$184,2,FALSE),"")</f>
        <v>3700321</v>
      </c>
    </row>
    <row r="1063" spans="1:9" x14ac:dyDescent="0.2">
      <c r="A1063">
        <f t="shared" si="16"/>
        <v>3700321</v>
      </c>
      <c r="B1063" s="24">
        <v>2023</v>
      </c>
      <c r="C1063" t="s">
        <v>281</v>
      </c>
      <c r="D1063" t="s">
        <v>904</v>
      </c>
      <c r="E1063" t="s">
        <v>904</v>
      </c>
      <c r="F1063" s="11">
        <v>4922117</v>
      </c>
      <c r="G1063" s="18">
        <v>3.6999999999999998E-5</v>
      </c>
      <c r="H1063" s="11">
        <v>112291.189</v>
      </c>
      <c r="I1063" s="22">
        <f>IFERROR(VLOOKUP(D1063,'LEAID Match'!$A$2:$B$184,2,FALSE),"")</f>
        <v>3700321</v>
      </c>
    </row>
    <row r="1064" spans="1:9" x14ac:dyDescent="0.2">
      <c r="A1064">
        <f t="shared" si="16"/>
        <v>3700328</v>
      </c>
      <c r="B1064" s="24">
        <v>2015</v>
      </c>
      <c r="C1064" t="s">
        <v>282</v>
      </c>
      <c r="D1064" t="s">
        <v>697</v>
      </c>
      <c r="E1064" t="s">
        <v>228</v>
      </c>
      <c r="F1064" s="11">
        <v>22160174</v>
      </c>
      <c r="G1064" s="18">
        <v>1.9379999999999999E-4</v>
      </c>
      <c r="H1064" s="11">
        <v>244767.07439999998</v>
      </c>
      <c r="I1064" s="22">
        <f>IFERROR(VLOOKUP(D1064,'LEAID Match'!$A$2:$B$184,2,FALSE),"")</f>
        <v>3700328</v>
      </c>
    </row>
    <row r="1065" spans="1:9" x14ac:dyDescent="0.2">
      <c r="A1065">
        <f t="shared" si="16"/>
        <v>3700328</v>
      </c>
      <c r="B1065" s="24">
        <v>2016</v>
      </c>
      <c r="C1065" t="s">
        <v>282</v>
      </c>
      <c r="D1065" t="s">
        <v>697</v>
      </c>
      <c r="E1065" t="s">
        <v>697</v>
      </c>
      <c r="F1065" s="11">
        <v>25739396</v>
      </c>
      <c r="G1065" s="18">
        <v>2.377E-4</v>
      </c>
      <c r="H1065" s="11">
        <v>303068.21309999999</v>
      </c>
      <c r="I1065" s="22">
        <f>IFERROR(VLOOKUP(D1065,'LEAID Match'!$A$2:$B$184,2,FALSE),"")</f>
        <v>3700328</v>
      </c>
    </row>
    <row r="1066" spans="1:9" x14ac:dyDescent="0.2">
      <c r="A1066">
        <f t="shared" si="16"/>
        <v>3700328</v>
      </c>
      <c r="B1066" s="24">
        <v>2017</v>
      </c>
      <c r="C1066" t="s">
        <v>282</v>
      </c>
      <c r="D1066" t="s">
        <v>697</v>
      </c>
      <c r="E1066" t="s">
        <v>697</v>
      </c>
      <c r="F1066" s="11">
        <v>31516644</v>
      </c>
      <c r="G1066" s="18">
        <v>2.8249999999999998E-4</v>
      </c>
      <c r="H1066" s="11">
        <v>407137.30499999999</v>
      </c>
      <c r="I1066" s="22">
        <f>IFERROR(VLOOKUP(D1066,'LEAID Match'!$A$2:$B$184,2,FALSE),"")</f>
        <v>3700328</v>
      </c>
    </row>
    <row r="1067" spans="1:9" x14ac:dyDescent="0.2">
      <c r="A1067">
        <f t="shared" si="16"/>
        <v>3700328</v>
      </c>
      <c r="B1067" s="24">
        <v>2018</v>
      </c>
      <c r="C1067" t="s">
        <v>282</v>
      </c>
      <c r="D1067" t="s">
        <v>697</v>
      </c>
      <c r="E1067" t="s">
        <v>697</v>
      </c>
      <c r="F1067" s="11">
        <v>35714691</v>
      </c>
      <c r="G1067" s="18">
        <v>3.0729999999999999E-4</v>
      </c>
      <c r="H1067" s="11">
        <v>492571.47729999997</v>
      </c>
      <c r="I1067" s="22">
        <f>IFERROR(VLOOKUP(D1067,'LEAID Match'!$A$2:$B$184,2,FALSE),"")</f>
        <v>3700328</v>
      </c>
    </row>
    <row r="1068" spans="1:9" x14ac:dyDescent="0.2">
      <c r="A1068">
        <f t="shared" si="16"/>
        <v>3700328</v>
      </c>
      <c r="B1068" s="24">
        <v>2019</v>
      </c>
      <c r="C1068" t="s">
        <v>282</v>
      </c>
      <c r="D1068" t="s">
        <v>697</v>
      </c>
      <c r="E1068" t="s">
        <v>697</v>
      </c>
      <c r="F1068" s="11">
        <v>39565436</v>
      </c>
      <c r="G1068" s="18">
        <v>3.2840000000000001E-4</v>
      </c>
      <c r="H1068" s="11">
        <v>628933.94640000002</v>
      </c>
      <c r="I1068" s="22">
        <f>IFERROR(VLOOKUP(D1068,'LEAID Match'!$A$2:$B$184,2,FALSE),"")</f>
        <v>3700328</v>
      </c>
    </row>
    <row r="1069" spans="1:9" x14ac:dyDescent="0.2">
      <c r="A1069">
        <f t="shared" si="16"/>
        <v>3700328</v>
      </c>
      <c r="B1069" s="24">
        <v>2020</v>
      </c>
      <c r="C1069" t="s">
        <v>282</v>
      </c>
      <c r="D1069" t="s">
        <v>697</v>
      </c>
      <c r="E1069" t="s">
        <v>697</v>
      </c>
      <c r="F1069" s="11">
        <v>42613068</v>
      </c>
      <c r="G1069" s="18">
        <v>3.4400000000000001E-4</v>
      </c>
      <c r="H1069" s="11">
        <v>706945.8</v>
      </c>
      <c r="I1069" s="22">
        <f>IFERROR(VLOOKUP(D1069,'LEAID Match'!$A$2:$B$184,2,FALSE),"")</f>
        <v>3700328</v>
      </c>
    </row>
    <row r="1070" spans="1:9" x14ac:dyDescent="0.2">
      <c r="A1070">
        <f t="shared" si="16"/>
        <v>3700328</v>
      </c>
      <c r="B1070" s="24">
        <v>2021</v>
      </c>
      <c r="C1070" t="s">
        <v>282</v>
      </c>
      <c r="D1070" t="s">
        <v>697</v>
      </c>
      <c r="E1070" t="s">
        <v>697</v>
      </c>
      <c r="F1070" s="11">
        <v>44727258</v>
      </c>
      <c r="G1070" s="18">
        <v>3.5740000000000001E-4</v>
      </c>
      <c r="H1070" s="11">
        <v>848200.2648</v>
      </c>
      <c r="I1070" s="22">
        <f>IFERROR(VLOOKUP(D1070,'LEAID Match'!$A$2:$B$184,2,FALSE),"")</f>
        <v>3700328</v>
      </c>
    </row>
    <row r="1071" spans="1:9" x14ac:dyDescent="0.2">
      <c r="A1071">
        <f t="shared" si="16"/>
        <v>3700328</v>
      </c>
      <c r="B1071" s="24">
        <v>2022</v>
      </c>
      <c r="C1071" t="s">
        <v>282</v>
      </c>
      <c r="D1071" t="s">
        <v>697</v>
      </c>
      <c r="E1071" t="s">
        <v>697</v>
      </c>
      <c r="F1071" s="11">
        <v>47558975</v>
      </c>
      <c r="G1071" s="18">
        <v>3.771E-4</v>
      </c>
      <c r="H1071" s="11">
        <v>1041529.8366</v>
      </c>
      <c r="I1071" s="22">
        <f>IFERROR(VLOOKUP(D1071,'LEAID Match'!$A$2:$B$184,2,FALSE),"")</f>
        <v>3700328</v>
      </c>
    </row>
    <row r="1072" spans="1:9" x14ac:dyDescent="0.2">
      <c r="A1072">
        <f t="shared" si="16"/>
        <v>3700328</v>
      </c>
      <c r="B1072" s="24">
        <v>2023</v>
      </c>
      <c r="C1072" t="s">
        <v>282</v>
      </c>
      <c r="D1072" t="s">
        <v>697</v>
      </c>
      <c r="E1072" t="s">
        <v>697</v>
      </c>
      <c r="F1072" s="11">
        <v>50983923</v>
      </c>
      <c r="G1072" s="18">
        <v>3.836E-4</v>
      </c>
      <c r="H1072" s="11">
        <v>1164186.4892</v>
      </c>
      <c r="I1072" s="22">
        <f>IFERROR(VLOOKUP(D1072,'LEAID Match'!$A$2:$B$184,2,FALSE),"")</f>
        <v>3700328</v>
      </c>
    </row>
    <row r="1073" spans="1:9" x14ac:dyDescent="0.2">
      <c r="A1073">
        <f t="shared" si="16"/>
        <v>3701200</v>
      </c>
      <c r="B1073" s="24">
        <v>2015</v>
      </c>
      <c r="C1073" t="s">
        <v>283</v>
      </c>
      <c r="D1073" t="s">
        <v>698</v>
      </c>
      <c r="E1073" t="s">
        <v>229</v>
      </c>
      <c r="F1073" s="11">
        <v>412311514</v>
      </c>
      <c r="G1073" s="18">
        <v>3.6050000000000001E-3</v>
      </c>
      <c r="H1073" s="11">
        <v>4553071.74</v>
      </c>
      <c r="I1073" s="22">
        <f>IFERROR(VLOOKUP(D1073,'LEAID Match'!$A$2:$B$184,2,FALSE),"")</f>
        <v>3701200</v>
      </c>
    </row>
    <row r="1074" spans="1:9" x14ac:dyDescent="0.2">
      <c r="A1074">
        <f t="shared" si="16"/>
        <v>3701200</v>
      </c>
      <c r="B1074" s="24">
        <v>2016</v>
      </c>
      <c r="C1074" t="s">
        <v>283</v>
      </c>
      <c r="D1074" t="s">
        <v>698</v>
      </c>
      <c r="E1074" t="s">
        <v>698</v>
      </c>
      <c r="F1074" s="11">
        <v>398393290</v>
      </c>
      <c r="G1074" s="18">
        <v>3.6789000000000001E-3</v>
      </c>
      <c r="H1074" s="11">
        <v>4690608.5367000001</v>
      </c>
      <c r="I1074" s="22">
        <f>IFERROR(VLOOKUP(D1074,'LEAID Match'!$A$2:$B$184,2,FALSE),"")</f>
        <v>3701200</v>
      </c>
    </row>
    <row r="1075" spans="1:9" x14ac:dyDescent="0.2">
      <c r="A1075">
        <f t="shared" si="16"/>
        <v>3701200</v>
      </c>
      <c r="B1075" s="24">
        <v>2017</v>
      </c>
      <c r="C1075" t="s">
        <v>283</v>
      </c>
      <c r="D1075" t="s">
        <v>698</v>
      </c>
      <c r="E1075" t="s">
        <v>698</v>
      </c>
      <c r="F1075" s="11">
        <v>397257673</v>
      </c>
      <c r="G1075" s="18">
        <v>3.5601999999999999E-3</v>
      </c>
      <c r="H1075" s="11">
        <v>5130938.8788000001</v>
      </c>
      <c r="I1075" s="22">
        <f>IFERROR(VLOOKUP(D1075,'LEAID Match'!$A$2:$B$184,2,FALSE),"")</f>
        <v>3701200</v>
      </c>
    </row>
    <row r="1076" spans="1:9" x14ac:dyDescent="0.2">
      <c r="A1076">
        <f t="shared" si="16"/>
        <v>3701200</v>
      </c>
      <c r="B1076" s="24">
        <v>2018</v>
      </c>
      <c r="C1076" t="s">
        <v>283</v>
      </c>
      <c r="D1076" t="s">
        <v>698</v>
      </c>
      <c r="E1076" t="s">
        <v>698</v>
      </c>
      <c r="F1076" s="11">
        <v>402158623</v>
      </c>
      <c r="G1076" s="18">
        <v>3.4607000000000001E-3</v>
      </c>
      <c r="H1076" s="11">
        <v>5547159.4907</v>
      </c>
      <c r="I1076" s="22">
        <f>IFERROR(VLOOKUP(D1076,'LEAID Match'!$A$2:$B$184,2,FALSE),"")</f>
        <v>3701200</v>
      </c>
    </row>
    <row r="1077" spans="1:9" x14ac:dyDescent="0.2">
      <c r="A1077">
        <f t="shared" si="16"/>
        <v>3701200</v>
      </c>
      <c r="B1077" s="24">
        <v>2019</v>
      </c>
      <c r="C1077" t="s">
        <v>283</v>
      </c>
      <c r="D1077" t="s">
        <v>698</v>
      </c>
      <c r="E1077" t="s">
        <v>698</v>
      </c>
      <c r="F1077" s="11">
        <v>402294486</v>
      </c>
      <c r="G1077" s="18">
        <v>3.339E-3</v>
      </c>
      <c r="H1077" s="11">
        <v>6394672.4939999999</v>
      </c>
      <c r="I1077" s="22">
        <f>IFERROR(VLOOKUP(D1077,'LEAID Match'!$A$2:$B$184,2,FALSE),"")</f>
        <v>3701200</v>
      </c>
    </row>
    <row r="1078" spans="1:9" x14ac:dyDescent="0.2">
      <c r="A1078">
        <f t="shared" si="16"/>
        <v>3701200</v>
      </c>
      <c r="B1078" s="24">
        <v>2020</v>
      </c>
      <c r="C1078" t="s">
        <v>283</v>
      </c>
      <c r="D1078" t="s">
        <v>698</v>
      </c>
      <c r="E1078" t="s">
        <v>698</v>
      </c>
      <c r="F1078" s="11">
        <v>404107863</v>
      </c>
      <c r="G1078" s="18">
        <v>3.2623000000000001E-3</v>
      </c>
      <c r="H1078" s="11">
        <v>6704271.1725000003</v>
      </c>
      <c r="I1078" s="22">
        <f>IFERROR(VLOOKUP(D1078,'LEAID Match'!$A$2:$B$184,2,FALSE),"")</f>
        <v>3701200</v>
      </c>
    </row>
    <row r="1079" spans="1:9" x14ac:dyDescent="0.2">
      <c r="A1079">
        <f t="shared" si="16"/>
        <v>3701200</v>
      </c>
      <c r="B1079" s="24">
        <v>2021</v>
      </c>
      <c r="C1079" t="s">
        <v>283</v>
      </c>
      <c r="D1079" t="s">
        <v>698</v>
      </c>
      <c r="E1079" t="s">
        <v>698</v>
      </c>
      <c r="F1079" s="11">
        <v>401749721</v>
      </c>
      <c r="G1079" s="18">
        <v>3.2101E-3</v>
      </c>
      <c r="H1079" s="11">
        <v>7618376.2451999998</v>
      </c>
      <c r="I1079" s="22">
        <f>IFERROR(VLOOKUP(D1079,'LEAID Match'!$A$2:$B$184,2,FALSE),"")</f>
        <v>3701200</v>
      </c>
    </row>
    <row r="1080" spans="1:9" x14ac:dyDescent="0.2">
      <c r="A1080">
        <f t="shared" si="16"/>
        <v>3701200</v>
      </c>
      <c r="B1080" s="24">
        <v>2022</v>
      </c>
      <c r="C1080" t="s">
        <v>283</v>
      </c>
      <c r="D1080" t="s">
        <v>698</v>
      </c>
      <c r="E1080" t="s">
        <v>698</v>
      </c>
      <c r="F1080" s="11">
        <v>407737048</v>
      </c>
      <c r="G1080" s="18">
        <v>3.2328999999999999E-3</v>
      </c>
      <c r="H1080" s="11">
        <v>8929095.2234000005</v>
      </c>
      <c r="I1080" s="22">
        <f>IFERROR(VLOOKUP(D1080,'LEAID Match'!$A$2:$B$184,2,FALSE),"")</f>
        <v>3701200</v>
      </c>
    </row>
    <row r="1081" spans="1:9" x14ac:dyDescent="0.2">
      <c r="A1081">
        <f t="shared" si="16"/>
        <v>3701200</v>
      </c>
      <c r="B1081" s="24">
        <v>2023</v>
      </c>
      <c r="C1081" t="s">
        <v>283</v>
      </c>
      <c r="D1081" t="s">
        <v>698</v>
      </c>
      <c r="E1081" t="s">
        <v>698</v>
      </c>
      <c r="F1081" s="11">
        <v>440242253</v>
      </c>
      <c r="G1081" s="18">
        <v>3.3124999999999999E-3</v>
      </c>
      <c r="H1081" s="11">
        <v>10053096.3125</v>
      </c>
      <c r="I1081" s="22">
        <f>IFERROR(VLOOKUP(D1081,'LEAID Match'!$A$2:$B$184,2,FALSE),"")</f>
        <v>3701200</v>
      </c>
    </row>
    <row r="1082" spans="1:9" x14ac:dyDescent="0.2">
      <c r="A1082" t="str">
        <f t="shared" si="16"/>
        <v/>
      </c>
      <c r="B1082" s="24">
        <v>2015</v>
      </c>
      <c r="C1082" t="s">
        <v>284</v>
      </c>
      <c r="D1082" t="s">
        <v>699</v>
      </c>
      <c r="E1082" t="s">
        <v>230</v>
      </c>
      <c r="F1082" s="11">
        <v>48959603</v>
      </c>
      <c r="G1082" s="18">
        <v>4.281E-4</v>
      </c>
      <c r="H1082" s="11">
        <v>540685.16280000005</v>
      </c>
      <c r="I1082" s="22" t="str">
        <f>IFERROR(VLOOKUP(D1082,'LEAID Match'!$A$2:$B$184,2,FALSE),"")</f>
        <v/>
      </c>
    </row>
    <row r="1083" spans="1:9" x14ac:dyDescent="0.2">
      <c r="A1083" t="str">
        <f t="shared" si="16"/>
        <v/>
      </c>
      <c r="B1083" s="24">
        <v>2016</v>
      </c>
      <c r="C1083" t="s">
        <v>284</v>
      </c>
      <c r="D1083" t="s">
        <v>699</v>
      </c>
      <c r="E1083" t="s">
        <v>699</v>
      </c>
      <c r="F1083" s="11">
        <v>42688567</v>
      </c>
      <c r="G1083" s="18">
        <v>3.9419999999999999E-4</v>
      </c>
      <c r="H1083" s="11">
        <v>502606.1826</v>
      </c>
      <c r="I1083" s="22" t="str">
        <f>IFERROR(VLOOKUP(D1083,'LEAID Match'!$A$2:$B$184,2,FALSE),"")</f>
        <v/>
      </c>
    </row>
    <row r="1084" spans="1:9" x14ac:dyDescent="0.2">
      <c r="A1084" t="str">
        <f t="shared" si="16"/>
        <v/>
      </c>
      <c r="B1084" s="24">
        <v>2017</v>
      </c>
      <c r="C1084" t="s">
        <v>284</v>
      </c>
      <c r="D1084" t="s">
        <v>699</v>
      </c>
      <c r="E1084" t="s">
        <v>699</v>
      </c>
      <c r="F1084" s="11">
        <v>44967033</v>
      </c>
      <c r="G1084" s="18">
        <v>4.0299999999999998E-4</v>
      </c>
      <c r="H1084" s="11">
        <v>580801.18200000003</v>
      </c>
      <c r="I1084" s="22" t="str">
        <f>IFERROR(VLOOKUP(D1084,'LEAID Match'!$A$2:$B$184,2,FALSE),"")</f>
        <v/>
      </c>
    </row>
    <row r="1085" spans="1:9" x14ac:dyDescent="0.2">
      <c r="A1085" t="str">
        <f t="shared" si="16"/>
        <v/>
      </c>
      <c r="B1085" s="24">
        <v>2018</v>
      </c>
      <c r="C1085" t="s">
        <v>284</v>
      </c>
      <c r="D1085" t="s">
        <v>699</v>
      </c>
      <c r="E1085" t="s">
        <v>699</v>
      </c>
      <c r="F1085" s="11">
        <v>45817028</v>
      </c>
      <c r="G1085" s="18">
        <v>3.9429999999999999E-4</v>
      </c>
      <c r="H1085" s="11">
        <v>632023.86430000002</v>
      </c>
      <c r="I1085" s="22" t="str">
        <f>IFERROR(VLOOKUP(D1085,'LEAID Match'!$A$2:$B$184,2,FALSE),"")</f>
        <v/>
      </c>
    </row>
    <row r="1086" spans="1:9" x14ac:dyDescent="0.2">
      <c r="A1086" t="str">
        <f t="shared" si="16"/>
        <v/>
      </c>
      <c r="B1086" s="24">
        <v>2019</v>
      </c>
      <c r="C1086" t="s">
        <v>284</v>
      </c>
      <c r="D1086" t="s">
        <v>699</v>
      </c>
      <c r="E1086" t="s">
        <v>699</v>
      </c>
      <c r="F1086" s="11">
        <v>44241501</v>
      </c>
      <c r="G1086" s="18">
        <v>3.6719999999999998E-4</v>
      </c>
      <c r="H1086" s="11">
        <v>703241.61119999993</v>
      </c>
      <c r="I1086" s="22" t="str">
        <f>IFERROR(VLOOKUP(D1086,'LEAID Match'!$A$2:$B$184,2,FALSE),"")</f>
        <v/>
      </c>
    </row>
    <row r="1087" spans="1:9" x14ac:dyDescent="0.2">
      <c r="A1087" t="str">
        <f t="shared" si="16"/>
        <v/>
      </c>
      <c r="B1087" s="24">
        <v>2020</v>
      </c>
      <c r="C1087" t="s">
        <v>284</v>
      </c>
      <c r="D1087" t="s">
        <v>699</v>
      </c>
      <c r="E1087" t="s">
        <v>699</v>
      </c>
      <c r="F1087" s="11">
        <v>46927700</v>
      </c>
      <c r="G1087" s="18">
        <v>3.7879999999999999E-4</v>
      </c>
      <c r="H1087" s="11">
        <v>778462.41</v>
      </c>
      <c r="I1087" s="22" t="str">
        <f>IFERROR(VLOOKUP(D1087,'LEAID Match'!$A$2:$B$184,2,FALSE),"")</f>
        <v/>
      </c>
    </row>
    <row r="1088" spans="1:9" x14ac:dyDescent="0.2">
      <c r="A1088" t="str">
        <f t="shared" si="16"/>
        <v/>
      </c>
      <c r="B1088" s="24">
        <v>2021</v>
      </c>
      <c r="C1088" t="s">
        <v>284</v>
      </c>
      <c r="D1088" t="s">
        <v>699</v>
      </c>
      <c r="E1088" t="s">
        <v>699</v>
      </c>
      <c r="F1088" s="11">
        <v>48665138</v>
      </c>
      <c r="G1088" s="18">
        <v>3.8890000000000002E-4</v>
      </c>
      <c r="H1088" s="11">
        <v>922957.70280000009</v>
      </c>
      <c r="I1088" s="22" t="str">
        <f>IFERROR(VLOOKUP(D1088,'LEAID Match'!$A$2:$B$184,2,FALSE),"")</f>
        <v/>
      </c>
    </row>
    <row r="1089" spans="1:9" x14ac:dyDescent="0.2">
      <c r="A1089" t="str">
        <f t="shared" si="16"/>
        <v/>
      </c>
      <c r="B1089" s="24">
        <v>2022</v>
      </c>
      <c r="C1089" t="s">
        <v>284</v>
      </c>
      <c r="D1089" t="s">
        <v>699</v>
      </c>
      <c r="E1089" t="s">
        <v>699</v>
      </c>
      <c r="F1089" s="11">
        <v>51278380</v>
      </c>
      <c r="G1089" s="18">
        <v>4.0660000000000002E-4</v>
      </c>
      <c r="H1089" s="11">
        <v>1123007.2436000002</v>
      </c>
      <c r="I1089" s="22" t="str">
        <f>IFERROR(VLOOKUP(D1089,'LEAID Match'!$A$2:$B$184,2,FALSE),"")</f>
        <v/>
      </c>
    </row>
    <row r="1090" spans="1:9" x14ac:dyDescent="0.2">
      <c r="A1090" t="str">
        <f t="shared" si="16"/>
        <v/>
      </c>
      <c r="B1090" s="24">
        <v>2023</v>
      </c>
      <c r="C1090" t="s">
        <v>284</v>
      </c>
      <c r="D1090" t="s">
        <v>699</v>
      </c>
      <c r="E1090" t="s">
        <v>699</v>
      </c>
      <c r="F1090" s="11">
        <v>58008058</v>
      </c>
      <c r="G1090" s="18">
        <v>4.3649999999999998E-4</v>
      </c>
      <c r="H1090" s="11">
        <v>1324732.5404999999</v>
      </c>
      <c r="I1090" s="22" t="str">
        <f>IFERROR(VLOOKUP(D1090,'LEAID Match'!$A$2:$B$184,2,FALSE),"")</f>
        <v/>
      </c>
    </row>
    <row r="1091" spans="1:9" x14ac:dyDescent="0.2">
      <c r="A1091">
        <f t="shared" ref="A1091:A1154" si="17">I1091</f>
        <v>3701260</v>
      </c>
      <c r="B1091" s="24">
        <v>2015</v>
      </c>
      <c r="C1091" t="s">
        <v>285</v>
      </c>
      <c r="D1091" t="s">
        <v>700</v>
      </c>
      <c r="E1091" t="s">
        <v>231</v>
      </c>
      <c r="F1091" s="11">
        <v>1762397953</v>
      </c>
      <c r="G1091" s="18">
        <v>1.54092E-2</v>
      </c>
      <c r="H1091" s="11">
        <v>19461634.689599998</v>
      </c>
      <c r="I1091" s="22">
        <f>IFERROR(VLOOKUP(D1091,'LEAID Match'!$A$2:$B$184,2,FALSE),"")</f>
        <v>3701260</v>
      </c>
    </row>
    <row r="1092" spans="1:9" x14ac:dyDescent="0.2">
      <c r="A1092">
        <f t="shared" si="17"/>
        <v>3701260</v>
      </c>
      <c r="B1092" s="24">
        <v>2016</v>
      </c>
      <c r="C1092" t="s">
        <v>285</v>
      </c>
      <c r="D1092" t="s">
        <v>700</v>
      </c>
      <c r="E1092" t="s">
        <v>700</v>
      </c>
      <c r="F1092" s="11">
        <v>1709441085</v>
      </c>
      <c r="G1092" s="18">
        <v>1.57856E-2</v>
      </c>
      <c r="H1092" s="11">
        <v>20126687.356800001</v>
      </c>
      <c r="I1092" s="22">
        <f>IFERROR(VLOOKUP(D1092,'LEAID Match'!$A$2:$B$184,2,FALSE),"")</f>
        <v>3701260</v>
      </c>
    </row>
    <row r="1093" spans="1:9" x14ac:dyDescent="0.2">
      <c r="A1093">
        <f t="shared" si="17"/>
        <v>3701260</v>
      </c>
      <c r="B1093" s="24">
        <v>2017</v>
      </c>
      <c r="C1093" t="s">
        <v>285</v>
      </c>
      <c r="D1093" t="s">
        <v>700</v>
      </c>
      <c r="E1093" t="s">
        <v>700</v>
      </c>
      <c r="F1093" s="11">
        <v>1731244671</v>
      </c>
      <c r="G1093" s="18">
        <v>1.55155E-2</v>
      </c>
      <c r="H1093" s="11">
        <v>22360845.506999999</v>
      </c>
      <c r="I1093" s="22">
        <f>IFERROR(VLOOKUP(D1093,'LEAID Match'!$A$2:$B$184,2,FALSE),"")</f>
        <v>3701260</v>
      </c>
    </row>
    <row r="1094" spans="1:9" x14ac:dyDescent="0.2">
      <c r="A1094">
        <f t="shared" si="17"/>
        <v>3701260</v>
      </c>
      <c r="B1094" s="24">
        <v>2018</v>
      </c>
      <c r="C1094" t="s">
        <v>285</v>
      </c>
      <c r="D1094" t="s">
        <v>700</v>
      </c>
      <c r="E1094" t="s">
        <v>700</v>
      </c>
      <c r="F1094" s="11">
        <v>1772574700</v>
      </c>
      <c r="G1094" s="18">
        <v>1.52535E-2</v>
      </c>
      <c r="H1094" s="11">
        <v>24449850.403499998</v>
      </c>
      <c r="I1094" s="22">
        <f>IFERROR(VLOOKUP(D1094,'LEAID Match'!$A$2:$B$184,2,FALSE),"")</f>
        <v>3701260</v>
      </c>
    </row>
    <row r="1095" spans="1:9" x14ac:dyDescent="0.2">
      <c r="A1095">
        <f t="shared" si="17"/>
        <v>3701260</v>
      </c>
      <c r="B1095" s="24">
        <v>2019</v>
      </c>
      <c r="C1095" t="s">
        <v>285</v>
      </c>
      <c r="D1095" t="s">
        <v>700</v>
      </c>
      <c r="E1095" t="s">
        <v>700</v>
      </c>
      <c r="F1095" s="11">
        <v>1901961297</v>
      </c>
      <c r="G1095" s="18">
        <v>1.57863E-2</v>
      </c>
      <c r="H1095" s="11">
        <v>30233069.299800001</v>
      </c>
      <c r="I1095" s="22">
        <f>IFERROR(VLOOKUP(D1095,'LEAID Match'!$A$2:$B$184,2,FALSE),"")</f>
        <v>3701260</v>
      </c>
    </row>
    <row r="1096" spans="1:9" x14ac:dyDescent="0.2">
      <c r="A1096">
        <f t="shared" si="17"/>
        <v>3701260</v>
      </c>
      <c r="B1096" s="24">
        <v>2020</v>
      </c>
      <c r="C1096" t="s">
        <v>285</v>
      </c>
      <c r="D1096" t="s">
        <v>700</v>
      </c>
      <c r="E1096" t="s">
        <v>700</v>
      </c>
      <c r="F1096" s="11">
        <v>1997627368</v>
      </c>
      <c r="G1096" s="18">
        <v>1.6126600000000001E-2</v>
      </c>
      <c r="H1096" s="11">
        <v>33141372.495000001</v>
      </c>
      <c r="I1096" s="22">
        <f>IFERROR(VLOOKUP(D1096,'LEAID Match'!$A$2:$B$184,2,FALSE),"")</f>
        <v>3701260</v>
      </c>
    </row>
    <row r="1097" spans="1:9" x14ac:dyDescent="0.2">
      <c r="A1097">
        <f t="shared" si="17"/>
        <v>3701260</v>
      </c>
      <c r="B1097" s="24">
        <v>2021</v>
      </c>
      <c r="C1097" t="s">
        <v>285</v>
      </c>
      <c r="D1097" t="s">
        <v>700</v>
      </c>
      <c r="E1097" t="s">
        <v>700</v>
      </c>
      <c r="F1097" s="11">
        <v>1958240745</v>
      </c>
      <c r="G1097" s="18">
        <v>1.5647100000000001E-2</v>
      </c>
      <c r="H1097" s="11">
        <v>37134511.369199999</v>
      </c>
      <c r="I1097" s="22">
        <f>IFERROR(VLOOKUP(D1097,'LEAID Match'!$A$2:$B$184,2,FALSE),"")</f>
        <v>3701260</v>
      </c>
    </row>
    <row r="1098" spans="1:9" x14ac:dyDescent="0.2">
      <c r="A1098">
        <f t="shared" si="17"/>
        <v>3701260</v>
      </c>
      <c r="B1098" s="24">
        <v>2022</v>
      </c>
      <c r="C1098" t="s">
        <v>285</v>
      </c>
      <c r="D1098" t="s">
        <v>700</v>
      </c>
      <c r="E1098" t="s">
        <v>700</v>
      </c>
      <c r="F1098" s="11">
        <v>2037253879</v>
      </c>
      <c r="G1098" s="18">
        <v>1.6153299999999999E-2</v>
      </c>
      <c r="H1098" s="11">
        <v>44614542.321799994</v>
      </c>
      <c r="I1098" s="22">
        <f>IFERROR(VLOOKUP(D1098,'LEAID Match'!$A$2:$B$184,2,FALSE),"")</f>
        <v>3701260</v>
      </c>
    </row>
    <row r="1099" spans="1:9" x14ac:dyDescent="0.2">
      <c r="A1099">
        <f t="shared" si="17"/>
        <v>3701260</v>
      </c>
      <c r="B1099" s="24">
        <v>2023</v>
      </c>
      <c r="C1099" t="s">
        <v>285</v>
      </c>
      <c r="D1099" t="s">
        <v>700</v>
      </c>
      <c r="E1099" t="s">
        <v>700</v>
      </c>
      <c r="F1099" s="11">
        <v>2102979180</v>
      </c>
      <c r="G1099" s="18">
        <v>1.5823400000000001E-2</v>
      </c>
      <c r="H1099" s="11">
        <v>48022389.189800002</v>
      </c>
      <c r="I1099" s="22">
        <f>IFERROR(VLOOKUP(D1099,'LEAID Match'!$A$2:$B$184,2,FALSE),"")</f>
        <v>3701260</v>
      </c>
    </row>
    <row r="1100" spans="1:9" x14ac:dyDescent="0.2">
      <c r="A1100">
        <f t="shared" si="17"/>
        <v>3700130</v>
      </c>
      <c r="B1100" s="24">
        <v>2015</v>
      </c>
      <c r="C1100" t="s">
        <v>286</v>
      </c>
      <c r="D1100" t="s">
        <v>905</v>
      </c>
      <c r="E1100" t="s">
        <v>232</v>
      </c>
      <c r="F1100" s="11">
        <v>18047745</v>
      </c>
      <c r="G1100" s="18">
        <v>1.5779999999999999E-4</v>
      </c>
      <c r="H1100" s="11">
        <v>199299.50639999998</v>
      </c>
      <c r="I1100" s="22">
        <f>IFERROR(VLOOKUP(D1100,'LEAID Match'!$A$2:$B$184,2,FALSE),"")</f>
        <v>3700130</v>
      </c>
    </row>
    <row r="1101" spans="1:9" x14ac:dyDescent="0.2">
      <c r="A1101">
        <f t="shared" si="17"/>
        <v>3700130</v>
      </c>
      <c r="B1101" s="24">
        <v>2016</v>
      </c>
      <c r="C1101" t="s">
        <v>286</v>
      </c>
      <c r="D1101" t="s">
        <v>905</v>
      </c>
      <c r="E1101" t="s">
        <v>701</v>
      </c>
      <c r="F1101" s="11">
        <v>19887448</v>
      </c>
      <c r="G1101" s="18">
        <v>1.8359999999999999E-4</v>
      </c>
      <c r="H1101" s="11">
        <v>234090.5508</v>
      </c>
      <c r="I1101" s="22">
        <f>IFERROR(VLOOKUP(D1101,'LEAID Match'!$A$2:$B$184,2,FALSE),"")</f>
        <v>3700130</v>
      </c>
    </row>
    <row r="1102" spans="1:9" x14ac:dyDescent="0.2">
      <c r="A1102">
        <f t="shared" si="17"/>
        <v>3700130</v>
      </c>
      <c r="B1102" s="24">
        <v>2017</v>
      </c>
      <c r="C1102" t="s">
        <v>286</v>
      </c>
      <c r="D1102" t="s">
        <v>905</v>
      </c>
      <c r="E1102" t="s">
        <v>905</v>
      </c>
      <c r="F1102" s="11">
        <v>25217314</v>
      </c>
      <c r="G1102" s="18">
        <v>2.2599999999999999E-4</v>
      </c>
      <c r="H1102" s="11">
        <v>325709.84399999998</v>
      </c>
      <c r="I1102" s="22">
        <f>IFERROR(VLOOKUP(D1102,'LEAID Match'!$A$2:$B$184,2,FALSE),"")</f>
        <v>3700130</v>
      </c>
    </row>
    <row r="1103" spans="1:9" x14ac:dyDescent="0.2">
      <c r="A1103">
        <f t="shared" si="17"/>
        <v>3700130</v>
      </c>
      <c r="B1103" s="24">
        <v>2018</v>
      </c>
      <c r="C1103" t="s">
        <v>286</v>
      </c>
      <c r="D1103" t="s">
        <v>905</v>
      </c>
      <c r="E1103" t="s">
        <v>905</v>
      </c>
      <c r="F1103" s="11">
        <v>30834506</v>
      </c>
      <c r="G1103" s="18">
        <v>2.653E-4</v>
      </c>
      <c r="H1103" s="11">
        <v>425249.63530000002</v>
      </c>
      <c r="I1103" s="22">
        <f>IFERROR(VLOOKUP(D1103,'LEAID Match'!$A$2:$B$184,2,FALSE),"")</f>
        <v>3700130</v>
      </c>
    </row>
    <row r="1104" spans="1:9" x14ac:dyDescent="0.2">
      <c r="A1104">
        <f t="shared" si="17"/>
        <v>3700130</v>
      </c>
      <c r="B1104" s="24">
        <v>2019</v>
      </c>
      <c r="C1104" t="s">
        <v>286</v>
      </c>
      <c r="D1104" t="s">
        <v>905</v>
      </c>
      <c r="E1104" t="s">
        <v>905</v>
      </c>
      <c r="F1104" s="11">
        <v>31166538</v>
      </c>
      <c r="G1104" s="18">
        <v>2.587E-4</v>
      </c>
      <c r="H1104" s="11">
        <v>495448.27020000003</v>
      </c>
      <c r="I1104" s="22">
        <f>IFERROR(VLOOKUP(D1104,'LEAID Match'!$A$2:$B$184,2,FALSE),"")</f>
        <v>3700130</v>
      </c>
    </row>
    <row r="1105" spans="1:9" x14ac:dyDescent="0.2">
      <c r="A1105">
        <f t="shared" si="17"/>
        <v>3700130</v>
      </c>
      <c r="B1105" s="24">
        <v>2020</v>
      </c>
      <c r="C1105" t="s">
        <v>286</v>
      </c>
      <c r="D1105" t="s">
        <v>905</v>
      </c>
      <c r="E1105" t="s">
        <v>905</v>
      </c>
      <c r="F1105" s="11">
        <v>34183901</v>
      </c>
      <c r="G1105" s="18">
        <v>2.7599999999999999E-4</v>
      </c>
      <c r="H1105" s="11">
        <v>567200.69999999995</v>
      </c>
      <c r="I1105" s="22">
        <f>IFERROR(VLOOKUP(D1105,'LEAID Match'!$A$2:$B$184,2,FALSE),"")</f>
        <v>3700130</v>
      </c>
    </row>
    <row r="1106" spans="1:9" x14ac:dyDescent="0.2">
      <c r="A1106">
        <f t="shared" si="17"/>
        <v>3700130</v>
      </c>
      <c r="B1106" s="24">
        <v>2021</v>
      </c>
      <c r="C1106" t="s">
        <v>286</v>
      </c>
      <c r="D1106" t="s">
        <v>905</v>
      </c>
      <c r="E1106" t="s">
        <v>905</v>
      </c>
      <c r="F1106" s="11">
        <v>35024609</v>
      </c>
      <c r="G1106" s="18">
        <v>2.7989999999999997E-4</v>
      </c>
      <c r="H1106" s="11">
        <v>664273.23479999998</v>
      </c>
      <c r="I1106" s="22">
        <f>IFERROR(VLOOKUP(D1106,'LEAID Match'!$A$2:$B$184,2,FALSE),"")</f>
        <v>3700130</v>
      </c>
    </row>
    <row r="1107" spans="1:9" x14ac:dyDescent="0.2">
      <c r="A1107">
        <f t="shared" si="17"/>
        <v>3700130</v>
      </c>
      <c r="B1107" s="24">
        <v>2022</v>
      </c>
      <c r="C1107" t="s">
        <v>286</v>
      </c>
      <c r="D1107" t="s">
        <v>905</v>
      </c>
      <c r="E1107" t="s">
        <v>905</v>
      </c>
      <c r="F1107" s="11">
        <v>43152303</v>
      </c>
      <c r="G1107" s="18">
        <v>3.4220000000000002E-4</v>
      </c>
      <c r="H1107" s="11">
        <v>945137.9212000001</v>
      </c>
      <c r="I1107" s="22">
        <f>IFERROR(VLOOKUP(D1107,'LEAID Match'!$A$2:$B$184,2,FALSE),"")</f>
        <v>3700130</v>
      </c>
    </row>
    <row r="1108" spans="1:9" x14ac:dyDescent="0.2">
      <c r="A1108">
        <f t="shared" si="17"/>
        <v>3700130</v>
      </c>
      <c r="B1108" s="24">
        <v>2023</v>
      </c>
      <c r="C1108" t="s">
        <v>286</v>
      </c>
      <c r="D1108" t="s">
        <v>905</v>
      </c>
      <c r="E1108" t="s">
        <v>905</v>
      </c>
      <c r="F1108" s="11">
        <v>37944310</v>
      </c>
      <c r="G1108" s="18">
        <v>2.855E-4</v>
      </c>
      <c r="H1108" s="11">
        <v>866463.09349999996</v>
      </c>
      <c r="I1108" s="22">
        <f>IFERROR(VLOOKUP(D1108,'LEAID Match'!$A$2:$B$184,2,FALSE),"")</f>
        <v>3700130</v>
      </c>
    </row>
    <row r="1109" spans="1:9" x14ac:dyDescent="0.2">
      <c r="A1109">
        <f t="shared" si="17"/>
        <v>3700023</v>
      </c>
      <c r="B1109" s="24">
        <v>2015</v>
      </c>
      <c r="C1109" t="s">
        <v>287</v>
      </c>
      <c r="D1109" t="s">
        <v>702</v>
      </c>
      <c r="E1109" t="s">
        <v>233</v>
      </c>
      <c r="F1109" s="11">
        <v>15654546</v>
      </c>
      <c r="G1109" s="18">
        <v>1.3689999999999999E-4</v>
      </c>
      <c r="H1109" s="11">
        <v>172903.05719999998</v>
      </c>
      <c r="I1109" s="22">
        <f>IFERROR(VLOOKUP(D1109,'LEAID Match'!$A$2:$B$184,2,FALSE),"")</f>
        <v>3700023</v>
      </c>
    </row>
    <row r="1110" spans="1:9" x14ac:dyDescent="0.2">
      <c r="A1110">
        <f t="shared" si="17"/>
        <v>3700023</v>
      </c>
      <c r="B1110" s="24">
        <v>2016</v>
      </c>
      <c r="C1110" t="s">
        <v>287</v>
      </c>
      <c r="D1110" t="s">
        <v>702</v>
      </c>
      <c r="E1110" t="s">
        <v>702</v>
      </c>
      <c r="F1110" s="11">
        <v>14659924</v>
      </c>
      <c r="G1110" s="18">
        <v>1.3540000000000001E-4</v>
      </c>
      <c r="H1110" s="11">
        <v>172635.40620000003</v>
      </c>
      <c r="I1110" s="22">
        <f>IFERROR(VLOOKUP(D1110,'LEAID Match'!$A$2:$B$184,2,FALSE),"")</f>
        <v>3700023</v>
      </c>
    </row>
    <row r="1111" spans="1:9" x14ac:dyDescent="0.2">
      <c r="A1111">
        <f t="shared" si="17"/>
        <v>3700023</v>
      </c>
      <c r="B1111" s="24">
        <v>2017</v>
      </c>
      <c r="C1111" t="s">
        <v>287</v>
      </c>
      <c r="D1111" t="s">
        <v>702</v>
      </c>
      <c r="E1111" t="s">
        <v>702</v>
      </c>
      <c r="F1111" s="11">
        <v>15825069</v>
      </c>
      <c r="G1111" s="18">
        <v>1.418E-4</v>
      </c>
      <c r="H1111" s="11">
        <v>204361.30920000002</v>
      </c>
      <c r="I1111" s="22">
        <f>IFERROR(VLOOKUP(D1111,'LEAID Match'!$A$2:$B$184,2,FALSE),"")</f>
        <v>3700023</v>
      </c>
    </row>
    <row r="1112" spans="1:9" x14ac:dyDescent="0.2">
      <c r="A1112">
        <f t="shared" si="17"/>
        <v>3700023</v>
      </c>
      <c r="B1112" s="24">
        <v>2018</v>
      </c>
      <c r="C1112" t="s">
        <v>287</v>
      </c>
      <c r="D1112" t="s">
        <v>702</v>
      </c>
      <c r="E1112" t="s">
        <v>702</v>
      </c>
      <c r="F1112" s="11">
        <v>15712526</v>
      </c>
      <c r="G1112" s="18">
        <v>1.3520000000000001E-4</v>
      </c>
      <c r="H1112" s="11">
        <v>216712.21520000001</v>
      </c>
      <c r="I1112" s="22">
        <f>IFERROR(VLOOKUP(D1112,'LEAID Match'!$A$2:$B$184,2,FALSE),"")</f>
        <v>3700023</v>
      </c>
    </row>
    <row r="1113" spans="1:9" x14ac:dyDescent="0.2">
      <c r="A1113">
        <f t="shared" si="17"/>
        <v>3700023</v>
      </c>
      <c r="B1113" s="24">
        <v>2019</v>
      </c>
      <c r="C1113" t="s">
        <v>287</v>
      </c>
      <c r="D1113" t="s">
        <v>702</v>
      </c>
      <c r="E1113" t="s">
        <v>702</v>
      </c>
      <c r="F1113" s="11">
        <v>18092789</v>
      </c>
      <c r="G1113" s="18">
        <v>1.5019999999999999E-4</v>
      </c>
      <c r="H1113" s="11">
        <v>287654.92920000001</v>
      </c>
      <c r="I1113" s="22">
        <f>IFERROR(VLOOKUP(D1113,'LEAID Match'!$A$2:$B$184,2,FALSE),"")</f>
        <v>3700023</v>
      </c>
    </row>
    <row r="1114" spans="1:9" x14ac:dyDescent="0.2">
      <c r="A1114">
        <f t="shared" si="17"/>
        <v>3700023</v>
      </c>
      <c r="B1114" s="24">
        <v>2020</v>
      </c>
      <c r="C1114" t="s">
        <v>287</v>
      </c>
      <c r="D1114" t="s">
        <v>702</v>
      </c>
      <c r="E1114" t="s">
        <v>702</v>
      </c>
      <c r="F1114" s="11">
        <v>20712048</v>
      </c>
      <c r="G1114" s="18">
        <v>1.672E-4</v>
      </c>
      <c r="H1114" s="11">
        <v>343608.54</v>
      </c>
      <c r="I1114" s="22">
        <f>IFERROR(VLOOKUP(D1114,'LEAID Match'!$A$2:$B$184,2,FALSE),"")</f>
        <v>3700023</v>
      </c>
    </row>
    <row r="1115" spans="1:9" x14ac:dyDescent="0.2">
      <c r="A1115">
        <f t="shared" si="17"/>
        <v>3700023</v>
      </c>
      <c r="B1115" s="24">
        <v>2021</v>
      </c>
      <c r="C1115" t="s">
        <v>287</v>
      </c>
      <c r="D1115" t="s">
        <v>702</v>
      </c>
      <c r="E1115" t="s">
        <v>702</v>
      </c>
      <c r="F1115" s="11">
        <v>23017551</v>
      </c>
      <c r="G1115" s="18">
        <v>1.839E-4</v>
      </c>
      <c r="H1115" s="11">
        <v>436441.0428</v>
      </c>
      <c r="I1115" s="22">
        <f>IFERROR(VLOOKUP(D1115,'LEAID Match'!$A$2:$B$184,2,FALSE),"")</f>
        <v>3700023</v>
      </c>
    </row>
    <row r="1116" spans="1:9" x14ac:dyDescent="0.2">
      <c r="A1116">
        <f t="shared" si="17"/>
        <v>3700023</v>
      </c>
      <c r="B1116" s="24">
        <v>2022</v>
      </c>
      <c r="C1116" t="s">
        <v>287</v>
      </c>
      <c r="D1116" t="s">
        <v>702</v>
      </c>
      <c r="E1116" t="s">
        <v>702</v>
      </c>
      <c r="F1116" s="11">
        <v>28779506</v>
      </c>
      <c r="G1116" s="18">
        <v>2.2819999999999999E-4</v>
      </c>
      <c r="H1116" s="11">
        <v>630276.07719999994</v>
      </c>
      <c r="I1116" s="22">
        <f>IFERROR(VLOOKUP(D1116,'LEAID Match'!$A$2:$B$184,2,FALSE),"")</f>
        <v>3700023</v>
      </c>
    </row>
    <row r="1117" spans="1:9" x14ac:dyDescent="0.2">
      <c r="A1117">
        <f t="shared" si="17"/>
        <v>3700023</v>
      </c>
      <c r="B1117" s="24">
        <v>2023</v>
      </c>
      <c r="C1117" t="s">
        <v>287</v>
      </c>
      <c r="D1117" t="s">
        <v>702</v>
      </c>
      <c r="E1117" t="s">
        <v>702</v>
      </c>
      <c r="F1117" s="11">
        <v>36287019</v>
      </c>
      <c r="G1117" s="18">
        <v>2.7300000000000002E-4</v>
      </c>
      <c r="H1117" s="11">
        <v>828526.88100000005</v>
      </c>
      <c r="I1117" s="22">
        <f>IFERROR(VLOOKUP(D1117,'LEAID Match'!$A$2:$B$184,2,FALSE),"")</f>
        <v>3700023</v>
      </c>
    </row>
    <row r="1118" spans="1:9" x14ac:dyDescent="0.2">
      <c r="A1118">
        <f t="shared" si="17"/>
        <v>3700139</v>
      </c>
      <c r="B1118" s="24">
        <v>2015</v>
      </c>
      <c r="C1118" t="s">
        <v>288</v>
      </c>
      <c r="D1118" t="s">
        <v>703</v>
      </c>
      <c r="E1118" t="s">
        <v>234</v>
      </c>
      <c r="F1118" s="11">
        <v>47519091</v>
      </c>
      <c r="G1118" s="18">
        <v>4.1550000000000002E-4</v>
      </c>
      <c r="H1118" s="11">
        <v>524771.51399999997</v>
      </c>
      <c r="I1118" s="22">
        <f>IFERROR(VLOOKUP(D1118,'LEAID Match'!$A$2:$B$184,2,FALSE),"")</f>
        <v>3700139</v>
      </c>
    </row>
    <row r="1119" spans="1:9" x14ac:dyDescent="0.2">
      <c r="A1119">
        <f t="shared" si="17"/>
        <v>3700139</v>
      </c>
      <c r="B1119" s="24">
        <v>2016</v>
      </c>
      <c r="C1119" t="s">
        <v>288</v>
      </c>
      <c r="D1119" t="s">
        <v>703</v>
      </c>
      <c r="E1119" t="s">
        <v>703</v>
      </c>
      <c r="F1119" s="11">
        <v>47870208</v>
      </c>
      <c r="G1119" s="18">
        <v>4.4210000000000001E-4</v>
      </c>
      <c r="H1119" s="11">
        <v>563678.82630000007</v>
      </c>
      <c r="I1119" s="22">
        <f>IFERROR(VLOOKUP(D1119,'LEAID Match'!$A$2:$B$184,2,FALSE),"")</f>
        <v>3700139</v>
      </c>
    </row>
    <row r="1120" spans="1:9" x14ac:dyDescent="0.2">
      <c r="A1120">
        <f t="shared" si="17"/>
        <v>3700139</v>
      </c>
      <c r="B1120" s="24">
        <v>2017</v>
      </c>
      <c r="C1120" t="s">
        <v>288</v>
      </c>
      <c r="D1120" t="s">
        <v>703</v>
      </c>
      <c r="E1120" t="s">
        <v>703</v>
      </c>
      <c r="F1120" s="11">
        <v>51332407</v>
      </c>
      <c r="G1120" s="18">
        <v>4.6000000000000001E-4</v>
      </c>
      <c r="H1120" s="11">
        <v>662949.24</v>
      </c>
      <c r="I1120" s="22">
        <f>IFERROR(VLOOKUP(D1120,'LEAID Match'!$A$2:$B$184,2,FALSE),"")</f>
        <v>3700139</v>
      </c>
    </row>
    <row r="1121" spans="1:9" x14ac:dyDescent="0.2">
      <c r="A1121">
        <f t="shared" si="17"/>
        <v>3700139</v>
      </c>
      <c r="B1121" s="24">
        <v>2018</v>
      </c>
      <c r="C1121" t="s">
        <v>288</v>
      </c>
      <c r="D1121" t="s">
        <v>703</v>
      </c>
      <c r="E1121" t="s">
        <v>703</v>
      </c>
      <c r="F1121" s="11">
        <v>48009547</v>
      </c>
      <c r="G1121" s="18">
        <v>4.1310000000000001E-4</v>
      </c>
      <c r="H1121" s="11">
        <v>662158.4031</v>
      </c>
      <c r="I1121" s="22">
        <f>IFERROR(VLOOKUP(D1121,'LEAID Match'!$A$2:$B$184,2,FALSE),"")</f>
        <v>3700139</v>
      </c>
    </row>
    <row r="1122" spans="1:9" x14ac:dyDescent="0.2">
      <c r="A1122">
        <f t="shared" si="17"/>
        <v>3700139</v>
      </c>
      <c r="B1122" s="24">
        <v>2019</v>
      </c>
      <c r="C1122" t="s">
        <v>288</v>
      </c>
      <c r="D1122" t="s">
        <v>703</v>
      </c>
      <c r="E1122" t="s">
        <v>703</v>
      </c>
      <c r="F1122" s="11">
        <v>53722948</v>
      </c>
      <c r="G1122" s="18">
        <v>4.459E-4</v>
      </c>
      <c r="H1122" s="11">
        <v>853963.60140000004</v>
      </c>
      <c r="I1122" s="22">
        <f>IFERROR(VLOOKUP(D1122,'LEAID Match'!$A$2:$B$184,2,FALSE),"")</f>
        <v>3700139</v>
      </c>
    </row>
    <row r="1123" spans="1:9" x14ac:dyDescent="0.2">
      <c r="A1123">
        <f t="shared" si="17"/>
        <v>3700139</v>
      </c>
      <c r="B1123" s="24">
        <v>2020</v>
      </c>
      <c r="C1123" t="s">
        <v>288</v>
      </c>
      <c r="D1123" t="s">
        <v>703</v>
      </c>
      <c r="E1123" t="s">
        <v>703</v>
      </c>
      <c r="F1123" s="11">
        <v>54823223</v>
      </c>
      <c r="G1123" s="18">
        <v>4.4260000000000002E-4</v>
      </c>
      <c r="H1123" s="11">
        <v>909576.19500000007</v>
      </c>
      <c r="I1123" s="22">
        <f>IFERROR(VLOOKUP(D1123,'LEAID Match'!$A$2:$B$184,2,FALSE),"")</f>
        <v>3700139</v>
      </c>
    </row>
    <row r="1124" spans="1:9" x14ac:dyDescent="0.2">
      <c r="A1124">
        <f t="shared" si="17"/>
        <v>3700139</v>
      </c>
      <c r="B1124" s="24">
        <v>2021</v>
      </c>
      <c r="C1124" t="s">
        <v>288</v>
      </c>
      <c r="D1124" t="s">
        <v>703</v>
      </c>
      <c r="E1124" t="s">
        <v>703</v>
      </c>
      <c r="F1124" s="11">
        <v>56940343</v>
      </c>
      <c r="G1124" s="18">
        <v>4.55E-4</v>
      </c>
      <c r="H1124" s="11">
        <v>1079829.6599999999</v>
      </c>
      <c r="I1124" s="22">
        <f>IFERROR(VLOOKUP(D1124,'LEAID Match'!$A$2:$B$184,2,FALSE),"")</f>
        <v>3700139</v>
      </c>
    </row>
    <row r="1125" spans="1:9" x14ac:dyDescent="0.2">
      <c r="A1125">
        <f t="shared" si="17"/>
        <v>3700139</v>
      </c>
      <c r="B1125" s="24">
        <v>2022</v>
      </c>
      <c r="C1125" t="s">
        <v>288</v>
      </c>
      <c r="D1125" t="s">
        <v>703</v>
      </c>
      <c r="E1125" t="s">
        <v>703</v>
      </c>
      <c r="F1125" s="11">
        <v>58479723</v>
      </c>
      <c r="G1125" s="18">
        <v>4.637E-4</v>
      </c>
      <c r="H1125" s="11">
        <v>1280714.3602</v>
      </c>
      <c r="I1125" s="22">
        <f>IFERROR(VLOOKUP(D1125,'LEAID Match'!$A$2:$B$184,2,FALSE),"")</f>
        <v>3700139</v>
      </c>
    </row>
    <row r="1126" spans="1:9" x14ac:dyDescent="0.2">
      <c r="A1126">
        <f t="shared" si="17"/>
        <v>3700139</v>
      </c>
      <c r="B1126" s="24">
        <v>2023</v>
      </c>
      <c r="C1126" t="s">
        <v>288</v>
      </c>
      <c r="D1126" t="s">
        <v>703</v>
      </c>
      <c r="E1126" t="s">
        <v>703</v>
      </c>
      <c r="F1126" s="11">
        <v>66019415</v>
      </c>
      <c r="G1126" s="18">
        <v>4.9669999999999998E-4</v>
      </c>
      <c r="H1126" s="11">
        <v>1507433.3399</v>
      </c>
      <c r="I1126" s="22">
        <f>IFERROR(VLOOKUP(D1126,'LEAID Match'!$A$2:$B$184,2,FALSE),"")</f>
        <v>3700139</v>
      </c>
    </row>
    <row r="1127" spans="1:9" x14ac:dyDescent="0.2">
      <c r="A1127" t="str">
        <f t="shared" si="17"/>
        <v/>
      </c>
      <c r="B1127" s="24">
        <v>2015</v>
      </c>
      <c r="C1127" t="s">
        <v>289</v>
      </c>
      <c r="D1127" t="s">
        <v>704</v>
      </c>
      <c r="E1127" t="s">
        <v>235</v>
      </c>
      <c r="F1127" s="11">
        <v>140957425</v>
      </c>
      <c r="G1127" s="18">
        <v>1.2324E-3</v>
      </c>
      <c r="H1127" s="11">
        <v>1556506.4112</v>
      </c>
      <c r="I1127" s="22" t="str">
        <f>IFERROR(VLOOKUP(D1127,'LEAID Match'!$A$2:$B$184,2,FALSE),"")</f>
        <v/>
      </c>
    </row>
    <row r="1128" spans="1:9" x14ac:dyDescent="0.2">
      <c r="A1128" t="str">
        <f t="shared" si="17"/>
        <v/>
      </c>
      <c r="B1128" s="24">
        <v>2016</v>
      </c>
      <c r="C1128" t="s">
        <v>289</v>
      </c>
      <c r="D1128" t="s">
        <v>704</v>
      </c>
      <c r="E1128" t="s">
        <v>704</v>
      </c>
      <c r="F1128" s="11">
        <v>140291664</v>
      </c>
      <c r="G1128" s="18">
        <v>1.2955E-3</v>
      </c>
      <c r="H1128" s="11">
        <v>1651766.3865</v>
      </c>
      <c r="I1128" s="22" t="str">
        <f>IFERROR(VLOOKUP(D1128,'LEAID Match'!$A$2:$B$184,2,FALSE),"")</f>
        <v/>
      </c>
    </row>
    <row r="1129" spans="1:9" x14ac:dyDescent="0.2">
      <c r="A1129" t="str">
        <f t="shared" si="17"/>
        <v/>
      </c>
      <c r="B1129" s="24">
        <v>2017</v>
      </c>
      <c r="C1129" t="s">
        <v>289</v>
      </c>
      <c r="D1129" t="s">
        <v>704</v>
      </c>
      <c r="E1129" t="s">
        <v>704</v>
      </c>
      <c r="F1129" s="11">
        <v>149112446</v>
      </c>
      <c r="G1129" s="18">
        <v>1.3364E-3</v>
      </c>
      <c r="H1129" s="11">
        <v>1926011.6616</v>
      </c>
      <c r="I1129" s="22" t="str">
        <f>IFERROR(VLOOKUP(D1129,'LEAID Match'!$A$2:$B$184,2,FALSE),"")</f>
        <v/>
      </c>
    </row>
    <row r="1130" spans="1:9" x14ac:dyDescent="0.2">
      <c r="A1130" t="str">
        <f t="shared" si="17"/>
        <v/>
      </c>
      <c r="B1130" s="24">
        <v>2018</v>
      </c>
      <c r="C1130" t="s">
        <v>289</v>
      </c>
      <c r="D1130" t="s">
        <v>704</v>
      </c>
      <c r="E1130" t="s">
        <v>704</v>
      </c>
      <c r="F1130" s="11">
        <v>146305186</v>
      </c>
      <c r="G1130" s="18">
        <v>1.2589999999999999E-3</v>
      </c>
      <c r="H1130" s="11">
        <v>2018052.3589999999</v>
      </c>
      <c r="I1130" s="22" t="str">
        <f>IFERROR(VLOOKUP(D1130,'LEAID Match'!$A$2:$B$184,2,FALSE),"")</f>
        <v/>
      </c>
    </row>
    <row r="1131" spans="1:9" x14ac:dyDescent="0.2">
      <c r="A1131" t="str">
        <f t="shared" si="17"/>
        <v/>
      </c>
      <c r="B1131" s="24">
        <v>2019</v>
      </c>
      <c r="C1131" t="s">
        <v>289</v>
      </c>
      <c r="D1131" t="s">
        <v>704</v>
      </c>
      <c r="E1131" t="s">
        <v>704</v>
      </c>
      <c r="F1131" s="11">
        <v>145808303</v>
      </c>
      <c r="G1131" s="18">
        <v>1.2102E-3</v>
      </c>
      <c r="H1131" s="11">
        <v>2317709.6891999999</v>
      </c>
      <c r="I1131" s="22" t="str">
        <f>IFERROR(VLOOKUP(D1131,'LEAID Match'!$A$2:$B$184,2,FALSE),"")</f>
        <v/>
      </c>
    </row>
    <row r="1132" spans="1:9" x14ac:dyDescent="0.2">
      <c r="A1132" t="str">
        <f t="shared" si="17"/>
        <v/>
      </c>
      <c r="B1132" s="24">
        <v>2020</v>
      </c>
      <c r="C1132" t="s">
        <v>289</v>
      </c>
      <c r="D1132" t="s">
        <v>704</v>
      </c>
      <c r="E1132" t="s">
        <v>704</v>
      </c>
      <c r="F1132" s="11">
        <v>151438684</v>
      </c>
      <c r="G1132" s="18">
        <v>1.2225000000000001E-3</v>
      </c>
      <c r="H1132" s="11">
        <v>2512329.1875</v>
      </c>
      <c r="I1132" s="22" t="str">
        <f>IFERROR(VLOOKUP(D1132,'LEAID Match'!$A$2:$B$184,2,FALSE),"")</f>
        <v/>
      </c>
    </row>
    <row r="1133" spans="1:9" x14ac:dyDescent="0.2">
      <c r="A1133" t="str">
        <f t="shared" si="17"/>
        <v/>
      </c>
      <c r="B1133" s="24">
        <v>2021</v>
      </c>
      <c r="C1133" t="s">
        <v>289</v>
      </c>
      <c r="D1133" t="s">
        <v>704</v>
      </c>
      <c r="E1133" t="s">
        <v>704</v>
      </c>
      <c r="F1133" s="11">
        <v>157997708</v>
      </c>
      <c r="G1133" s="18">
        <v>1.2625E-3</v>
      </c>
      <c r="H1133" s="11">
        <v>2996230.65</v>
      </c>
      <c r="I1133" s="22" t="str">
        <f>IFERROR(VLOOKUP(D1133,'LEAID Match'!$A$2:$B$184,2,FALSE),"")</f>
        <v/>
      </c>
    </row>
    <row r="1134" spans="1:9" x14ac:dyDescent="0.2">
      <c r="A1134" t="str">
        <f t="shared" si="17"/>
        <v/>
      </c>
      <c r="B1134" s="24">
        <v>2022</v>
      </c>
      <c r="C1134" t="s">
        <v>289</v>
      </c>
      <c r="D1134" t="s">
        <v>704</v>
      </c>
      <c r="E1134" t="s">
        <v>704</v>
      </c>
      <c r="F1134" s="11">
        <v>160222517</v>
      </c>
      <c r="G1134" s="18">
        <v>1.2704000000000001E-3</v>
      </c>
      <c r="H1134" s="11">
        <v>3508776.1984000001</v>
      </c>
      <c r="I1134" s="22" t="str">
        <f>IFERROR(VLOOKUP(D1134,'LEAID Match'!$A$2:$B$184,2,FALSE),"")</f>
        <v/>
      </c>
    </row>
    <row r="1135" spans="1:9" x14ac:dyDescent="0.2">
      <c r="A1135" t="str">
        <f t="shared" si="17"/>
        <v/>
      </c>
      <c r="B1135" s="24">
        <v>2023</v>
      </c>
      <c r="C1135" t="s">
        <v>289</v>
      </c>
      <c r="D1135" t="s">
        <v>704</v>
      </c>
      <c r="E1135" t="s">
        <v>704</v>
      </c>
      <c r="F1135" s="11">
        <v>175641301</v>
      </c>
      <c r="G1135" s="18">
        <v>1.3216E-3</v>
      </c>
      <c r="H1135" s="11">
        <v>4010919.8752000001</v>
      </c>
      <c r="I1135" s="22" t="str">
        <f>IFERROR(VLOOKUP(D1135,'LEAID Match'!$A$2:$B$184,2,FALSE),"")</f>
        <v/>
      </c>
    </row>
    <row r="1136" spans="1:9" x14ac:dyDescent="0.2">
      <c r="A1136">
        <f t="shared" si="17"/>
        <v>3700322</v>
      </c>
      <c r="B1136" s="24">
        <v>2015</v>
      </c>
      <c r="C1136" t="s">
        <v>290</v>
      </c>
      <c r="D1136" t="s">
        <v>705</v>
      </c>
      <c r="E1136" t="s">
        <v>236</v>
      </c>
      <c r="F1136" s="11">
        <v>11797658</v>
      </c>
      <c r="G1136" s="18">
        <v>1.032E-4</v>
      </c>
      <c r="H1136" s="11">
        <v>130340.3616</v>
      </c>
      <c r="I1136" s="22">
        <f>IFERROR(VLOOKUP(D1136,'LEAID Match'!$A$2:$B$184,2,FALSE),"")</f>
        <v>3700322</v>
      </c>
    </row>
    <row r="1137" spans="1:9" x14ac:dyDescent="0.2">
      <c r="A1137">
        <f t="shared" si="17"/>
        <v>3700322</v>
      </c>
      <c r="B1137" s="24">
        <v>2016</v>
      </c>
      <c r="C1137" t="s">
        <v>290</v>
      </c>
      <c r="D1137" t="s">
        <v>705</v>
      </c>
      <c r="E1137" t="s">
        <v>705</v>
      </c>
      <c r="F1137" s="11">
        <v>11178094</v>
      </c>
      <c r="G1137" s="18">
        <v>1.032E-4</v>
      </c>
      <c r="H1137" s="11">
        <v>131580.30960000001</v>
      </c>
      <c r="I1137" s="22">
        <f>IFERROR(VLOOKUP(D1137,'LEAID Match'!$A$2:$B$184,2,FALSE),"")</f>
        <v>3700322</v>
      </c>
    </row>
    <row r="1138" spans="1:9" x14ac:dyDescent="0.2">
      <c r="A1138">
        <f t="shared" si="17"/>
        <v>3700322</v>
      </c>
      <c r="B1138" s="24">
        <v>2017</v>
      </c>
      <c r="C1138" t="s">
        <v>290</v>
      </c>
      <c r="D1138" t="s">
        <v>705</v>
      </c>
      <c r="E1138" t="s">
        <v>705</v>
      </c>
      <c r="F1138" s="11">
        <v>12663035</v>
      </c>
      <c r="G1138" s="18">
        <v>1.1349999999999999E-4</v>
      </c>
      <c r="H1138" s="11">
        <v>163575.519</v>
      </c>
      <c r="I1138" s="22">
        <f>IFERROR(VLOOKUP(D1138,'LEAID Match'!$A$2:$B$184,2,FALSE),"")</f>
        <v>3700322</v>
      </c>
    </row>
    <row r="1139" spans="1:9" x14ac:dyDescent="0.2">
      <c r="A1139">
        <f t="shared" si="17"/>
        <v>3700322</v>
      </c>
      <c r="B1139" s="24">
        <v>2018</v>
      </c>
      <c r="C1139" t="s">
        <v>290</v>
      </c>
      <c r="D1139" t="s">
        <v>705</v>
      </c>
      <c r="E1139" t="s">
        <v>705</v>
      </c>
      <c r="F1139" s="11">
        <v>14159552</v>
      </c>
      <c r="G1139" s="18">
        <v>1.2180000000000001E-4</v>
      </c>
      <c r="H1139" s="11">
        <v>195233.34180000002</v>
      </c>
      <c r="I1139" s="22">
        <f>IFERROR(VLOOKUP(D1139,'LEAID Match'!$A$2:$B$184,2,FALSE),"")</f>
        <v>3700322</v>
      </c>
    </row>
    <row r="1140" spans="1:9" x14ac:dyDescent="0.2">
      <c r="A1140">
        <f t="shared" si="17"/>
        <v>3700322</v>
      </c>
      <c r="B1140" s="24">
        <v>2019</v>
      </c>
      <c r="C1140" t="s">
        <v>290</v>
      </c>
      <c r="D1140" t="s">
        <v>705</v>
      </c>
      <c r="E1140" t="s">
        <v>705</v>
      </c>
      <c r="F1140" s="11">
        <v>14239467</v>
      </c>
      <c r="G1140" s="18">
        <v>1.182E-4</v>
      </c>
      <c r="H1140" s="11">
        <v>226370.25719999999</v>
      </c>
      <c r="I1140" s="22">
        <f>IFERROR(VLOOKUP(D1140,'LEAID Match'!$A$2:$B$184,2,FALSE),"")</f>
        <v>3700322</v>
      </c>
    </row>
    <row r="1141" spans="1:9" x14ac:dyDescent="0.2">
      <c r="A1141">
        <f t="shared" si="17"/>
        <v>3700322</v>
      </c>
      <c r="B1141" s="24">
        <v>2020</v>
      </c>
      <c r="C1141" t="s">
        <v>290</v>
      </c>
      <c r="D1141" t="s">
        <v>705</v>
      </c>
      <c r="E1141" t="s">
        <v>705</v>
      </c>
      <c r="F1141" s="11">
        <v>14285064</v>
      </c>
      <c r="G1141" s="18">
        <v>1.153E-4</v>
      </c>
      <c r="H1141" s="11">
        <v>236950.14749999999</v>
      </c>
      <c r="I1141" s="22">
        <f>IFERROR(VLOOKUP(D1141,'LEAID Match'!$A$2:$B$184,2,FALSE),"")</f>
        <v>3700322</v>
      </c>
    </row>
    <row r="1142" spans="1:9" x14ac:dyDescent="0.2">
      <c r="A1142">
        <f t="shared" si="17"/>
        <v>3700322</v>
      </c>
      <c r="B1142" s="24">
        <v>2021</v>
      </c>
      <c r="C1142" t="s">
        <v>290</v>
      </c>
      <c r="D1142" t="s">
        <v>705</v>
      </c>
      <c r="E1142" t="s">
        <v>705</v>
      </c>
      <c r="F1142" s="11">
        <v>15278054</v>
      </c>
      <c r="G1142" s="18">
        <v>1.2210000000000001E-4</v>
      </c>
      <c r="H1142" s="11">
        <v>289774.06920000003</v>
      </c>
      <c r="I1142" s="22">
        <f>IFERROR(VLOOKUP(D1142,'LEAID Match'!$A$2:$B$184,2,FALSE),"")</f>
        <v>3700322</v>
      </c>
    </row>
    <row r="1143" spans="1:9" x14ac:dyDescent="0.2">
      <c r="A1143">
        <f t="shared" si="17"/>
        <v>3700322</v>
      </c>
      <c r="B1143" s="24">
        <v>2022</v>
      </c>
      <c r="C1143" t="s">
        <v>290</v>
      </c>
      <c r="D1143" t="s">
        <v>705</v>
      </c>
      <c r="E1143" t="s">
        <v>705</v>
      </c>
      <c r="F1143" s="11">
        <v>16430020</v>
      </c>
      <c r="G1143" s="18">
        <v>1.303E-4</v>
      </c>
      <c r="H1143" s="11">
        <v>359881.5638</v>
      </c>
      <c r="I1143" s="22">
        <f>IFERROR(VLOOKUP(D1143,'LEAID Match'!$A$2:$B$184,2,FALSE),"")</f>
        <v>3700322</v>
      </c>
    </row>
    <row r="1144" spans="1:9" x14ac:dyDescent="0.2">
      <c r="A1144">
        <f t="shared" si="17"/>
        <v>3700322</v>
      </c>
      <c r="B1144" s="24">
        <v>2023</v>
      </c>
      <c r="C1144" t="s">
        <v>290</v>
      </c>
      <c r="D1144" t="s">
        <v>705</v>
      </c>
      <c r="E1144" t="s">
        <v>705</v>
      </c>
      <c r="F1144" s="11">
        <v>16451554</v>
      </c>
      <c r="G1144" s="18">
        <v>1.238E-4</v>
      </c>
      <c r="H1144" s="11">
        <v>375720.24859999999</v>
      </c>
      <c r="I1144" s="22">
        <f>IFERROR(VLOOKUP(D1144,'LEAID Match'!$A$2:$B$184,2,FALSE),"")</f>
        <v>3700322</v>
      </c>
    </row>
    <row r="1145" spans="1:9" x14ac:dyDescent="0.2">
      <c r="A1145">
        <f t="shared" si="17"/>
        <v>3700369</v>
      </c>
      <c r="B1145" s="24">
        <v>2015</v>
      </c>
      <c r="C1145" t="s">
        <v>291</v>
      </c>
      <c r="D1145" t="s">
        <v>706</v>
      </c>
      <c r="E1145" t="s">
        <v>237</v>
      </c>
      <c r="F1145" s="11">
        <v>11662212</v>
      </c>
      <c r="G1145" s="18">
        <v>1.02E-4</v>
      </c>
      <c r="H1145" s="11">
        <v>128824.776</v>
      </c>
      <c r="I1145" s="22">
        <f>IFERROR(VLOOKUP(D1145,'LEAID Match'!$A$2:$B$184,2,FALSE),"")</f>
        <v>3700369</v>
      </c>
    </row>
    <row r="1146" spans="1:9" x14ac:dyDescent="0.2">
      <c r="A1146">
        <f t="shared" si="17"/>
        <v>3700369</v>
      </c>
      <c r="B1146" s="24">
        <v>2016</v>
      </c>
      <c r="C1146" t="s">
        <v>291</v>
      </c>
      <c r="D1146" t="s">
        <v>706</v>
      </c>
      <c r="E1146" t="s">
        <v>706</v>
      </c>
      <c r="F1146" s="11">
        <v>24163015</v>
      </c>
      <c r="G1146" s="18">
        <v>2.231E-4</v>
      </c>
      <c r="H1146" s="11">
        <v>284453.16930000001</v>
      </c>
      <c r="I1146" s="22">
        <f>IFERROR(VLOOKUP(D1146,'LEAID Match'!$A$2:$B$184,2,FALSE),"")</f>
        <v>3700369</v>
      </c>
    </row>
    <row r="1147" spans="1:9" x14ac:dyDescent="0.2">
      <c r="A1147">
        <f t="shared" si="17"/>
        <v>3700369</v>
      </c>
      <c r="B1147" s="24">
        <v>2017</v>
      </c>
      <c r="C1147" t="s">
        <v>291</v>
      </c>
      <c r="D1147" t="s">
        <v>706</v>
      </c>
      <c r="E1147" t="s">
        <v>706</v>
      </c>
      <c r="F1147" s="11">
        <v>33690979</v>
      </c>
      <c r="G1147" s="18">
        <v>3.0190000000000002E-4</v>
      </c>
      <c r="H1147" s="11">
        <v>435096.46860000002</v>
      </c>
      <c r="I1147" s="22">
        <f>IFERROR(VLOOKUP(D1147,'LEAID Match'!$A$2:$B$184,2,FALSE),"")</f>
        <v>3700369</v>
      </c>
    </row>
    <row r="1148" spans="1:9" x14ac:dyDescent="0.2">
      <c r="A1148">
        <f t="shared" si="17"/>
        <v>3700369</v>
      </c>
      <c r="B1148" s="24">
        <v>2018</v>
      </c>
      <c r="C1148" t="s">
        <v>291</v>
      </c>
      <c r="D1148" t="s">
        <v>706</v>
      </c>
      <c r="E1148" t="s">
        <v>706</v>
      </c>
      <c r="F1148" s="11">
        <v>41011094</v>
      </c>
      <c r="G1148" s="18">
        <v>3.5290000000000001E-4</v>
      </c>
      <c r="H1148" s="11">
        <v>565663.76289999997</v>
      </c>
      <c r="I1148" s="22">
        <f>IFERROR(VLOOKUP(D1148,'LEAID Match'!$A$2:$B$184,2,FALSE),"")</f>
        <v>3700369</v>
      </c>
    </row>
    <row r="1149" spans="1:9" x14ac:dyDescent="0.2">
      <c r="A1149">
        <f t="shared" si="17"/>
        <v>3700369</v>
      </c>
      <c r="B1149" s="24">
        <v>2019</v>
      </c>
      <c r="C1149" t="s">
        <v>291</v>
      </c>
      <c r="D1149" t="s">
        <v>706</v>
      </c>
      <c r="E1149" t="s">
        <v>706</v>
      </c>
      <c r="F1149" s="11">
        <v>49276939</v>
      </c>
      <c r="G1149" s="18">
        <v>4.0900000000000002E-4</v>
      </c>
      <c r="H1149" s="11">
        <v>783294.71400000004</v>
      </c>
      <c r="I1149" s="22">
        <f>IFERROR(VLOOKUP(D1149,'LEAID Match'!$A$2:$B$184,2,FALSE),"")</f>
        <v>3700369</v>
      </c>
    </row>
    <row r="1150" spans="1:9" x14ac:dyDescent="0.2">
      <c r="A1150">
        <f t="shared" si="17"/>
        <v>3700369</v>
      </c>
      <c r="B1150" s="24">
        <v>2020</v>
      </c>
      <c r="C1150" t="s">
        <v>291</v>
      </c>
      <c r="D1150" t="s">
        <v>706</v>
      </c>
      <c r="E1150" t="s">
        <v>706</v>
      </c>
      <c r="F1150" s="11">
        <v>58900091</v>
      </c>
      <c r="G1150" s="18">
        <v>4.7550000000000001E-4</v>
      </c>
      <c r="H1150" s="11">
        <v>977188.16249999998</v>
      </c>
      <c r="I1150" s="22">
        <f>IFERROR(VLOOKUP(D1150,'LEAID Match'!$A$2:$B$184,2,FALSE),"")</f>
        <v>3700369</v>
      </c>
    </row>
    <row r="1151" spans="1:9" x14ac:dyDescent="0.2">
      <c r="A1151">
        <f t="shared" si="17"/>
        <v>3700369</v>
      </c>
      <c r="B1151" s="24">
        <v>2021</v>
      </c>
      <c r="C1151" t="s">
        <v>291</v>
      </c>
      <c r="D1151" t="s">
        <v>706</v>
      </c>
      <c r="E1151" t="s">
        <v>706</v>
      </c>
      <c r="F1151" s="11">
        <v>66918499</v>
      </c>
      <c r="G1151" s="18">
        <v>5.3470000000000004E-4</v>
      </c>
      <c r="H1151" s="11">
        <v>1268977.8444000001</v>
      </c>
      <c r="I1151" s="22">
        <f>IFERROR(VLOOKUP(D1151,'LEAID Match'!$A$2:$B$184,2,FALSE),"")</f>
        <v>3700369</v>
      </c>
    </row>
    <row r="1152" spans="1:9" x14ac:dyDescent="0.2">
      <c r="A1152">
        <f t="shared" si="17"/>
        <v>3700369</v>
      </c>
      <c r="B1152" s="24">
        <v>2022</v>
      </c>
      <c r="C1152" t="s">
        <v>291</v>
      </c>
      <c r="D1152" t="s">
        <v>706</v>
      </c>
      <c r="E1152" t="s">
        <v>706</v>
      </c>
      <c r="F1152" s="11">
        <v>71080871</v>
      </c>
      <c r="G1152" s="18">
        <v>5.6360000000000004E-4</v>
      </c>
      <c r="H1152" s="11">
        <v>1556632.7656</v>
      </c>
      <c r="I1152" s="22">
        <f>IFERROR(VLOOKUP(D1152,'LEAID Match'!$A$2:$B$184,2,FALSE),"")</f>
        <v>3700369</v>
      </c>
    </row>
    <row r="1153" spans="1:9" x14ac:dyDescent="0.2">
      <c r="A1153">
        <f t="shared" si="17"/>
        <v>3700369</v>
      </c>
      <c r="B1153" s="24">
        <v>2023</v>
      </c>
      <c r="C1153" t="s">
        <v>291</v>
      </c>
      <c r="D1153" t="s">
        <v>706</v>
      </c>
      <c r="E1153" t="s">
        <v>706</v>
      </c>
      <c r="F1153" s="11">
        <v>75572553</v>
      </c>
      <c r="G1153" s="18">
        <v>5.6860000000000005E-4</v>
      </c>
      <c r="H1153" s="11">
        <v>1725642.4342000003</v>
      </c>
      <c r="I1153" s="22">
        <f>IFERROR(VLOOKUP(D1153,'LEAID Match'!$A$2:$B$184,2,FALSE),"")</f>
        <v>3700369</v>
      </c>
    </row>
    <row r="1154" spans="1:9" x14ac:dyDescent="0.2">
      <c r="A1154">
        <f t="shared" si="17"/>
        <v>3700375</v>
      </c>
      <c r="B1154" s="24">
        <v>2015</v>
      </c>
      <c r="C1154" t="s">
        <v>292</v>
      </c>
      <c r="D1154" t="s">
        <v>707</v>
      </c>
      <c r="E1154" t="s">
        <v>238</v>
      </c>
      <c r="F1154" s="11">
        <v>3692990</v>
      </c>
      <c r="G1154" s="18">
        <v>3.2299999999999999E-5</v>
      </c>
      <c r="H1154" s="11">
        <v>40794.5124</v>
      </c>
      <c r="I1154" s="22">
        <f>IFERROR(VLOOKUP(D1154,'LEAID Match'!$A$2:$B$184,2,FALSE),"")</f>
        <v>3700375</v>
      </c>
    </row>
    <row r="1155" spans="1:9" x14ac:dyDescent="0.2">
      <c r="A1155">
        <f t="shared" ref="A1155:A1218" si="18">I1155</f>
        <v>3700375</v>
      </c>
      <c r="B1155" s="24">
        <v>2016</v>
      </c>
      <c r="C1155" t="s">
        <v>292</v>
      </c>
      <c r="D1155" t="s">
        <v>707</v>
      </c>
      <c r="E1155" t="s">
        <v>707</v>
      </c>
      <c r="F1155" s="11">
        <v>4008212</v>
      </c>
      <c r="G1155" s="18">
        <v>3.6999999999999998E-5</v>
      </c>
      <c r="H1155" s="11">
        <v>47175.110999999997</v>
      </c>
      <c r="I1155" s="22">
        <f>IFERROR(VLOOKUP(D1155,'LEAID Match'!$A$2:$B$184,2,FALSE),"")</f>
        <v>3700375</v>
      </c>
    </row>
    <row r="1156" spans="1:9" x14ac:dyDescent="0.2">
      <c r="A1156">
        <f t="shared" si="18"/>
        <v>3700359</v>
      </c>
      <c r="B1156" s="24">
        <v>2015</v>
      </c>
      <c r="C1156" t="s">
        <v>293</v>
      </c>
      <c r="D1156" t="s">
        <v>708</v>
      </c>
      <c r="E1156" t="s">
        <v>239</v>
      </c>
      <c r="F1156" s="11">
        <v>6514422</v>
      </c>
      <c r="G1156" s="18">
        <v>5.7000000000000003E-5</v>
      </c>
      <c r="H1156" s="11">
        <v>71990.316000000006</v>
      </c>
      <c r="I1156" s="22">
        <f>IFERROR(VLOOKUP(D1156,'LEAID Match'!$A$2:$B$184,2,FALSE),"")</f>
        <v>3700359</v>
      </c>
    </row>
    <row r="1157" spans="1:9" x14ac:dyDescent="0.2">
      <c r="A1157">
        <f t="shared" si="18"/>
        <v>3700359</v>
      </c>
      <c r="B1157" s="24">
        <v>2016</v>
      </c>
      <c r="C1157" t="s">
        <v>293</v>
      </c>
      <c r="D1157" t="s">
        <v>708</v>
      </c>
      <c r="E1157" t="s">
        <v>708</v>
      </c>
      <c r="F1157" s="11">
        <v>7102087</v>
      </c>
      <c r="G1157" s="18">
        <v>6.5599999999999995E-5</v>
      </c>
      <c r="H1157" s="11">
        <v>83640.196799999991</v>
      </c>
      <c r="I1157" s="22">
        <f>IFERROR(VLOOKUP(D1157,'LEAID Match'!$A$2:$B$184,2,FALSE),"")</f>
        <v>3700359</v>
      </c>
    </row>
    <row r="1158" spans="1:9" x14ac:dyDescent="0.2">
      <c r="A1158">
        <f t="shared" si="18"/>
        <v>3700359</v>
      </c>
      <c r="B1158" s="24">
        <v>2017</v>
      </c>
      <c r="C1158" t="s">
        <v>293</v>
      </c>
      <c r="D1158" t="s">
        <v>708</v>
      </c>
      <c r="E1158" t="s">
        <v>708</v>
      </c>
      <c r="F1158" s="11">
        <v>8550698</v>
      </c>
      <c r="G1158" s="18">
        <v>7.6600000000000005E-5</v>
      </c>
      <c r="H1158" s="11">
        <v>110395.46040000001</v>
      </c>
      <c r="I1158" s="22">
        <f>IFERROR(VLOOKUP(D1158,'LEAID Match'!$A$2:$B$184,2,FALSE),"")</f>
        <v>3700359</v>
      </c>
    </row>
    <row r="1159" spans="1:9" x14ac:dyDescent="0.2">
      <c r="A1159">
        <f t="shared" si="18"/>
        <v>3700359</v>
      </c>
      <c r="B1159" s="24">
        <v>2018</v>
      </c>
      <c r="C1159" t="s">
        <v>293</v>
      </c>
      <c r="D1159" t="s">
        <v>708</v>
      </c>
      <c r="E1159" t="s">
        <v>708</v>
      </c>
      <c r="F1159" s="11">
        <v>12035124</v>
      </c>
      <c r="G1159" s="18">
        <v>1.036E-4</v>
      </c>
      <c r="H1159" s="11">
        <v>166060.5436</v>
      </c>
      <c r="I1159" s="22">
        <f>IFERROR(VLOOKUP(D1159,'LEAID Match'!$A$2:$B$184,2,FALSE),"")</f>
        <v>3700359</v>
      </c>
    </row>
    <row r="1160" spans="1:9" x14ac:dyDescent="0.2">
      <c r="A1160">
        <f t="shared" si="18"/>
        <v>3700359</v>
      </c>
      <c r="B1160" s="24">
        <v>2019</v>
      </c>
      <c r="C1160" t="s">
        <v>293</v>
      </c>
      <c r="D1160" t="s">
        <v>708</v>
      </c>
      <c r="E1160" t="s">
        <v>708</v>
      </c>
      <c r="F1160" s="11">
        <v>14160580</v>
      </c>
      <c r="G1160" s="18">
        <v>1.175E-4</v>
      </c>
      <c r="H1160" s="11">
        <v>225029.655</v>
      </c>
      <c r="I1160" s="22">
        <f>IFERROR(VLOOKUP(D1160,'LEAID Match'!$A$2:$B$184,2,FALSE),"")</f>
        <v>3700359</v>
      </c>
    </row>
    <row r="1161" spans="1:9" x14ac:dyDescent="0.2">
      <c r="A1161">
        <f t="shared" si="18"/>
        <v>3701320</v>
      </c>
      <c r="B1161" s="24">
        <v>2015</v>
      </c>
      <c r="C1161" t="s">
        <v>294</v>
      </c>
      <c r="D1161" t="s">
        <v>709</v>
      </c>
      <c r="E1161" t="s">
        <v>240</v>
      </c>
      <c r="F1161" s="11">
        <v>260851871</v>
      </c>
      <c r="G1161" s="18">
        <v>2.2807000000000001E-3</v>
      </c>
      <c r="H1161" s="11">
        <v>2880496.7316000001</v>
      </c>
      <c r="I1161" s="22">
        <f>IFERROR(VLOOKUP(D1161,'LEAID Match'!$A$2:$B$184,2,FALSE),"")</f>
        <v>3701320</v>
      </c>
    </row>
    <row r="1162" spans="1:9" x14ac:dyDescent="0.2">
      <c r="A1162">
        <f t="shared" si="18"/>
        <v>3701320</v>
      </c>
      <c r="B1162" s="24">
        <v>2016</v>
      </c>
      <c r="C1162" t="s">
        <v>294</v>
      </c>
      <c r="D1162" t="s">
        <v>709</v>
      </c>
      <c r="E1162" t="s">
        <v>709</v>
      </c>
      <c r="F1162" s="11">
        <v>247645700</v>
      </c>
      <c r="G1162" s="18">
        <v>2.2869000000000001E-3</v>
      </c>
      <c r="H1162" s="11">
        <v>2915804.3607000001</v>
      </c>
      <c r="I1162" s="22">
        <f>IFERROR(VLOOKUP(D1162,'LEAID Match'!$A$2:$B$184,2,FALSE),"")</f>
        <v>3701320</v>
      </c>
    </row>
    <row r="1163" spans="1:9" x14ac:dyDescent="0.2">
      <c r="A1163">
        <f t="shared" si="18"/>
        <v>3701320</v>
      </c>
      <c r="B1163" s="24">
        <v>2017</v>
      </c>
      <c r="C1163" t="s">
        <v>294</v>
      </c>
      <c r="D1163" t="s">
        <v>709</v>
      </c>
      <c r="E1163" t="s">
        <v>709</v>
      </c>
      <c r="F1163" s="11">
        <v>255893851</v>
      </c>
      <c r="G1163" s="18">
        <v>2.2932999999999999E-3</v>
      </c>
      <c r="H1163" s="11">
        <v>3305090.2001999998</v>
      </c>
      <c r="I1163" s="22">
        <f>IFERROR(VLOOKUP(D1163,'LEAID Match'!$A$2:$B$184,2,FALSE),"")</f>
        <v>3701320</v>
      </c>
    </row>
    <row r="1164" spans="1:9" x14ac:dyDescent="0.2">
      <c r="A1164">
        <f t="shared" si="18"/>
        <v>3701320</v>
      </c>
      <c r="B1164" s="24">
        <v>2018</v>
      </c>
      <c r="C1164" t="s">
        <v>294</v>
      </c>
      <c r="D1164" t="s">
        <v>709</v>
      </c>
      <c r="E1164" t="s">
        <v>709</v>
      </c>
      <c r="F1164" s="11">
        <v>267747150</v>
      </c>
      <c r="G1164" s="18">
        <v>2.3040000000000001E-3</v>
      </c>
      <c r="H1164" s="11">
        <v>3693083.9040000001</v>
      </c>
      <c r="I1164" s="22">
        <f>IFERROR(VLOOKUP(D1164,'LEAID Match'!$A$2:$B$184,2,FALSE),"")</f>
        <v>3701320</v>
      </c>
    </row>
    <row r="1165" spans="1:9" x14ac:dyDescent="0.2">
      <c r="A1165">
        <f t="shared" si="18"/>
        <v>3701320</v>
      </c>
      <c r="B1165" s="24">
        <v>2019</v>
      </c>
      <c r="C1165" t="s">
        <v>294</v>
      </c>
      <c r="D1165" t="s">
        <v>709</v>
      </c>
      <c r="E1165" t="s">
        <v>709</v>
      </c>
      <c r="F1165" s="11">
        <v>273394502</v>
      </c>
      <c r="G1165" s="18">
        <v>2.2691999999999999E-3</v>
      </c>
      <c r="H1165" s="11">
        <v>4345849.3032</v>
      </c>
      <c r="I1165" s="22">
        <f>IFERROR(VLOOKUP(D1165,'LEAID Match'!$A$2:$B$184,2,FALSE),"")</f>
        <v>3701320</v>
      </c>
    </row>
    <row r="1166" spans="1:9" x14ac:dyDescent="0.2">
      <c r="A1166">
        <f t="shared" si="18"/>
        <v>3701320</v>
      </c>
      <c r="B1166" s="24">
        <v>2020</v>
      </c>
      <c r="C1166" t="s">
        <v>294</v>
      </c>
      <c r="D1166" t="s">
        <v>709</v>
      </c>
      <c r="E1166" t="s">
        <v>709</v>
      </c>
      <c r="F1166" s="11">
        <v>280573690</v>
      </c>
      <c r="G1166" s="18">
        <v>2.2650000000000001E-3</v>
      </c>
      <c r="H1166" s="11">
        <v>4654744.875</v>
      </c>
      <c r="I1166" s="22">
        <f>IFERROR(VLOOKUP(D1166,'LEAID Match'!$A$2:$B$184,2,FALSE),"")</f>
        <v>3701320</v>
      </c>
    </row>
    <row r="1167" spans="1:9" x14ac:dyDescent="0.2">
      <c r="A1167">
        <f t="shared" si="18"/>
        <v>3701320</v>
      </c>
      <c r="B1167" s="24">
        <v>2021</v>
      </c>
      <c r="C1167" t="s">
        <v>294</v>
      </c>
      <c r="D1167" t="s">
        <v>709</v>
      </c>
      <c r="E1167" t="s">
        <v>709</v>
      </c>
      <c r="F1167" s="11">
        <v>265966922</v>
      </c>
      <c r="G1167" s="18">
        <v>2.1251999999999998E-3</v>
      </c>
      <c r="H1167" s="11">
        <v>5043635.1503999997</v>
      </c>
      <c r="I1167" s="22">
        <f>IFERROR(VLOOKUP(D1167,'LEAID Match'!$A$2:$B$184,2,FALSE),"")</f>
        <v>3701320</v>
      </c>
    </row>
    <row r="1168" spans="1:9" x14ac:dyDescent="0.2">
      <c r="A1168">
        <f t="shared" si="18"/>
        <v>3701320</v>
      </c>
      <c r="B1168" s="24">
        <v>2022</v>
      </c>
      <c r="C1168" t="s">
        <v>294</v>
      </c>
      <c r="D1168" t="s">
        <v>709</v>
      </c>
      <c r="E1168" t="s">
        <v>709</v>
      </c>
      <c r="F1168" s="11">
        <v>282877869</v>
      </c>
      <c r="G1168" s="18">
        <v>2.2428999999999999E-3</v>
      </c>
      <c r="H1168" s="11">
        <v>6194768.6833999995</v>
      </c>
      <c r="I1168" s="22">
        <f>IFERROR(VLOOKUP(D1168,'LEAID Match'!$A$2:$B$184,2,FALSE),"")</f>
        <v>3701320</v>
      </c>
    </row>
    <row r="1169" spans="1:9" x14ac:dyDescent="0.2">
      <c r="A1169">
        <f t="shared" si="18"/>
        <v>3701320</v>
      </c>
      <c r="B1169" s="24">
        <v>2023</v>
      </c>
      <c r="C1169" t="s">
        <v>294</v>
      </c>
      <c r="D1169" t="s">
        <v>709</v>
      </c>
      <c r="E1169" t="s">
        <v>709</v>
      </c>
      <c r="F1169" s="11">
        <v>298721450</v>
      </c>
      <c r="G1169" s="18">
        <v>2.2477E-3</v>
      </c>
      <c r="H1169" s="11">
        <v>6821537.9868999999</v>
      </c>
      <c r="I1169" s="22">
        <f>IFERROR(VLOOKUP(D1169,'LEAID Match'!$A$2:$B$184,2,FALSE),"")</f>
        <v>3701320</v>
      </c>
    </row>
    <row r="1170" spans="1:9" x14ac:dyDescent="0.2">
      <c r="A1170" t="str">
        <f t="shared" si="18"/>
        <v/>
      </c>
      <c r="B1170" s="24">
        <v>2015</v>
      </c>
      <c r="C1170" t="s">
        <v>295</v>
      </c>
      <c r="D1170" t="s">
        <v>710</v>
      </c>
      <c r="E1170" t="s">
        <v>241</v>
      </c>
      <c r="F1170" s="11">
        <v>71257001</v>
      </c>
      <c r="G1170" s="18">
        <v>6.2299999999999996E-4</v>
      </c>
      <c r="H1170" s="11">
        <v>786841.52399999998</v>
      </c>
      <c r="I1170" s="22" t="str">
        <f>IFERROR(VLOOKUP(D1170,'LEAID Match'!$A$2:$B$184,2,FALSE),"")</f>
        <v/>
      </c>
    </row>
    <row r="1171" spans="1:9" x14ac:dyDescent="0.2">
      <c r="A1171" t="str">
        <f t="shared" si="18"/>
        <v/>
      </c>
      <c r="B1171" s="24">
        <v>2016</v>
      </c>
      <c r="C1171" t="s">
        <v>295</v>
      </c>
      <c r="D1171" t="s">
        <v>710</v>
      </c>
      <c r="E1171" t="s">
        <v>710</v>
      </c>
      <c r="F1171" s="11">
        <v>65369143</v>
      </c>
      <c r="G1171" s="18">
        <v>6.0360000000000003E-4</v>
      </c>
      <c r="H1171" s="11">
        <v>769591.81080000009</v>
      </c>
      <c r="I1171" s="22" t="str">
        <f>IFERROR(VLOOKUP(D1171,'LEAID Match'!$A$2:$B$184,2,FALSE),"")</f>
        <v/>
      </c>
    </row>
    <row r="1172" spans="1:9" x14ac:dyDescent="0.2">
      <c r="A1172" t="str">
        <f t="shared" si="18"/>
        <v/>
      </c>
      <c r="B1172" s="24">
        <v>2017</v>
      </c>
      <c r="C1172" t="s">
        <v>295</v>
      </c>
      <c r="D1172" t="s">
        <v>710</v>
      </c>
      <c r="E1172" t="s">
        <v>710</v>
      </c>
      <c r="F1172" s="11">
        <v>63509737</v>
      </c>
      <c r="G1172" s="18">
        <v>5.6919999999999996E-4</v>
      </c>
      <c r="H1172" s="11">
        <v>820327.62479999999</v>
      </c>
      <c r="I1172" s="22" t="str">
        <f>IFERROR(VLOOKUP(D1172,'LEAID Match'!$A$2:$B$184,2,FALSE),"")</f>
        <v/>
      </c>
    </row>
    <row r="1173" spans="1:9" x14ac:dyDescent="0.2">
      <c r="A1173" t="str">
        <f t="shared" si="18"/>
        <v/>
      </c>
      <c r="B1173" s="24">
        <v>2018</v>
      </c>
      <c r="C1173" t="s">
        <v>295</v>
      </c>
      <c r="D1173" t="s">
        <v>710</v>
      </c>
      <c r="E1173" t="s">
        <v>710</v>
      </c>
      <c r="F1173" s="11">
        <v>64357991</v>
      </c>
      <c r="G1173" s="18">
        <v>5.5380000000000002E-4</v>
      </c>
      <c r="H1173" s="11">
        <v>887686.57380000001</v>
      </c>
      <c r="I1173" s="22" t="str">
        <f>IFERROR(VLOOKUP(D1173,'LEAID Match'!$A$2:$B$184,2,FALSE),"")</f>
        <v/>
      </c>
    </row>
    <row r="1174" spans="1:9" x14ac:dyDescent="0.2">
      <c r="A1174" t="str">
        <f t="shared" si="18"/>
        <v/>
      </c>
      <c r="B1174" s="24">
        <v>2019</v>
      </c>
      <c r="C1174" t="s">
        <v>295</v>
      </c>
      <c r="D1174" t="s">
        <v>710</v>
      </c>
      <c r="E1174" t="s">
        <v>710</v>
      </c>
      <c r="F1174" s="11">
        <v>64973088</v>
      </c>
      <c r="G1174" s="18">
        <v>5.3930000000000004E-4</v>
      </c>
      <c r="H1174" s="11">
        <v>1032838.2378000001</v>
      </c>
      <c r="I1174" s="22" t="str">
        <f>IFERROR(VLOOKUP(D1174,'LEAID Match'!$A$2:$B$184,2,FALSE),"")</f>
        <v/>
      </c>
    </row>
    <row r="1175" spans="1:9" x14ac:dyDescent="0.2">
      <c r="A1175" t="str">
        <f t="shared" si="18"/>
        <v/>
      </c>
      <c r="B1175" s="24">
        <v>2020</v>
      </c>
      <c r="C1175" t="s">
        <v>295</v>
      </c>
      <c r="D1175" t="s">
        <v>710</v>
      </c>
      <c r="E1175" t="s">
        <v>710</v>
      </c>
      <c r="F1175" s="11">
        <v>59803556</v>
      </c>
      <c r="G1175" s="18">
        <v>4.8280000000000003E-4</v>
      </c>
      <c r="H1175" s="11">
        <v>992190.21000000008</v>
      </c>
      <c r="I1175" s="22" t="str">
        <f>IFERROR(VLOOKUP(D1175,'LEAID Match'!$A$2:$B$184,2,FALSE),"")</f>
        <v/>
      </c>
    </row>
    <row r="1176" spans="1:9" x14ac:dyDescent="0.2">
      <c r="A1176" t="str">
        <f t="shared" si="18"/>
        <v/>
      </c>
      <c r="B1176" s="24">
        <v>2021</v>
      </c>
      <c r="C1176" t="s">
        <v>295</v>
      </c>
      <c r="D1176" t="s">
        <v>710</v>
      </c>
      <c r="E1176" t="s">
        <v>710</v>
      </c>
      <c r="F1176" s="11">
        <v>55119741</v>
      </c>
      <c r="G1176" s="18">
        <v>4.4040000000000003E-4</v>
      </c>
      <c r="H1176" s="11">
        <v>1045180.1808000001</v>
      </c>
      <c r="I1176" s="22" t="str">
        <f>IFERROR(VLOOKUP(D1176,'LEAID Match'!$A$2:$B$184,2,FALSE),"")</f>
        <v/>
      </c>
    </row>
    <row r="1177" spans="1:9" x14ac:dyDescent="0.2">
      <c r="A1177" t="str">
        <f t="shared" si="18"/>
        <v/>
      </c>
      <c r="B1177" s="24">
        <v>2022</v>
      </c>
      <c r="C1177" t="s">
        <v>295</v>
      </c>
      <c r="D1177" t="s">
        <v>710</v>
      </c>
      <c r="E1177" t="s">
        <v>710</v>
      </c>
      <c r="F1177" s="11">
        <v>54238027</v>
      </c>
      <c r="G1177" s="18">
        <v>4.3009999999999999E-4</v>
      </c>
      <c r="H1177" s="11">
        <v>1187912.9746000001</v>
      </c>
      <c r="I1177" s="22" t="str">
        <f>IFERROR(VLOOKUP(D1177,'LEAID Match'!$A$2:$B$184,2,FALSE),"")</f>
        <v/>
      </c>
    </row>
    <row r="1178" spans="1:9" x14ac:dyDescent="0.2">
      <c r="A1178" t="str">
        <f t="shared" si="18"/>
        <v/>
      </c>
      <c r="B1178" s="24">
        <v>2023</v>
      </c>
      <c r="C1178" t="s">
        <v>295</v>
      </c>
      <c r="D1178" t="s">
        <v>710</v>
      </c>
      <c r="E1178" t="s">
        <v>710</v>
      </c>
      <c r="F1178" s="11">
        <v>61942018</v>
      </c>
      <c r="G1178" s="18">
        <v>4.661E-4</v>
      </c>
      <c r="H1178" s="11">
        <v>1414565.4916999999</v>
      </c>
      <c r="I1178" s="22" t="str">
        <f>IFERROR(VLOOKUP(D1178,'LEAID Match'!$A$2:$B$184,2,FALSE),"")</f>
        <v/>
      </c>
    </row>
    <row r="1179" spans="1:9" x14ac:dyDescent="0.2">
      <c r="A1179">
        <f t="shared" si="18"/>
        <v>3701500</v>
      </c>
      <c r="B1179" s="24">
        <v>2015</v>
      </c>
      <c r="C1179" t="s">
        <v>296</v>
      </c>
      <c r="D1179" t="s">
        <v>711</v>
      </c>
      <c r="E1179" t="s">
        <v>242</v>
      </c>
      <c r="F1179" s="11">
        <v>2313607049</v>
      </c>
      <c r="G1179" s="18">
        <v>2.0228599999999999E-2</v>
      </c>
      <c r="H1179" s="11">
        <v>25548479.0568</v>
      </c>
      <c r="I1179" s="22">
        <f>IFERROR(VLOOKUP(D1179,'LEAID Match'!$A$2:$B$184,2,FALSE),"")</f>
        <v>3701500</v>
      </c>
    </row>
    <row r="1180" spans="1:9" x14ac:dyDescent="0.2">
      <c r="A1180">
        <f t="shared" si="18"/>
        <v>3701500</v>
      </c>
      <c r="B1180" s="24">
        <v>2016</v>
      </c>
      <c r="C1180" t="s">
        <v>296</v>
      </c>
      <c r="D1180" t="s">
        <v>711</v>
      </c>
      <c r="E1180" t="s">
        <v>711</v>
      </c>
      <c r="F1180" s="11">
        <v>2221259224</v>
      </c>
      <c r="G1180" s="18">
        <v>2.05119E-2</v>
      </c>
      <c r="H1180" s="11">
        <v>26152734.035700001</v>
      </c>
      <c r="I1180" s="22">
        <f>IFERROR(VLOOKUP(D1180,'LEAID Match'!$A$2:$B$184,2,FALSE),"")</f>
        <v>3701500</v>
      </c>
    </row>
    <row r="1181" spans="1:9" x14ac:dyDescent="0.2">
      <c r="A1181">
        <f t="shared" si="18"/>
        <v>3701500</v>
      </c>
      <c r="B1181" s="24">
        <v>2017</v>
      </c>
      <c r="C1181" t="s">
        <v>296</v>
      </c>
      <c r="D1181" t="s">
        <v>711</v>
      </c>
      <c r="E1181" t="s">
        <v>711</v>
      </c>
      <c r="F1181" s="11">
        <v>2287557608</v>
      </c>
      <c r="G1181" s="18">
        <v>2.0501200000000001E-2</v>
      </c>
      <c r="H1181" s="11">
        <v>29546206.432800002</v>
      </c>
      <c r="I1181" s="22">
        <f>IFERROR(VLOOKUP(D1181,'LEAID Match'!$A$2:$B$184,2,FALSE),"")</f>
        <v>3701500</v>
      </c>
    </row>
    <row r="1182" spans="1:9" x14ac:dyDescent="0.2">
      <c r="A1182">
        <f t="shared" si="18"/>
        <v>3701500</v>
      </c>
      <c r="B1182" s="24">
        <v>2018</v>
      </c>
      <c r="C1182" t="s">
        <v>296</v>
      </c>
      <c r="D1182" t="s">
        <v>711</v>
      </c>
      <c r="E1182" t="s">
        <v>711</v>
      </c>
      <c r="F1182" s="11">
        <v>2404141577</v>
      </c>
      <c r="G1182" s="18">
        <v>2.06883E-2</v>
      </c>
      <c r="H1182" s="11">
        <v>33161296.758299999</v>
      </c>
      <c r="I1182" s="22">
        <f>IFERROR(VLOOKUP(D1182,'LEAID Match'!$A$2:$B$184,2,FALSE),"")</f>
        <v>3701500</v>
      </c>
    </row>
    <row r="1183" spans="1:9" x14ac:dyDescent="0.2">
      <c r="A1183">
        <f t="shared" si="18"/>
        <v>3701500</v>
      </c>
      <c r="B1183" s="24">
        <v>2019</v>
      </c>
      <c r="C1183" t="s">
        <v>296</v>
      </c>
      <c r="D1183" t="s">
        <v>711</v>
      </c>
      <c r="E1183" t="s">
        <v>711</v>
      </c>
      <c r="F1183" s="11">
        <v>2486033659</v>
      </c>
      <c r="G1183" s="18">
        <v>2.0634099999999999E-2</v>
      </c>
      <c r="H1183" s="11">
        <v>39517314.078599997</v>
      </c>
      <c r="I1183" s="22">
        <f>IFERROR(VLOOKUP(D1183,'LEAID Match'!$A$2:$B$184,2,FALSE),"")</f>
        <v>3701500</v>
      </c>
    </row>
    <row r="1184" spans="1:9" x14ac:dyDescent="0.2">
      <c r="A1184">
        <f t="shared" si="18"/>
        <v>3701500</v>
      </c>
      <c r="B1184" s="24">
        <v>2020</v>
      </c>
      <c r="C1184" t="s">
        <v>296</v>
      </c>
      <c r="D1184" t="s">
        <v>711</v>
      </c>
      <c r="E1184" t="s">
        <v>711</v>
      </c>
      <c r="F1184" s="11">
        <v>2540671864</v>
      </c>
      <c r="G1184" s="18">
        <v>2.0510500000000001E-2</v>
      </c>
      <c r="H1184" s="11">
        <v>42150615.787500001</v>
      </c>
      <c r="I1184" s="22">
        <f>IFERROR(VLOOKUP(D1184,'LEAID Match'!$A$2:$B$184,2,FALSE),"")</f>
        <v>3701500</v>
      </c>
    </row>
    <row r="1185" spans="1:9" x14ac:dyDescent="0.2">
      <c r="A1185">
        <f t="shared" si="18"/>
        <v>3701500</v>
      </c>
      <c r="B1185" s="24">
        <v>2021</v>
      </c>
      <c r="C1185" t="s">
        <v>296</v>
      </c>
      <c r="D1185" t="s">
        <v>711</v>
      </c>
      <c r="E1185" t="s">
        <v>711</v>
      </c>
      <c r="F1185" s="11">
        <v>2521040724</v>
      </c>
      <c r="G1185" s="18">
        <v>2.0144100000000002E-2</v>
      </c>
      <c r="H1185" s="11">
        <v>47807025.613200001</v>
      </c>
      <c r="I1185" s="22">
        <f>IFERROR(VLOOKUP(D1185,'LEAID Match'!$A$2:$B$184,2,FALSE),"")</f>
        <v>3701500</v>
      </c>
    </row>
    <row r="1186" spans="1:9" x14ac:dyDescent="0.2">
      <c r="A1186">
        <f t="shared" si="18"/>
        <v>3701500</v>
      </c>
      <c r="B1186" s="24">
        <v>2022</v>
      </c>
      <c r="C1186" t="s">
        <v>296</v>
      </c>
      <c r="D1186" t="s">
        <v>711</v>
      </c>
      <c r="E1186" t="s">
        <v>711</v>
      </c>
      <c r="F1186" s="11">
        <v>2630491600</v>
      </c>
      <c r="G1186" s="18">
        <v>2.08571E-2</v>
      </c>
      <c r="H1186" s="11">
        <v>57606183.916599996</v>
      </c>
      <c r="I1186" s="22">
        <f>IFERROR(VLOOKUP(D1186,'LEAID Match'!$A$2:$B$184,2,FALSE),"")</f>
        <v>3701500</v>
      </c>
    </row>
    <row r="1187" spans="1:9" x14ac:dyDescent="0.2">
      <c r="A1187">
        <f t="shared" si="18"/>
        <v>3701500</v>
      </c>
      <c r="B1187" s="24">
        <v>2023</v>
      </c>
      <c r="C1187" t="s">
        <v>296</v>
      </c>
      <c r="D1187" t="s">
        <v>711</v>
      </c>
      <c r="E1187" t="s">
        <v>711</v>
      </c>
      <c r="F1187" s="11">
        <v>2846475781</v>
      </c>
      <c r="G1187" s="18">
        <v>2.1417599999999998E-2</v>
      </c>
      <c r="H1187" s="11">
        <v>65000209.987199992</v>
      </c>
      <c r="I1187" s="22">
        <f>IFERROR(VLOOKUP(D1187,'LEAID Match'!$A$2:$B$184,2,FALSE),"")</f>
        <v>3701500</v>
      </c>
    </row>
    <row r="1188" spans="1:9" x14ac:dyDescent="0.2">
      <c r="A1188">
        <f t="shared" si="18"/>
        <v>3700126</v>
      </c>
      <c r="B1188" s="24">
        <v>2015</v>
      </c>
      <c r="C1188" t="s">
        <v>297</v>
      </c>
      <c r="D1188" t="s">
        <v>712</v>
      </c>
      <c r="E1188" t="s">
        <v>243</v>
      </c>
      <c r="F1188" s="11">
        <v>16682962</v>
      </c>
      <c r="G1188" s="18">
        <v>1.459E-4</v>
      </c>
      <c r="H1188" s="11">
        <v>184269.9492</v>
      </c>
      <c r="I1188" s="22">
        <f>IFERROR(VLOOKUP(D1188,'LEAID Match'!$A$2:$B$184,2,FALSE),"")</f>
        <v>3700126</v>
      </c>
    </row>
    <row r="1189" spans="1:9" x14ac:dyDescent="0.2">
      <c r="A1189">
        <f t="shared" si="18"/>
        <v>3700126</v>
      </c>
      <c r="B1189" s="24">
        <v>2016</v>
      </c>
      <c r="C1189" t="s">
        <v>297</v>
      </c>
      <c r="D1189" t="s">
        <v>712</v>
      </c>
      <c r="E1189" t="s">
        <v>712</v>
      </c>
      <c r="F1189" s="11">
        <v>17166309</v>
      </c>
      <c r="G1189" s="18">
        <v>1.585E-4</v>
      </c>
      <c r="H1189" s="11">
        <v>202087.9755</v>
      </c>
      <c r="I1189" s="22">
        <f>IFERROR(VLOOKUP(D1189,'LEAID Match'!$A$2:$B$184,2,FALSE),"")</f>
        <v>3700126</v>
      </c>
    </row>
    <row r="1190" spans="1:9" x14ac:dyDescent="0.2">
      <c r="A1190">
        <f t="shared" si="18"/>
        <v>3700126</v>
      </c>
      <c r="B1190" s="24">
        <v>2017</v>
      </c>
      <c r="C1190" t="s">
        <v>297</v>
      </c>
      <c r="D1190" t="s">
        <v>712</v>
      </c>
      <c r="E1190" t="s">
        <v>712</v>
      </c>
      <c r="F1190" s="11">
        <v>18270637</v>
      </c>
      <c r="G1190" s="18">
        <v>1.6369999999999999E-4</v>
      </c>
      <c r="H1190" s="11">
        <v>235923.4578</v>
      </c>
      <c r="I1190" s="22">
        <f>IFERROR(VLOOKUP(D1190,'LEAID Match'!$A$2:$B$184,2,FALSE),"")</f>
        <v>3700126</v>
      </c>
    </row>
    <row r="1191" spans="1:9" x14ac:dyDescent="0.2">
      <c r="A1191">
        <f t="shared" si="18"/>
        <v>3700126</v>
      </c>
      <c r="B1191" s="24">
        <v>2018</v>
      </c>
      <c r="C1191" t="s">
        <v>297</v>
      </c>
      <c r="D1191" t="s">
        <v>712</v>
      </c>
      <c r="E1191" t="s">
        <v>712</v>
      </c>
      <c r="F1191" s="11">
        <v>20259603</v>
      </c>
      <c r="G1191" s="18">
        <v>1.7430000000000001E-4</v>
      </c>
      <c r="H1191" s="11">
        <v>279385.64429999999</v>
      </c>
      <c r="I1191" s="22">
        <f>IFERROR(VLOOKUP(D1191,'LEAID Match'!$A$2:$B$184,2,FALSE),"")</f>
        <v>3700126</v>
      </c>
    </row>
    <row r="1192" spans="1:9" x14ac:dyDescent="0.2">
      <c r="A1192">
        <f t="shared" si="18"/>
        <v>3700126</v>
      </c>
      <c r="B1192" s="24">
        <v>2019</v>
      </c>
      <c r="C1192" t="s">
        <v>297</v>
      </c>
      <c r="D1192" t="s">
        <v>712</v>
      </c>
      <c r="E1192" t="s">
        <v>712</v>
      </c>
      <c r="F1192" s="11">
        <v>20792033</v>
      </c>
      <c r="G1192" s="18">
        <v>1.7259999999999999E-4</v>
      </c>
      <c r="H1192" s="11">
        <v>330554.19959999999</v>
      </c>
      <c r="I1192" s="22">
        <f>IFERROR(VLOOKUP(D1192,'LEAID Match'!$A$2:$B$184,2,FALSE),"")</f>
        <v>3700126</v>
      </c>
    </row>
    <row r="1193" spans="1:9" x14ac:dyDescent="0.2">
      <c r="A1193">
        <f t="shared" si="18"/>
        <v>3700126</v>
      </c>
      <c r="B1193" s="24">
        <v>2020</v>
      </c>
      <c r="C1193" t="s">
        <v>297</v>
      </c>
      <c r="D1193" t="s">
        <v>712</v>
      </c>
      <c r="E1193" t="s">
        <v>712</v>
      </c>
      <c r="F1193" s="11">
        <v>22944137</v>
      </c>
      <c r="G1193" s="18">
        <v>1.852E-4</v>
      </c>
      <c r="H1193" s="11">
        <v>380599.89</v>
      </c>
      <c r="I1193" s="22">
        <f>IFERROR(VLOOKUP(D1193,'LEAID Match'!$A$2:$B$184,2,FALSE),"")</f>
        <v>3700126</v>
      </c>
    </row>
    <row r="1194" spans="1:9" x14ac:dyDescent="0.2">
      <c r="A1194">
        <f t="shared" si="18"/>
        <v>3700126</v>
      </c>
      <c r="B1194" s="24">
        <v>2021</v>
      </c>
      <c r="C1194" t="s">
        <v>297</v>
      </c>
      <c r="D1194" t="s">
        <v>712</v>
      </c>
      <c r="E1194" t="s">
        <v>712</v>
      </c>
      <c r="F1194" s="11">
        <v>22650158</v>
      </c>
      <c r="G1194" s="18">
        <v>1.8100000000000001E-4</v>
      </c>
      <c r="H1194" s="11">
        <v>429558.61200000002</v>
      </c>
      <c r="I1194" s="22">
        <f>IFERROR(VLOOKUP(D1194,'LEAID Match'!$A$2:$B$184,2,FALSE),"")</f>
        <v>3700126</v>
      </c>
    </row>
    <row r="1195" spans="1:9" x14ac:dyDescent="0.2">
      <c r="A1195">
        <f t="shared" si="18"/>
        <v>3700126</v>
      </c>
      <c r="B1195" s="24">
        <v>2022</v>
      </c>
      <c r="C1195" t="s">
        <v>297</v>
      </c>
      <c r="D1195" t="s">
        <v>712</v>
      </c>
      <c r="E1195" t="s">
        <v>712</v>
      </c>
      <c r="F1195" s="11">
        <v>24483798</v>
      </c>
      <c r="G1195" s="18">
        <v>1.941E-4</v>
      </c>
      <c r="H1195" s="11">
        <v>536093.71860000002</v>
      </c>
      <c r="I1195" s="22">
        <f>IFERROR(VLOOKUP(D1195,'LEAID Match'!$A$2:$B$184,2,FALSE),"")</f>
        <v>3700126</v>
      </c>
    </row>
    <row r="1196" spans="1:9" x14ac:dyDescent="0.2">
      <c r="A1196">
        <f t="shared" si="18"/>
        <v>3700126</v>
      </c>
      <c r="B1196" s="24">
        <v>2023</v>
      </c>
      <c r="C1196" t="s">
        <v>297</v>
      </c>
      <c r="D1196" t="s">
        <v>712</v>
      </c>
      <c r="E1196" t="s">
        <v>712</v>
      </c>
      <c r="F1196" s="11">
        <v>27079692</v>
      </c>
      <c r="G1196" s="18">
        <v>2.0379999999999999E-4</v>
      </c>
      <c r="H1196" s="11">
        <v>618512.00859999994</v>
      </c>
      <c r="I1196" s="22">
        <f>IFERROR(VLOOKUP(D1196,'LEAID Match'!$A$2:$B$184,2,FALSE),"")</f>
        <v>3700126</v>
      </c>
    </row>
    <row r="1197" spans="1:9" x14ac:dyDescent="0.2">
      <c r="A1197">
        <f t="shared" si="18"/>
        <v>3700083</v>
      </c>
      <c r="B1197" s="24">
        <v>2015</v>
      </c>
      <c r="C1197" t="s">
        <v>298</v>
      </c>
      <c r="D1197" t="s">
        <v>713</v>
      </c>
      <c r="E1197" t="s">
        <v>244</v>
      </c>
      <c r="F1197" s="11">
        <v>229947779</v>
      </c>
      <c r="G1197" s="18">
        <v>2.0105000000000001E-3</v>
      </c>
      <c r="H1197" s="11">
        <v>2539237.3740000003</v>
      </c>
      <c r="I1197" s="22">
        <f>IFERROR(VLOOKUP(D1197,'LEAID Match'!$A$2:$B$184,2,FALSE),"")</f>
        <v>3700083</v>
      </c>
    </row>
    <row r="1198" spans="1:9" x14ac:dyDescent="0.2">
      <c r="A1198">
        <f t="shared" si="18"/>
        <v>3700083</v>
      </c>
      <c r="B1198" s="24">
        <v>2016</v>
      </c>
      <c r="C1198" t="s">
        <v>298</v>
      </c>
      <c r="D1198" t="s">
        <v>713</v>
      </c>
      <c r="E1198" t="s">
        <v>713</v>
      </c>
      <c r="F1198" s="11">
        <v>220390707</v>
      </c>
      <c r="G1198" s="18">
        <v>2.0352E-3</v>
      </c>
      <c r="H1198" s="11">
        <v>2594886.1055999999</v>
      </c>
      <c r="I1198" s="22">
        <f>IFERROR(VLOOKUP(D1198,'LEAID Match'!$A$2:$B$184,2,FALSE),"")</f>
        <v>3700083</v>
      </c>
    </row>
    <row r="1199" spans="1:9" x14ac:dyDescent="0.2">
      <c r="A1199">
        <f t="shared" si="18"/>
        <v>3700083</v>
      </c>
      <c r="B1199" s="24">
        <v>2017</v>
      </c>
      <c r="C1199" t="s">
        <v>298</v>
      </c>
      <c r="D1199" t="s">
        <v>713</v>
      </c>
      <c r="E1199" t="s">
        <v>713</v>
      </c>
      <c r="F1199" s="11">
        <v>220510079</v>
      </c>
      <c r="G1199" s="18">
        <v>1.9762E-3</v>
      </c>
      <c r="H1199" s="11">
        <v>2848087.5828</v>
      </c>
      <c r="I1199" s="22">
        <f>IFERROR(VLOOKUP(D1199,'LEAID Match'!$A$2:$B$184,2,FALSE),"")</f>
        <v>3700083</v>
      </c>
    </row>
    <row r="1200" spans="1:9" x14ac:dyDescent="0.2">
      <c r="A1200">
        <f t="shared" si="18"/>
        <v>3700083</v>
      </c>
      <c r="B1200" s="24">
        <v>2018</v>
      </c>
      <c r="C1200" t="s">
        <v>298</v>
      </c>
      <c r="D1200" t="s">
        <v>713</v>
      </c>
      <c r="E1200" t="s">
        <v>713</v>
      </c>
      <c r="F1200" s="11">
        <v>215259023</v>
      </c>
      <c r="G1200" s="18">
        <v>1.8523999999999999E-3</v>
      </c>
      <c r="H1200" s="11">
        <v>2969213.8123999997</v>
      </c>
      <c r="I1200" s="22">
        <f>IFERROR(VLOOKUP(D1200,'LEAID Match'!$A$2:$B$184,2,FALSE),"")</f>
        <v>3700083</v>
      </c>
    </row>
    <row r="1201" spans="1:9" x14ac:dyDescent="0.2">
      <c r="A1201">
        <f t="shared" si="18"/>
        <v>3700083</v>
      </c>
      <c r="B1201" s="24">
        <v>2019</v>
      </c>
      <c r="C1201" t="s">
        <v>298</v>
      </c>
      <c r="D1201" t="s">
        <v>713</v>
      </c>
      <c r="E1201" t="s">
        <v>713</v>
      </c>
      <c r="F1201" s="11">
        <v>218766397</v>
      </c>
      <c r="G1201" s="18">
        <v>1.8158E-3</v>
      </c>
      <c r="H1201" s="11">
        <v>3477522.1068000002</v>
      </c>
      <c r="I1201" s="22">
        <f>IFERROR(VLOOKUP(D1201,'LEAID Match'!$A$2:$B$184,2,FALSE),"")</f>
        <v>3700083</v>
      </c>
    </row>
    <row r="1202" spans="1:9" x14ac:dyDescent="0.2">
      <c r="A1202">
        <f t="shared" si="18"/>
        <v>3700083</v>
      </c>
      <c r="B1202" s="24">
        <v>2020</v>
      </c>
      <c r="C1202" t="s">
        <v>298</v>
      </c>
      <c r="D1202" t="s">
        <v>713</v>
      </c>
      <c r="E1202" t="s">
        <v>713</v>
      </c>
      <c r="F1202" s="11">
        <v>224016383</v>
      </c>
      <c r="G1202" s="18">
        <v>1.8085E-3</v>
      </c>
      <c r="H1202" s="11">
        <v>3716603.1375000002</v>
      </c>
      <c r="I1202" s="22">
        <f>IFERROR(VLOOKUP(D1202,'LEAID Match'!$A$2:$B$184,2,FALSE),"")</f>
        <v>3700083</v>
      </c>
    </row>
    <row r="1203" spans="1:9" x14ac:dyDescent="0.2">
      <c r="A1203">
        <f t="shared" si="18"/>
        <v>3700083</v>
      </c>
      <c r="B1203" s="24">
        <v>2021</v>
      </c>
      <c r="C1203" t="s">
        <v>298</v>
      </c>
      <c r="D1203" t="s">
        <v>713</v>
      </c>
      <c r="E1203" t="s">
        <v>713</v>
      </c>
      <c r="F1203" s="11">
        <v>238102769</v>
      </c>
      <c r="G1203" s="18">
        <v>1.9024999999999999E-3</v>
      </c>
      <c r="H1203" s="11">
        <v>4515111.93</v>
      </c>
      <c r="I1203" s="22">
        <f>IFERROR(VLOOKUP(D1203,'LEAID Match'!$A$2:$B$184,2,FALSE),"")</f>
        <v>3700083</v>
      </c>
    </row>
    <row r="1204" spans="1:9" x14ac:dyDescent="0.2">
      <c r="A1204">
        <f t="shared" si="18"/>
        <v>3700083</v>
      </c>
      <c r="B1204" s="24">
        <v>2022</v>
      </c>
      <c r="C1204" t="s">
        <v>298</v>
      </c>
      <c r="D1204" t="s">
        <v>713</v>
      </c>
      <c r="E1204" t="s">
        <v>713</v>
      </c>
      <c r="F1204" s="11">
        <v>235289533</v>
      </c>
      <c r="G1204" s="18">
        <v>1.8656E-3</v>
      </c>
      <c r="H1204" s="11">
        <v>5152686.4576000003</v>
      </c>
      <c r="I1204" s="22">
        <f>IFERROR(VLOOKUP(D1204,'LEAID Match'!$A$2:$B$184,2,FALSE),"")</f>
        <v>3700083</v>
      </c>
    </row>
    <row r="1205" spans="1:9" x14ac:dyDescent="0.2">
      <c r="A1205">
        <f t="shared" si="18"/>
        <v>3700083</v>
      </c>
      <c r="B1205" s="24">
        <v>2023</v>
      </c>
      <c r="C1205" t="s">
        <v>298</v>
      </c>
      <c r="D1205" t="s">
        <v>713</v>
      </c>
      <c r="E1205" t="s">
        <v>713</v>
      </c>
      <c r="F1205" s="11">
        <v>249071528</v>
      </c>
      <c r="G1205" s="18">
        <v>1.8741000000000001E-3</v>
      </c>
      <c r="H1205" s="11">
        <v>5687700.4676999999</v>
      </c>
      <c r="I1205" s="22">
        <f>IFERROR(VLOOKUP(D1205,'LEAID Match'!$A$2:$B$184,2,FALSE),"")</f>
        <v>3700083</v>
      </c>
    </row>
    <row r="1206" spans="1:9" x14ac:dyDescent="0.2">
      <c r="A1206">
        <f t="shared" si="18"/>
        <v>3701530</v>
      </c>
      <c r="B1206" s="24">
        <v>2015</v>
      </c>
      <c r="C1206" t="s">
        <v>299</v>
      </c>
      <c r="D1206" t="s">
        <v>714</v>
      </c>
      <c r="E1206" t="s">
        <v>245</v>
      </c>
      <c r="F1206" s="11">
        <v>377735239</v>
      </c>
      <c r="G1206" s="18">
        <v>3.3027E-3</v>
      </c>
      <c r="H1206" s="11">
        <v>4171270.4676000001</v>
      </c>
      <c r="I1206" s="22">
        <f>IFERROR(VLOOKUP(D1206,'LEAID Match'!$A$2:$B$184,2,FALSE),"")</f>
        <v>3701530</v>
      </c>
    </row>
    <row r="1207" spans="1:9" x14ac:dyDescent="0.2">
      <c r="A1207">
        <f t="shared" si="18"/>
        <v>3701530</v>
      </c>
      <c r="B1207" s="24">
        <v>2016</v>
      </c>
      <c r="C1207" t="s">
        <v>299</v>
      </c>
      <c r="D1207" t="s">
        <v>714</v>
      </c>
      <c r="E1207" t="s">
        <v>714</v>
      </c>
      <c r="F1207" s="11">
        <v>367360637</v>
      </c>
      <c r="G1207" s="18">
        <v>3.3923E-3</v>
      </c>
      <c r="H1207" s="11">
        <v>4325192.6769000003</v>
      </c>
      <c r="I1207" s="22">
        <f>IFERROR(VLOOKUP(D1207,'LEAID Match'!$A$2:$B$184,2,FALSE),"")</f>
        <v>3701530</v>
      </c>
    </row>
    <row r="1208" spans="1:9" x14ac:dyDescent="0.2">
      <c r="A1208">
        <f t="shared" si="18"/>
        <v>3701530</v>
      </c>
      <c r="B1208" s="24">
        <v>2017</v>
      </c>
      <c r="C1208" t="s">
        <v>299</v>
      </c>
      <c r="D1208" t="s">
        <v>714</v>
      </c>
      <c r="E1208" t="s">
        <v>714</v>
      </c>
      <c r="F1208" s="11">
        <v>360940256</v>
      </c>
      <c r="G1208" s="18">
        <v>3.2347999999999999E-3</v>
      </c>
      <c r="H1208" s="11">
        <v>4661974.3511999995</v>
      </c>
      <c r="I1208" s="22">
        <f>IFERROR(VLOOKUP(D1208,'LEAID Match'!$A$2:$B$184,2,FALSE),"")</f>
        <v>3701530</v>
      </c>
    </row>
    <row r="1209" spans="1:9" x14ac:dyDescent="0.2">
      <c r="A1209">
        <f t="shared" si="18"/>
        <v>3701530</v>
      </c>
      <c r="B1209" s="24">
        <v>2018</v>
      </c>
      <c r="C1209" t="s">
        <v>299</v>
      </c>
      <c r="D1209" t="s">
        <v>714</v>
      </c>
      <c r="E1209" t="s">
        <v>714</v>
      </c>
      <c r="F1209" s="11">
        <v>365363156</v>
      </c>
      <c r="G1209" s="18">
        <v>3.1440000000000001E-3</v>
      </c>
      <c r="H1209" s="11">
        <v>5039520.7439999999</v>
      </c>
      <c r="I1209" s="22">
        <f>IFERROR(VLOOKUP(D1209,'LEAID Match'!$A$2:$B$184,2,FALSE),"")</f>
        <v>3701530</v>
      </c>
    </row>
    <row r="1210" spans="1:9" x14ac:dyDescent="0.2">
      <c r="A1210">
        <f t="shared" si="18"/>
        <v>3701530</v>
      </c>
      <c r="B1210" s="24">
        <v>2019</v>
      </c>
      <c r="C1210" t="s">
        <v>299</v>
      </c>
      <c r="D1210" t="s">
        <v>714</v>
      </c>
      <c r="E1210" t="s">
        <v>714</v>
      </c>
      <c r="F1210" s="11">
        <v>375470141</v>
      </c>
      <c r="G1210" s="18">
        <v>3.1164000000000001E-3</v>
      </c>
      <c r="H1210" s="11">
        <v>5968360.9944000002</v>
      </c>
      <c r="I1210" s="22">
        <f>IFERROR(VLOOKUP(D1210,'LEAID Match'!$A$2:$B$184,2,FALSE),"")</f>
        <v>3701530</v>
      </c>
    </row>
    <row r="1211" spans="1:9" x14ac:dyDescent="0.2">
      <c r="A1211">
        <f t="shared" si="18"/>
        <v>3701530</v>
      </c>
      <c r="B1211" s="24">
        <v>2020</v>
      </c>
      <c r="C1211" t="s">
        <v>299</v>
      </c>
      <c r="D1211" t="s">
        <v>714</v>
      </c>
      <c r="E1211" t="s">
        <v>714</v>
      </c>
      <c r="F1211" s="11">
        <v>385603754</v>
      </c>
      <c r="G1211" s="18">
        <v>3.1129E-3</v>
      </c>
      <c r="H1211" s="11">
        <v>6397242.9675000003</v>
      </c>
      <c r="I1211" s="22">
        <f>IFERROR(VLOOKUP(D1211,'LEAID Match'!$A$2:$B$184,2,FALSE),"")</f>
        <v>3701530</v>
      </c>
    </row>
    <row r="1212" spans="1:9" x14ac:dyDescent="0.2">
      <c r="A1212">
        <f t="shared" si="18"/>
        <v>3701530</v>
      </c>
      <c r="B1212" s="24">
        <v>2021</v>
      </c>
      <c r="C1212" t="s">
        <v>299</v>
      </c>
      <c r="D1212" t="s">
        <v>714</v>
      </c>
      <c r="E1212" t="s">
        <v>714</v>
      </c>
      <c r="F1212" s="11">
        <v>373070845</v>
      </c>
      <c r="G1212" s="18">
        <v>2.9810000000000001E-3</v>
      </c>
      <c r="H1212" s="11">
        <v>7074664.2120000003</v>
      </c>
      <c r="I1212" s="22">
        <f>IFERROR(VLOOKUP(D1212,'LEAID Match'!$A$2:$B$184,2,FALSE),"")</f>
        <v>3701530</v>
      </c>
    </row>
    <row r="1213" spans="1:9" x14ac:dyDescent="0.2">
      <c r="A1213">
        <f t="shared" si="18"/>
        <v>3701530</v>
      </c>
      <c r="B1213" s="24">
        <v>2022</v>
      </c>
      <c r="C1213" t="s">
        <v>299</v>
      </c>
      <c r="D1213" t="s">
        <v>714</v>
      </c>
      <c r="E1213" t="s">
        <v>714</v>
      </c>
      <c r="F1213" s="11">
        <v>386977133</v>
      </c>
      <c r="G1213" s="18">
        <v>3.0682999999999999E-3</v>
      </c>
      <c r="H1213" s="11">
        <v>8474478.911799999</v>
      </c>
      <c r="I1213" s="22">
        <f>IFERROR(VLOOKUP(D1213,'LEAID Match'!$A$2:$B$184,2,FALSE),"")</f>
        <v>3701530</v>
      </c>
    </row>
    <row r="1214" spans="1:9" x14ac:dyDescent="0.2">
      <c r="A1214">
        <f t="shared" si="18"/>
        <v>3701530</v>
      </c>
      <c r="B1214" s="24">
        <v>2023</v>
      </c>
      <c r="C1214" t="s">
        <v>299</v>
      </c>
      <c r="D1214" t="s">
        <v>714</v>
      </c>
      <c r="E1214" t="s">
        <v>714</v>
      </c>
      <c r="F1214" s="11">
        <v>412468674</v>
      </c>
      <c r="G1214" s="18">
        <v>3.1034999999999999E-3</v>
      </c>
      <c r="H1214" s="11">
        <v>9418802.8394999988</v>
      </c>
      <c r="I1214" s="22">
        <f>IFERROR(VLOOKUP(D1214,'LEAID Match'!$A$2:$B$184,2,FALSE),"")</f>
        <v>3701530</v>
      </c>
    </row>
    <row r="1215" spans="1:9" x14ac:dyDescent="0.2">
      <c r="A1215">
        <f t="shared" si="18"/>
        <v>3700119</v>
      </c>
      <c r="B1215" s="24">
        <v>2015</v>
      </c>
      <c r="C1215" t="s">
        <v>300</v>
      </c>
      <c r="D1215" t="s">
        <v>715</v>
      </c>
      <c r="E1215" t="s">
        <v>246</v>
      </c>
      <c r="F1215" s="11">
        <v>7848276</v>
      </c>
      <c r="G1215" s="18">
        <v>6.86E-5</v>
      </c>
      <c r="H1215" s="11">
        <v>86640.976800000004</v>
      </c>
      <c r="I1215" s="22">
        <f>IFERROR(VLOOKUP(D1215,'LEAID Match'!$A$2:$B$184,2,FALSE),"")</f>
        <v>3700119</v>
      </c>
    </row>
    <row r="1216" spans="1:9" x14ac:dyDescent="0.2">
      <c r="A1216">
        <f t="shared" si="18"/>
        <v>3700119</v>
      </c>
      <c r="B1216" s="24">
        <v>2016</v>
      </c>
      <c r="C1216" t="s">
        <v>300</v>
      </c>
      <c r="D1216" t="s">
        <v>715</v>
      </c>
      <c r="E1216" t="s">
        <v>715</v>
      </c>
      <c r="F1216" s="11">
        <v>7659437</v>
      </c>
      <c r="G1216" s="18">
        <v>7.0699999999999997E-5</v>
      </c>
      <c r="H1216" s="11">
        <v>90142.71209999999</v>
      </c>
      <c r="I1216" s="22">
        <f>IFERROR(VLOOKUP(D1216,'LEAID Match'!$A$2:$B$184,2,FALSE),"")</f>
        <v>3700119</v>
      </c>
    </row>
    <row r="1217" spans="1:9" x14ac:dyDescent="0.2">
      <c r="A1217">
        <f t="shared" si="18"/>
        <v>3700119</v>
      </c>
      <c r="B1217" s="24">
        <v>2017</v>
      </c>
      <c r="C1217" t="s">
        <v>300</v>
      </c>
      <c r="D1217" t="s">
        <v>715</v>
      </c>
      <c r="E1217" t="s">
        <v>715</v>
      </c>
      <c r="F1217" s="11">
        <v>8719617</v>
      </c>
      <c r="G1217" s="18">
        <v>7.8100000000000001E-5</v>
      </c>
      <c r="H1217" s="11">
        <v>112557.25140000001</v>
      </c>
      <c r="I1217" s="22">
        <f>IFERROR(VLOOKUP(D1217,'LEAID Match'!$A$2:$B$184,2,FALSE),"")</f>
        <v>3700119</v>
      </c>
    </row>
    <row r="1218" spans="1:9" x14ac:dyDescent="0.2">
      <c r="A1218">
        <f t="shared" si="18"/>
        <v>3700119</v>
      </c>
      <c r="B1218" s="24">
        <v>2018</v>
      </c>
      <c r="C1218" t="s">
        <v>300</v>
      </c>
      <c r="D1218" t="s">
        <v>715</v>
      </c>
      <c r="E1218" t="s">
        <v>715</v>
      </c>
      <c r="F1218" s="11">
        <v>8797535</v>
      </c>
      <c r="G1218" s="18">
        <v>7.5699999999999997E-5</v>
      </c>
      <c r="H1218" s="11">
        <v>121339.6057</v>
      </c>
      <c r="I1218" s="22">
        <f>IFERROR(VLOOKUP(D1218,'LEAID Match'!$A$2:$B$184,2,FALSE),"")</f>
        <v>3700119</v>
      </c>
    </row>
    <row r="1219" spans="1:9" x14ac:dyDescent="0.2">
      <c r="A1219">
        <f t="shared" ref="A1219:A1282" si="19">I1219</f>
        <v>3700119</v>
      </c>
      <c r="B1219" s="24">
        <v>2019</v>
      </c>
      <c r="C1219" t="s">
        <v>300</v>
      </c>
      <c r="D1219" t="s">
        <v>715</v>
      </c>
      <c r="E1219" t="s">
        <v>715</v>
      </c>
      <c r="F1219" s="11">
        <v>10045941</v>
      </c>
      <c r="G1219" s="18">
        <v>8.3399999999999994E-5</v>
      </c>
      <c r="H1219" s="11">
        <v>159723.1764</v>
      </c>
      <c r="I1219" s="22">
        <f>IFERROR(VLOOKUP(D1219,'LEAID Match'!$A$2:$B$184,2,FALSE),"")</f>
        <v>3700119</v>
      </c>
    </row>
    <row r="1220" spans="1:9" x14ac:dyDescent="0.2">
      <c r="A1220">
        <f t="shared" si="19"/>
        <v>3700119</v>
      </c>
      <c r="B1220" s="24">
        <v>2020</v>
      </c>
      <c r="C1220" t="s">
        <v>300</v>
      </c>
      <c r="D1220" t="s">
        <v>715</v>
      </c>
      <c r="E1220" t="s">
        <v>715</v>
      </c>
      <c r="F1220" s="11">
        <v>12489373</v>
      </c>
      <c r="G1220" s="18">
        <v>1.008E-4</v>
      </c>
      <c r="H1220" s="11">
        <v>207151.56</v>
      </c>
      <c r="I1220" s="22">
        <f>IFERROR(VLOOKUP(D1220,'LEAID Match'!$A$2:$B$184,2,FALSE),"")</f>
        <v>3700119</v>
      </c>
    </row>
    <row r="1221" spans="1:9" x14ac:dyDescent="0.2">
      <c r="A1221">
        <f t="shared" si="19"/>
        <v>3700119</v>
      </c>
      <c r="B1221" s="24">
        <v>2021</v>
      </c>
      <c r="C1221" t="s">
        <v>300</v>
      </c>
      <c r="D1221" t="s">
        <v>715</v>
      </c>
      <c r="E1221" t="s">
        <v>715</v>
      </c>
      <c r="F1221" s="11">
        <v>12959770</v>
      </c>
      <c r="G1221" s="18">
        <v>1.036E-4</v>
      </c>
      <c r="H1221" s="11">
        <v>245868.90719999999</v>
      </c>
      <c r="I1221" s="22">
        <f>IFERROR(VLOOKUP(D1221,'LEAID Match'!$A$2:$B$184,2,FALSE),"")</f>
        <v>3700119</v>
      </c>
    </row>
    <row r="1222" spans="1:9" x14ac:dyDescent="0.2">
      <c r="A1222">
        <f t="shared" si="19"/>
        <v>3700119</v>
      </c>
      <c r="B1222" s="24">
        <v>2022</v>
      </c>
      <c r="C1222" t="s">
        <v>300</v>
      </c>
      <c r="D1222" t="s">
        <v>715</v>
      </c>
      <c r="E1222" t="s">
        <v>715</v>
      </c>
      <c r="F1222" s="11">
        <v>15033574</v>
      </c>
      <c r="G1222" s="18">
        <v>1.192E-4</v>
      </c>
      <c r="H1222" s="11">
        <v>329223.9632</v>
      </c>
      <c r="I1222" s="22">
        <f>IFERROR(VLOOKUP(D1222,'LEAID Match'!$A$2:$B$184,2,FALSE),"")</f>
        <v>3700119</v>
      </c>
    </row>
    <row r="1223" spans="1:9" x14ac:dyDescent="0.2">
      <c r="A1223">
        <f t="shared" si="19"/>
        <v>3700119</v>
      </c>
      <c r="B1223" s="24">
        <v>2023</v>
      </c>
      <c r="C1223" t="s">
        <v>300</v>
      </c>
      <c r="D1223" t="s">
        <v>715</v>
      </c>
      <c r="E1223" t="s">
        <v>715</v>
      </c>
      <c r="F1223" s="11">
        <v>17418990</v>
      </c>
      <c r="G1223" s="18">
        <v>1.3109999999999999E-4</v>
      </c>
      <c r="H1223" s="11">
        <v>397874.99669999996</v>
      </c>
      <c r="I1223" s="22">
        <f>IFERROR(VLOOKUP(D1223,'LEAID Match'!$A$2:$B$184,2,FALSE),"")</f>
        <v>3700119</v>
      </c>
    </row>
    <row r="1224" spans="1:9" x14ac:dyDescent="0.2">
      <c r="A1224">
        <f t="shared" si="19"/>
        <v>3701620</v>
      </c>
      <c r="B1224" s="24">
        <v>2015</v>
      </c>
      <c r="C1224" t="s">
        <v>301</v>
      </c>
      <c r="D1224" t="s">
        <v>716</v>
      </c>
      <c r="E1224" t="s">
        <v>247</v>
      </c>
      <c r="F1224" s="11">
        <v>1207925369</v>
      </c>
      <c r="G1224" s="18">
        <v>1.0561299999999999E-2</v>
      </c>
      <c r="H1224" s="11">
        <v>13338795.164399998</v>
      </c>
      <c r="I1224" s="22">
        <f>IFERROR(VLOOKUP(D1224,'LEAID Match'!$A$2:$B$184,2,FALSE),"")</f>
        <v>3701620</v>
      </c>
    </row>
    <row r="1225" spans="1:9" x14ac:dyDescent="0.2">
      <c r="A1225">
        <f t="shared" si="19"/>
        <v>3701620</v>
      </c>
      <c r="B1225" s="24">
        <v>2016</v>
      </c>
      <c r="C1225" t="s">
        <v>301</v>
      </c>
      <c r="D1225" t="s">
        <v>716</v>
      </c>
      <c r="E1225" t="s">
        <v>716</v>
      </c>
      <c r="F1225" s="11">
        <v>1177284301</v>
      </c>
      <c r="G1225" s="18">
        <v>1.0871499999999999E-2</v>
      </c>
      <c r="H1225" s="11">
        <v>13861195.114499999</v>
      </c>
      <c r="I1225" s="22">
        <f>IFERROR(VLOOKUP(D1225,'LEAID Match'!$A$2:$B$184,2,FALSE),"")</f>
        <v>3701620</v>
      </c>
    </row>
    <row r="1226" spans="1:9" x14ac:dyDescent="0.2">
      <c r="A1226">
        <f t="shared" si="19"/>
        <v>3701620</v>
      </c>
      <c r="B1226" s="24">
        <v>2017</v>
      </c>
      <c r="C1226" t="s">
        <v>301</v>
      </c>
      <c r="D1226" t="s">
        <v>716</v>
      </c>
      <c r="E1226" t="s">
        <v>716</v>
      </c>
      <c r="F1226" s="11">
        <v>1223988054</v>
      </c>
      <c r="G1226" s="18">
        <v>1.0969400000000001E-2</v>
      </c>
      <c r="H1226" s="11">
        <v>15809033.4636</v>
      </c>
      <c r="I1226" s="22">
        <f>IFERROR(VLOOKUP(D1226,'LEAID Match'!$A$2:$B$184,2,FALSE),"")</f>
        <v>3701620</v>
      </c>
    </row>
    <row r="1227" spans="1:9" x14ac:dyDescent="0.2">
      <c r="A1227">
        <f t="shared" si="19"/>
        <v>3701620</v>
      </c>
      <c r="B1227" s="24">
        <v>2018</v>
      </c>
      <c r="C1227" t="s">
        <v>301</v>
      </c>
      <c r="D1227" t="s">
        <v>716</v>
      </c>
      <c r="E1227" t="s">
        <v>716</v>
      </c>
      <c r="F1227" s="11">
        <v>1307224935</v>
      </c>
      <c r="G1227" s="18">
        <v>1.1249E-2</v>
      </c>
      <c r="H1227" s="11">
        <v>18031033.348999999</v>
      </c>
      <c r="I1227" s="22">
        <f>IFERROR(VLOOKUP(D1227,'LEAID Match'!$A$2:$B$184,2,FALSE),"")</f>
        <v>3701620</v>
      </c>
    </row>
    <row r="1228" spans="1:9" x14ac:dyDescent="0.2">
      <c r="A1228">
        <f t="shared" si="19"/>
        <v>3701620</v>
      </c>
      <c r="B1228" s="24">
        <v>2019</v>
      </c>
      <c r="C1228" t="s">
        <v>301</v>
      </c>
      <c r="D1228" t="s">
        <v>716</v>
      </c>
      <c r="E1228" t="s">
        <v>716</v>
      </c>
      <c r="F1228" s="11">
        <v>1329087459</v>
      </c>
      <c r="G1228" s="18">
        <v>1.10314E-2</v>
      </c>
      <c r="H1228" s="11">
        <v>21126741.584400002</v>
      </c>
      <c r="I1228" s="22">
        <f>IFERROR(VLOOKUP(D1228,'LEAID Match'!$A$2:$B$184,2,FALSE),"")</f>
        <v>3701620</v>
      </c>
    </row>
    <row r="1229" spans="1:9" x14ac:dyDescent="0.2">
      <c r="A1229">
        <f t="shared" si="19"/>
        <v>3701620</v>
      </c>
      <c r="B1229" s="24">
        <v>2020</v>
      </c>
      <c r="C1229" t="s">
        <v>301</v>
      </c>
      <c r="D1229" t="s">
        <v>716</v>
      </c>
      <c r="E1229" t="s">
        <v>716</v>
      </c>
      <c r="F1229" s="11">
        <v>1345280196</v>
      </c>
      <c r="G1229" s="18">
        <v>1.08603E-2</v>
      </c>
      <c r="H1229" s="11">
        <v>22318731.022500001</v>
      </c>
      <c r="I1229" s="22">
        <f>IFERROR(VLOOKUP(D1229,'LEAID Match'!$A$2:$B$184,2,FALSE),"")</f>
        <v>3701620</v>
      </c>
    </row>
    <row r="1230" spans="1:9" x14ac:dyDescent="0.2">
      <c r="A1230">
        <f t="shared" si="19"/>
        <v>3701620</v>
      </c>
      <c r="B1230" s="24">
        <v>2021</v>
      </c>
      <c r="C1230" t="s">
        <v>301</v>
      </c>
      <c r="D1230" t="s">
        <v>716</v>
      </c>
      <c r="E1230" t="s">
        <v>716</v>
      </c>
      <c r="F1230" s="11">
        <v>1305098378</v>
      </c>
      <c r="G1230" s="18">
        <v>1.04283E-2</v>
      </c>
      <c r="H1230" s="11">
        <v>24748983.831599999</v>
      </c>
      <c r="I1230" s="22">
        <f>IFERROR(VLOOKUP(D1230,'LEAID Match'!$A$2:$B$184,2,FALSE),"")</f>
        <v>3701620</v>
      </c>
    </row>
    <row r="1231" spans="1:9" x14ac:dyDescent="0.2">
      <c r="A1231">
        <f t="shared" si="19"/>
        <v>3701620</v>
      </c>
      <c r="B1231" s="24">
        <v>2022</v>
      </c>
      <c r="C1231" t="s">
        <v>301</v>
      </c>
      <c r="D1231" t="s">
        <v>716</v>
      </c>
      <c r="E1231" t="s">
        <v>716</v>
      </c>
      <c r="F1231" s="11">
        <v>1417248725</v>
      </c>
      <c r="G1231" s="18">
        <v>1.12373E-2</v>
      </c>
      <c r="H1231" s="11">
        <v>31036815.785800003</v>
      </c>
      <c r="I1231" s="22">
        <f>IFERROR(VLOOKUP(D1231,'LEAID Match'!$A$2:$B$184,2,FALSE),"")</f>
        <v>3701620</v>
      </c>
    </row>
    <row r="1232" spans="1:9" x14ac:dyDescent="0.2">
      <c r="A1232">
        <f t="shared" si="19"/>
        <v>3701620</v>
      </c>
      <c r="B1232" s="24">
        <v>2023</v>
      </c>
      <c r="C1232" t="s">
        <v>301</v>
      </c>
      <c r="D1232" t="s">
        <v>716</v>
      </c>
      <c r="E1232" t="s">
        <v>716</v>
      </c>
      <c r="F1232" s="11">
        <v>1371649806</v>
      </c>
      <c r="G1232" s="18">
        <v>1.0320599999999999E-2</v>
      </c>
      <c r="H1232" s="11">
        <v>31321957.978199996</v>
      </c>
      <c r="I1232" s="22">
        <f>IFERROR(VLOOKUP(D1232,'LEAID Match'!$A$2:$B$184,2,FALSE),"")</f>
        <v>3701620</v>
      </c>
    </row>
    <row r="1233" spans="1:9" x14ac:dyDescent="0.2">
      <c r="A1233" t="str">
        <f t="shared" si="19"/>
        <v/>
      </c>
      <c r="B1233" s="24">
        <v>2015</v>
      </c>
      <c r="C1233" t="s">
        <v>302</v>
      </c>
      <c r="D1233" t="s">
        <v>717</v>
      </c>
      <c r="E1233" t="s">
        <v>248</v>
      </c>
      <c r="F1233" s="11">
        <v>171523557</v>
      </c>
      <c r="G1233" s="18">
        <v>1.4997000000000001E-3</v>
      </c>
      <c r="H1233" s="11">
        <v>1894103.1036</v>
      </c>
      <c r="I1233" s="22" t="str">
        <f>IFERROR(VLOOKUP(D1233,'LEAID Match'!$A$2:$B$184,2,FALSE),"")</f>
        <v/>
      </c>
    </row>
    <row r="1234" spans="1:9" x14ac:dyDescent="0.2">
      <c r="A1234" t="str">
        <f t="shared" si="19"/>
        <v/>
      </c>
      <c r="B1234" s="24">
        <v>2016</v>
      </c>
      <c r="C1234" t="s">
        <v>302</v>
      </c>
      <c r="D1234" t="s">
        <v>717</v>
      </c>
      <c r="E1234" t="s">
        <v>717</v>
      </c>
      <c r="F1234" s="11">
        <v>160286512</v>
      </c>
      <c r="G1234" s="18">
        <v>1.4801E-3</v>
      </c>
      <c r="H1234" s="11">
        <v>1887131.9403000001</v>
      </c>
      <c r="I1234" s="22" t="str">
        <f>IFERROR(VLOOKUP(D1234,'LEAID Match'!$A$2:$B$184,2,FALSE),"")</f>
        <v/>
      </c>
    </row>
    <row r="1235" spans="1:9" x14ac:dyDescent="0.2">
      <c r="A1235" t="str">
        <f t="shared" si="19"/>
        <v/>
      </c>
      <c r="B1235" s="24">
        <v>2017</v>
      </c>
      <c r="C1235" t="s">
        <v>302</v>
      </c>
      <c r="D1235" t="s">
        <v>717</v>
      </c>
      <c r="E1235" t="s">
        <v>717</v>
      </c>
      <c r="F1235" s="11">
        <v>161880767</v>
      </c>
      <c r="G1235" s="18">
        <v>1.4507999999999999E-3</v>
      </c>
      <c r="H1235" s="11">
        <v>2090884.2551999998</v>
      </c>
      <c r="I1235" s="22" t="str">
        <f>IFERROR(VLOOKUP(D1235,'LEAID Match'!$A$2:$B$184,2,FALSE),"")</f>
        <v/>
      </c>
    </row>
    <row r="1236" spans="1:9" x14ac:dyDescent="0.2">
      <c r="A1236" t="str">
        <f t="shared" si="19"/>
        <v/>
      </c>
      <c r="B1236" s="24">
        <v>2018</v>
      </c>
      <c r="C1236" t="s">
        <v>302</v>
      </c>
      <c r="D1236" t="s">
        <v>717</v>
      </c>
      <c r="E1236" t="s">
        <v>717</v>
      </c>
      <c r="F1236" s="11">
        <v>159862058</v>
      </c>
      <c r="G1236" s="18">
        <v>1.3757000000000001E-3</v>
      </c>
      <c r="H1236" s="11">
        <v>2205110.9057</v>
      </c>
      <c r="I1236" s="22" t="str">
        <f>IFERROR(VLOOKUP(D1236,'LEAID Match'!$A$2:$B$184,2,FALSE),"")</f>
        <v/>
      </c>
    </row>
    <row r="1237" spans="1:9" x14ac:dyDescent="0.2">
      <c r="A1237" t="str">
        <f t="shared" si="19"/>
        <v/>
      </c>
      <c r="B1237" s="24">
        <v>2019</v>
      </c>
      <c r="C1237" t="s">
        <v>302</v>
      </c>
      <c r="D1237" t="s">
        <v>717</v>
      </c>
      <c r="E1237" t="s">
        <v>717</v>
      </c>
      <c r="F1237" s="11">
        <v>158003408</v>
      </c>
      <c r="G1237" s="18">
        <v>1.3113999999999999E-3</v>
      </c>
      <c r="H1237" s="11">
        <v>2511522.4643999999</v>
      </c>
      <c r="I1237" s="22" t="str">
        <f>IFERROR(VLOOKUP(D1237,'LEAID Match'!$A$2:$B$184,2,FALSE),"")</f>
        <v/>
      </c>
    </row>
    <row r="1238" spans="1:9" x14ac:dyDescent="0.2">
      <c r="A1238" t="str">
        <f t="shared" si="19"/>
        <v/>
      </c>
      <c r="B1238" s="24">
        <v>2020</v>
      </c>
      <c r="C1238" t="s">
        <v>302</v>
      </c>
      <c r="D1238" t="s">
        <v>717</v>
      </c>
      <c r="E1238" t="s">
        <v>717</v>
      </c>
      <c r="F1238" s="11">
        <v>154419155</v>
      </c>
      <c r="G1238" s="18">
        <v>1.2466000000000001E-3</v>
      </c>
      <c r="H1238" s="11">
        <v>2561856.4950000001</v>
      </c>
      <c r="I1238" s="22" t="str">
        <f>IFERROR(VLOOKUP(D1238,'LEAID Match'!$A$2:$B$184,2,FALSE),"")</f>
        <v/>
      </c>
    </row>
    <row r="1239" spans="1:9" x14ac:dyDescent="0.2">
      <c r="A1239" t="str">
        <f t="shared" si="19"/>
        <v/>
      </c>
      <c r="B1239" s="24">
        <v>2021</v>
      </c>
      <c r="C1239" t="s">
        <v>302</v>
      </c>
      <c r="D1239" t="s">
        <v>717</v>
      </c>
      <c r="E1239" t="s">
        <v>717</v>
      </c>
      <c r="F1239" s="11">
        <v>157271309</v>
      </c>
      <c r="G1239" s="18">
        <v>1.2566999999999999E-3</v>
      </c>
      <c r="H1239" s="11">
        <v>2982465.7884</v>
      </c>
      <c r="I1239" s="22" t="str">
        <f>IFERROR(VLOOKUP(D1239,'LEAID Match'!$A$2:$B$184,2,FALSE),"")</f>
        <v/>
      </c>
    </row>
    <row r="1240" spans="1:9" x14ac:dyDescent="0.2">
      <c r="A1240" t="str">
        <f t="shared" si="19"/>
        <v/>
      </c>
      <c r="B1240" s="24">
        <v>2022</v>
      </c>
      <c r="C1240" t="s">
        <v>302</v>
      </c>
      <c r="D1240" t="s">
        <v>717</v>
      </c>
      <c r="E1240" t="s">
        <v>717</v>
      </c>
      <c r="F1240" s="11">
        <v>156842511</v>
      </c>
      <c r="G1240" s="18">
        <v>1.2436000000000001E-3</v>
      </c>
      <c r="H1240" s="11">
        <v>3434756.0456000003</v>
      </c>
      <c r="I1240" s="22" t="str">
        <f>IFERROR(VLOOKUP(D1240,'LEAID Match'!$A$2:$B$184,2,FALSE),"")</f>
        <v/>
      </c>
    </row>
    <row r="1241" spans="1:9" x14ac:dyDescent="0.2">
      <c r="A1241" t="str">
        <f t="shared" si="19"/>
        <v/>
      </c>
      <c r="B1241" s="24">
        <v>2023</v>
      </c>
      <c r="C1241" t="s">
        <v>302</v>
      </c>
      <c r="D1241" t="s">
        <v>717</v>
      </c>
      <c r="E1241" t="s">
        <v>717</v>
      </c>
      <c r="F1241" s="11">
        <v>173859784</v>
      </c>
      <c r="G1241" s="18">
        <v>1.3082E-3</v>
      </c>
      <c r="H1241" s="11">
        <v>3970252.2554000001</v>
      </c>
      <c r="I1241" s="22" t="str">
        <f>IFERROR(VLOOKUP(D1241,'LEAID Match'!$A$2:$B$184,2,FALSE),"")</f>
        <v/>
      </c>
    </row>
    <row r="1242" spans="1:9" x14ac:dyDescent="0.2">
      <c r="A1242">
        <f t="shared" si="19"/>
        <v>3701680</v>
      </c>
      <c r="B1242" s="24">
        <v>2015</v>
      </c>
      <c r="C1242" t="s">
        <v>303</v>
      </c>
      <c r="D1242" t="s">
        <v>718</v>
      </c>
      <c r="E1242" t="s">
        <v>249</v>
      </c>
      <c r="F1242" s="11">
        <v>93599148</v>
      </c>
      <c r="G1242" s="18">
        <v>8.1840000000000005E-4</v>
      </c>
      <c r="H1242" s="11">
        <v>1033629.3792000001</v>
      </c>
      <c r="I1242" s="22">
        <f>IFERROR(VLOOKUP(D1242,'LEAID Match'!$A$2:$B$184,2,FALSE),"")</f>
        <v>3701680</v>
      </c>
    </row>
    <row r="1243" spans="1:9" x14ac:dyDescent="0.2">
      <c r="A1243">
        <f t="shared" si="19"/>
        <v>3701680</v>
      </c>
      <c r="B1243" s="24">
        <v>2016</v>
      </c>
      <c r="C1243" t="s">
        <v>303</v>
      </c>
      <c r="D1243" t="s">
        <v>718</v>
      </c>
      <c r="E1243" t="s">
        <v>718</v>
      </c>
      <c r="F1243" s="11">
        <v>85607990</v>
      </c>
      <c r="G1243" s="18">
        <v>7.9049999999999997E-4</v>
      </c>
      <c r="H1243" s="11">
        <v>1007889.8715</v>
      </c>
      <c r="I1243" s="22">
        <f>IFERROR(VLOOKUP(D1243,'LEAID Match'!$A$2:$B$184,2,FALSE),"")</f>
        <v>3701680</v>
      </c>
    </row>
    <row r="1244" spans="1:9" x14ac:dyDescent="0.2">
      <c r="A1244">
        <f t="shared" si="19"/>
        <v>3701680</v>
      </c>
      <c r="B1244" s="24">
        <v>2017</v>
      </c>
      <c r="C1244" t="s">
        <v>303</v>
      </c>
      <c r="D1244" t="s">
        <v>718</v>
      </c>
      <c r="E1244" t="s">
        <v>718</v>
      </c>
      <c r="F1244" s="11">
        <v>84629625</v>
      </c>
      <c r="G1244" s="18">
        <v>7.5849999999999995E-4</v>
      </c>
      <c r="H1244" s="11">
        <v>1093145.649</v>
      </c>
      <c r="I1244" s="22">
        <f>IFERROR(VLOOKUP(D1244,'LEAID Match'!$A$2:$B$184,2,FALSE),"")</f>
        <v>3701680</v>
      </c>
    </row>
    <row r="1245" spans="1:9" x14ac:dyDescent="0.2">
      <c r="A1245">
        <f t="shared" si="19"/>
        <v>3701680</v>
      </c>
      <c r="B1245" s="24">
        <v>2018</v>
      </c>
      <c r="C1245" t="s">
        <v>303</v>
      </c>
      <c r="D1245" t="s">
        <v>718</v>
      </c>
      <c r="E1245" t="s">
        <v>718</v>
      </c>
      <c r="F1245" s="11">
        <v>86692864</v>
      </c>
      <c r="G1245" s="18">
        <v>7.4600000000000003E-4</v>
      </c>
      <c r="H1245" s="11">
        <v>1195764.1459999999</v>
      </c>
      <c r="I1245" s="22">
        <f>IFERROR(VLOOKUP(D1245,'LEAID Match'!$A$2:$B$184,2,FALSE),"")</f>
        <v>3701680</v>
      </c>
    </row>
    <row r="1246" spans="1:9" x14ac:dyDescent="0.2">
      <c r="A1246">
        <f t="shared" si="19"/>
        <v>3701680</v>
      </c>
      <c r="B1246" s="24">
        <v>2019</v>
      </c>
      <c r="C1246" t="s">
        <v>303</v>
      </c>
      <c r="D1246" t="s">
        <v>718</v>
      </c>
      <c r="E1246" t="s">
        <v>718</v>
      </c>
      <c r="F1246" s="11">
        <v>89266266</v>
      </c>
      <c r="G1246" s="18">
        <v>7.4089999999999996E-4</v>
      </c>
      <c r="H1246" s="11">
        <v>1418931.6713999999</v>
      </c>
      <c r="I1246" s="22">
        <f>IFERROR(VLOOKUP(D1246,'LEAID Match'!$A$2:$B$184,2,FALSE),"")</f>
        <v>3701680</v>
      </c>
    </row>
    <row r="1247" spans="1:9" x14ac:dyDescent="0.2">
      <c r="A1247">
        <f t="shared" si="19"/>
        <v>3701680</v>
      </c>
      <c r="B1247" s="24">
        <v>2020</v>
      </c>
      <c r="C1247" t="s">
        <v>303</v>
      </c>
      <c r="D1247" t="s">
        <v>718</v>
      </c>
      <c r="E1247" t="s">
        <v>718</v>
      </c>
      <c r="F1247" s="11">
        <v>92872160</v>
      </c>
      <c r="G1247" s="18">
        <v>7.4969999999999995E-4</v>
      </c>
      <c r="H1247" s="11">
        <v>1540689.7274999998</v>
      </c>
      <c r="I1247" s="22">
        <f>IFERROR(VLOOKUP(D1247,'LEAID Match'!$A$2:$B$184,2,FALSE),"")</f>
        <v>3701680</v>
      </c>
    </row>
    <row r="1248" spans="1:9" x14ac:dyDescent="0.2">
      <c r="A1248">
        <f t="shared" si="19"/>
        <v>3701680</v>
      </c>
      <c r="B1248" s="24">
        <v>2021</v>
      </c>
      <c r="C1248" t="s">
        <v>303</v>
      </c>
      <c r="D1248" t="s">
        <v>718</v>
      </c>
      <c r="E1248" t="s">
        <v>718</v>
      </c>
      <c r="F1248" s="11">
        <v>91354560</v>
      </c>
      <c r="G1248" s="18">
        <v>7.2999999999999996E-4</v>
      </c>
      <c r="H1248" s="11">
        <v>1732473.96</v>
      </c>
      <c r="I1248" s="22">
        <f>IFERROR(VLOOKUP(D1248,'LEAID Match'!$A$2:$B$184,2,FALSE),"")</f>
        <v>3701680</v>
      </c>
    </row>
    <row r="1249" spans="1:9" x14ac:dyDescent="0.2">
      <c r="A1249">
        <f t="shared" si="19"/>
        <v>3701680</v>
      </c>
      <c r="B1249" s="24">
        <v>2022</v>
      </c>
      <c r="C1249" t="s">
        <v>303</v>
      </c>
      <c r="D1249" t="s">
        <v>718</v>
      </c>
      <c r="E1249" t="s">
        <v>718</v>
      </c>
      <c r="F1249" s="11">
        <v>98318954</v>
      </c>
      <c r="G1249" s="18">
        <v>7.7959999999999998E-4</v>
      </c>
      <c r="H1249" s="11">
        <v>2153213.1015999997</v>
      </c>
      <c r="I1249" s="22">
        <f>IFERROR(VLOOKUP(D1249,'LEAID Match'!$A$2:$B$184,2,FALSE),"")</f>
        <v>3701680</v>
      </c>
    </row>
    <row r="1250" spans="1:9" x14ac:dyDescent="0.2">
      <c r="A1250">
        <f t="shared" si="19"/>
        <v>3701680</v>
      </c>
      <c r="B1250" s="24">
        <v>2023</v>
      </c>
      <c r="C1250" t="s">
        <v>303</v>
      </c>
      <c r="D1250" t="s">
        <v>718</v>
      </c>
      <c r="E1250" t="s">
        <v>718</v>
      </c>
      <c r="F1250" s="11">
        <v>101951203</v>
      </c>
      <c r="G1250" s="18">
        <v>7.6710000000000005E-4</v>
      </c>
      <c r="H1250" s="11">
        <v>2328069.4887000001</v>
      </c>
      <c r="I1250" s="22">
        <f>IFERROR(VLOOKUP(D1250,'LEAID Match'!$A$2:$B$184,2,FALSE),"")</f>
        <v>3701680</v>
      </c>
    </row>
    <row r="1251" spans="1:9" x14ac:dyDescent="0.2">
      <c r="A1251">
        <f t="shared" si="19"/>
        <v>3701770</v>
      </c>
      <c r="B1251" s="24">
        <v>2015</v>
      </c>
      <c r="C1251" t="s">
        <v>304</v>
      </c>
      <c r="D1251" t="s">
        <v>719</v>
      </c>
      <c r="E1251" t="s">
        <v>250</v>
      </c>
      <c r="F1251" s="11">
        <v>65805214</v>
      </c>
      <c r="G1251" s="18">
        <v>5.754E-4</v>
      </c>
      <c r="H1251" s="11">
        <v>726723.29520000005</v>
      </c>
      <c r="I1251" s="22">
        <f>IFERROR(VLOOKUP(D1251,'LEAID Match'!$A$2:$B$184,2,FALSE),"")</f>
        <v>3701770</v>
      </c>
    </row>
    <row r="1252" spans="1:9" x14ac:dyDescent="0.2">
      <c r="A1252">
        <f t="shared" si="19"/>
        <v>3701770</v>
      </c>
      <c r="B1252" s="24">
        <v>2016</v>
      </c>
      <c r="C1252" t="s">
        <v>304</v>
      </c>
      <c r="D1252" t="s">
        <v>719</v>
      </c>
      <c r="E1252" t="s">
        <v>719</v>
      </c>
      <c r="F1252" s="11">
        <v>63042269</v>
      </c>
      <c r="G1252" s="18">
        <v>5.8219999999999995E-4</v>
      </c>
      <c r="H1252" s="11">
        <v>742306.74659999995</v>
      </c>
      <c r="I1252" s="22">
        <f>IFERROR(VLOOKUP(D1252,'LEAID Match'!$A$2:$B$184,2,FALSE),"")</f>
        <v>3701770</v>
      </c>
    </row>
    <row r="1253" spans="1:9" x14ac:dyDescent="0.2">
      <c r="A1253">
        <f t="shared" si="19"/>
        <v>3701770</v>
      </c>
      <c r="B1253" s="24">
        <v>2017</v>
      </c>
      <c r="C1253" t="s">
        <v>304</v>
      </c>
      <c r="D1253" t="s">
        <v>719</v>
      </c>
      <c r="E1253" t="s">
        <v>719</v>
      </c>
      <c r="F1253" s="11">
        <v>65119923</v>
      </c>
      <c r="G1253" s="18">
        <v>5.8359999999999998E-4</v>
      </c>
      <c r="H1253" s="11">
        <v>841080.81839999999</v>
      </c>
      <c r="I1253" s="22">
        <f>IFERROR(VLOOKUP(D1253,'LEAID Match'!$A$2:$B$184,2,FALSE),"")</f>
        <v>3701770</v>
      </c>
    </row>
    <row r="1254" spans="1:9" x14ac:dyDescent="0.2">
      <c r="A1254">
        <f t="shared" si="19"/>
        <v>3701770</v>
      </c>
      <c r="B1254" s="24">
        <v>2018</v>
      </c>
      <c r="C1254" t="s">
        <v>304</v>
      </c>
      <c r="D1254" t="s">
        <v>719</v>
      </c>
      <c r="E1254" t="s">
        <v>719</v>
      </c>
      <c r="F1254" s="11">
        <v>65331041</v>
      </c>
      <c r="G1254" s="18">
        <v>5.622E-4</v>
      </c>
      <c r="H1254" s="11">
        <v>901150.94220000005</v>
      </c>
      <c r="I1254" s="22">
        <f>IFERROR(VLOOKUP(D1254,'LEAID Match'!$A$2:$B$184,2,FALSE),"")</f>
        <v>3701770</v>
      </c>
    </row>
    <row r="1255" spans="1:9" x14ac:dyDescent="0.2">
      <c r="A1255">
        <f t="shared" si="19"/>
        <v>3701770</v>
      </c>
      <c r="B1255" s="24">
        <v>2019</v>
      </c>
      <c r="C1255" t="s">
        <v>304</v>
      </c>
      <c r="D1255" t="s">
        <v>719</v>
      </c>
      <c r="E1255" t="s">
        <v>719</v>
      </c>
      <c r="F1255" s="11">
        <v>65558125</v>
      </c>
      <c r="G1255" s="18">
        <v>5.4410000000000005E-4</v>
      </c>
      <c r="H1255" s="11">
        <v>1042030.9386000001</v>
      </c>
      <c r="I1255" s="22">
        <f>IFERROR(VLOOKUP(D1255,'LEAID Match'!$A$2:$B$184,2,FALSE),"")</f>
        <v>3701770</v>
      </c>
    </row>
    <row r="1256" spans="1:9" x14ac:dyDescent="0.2">
      <c r="A1256">
        <f t="shared" si="19"/>
        <v>3701770</v>
      </c>
      <c r="B1256" s="24">
        <v>2020</v>
      </c>
      <c r="C1256" t="s">
        <v>304</v>
      </c>
      <c r="D1256" t="s">
        <v>719</v>
      </c>
      <c r="E1256" t="s">
        <v>719</v>
      </c>
      <c r="F1256" s="11">
        <v>69238834</v>
      </c>
      <c r="G1256" s="18">
        <v>5.5900000000000004E-4</v>
      </c>
      <c r="H1256" s="11">
        <v>1148786.925</v>
      </c>
      <c r="I1256" s="22">
        <f>IFERROR(VLOOKUP(D1256,'LEAID Match'!$A$2:$B$184,2,FALSE),"")</f>
        <v>3701770</v>
      </c>
    </row>
    <row r="1257" spans="1:9" x14ac:dyDescent="0.2">
      <c r="A1257">
        <f t="shared" si="19"/>
        <v>3701770</v>
      </c>
      <c r="B1257" s="24">
        <v>2021</v>
      </c>
      <c r="C1257" t="s">
        <v>304</v>
      </c>
      <c r="D1257" t="s">
        <v>719</v>
      </c>
      <c r="E1257" t="s">
        <v>719</v>
      </c>
      <c r="F1257" s="11">
        <v>64506848</v>
      </c>
      <c r="G1257" s="18">
        <v>5.1539999999999995E-4</v>
      </c>
      <c r="H1257" s="11">
        <v>1223174.0807999999</v>
      </c>
      <c r="I1257" s="22">
        <f>IFERROR(VLOOKUP(D1257,'LEAID Match'!$A$2:$B$184,2,FALSE),"")</f>
        <v>3701770</v>
      </c>
    </row>
    <row r="1258" spans="1:9" x14ac:dyDescent="0.2">
      <c r="A1258">
        <f t="shared" si="19"/>
        <v>3701770</v>
      </c>
      <c r="B1258" s="24">
        <v>2022</v>
      </c>
      <c r="C1258" t="s">
        <v>304</v>
      </c>
      <c r="D1258" t="s">
        <v>719</v>
      </c>
      <c r="E1258" t="s">
        <v>719</v>
      </c>
      <c r="F1258" s="11">
        <v>71620774</v>
      </c>
      <c r="G1258" s="18">
        <v>5.6789999999999998E-4</v>
      </c>
      <c r="H1258" s="11">
        <v>1568509.1333999999</v>
      </c>
      <c r="I1258" s="22">
        <f>IFERROR(VLOOKUP(D1258,'LEAID Match'!$A$2:$B$184,2,FALSE),"")</f>
        <v>3701770</v>
      </c>
    </row>
    <row r="1259" spans="1:9" x14ac:dyDescent="0.2">
      <c r="A1259">
        <f t="shared" si="19"/>
        <v>3701770</v>
      </c>
      <c r="B1259" s="24">
        <v>2023</v>
      </c>
      <c r="C1259" t="s">
        <v>304</v>
      </c>
      <c r="D1259" t="s">
        <v>719</v>
      </c>
      <c r="E1259" t="s">
        <v>719</v>
      </c>
      <c r="F1259" s="11">
        <v>80351246</v>
      </c>
      <c r="G1259" s="18">
        <v>6.0459999999999995E-4</v>
      </c>
      <c r="H1259" s="11">
        <v>1834898.7261999999</v>
      </c>
      <c r="I1259" s="22">
        <f>IFERROR(VLOOKUP(D1259,'LEAID Match'!$A$2:$B$184,2,FALSE),"")</f>
        <v>3701770</v>
      </c>
    </row>
    <row r="1260" spans="1:9" x14ac:dyDescent="0.2">
      <c r="A1260">
        <f t="shared" si="19"/>
        <v>3701800</v>
      </c>
      <c r="B1260" s="24">
        <v>2015</v>
      </c>
      <c r="C1260" t="s">
        <v>305</v>
      </c>
      <c r="D1260" t="s">
        <v>938</v>
      </c>
      <c r="E1260" t="s">
        <v>251</v>
      </c>
      <c r="F1260" s="11">
        <v>339416367</v>
      </c>
      <c r="G1260" s="18">
        <v>2.9675999999999999E-3</v>
      </c>
      <c r="H1260" s="11">
        <v>3748043.1888000001</v>
      </c>
      <c r="I1260" s="22">
        <f>IFERROR(VLOOKUP(D1260,'LEAID Match'!$A$2:$B$184,2,FALSE),"")</f>
        <v>3701800</v>
      </c>
    </row>
    <row r="1261" spans="1:9" x14ac:dyDescent="0.2">
      <c r="A1261">
        <f t="shared" si="19"/>
        <v>3701800</v>
      </c>
      <c r="B1261" s="24">
        <v>2016</v>
      </c>
      <c r="C1261" t="s">
        <v>305</v>
      </c>
      <c r="D1261" t="s">
        <v>938</v>
      </c>
      <c r="E1261" t="s">
        <v>720</v>
      </c>
      <c r="F1261" s="11">
        <v>330786061</v>
      </c>
      <c r="G1261" s="18">
        <v>3.0546000000000002E-3</v>
      </c>
      <c r="H1261" s="11">
        <v>3894624.1638000002</v>
      </c>
      <c r="I1261" s="22">
        <f>IFERROR(VLOOKUP(D1261,'LEAID Match'!$A$2:$B$184,2,FALSE),"")</f>
        <v>3701800</v>
      </c>
    </row>
    <row r="1262" spans="1:9" x14ac:dyDescent="0.2">
      <c r="A1262">
        <f t="shared" si="19"/>
        <v>3701800</v>
      </c>
      <c r="B1262" s="24">
        <v>2017</v>
      </c>
      <c r="C1262" t="s">
        <v>305</v>
      </c>
      <c r="D1262" t="s">
        <v>938</v>
      </c>
      <c r="E1262" t="s">
        <v>720</v>
      </c>
      <c r="F1262" s="11">
        <v>325180992</v>
      </c>
      <c r="G1262" s="18">
        <v>2.9142999999999999E-3</v>
      </c>
      <c r="H1262" s="11">
        <v>4200071.6742000002</v>
      </c>
      <c r="I1262" s="22">
        <f>IFERROR(VLOOKUP(D1262,'LEAID Match'!$A$2:$B$184,2,FALSE),"")</f>
        <v>3701800</v>
      </c>
    </row>
    <row r="1263" spans="1:9" x14ac:dyDescent="0.2">
      <c r="A1263">
        <f t="shared" si="19"/>
        <v>3701800</v>
      </c>
      <c r="B1263" s="24">
        <v>2018</v>
      </c>
      <c r="C1263" t="s">
        <v>305</v>
      </c>
      <c r="D1263" t="s">
        <v>938</v>
      </c>
      <c r="E1263" t="s">
        <v>720</v>
      </c>
      <c r="F1263" s="11">
        <v>325123562</v>
      </c>
      <c r="G1263" s="18">
        <v>2.7978E-3</v>
      </c>
      <c r="H1263" s="11">
        <v>4484596.4177999999</v>
      </c>
      <c r="I1263" s="22">
        <f>IFERROR(VLOOKUP(D1263,'LEAID Match'!$A$2:$B$184,2,FALSE),"")</f>
        <v>3701800</v>
      </c>
    </row>
    <row r="1264" spans="1:9" x14ac:dyDescent="0.2">
      <c r="A1264">
        <f t="shared" si="19"/>
        <v>3701800</v>
      </c>
      <c r="B1264" s="24">
        <v>2019</v>
      </c>
      <c r="C1264" t="s">
        <v>305</v>
      </c>
      <c r="D1264" t="s">
        <v>938</v>
      </c>
      <c r="E1264" t="s">
        <v>720</v>
      </c>
      <c r="F1264" s="11">
        <v>332020674</v>
      </c>
      <c r="G1264" s="18">
        <v>2.7558000000000001E-3</v>
      </c>
      <c r="H1264" s="11">
        <v>5277759.3468000004</v>
      </c>
      <c r="I1264" s="22">
        <f>IFERROR(VLOOKUP(D1264,'LEAID Match'!$A$2:$B$184,2,FALSE),"")</f>
        <v>3701800</v>
      </c>
    </row>
    <row r="1265" spans="1:9" x14ac:dyDescent="0.2">
      <c r="A1265">
        <f t="shared" si="19"/>
        <v>3701800</v>
      </c>
      <c r="B1265" s="24">
        <v>2020</v>
      </c>
      <c r="C1265" t="s">
        <v>305</v>
      </c>
      <c r="D1265" t="s">
        <v>938</v>
      </c>
      <c r="E1265" t="s">
        <v>720</v>
      </c>
      <c r="F1265" s="11">
        <v>331785789</v>
      </c>
      <c r="G1265" s="18">
        <v>2.6784999999999999E-3</v>
      </c>
      <c r="H1265" s="11">
        <v>5504518.3875000002</v>
      </c>
      <c r="I1265" s="22">
        <f>IFERROR(VLOOKUP(D1265,'LEAID Match'!$A$2:$B$184,2,FALSE),"")</f>
        <v>3701800</v>
      </c>
    </row>
    <row r="1266" spans="1:9" x14ac:dyDescent="0.2">
      <c r="A1266">
        <f t="shared" si="19"/>
        <v>3701800</v>
      </c>
      <c r="B1266" s="24">
        <v>2021</v>
      </c>
      <c r="C1266" t="s">
        <v>305</v>
      </c>
      <c r="D1266" t="s">
        <v>938</v>
      </c>
      <c r="E1266" t="s">
        <v>720</v>
      </c>
      <c r="F1266" s="11">
        <v>309254244</v>
      </c>
      <c r="G1266" s="18">
        <v>2.4710999999999999E-3</v>
      </c>
      <c r="H1266" s="11">
        <v>5864543.0171999997</v>
      </c>
      <c r="I1266" s="22">
        <f>IFERROR(VLOOKUP(D1266,'LEAID Match'!$A$2:$B$184,2,FALSE),"")</f>
        <v>3701800</v>
      </c>
    </row>
    <row r="1267" spans="1:9" x14ac:dyDescent="0.2">
      <c r="A1267">
        <f t="shared" si="19"/>
        <v>3701800</v>
      </c>
      <c r="B1267" s="24">
        <v>2022</v>
      </c>
      <c r="C1267" t="s">
        <v>305</v>
      </c>
      <c r="D1267" t="s">
        <v>938</v>
      </c>
      <c r="E1267" t="s">
        <v>938</v>
      </c>
      <c r="F1267" s="11">
        <v>305923661</v>
      </c>
      <c r="G1267" s="18">
        <v>2.4256999999999998E-3</v>
      </c>
      <c r="H1267" s="11">
        <v>6699652.4121999992</v>
      </c>
      <c r="I1267" s="22">
        <f>IFERROR(VLOOKUP(D1267,'LEAID Match'!$A$2:$B$184,2,FALSE),"")</f>
        <v>3701800</v>
      </c>
    </row>
    <row r="1268" spans="1:9" x14ac:dyDescent="0.2">
      <c r="A1268">
        <f t="shared" si="19"/>
        <v>3701800</v>
      </c>
      <c r="B1268" s="24">
        <v>2023</v>
      </c>
      <c r="C1268" t="s">
        <v>305</v>
      </c>
      <c r="D1268" t="s">
        <v>938</v>
      </c>
      <c r="E1268" t="s">
        <v>938</v>
      </c>
      <c r="F1268" s="11">
        <v>316586143</v>
      </c>
      <c r="G1268" s="18">
        <v>2.3820999999999998E-3</v>
      </c>
      <c r="H1268" s="11">
        <v>7229428.1436999999</v>
      </c>
      <c r="I1268" s="22">
        <f>IFERROR(VLOOKUP(D1268,'LEAID Match'!$A$2:$B$184,2,FALSE),"")</f>
        <v>3701800</v>
      </c>
    </row>
    <row r="1269" spans="1:9" x14ac:dyDescent="0.2">
      <c r="A1269">
        <f t="shared" si="19"/>
        <v>3701830</v>
      </c>
      <c r="B1269" s="24">
        <v>2015</v>
      </c>
      <c r="C1269" t="s">
        <v>306</v>
      </c>
      <c r="D1269" t="s">
        <v>721</v>
      </c>
      <c r="E1269" t="s">
        <v>252</v>
      </c>
      <c r="F1269" s="11">
        <v>153059823</v>
      </c>
      <c r="G1269" s="18">
        <v>1.3382999999999999E-3</v>
      </c>
      <c r="H1269" s="11">
        <v>1690256.8403999999</v>
      </c>
      <c r="I1269" s="22">
        <f>IFERROR(VLOOKUP(D1269,'LEAID Match'!$A$2:$B$184,2,FALSE),"")</f>
        <v>3701830</v>
      </c>
    </row>
    <row r="1270" spans="1:9" x14ac:dyDescent="0.2">
      <c r="A1270">
        <f t="shared" si="19"/>
        <v>3701830</v>
      </c>
      <c r="B1270" s="24">
        <v>2016</v>
      </c>
      <c r="C1270" t="s">
        <v>306</v>
      </c>
      <c r="D1270" t="s">
        <v>721</v>
      </c>
      <c r="E1270" t="s">
        <v>721</v>
      </c>
      <c r="F1270" s="11">
        <v>141261532</v>
      </c>
      <c r="G1270" s="18">
        <v>1.3045000000000001E-3</v>
      </c>
      <c r="H1270" s="11">
        <v>1663241.4135</v>
      </c>
      <c r="I1270" s="22">
        <f>IFERROR(VLOOKUP(D1270,'LEAID Match'!$A$2:$B$184,2,FALSE),"")</f>
        <v>3701830</v>
      </c>
    </row>
    <row r="1271" spans="1:9" x14ac:dyDescent="0.2">
      <c r="A1271">
        <f t="shared" si="19"/>
        <v>3701830</v>
      </c>
      <c r="B1271" s="24">
        <v>2017</v>
      </c>
      <c r="C1271" t="s">
        <v>306</v>
      </c>
      <c r="D1271" t="s">
        <v>721</v>
      </c>
      <c r="E1271" t="s">
        <v>721</v>
      </c>
      <c r="F1271" s="11">
        <v>146505436</v>
      </c>
      <c r="G1271" s="18">
        <v>1.3129999999999999E-3</v>
      </c>
      <c r="H1271" s="11">
        <v>1892287.7219999998</v>
      </c>
      <c r="I1271" s="22">
        <f>IFERROR(VLOOKUP(D1271,'LEAID Match'!$A$2:$B$184,2,FALSE),"")</f>
        <v>3701830</v>
      </c>
    </row>
    <row r="1272" spans="1:9" x14ac:dyDescent="0.2">
      <c r="A1272">
        <f t="shared" si="19"/>
        <v>3701830</v>
      </c>
      <c r="B1272" s="24">
        <v>2018</v>
      </c>
      <c r="C1272" t="s">
        <v>306</v>
      </c>
      <c r="D1272" t="s">
        <v>721</v>
      </c>
      <c r="E1272" t="s">
        <v>721</v>
      </c>
      <c r="F1272" s="11">
        <v>149807040</v>
      </c>
      <c r="G1272" s="18">
        <v>1.2891000000000001E-3</v>
      </c>
      <c r="H1272" s="11">
        <v>2066299.6791000001</v>
      </c>
      <c r="I1272" s="22">
        <f>IFERROR(VLOOKUP(D1272,'LEAID Match'!$A$2:$B$184,2,FALSE),"")</f>
        <v>3701830</v>
      </c>
    </row>
    <row r="1273" spans="1:9" x14ac:dyDescent="0.2">
      <c r="A1273">
        <f t="shared" si="19"/>
        <v>3701830</v>
      </c>
      <c r="B1273" s="24">
        <v>2019</v>
      </c>
      <c r="C1273" t="s">
        <v>306</v>
      </c>
      <c r="D1273" t="s">
        <v>721</v>
      </c>
      <c r="E1273" t="s">
        <v>721</v>
      </c>
      <c r="F1273" s="11">
        <v>150653162</v>
      </c>
      <c r="G1273" s="18">
        <v>1.2504E-3</v>
      </c>
      <c r="H1273" s="11">
        <v>2394698.5584</v>
      </c>
      <c r="I1273" s="22">
        <f>IFERROR(VLOOKUP(D1273,'LEAID Match'!$A$2:$B$184,2,FALSE),"")</f>
        <v>3701830</v>
      </c>
    </row>
    <row r="1274" spans="1:9" x14ac:dyDescent="0.2">
      <c r="A1274">
        <f t="shared" si="19"/>
        <v>3701830</v>
      </c>
      <c r="B1274" s="24">
        <v>2020</v>
      </c>
      <c r="C1274" t="s">
        <v>306</v>
      </c>
      <c r="D1274" t="s">
        <v>721</v>
      </c>
      <c r="E1274" t="s">
        <v>721</v>
      </c>
      <c r="F1274" s="11">
        <v>153305128</v>
      </c>
      <c r="G1274" s="18">
        <v>1.2375999999999999E-3</v>
      </c>
      <c r="H1274" s="11">
        <v>2543360.8199999998</v>
      </c>
      <c r="I1274" s="22">
        <f>IFERROR(VLOOKUP(D1274,'LEAID Match'!$A$2:$B$184,2,FALSE),"")</f>
        <v>3701830</v>
      </c>
    </row>
    <row r="1275" spans="1:9" x14ac:dyDescent="0.2">
      <c r="A1275">
        <f t="shared" si="19"/>
        <v>3701830</v>
      </c>
      <c r="B1275" s="24">
        <v>2021</v>
      </c>
      <c r="C1275" t="s">
        <v>306</v>
      </c>
      <c r="D1275" t="s">
        <v>721</v>
      </c>
      <c r="E1275" t="s">
        <v>721</v>
      </c>
      <c r="F1275" s="11">
        <v>150546281</v>
      </c>
      <c r="G1275" s="18">
        <v>1.2029E-3</v>
      </c>
      <c r="H1275" s="11">
        <v>2854784.8308000001</v>
      </c>
      <c r="I1275" s="22">
        <f>IFERROR(VLOOKUP(D1275,'LEAID Match'!$A$2:$B$184,2,FALSE),"")</f>
        <v>3701830</v>
      </c>
    </row>
    <row r="1276" spans="1:9" x14ac:dyDescent="0.2">
      <c r="A1276">
        <f t="shared" si="19"/>
        <v>3701830</v>
      </c>
      <c r="B1276" s="24">
        <v>2022</v>
      </c>
      <c r="C1276" t="s">
        <v>306</v>
      </c>
      <c r="D1276" t="s">
        <v>721</v>
      </c>
      <c r="E1276" t="s">
        <v>721</v>
      </c>
      <c r="F1276" s="11">
        <v>155409612</v>
      </c>
      <c r="G1276" s="18">
        <v>1.2321999999999999E-3</v>
      </c>
      <c r="H1276" s="11">
        <v>3403269.8611999997</v>
      </c>
      <c r="I1276" s="22">
        <f>IFERROR(VLOOKUP(D1276,'LEAID Match'!$A$2:$B$184,2,FALSE),"")</f>
        <v>3701830</v>
      </c>
    </row>
    <row r="1277" spans="1:9" x14ac:dyDescent="0.2">
      <c r="A1277">
        <f t="shared" si="19"/>
        <v>3701830</v>
      </c>
      <c r="B1277" s="24">
        <v>2023</v>
      </c>
      <c r="C1277" t="s">
        <v>306</v>
      </c>
      <c r="D1277" t="s">
        <v>721</v>
      </c>
      <c r="E1277" t="s">
        <v>721</v>
      </c>
      <c r="F1277" s="11">
        <v>177642194</v>
      </c>
      <c r="G1277" s="18">
        <v>1.3366000000000001E-3</v>
      </c>
      <c r="H1277" s="11">
        <v>4056443.3302000002</v>
      </c>
      <c r="I1277" s="22">
        <f>IFERROR(VLOOKUP(D1277,'LEAID Match'!$A$2:$B$184,2,FALSE),"")</f>
        <v>3701830</v>
      </c>
    </row>
    <row r="1278" spans="1:9" x14ac:dyDescent="0.2">
      <c r="A1278">
        <f t="shared" si="19"/>
        <v>3701920</v>
      </c>
      <c r="B1278" s="24">
        <v>2015</v>
      </c>
      <c r="C1278" t="s">
        <v>307</v>
      </c>
      <c r="D1278" t="s">
        <v>722</v>
      </c>
      <c r="E1278" t="s">
        <v>253</v>
      </c>
      <c r="F1278" s="11">
        <v>3481557446</v>
      </c>
      <c r="G1278" s="18">
        <v>3.0440399999999999E-2</v>
      </c>
      <c r="H1278" s="11">
        <v>38445859.915200002</v>
      </c>
      <c r="I1278" s="22">
        <f>IFERROR(VLOOKUP(D1278,'LEAID Match'!$A$2:$B$184,2,FALSE),"")</f>
        <v>3701920</v>
      </c>
    </row>
    <row r="1279" spans="1:9" x14ac:dyDescent="0.2">
      <c r="A1279">
        <f t="shared" si="19"/>
        <v>3701920</v>
      </c>
      <c r="B1279" s="24">
        <v>2016</v>
      </c>
      <c r="C1279" t="s">
        <v>307</v>
      </c>
      <c r="D1279" t="s">
        <v>722</v>
      </c>
      <c r="E1279" t="s">
        <v>722</v>
      </c>
      <c r="F1279" s="11">
        <v>3228618584</v>
      </c>
      <c r="G1279" s="18">
        <v>2.9814299999999998E-2</v>
      </c>
      <c r="H1279" s="11">
        <v>38013321.942899995</v>
      </c>
      <c r="I1279" s="22">
        <f>IFERROR(VLOOKUP(D1279,'LEAID Match'!$A$2:$B$184,2,FALSE),"")</f>
        <v>3701920</v>
      </c>
    </row>
    <row r="1280" spans="1:9" x14ac:dyDescent="0.2">
      <c r="A1280">
        <f t="shared" si="19"/>
        <v>3701920</v>
      </c>
      <c r="B1280" s="24">
        <v>2017</v>
      </c>
      <c r="C1280" t="s">
        <v>307</v>
      </c>
      <c r="D1280" t="s">
        <v>722</v>
      </c>
      <c r="E1280" t="s">
        <v>722</v>
      </c>
      <c r="F1280" s="11">
        <v>3283608850</v>
      </c>
      <c r="G1280" s="18">
        <v>2.94278E-2</v>
      </c>
      <c r="H1280" s="11">
        <v>42411168.793200001</v>
      </c>
      <c r="I1280" s="22">
        <f>IFERROR(VLOOKUP(D1280,'LEAID Match'!$A$2:$B$184,2,FALSE),"")</f>
        <v>3701920</v>
      </c>
    </row>
    <row r="1281" spans="1:9" x14ac:dyDescent="0.2">
      <c r="A1281">
        <f t="shared" si="19"/>
        <v>3701920</v>
      </c>
      <c r="B1281" s="24">
        <v>2018</v>
      </c>
      <c r="C1281" t="s">
        <v>307</v>
      </c>
      <c r="D1281" t="s">
        <v>722</v>
      </c>
      <c r="E1281" t="s">
        <v>722</v>
      </c>
      <c r="F1281" s="11">
        <v>3348350179</v>
      </c>
      <c r="G1281" s="18">
        <v>2.8813399999999999E-2</v>
      </c>
      <c r="H1281" s="11">
        <v>46185027.6734</v>
      </c>
      <c r="I1281" s="22">
        <f>IFERROR(VLOOKUP(D1281,'LEAID Match'!$A$2:$B$184,2,FALSE),"")</f>
        <v>3701920</v>
      </c>
    </row>
    <row r="1282" spans="1:9" x14ac:dyDescent="0.2">
      <c r="A1282">
        <f t="shared" si="19"/>
        <v>3701920</v>
      </c>
      <c r="B1282" s="24">
        <v>2019</v>
      </c>
      <c r="C1282" t="s">
        <v>307</v>
      </c>
      <c r="D1282" t="s">
        <v>722</v>
      </c>
      <c r="E1282" t="s">
        <v>722</v>
      </c>
      <c r="F1282" s="11">
        <v>3505524075</v>
      </c>
      <c r="G1282" s="18">
        <v>2.9095900000000001E-2</v>
      </c>
      <c r="H1282" s="11">
        <v>55722896.501400001</v>
      </c>
      <c r="I1282" s="22">
        <f>IFERROR(VLOOKUP(D1282,'LEAID Match'!$A$2:$B$184,2,FALSE),"")</f>
        <v>3701920</v>
      </c>
    </row>
    <row r="1283" spans="1:9" x14ac:dyDescent="0.2">
      <c r="A1283">
        <f t="shared" ref="A1283:A1346" si="20">I1283</f>
        <v>3701920</v>
      </c>
      <c r="B1283" s="24">
        <v>2020</v>
      </c>
      <c r="C1283" t="s">
        <v>307</v>
      </c>
      <c r="D1283" t="s">
        <v>722</v>
      </c>
      <c r="E1283" t="s">
        <v>722</v>
      </c>
      <c r="F1283" s="11">
        <v>3532047626</v>
      </c>
      <c r="G1283" s="18">
        <v>2.8513799999999999E-2</v>
      </c>
      <c r="H1283" s="11">
        <v>58597997.534999996</v>
      </c>
      <c r="I1283" s="22">
        <f>IFERROR(VLOOKUP(D1283,'LEAID Match'!$A$2:$B$184,2,FALSE),"")</f>
        <v>3701920</v>
      </c>
    </row>
    <row r="1284" spans="1:9" x14ac:dyDescent="0.2">
      <c r="A1284">
        <f t="shared" si="20"/>
        <v>3701920</v>
      </c>
      <c r="B1284" s="24">
        <v>2021</v>
      </c>
      <c r="C1284" t="s">
        <v>307</v>
      </c>
      <c r="D1284" t="s">
        <v>722</v>
      </c>
      <c r="E1284" t="s">
        <v>722</v>
      </c>
      <c r="F1284" s="11">
        <v>3499759026</v>
      </c>
      <c r="G1284" s="18">
        <v>2.79645E-2</v>
      </c>
      <c r="H1284" s="11">
        <v>66366805.553999998</v>
      </c>
      <c r="I1284" s="22">
        <f>IFERROR(VLOOKUP(D1284,'LEAID Match'!$A$2:$B$184,2,FALSE),"")</f>
        <v>3701920</v>
      </c>
    </row>
    <row r="1285" spans="1:9" x14ac:dyDescent="0.2">
      <c r="A1285">
        <f t="shared" si="20"/>
        <v>3701920</v>
      </c>
      <c r="B1285" s="24">
        <v>2022</v>
      </c>
      <c r="C1285" t="s">
        <v>307</v>
      </c>
      <c r="D1285" t="s">
        <v>722</v>
      </c>
      <c r="E1285" t="s">
        <v>722</v>
      </c>
      <c r="F1285" s="11">
        <v>3533402735</v>
      </c>
      <c r="G1285" s="18">
        <v>2.8016300000000001E-2</v>
      </c>
      <c r="H1285" s="11">
        <v>77379507.719799995</v>
      </c>
      <c r="I1285" s="22">
        <f>IFERROR(VLOOKUP(D1285,'LEAID Match'!$A$2:$B$184,2,FALSE),"")</f>
        <v>3701920</v>
      </c>
    </row>
    <row r="1286" spans="1:9" x14ac:dyDescent="0.2">
      <c r="A1286">
        <f t="shared" si="20"/>
        <v>3701920</v>
      </c>
      <c r="B1286" s="24">
        <v>2023</v>
      </c>
      <c r="C1286" t="s">
        <v>307</v>
      </c>
      <c r="D1286" t="s">
        <v>722</v>
      </c>
      <c r="E1286" t="s">
        <v>722</v>
      </c>
      <c r="F1286" s="11">
        <v>3733460031</v>
      </c>
      <c r="G1286" s="18">
        <v>2.8091499999999998E-2</v>
      </c>
      <c r="H1286" s="11">
        <v>85254809.075499997</v>
      </c>
      <c r="I1286" s="22">
        <f>IFERROR(VLOOKUP(D1286,'LEAID Match'!$A$2:$B$184,2,FALSE),"")</f>
        <v>3701920</v>
      </c>
    </row>
    <row r="1287" spans="1:9" x14ac:dyDescent="0.2">
      <c r="A1287" t="str">
        <f t="shared" si="20"/>
        <v/>
      </c>
      <c r="B1287" s="24">
        <v>2015</v>
      </c>
      <c r="C1287" t="s">
        <v>308</v>
      </c>
      <c r="D1287" t="s">
        <v>723</v>
      </c>
      <c r="E1287" t="s">
        <v>254</v>
      </c>
      <c r="F1287" s="11">
        <v>305192923</v>
      </c>
      <c r="G1287" s="18">
        <v>2.6684E-3</v>
      </c>
      <c r="H1287" s="11">
        <v>3370157.1792000001</v>
      </c>
      <c r="I1287" s="22" t="str">
        <f>IFERROR(VLOOKUP(D1287,'LEAID Match'!$A$2:$B$184,2,FALSE),"")</f>
        <v/>
      </c>
    </row>
    <row r="1288" spans="1:9" x14ac:dyDescent="0.2">
      <c r="A1288" t="str">
        <f t="shared" si="20"/>
        <v/>
      </c>
      <c r="B1288" s="24">
        <v>2016</v>
      </c>
      <c r="C1288" t="s">
        <v>308</v>
      </c>
      <c r="D1288" t="s">
        <v>723</v>
      </c>
      <c r="E1288" t="s">
        <v>723</v>
      </c>
      <c r="F1288" s="11">
        <v>272065447</v>
      </c>
      <c r="G1288" s="18">
        <v>2.5124000000000001E-3</v>
      </c>
      <c r="H1288" s="11">
        <v>3203317.5372000001</v>
      </c>
      <c r="I1288" s="22" t="str">
        <f>IFERROR(VLOOKUP(D1288,'LEAID Match'!$A$2:$B$184,2,FALSE),"")</f>
        <v/>
      </c>
    </row>
    <row r="1289" spans="1:9" x14ac:dyDescent="0.2">
      <c r="A1289" t="str">
        <f t="shared" si="20"/>
        <v/>
      </c>
      <c r="B1289" s="24">
        <v>2017</v>
      </c>
      <c r="C1289" t="s">
        <v>308</v>
      </c>
      <c r="D1289" t="s">
        <v>723</v>
      </c>
      <c r="E1289" t="s">
        <v>723</v>
      </c>
      <c r="F1289" s="11">
        <v>286134518</v>
      </c>
      <c r="G1289" s="18">
        <v>2.5642999999999998E-3</v>
      </c>
      <c r="H1289" s="11">
        <v>3695653.7741999999</v>
      </c>
      <c r="I1289" s="22" t="str">
        <f>IFERROR(VLOOKUP(D1289,'LEAID Match'!$A$2:$B$184,2,FALSE),"")</f>
        <v/>
      </c>
    </row>
    <row r="1290" spans="1:9" x14ac:dyDescent="0.2">
      <c r="A1290" t="str">
        <f t="shared" si="20"/>
        <v/>
      </c>
      <c r="B1290" s="24">
        <v>2018</v>
      </c>
      <c r="C1290" t="s">
        <v>308</v>
      </c>
      <c r="D1290" t="s">
        <v>723</v>
      </c>
      <c r="E1290" t="s">
        <v>723</v>
      </c>
      <c r="F1290" s="11">
        <v>272625475</v>
      </c>
      <c r="G1290" s="18">
        <v>2.346E-3</v>
      </c>
      <c r="H1290" s="11">
        <v>3760405.7459999998</v>
      </c>
      <c r="I1290" s="22" t="str">
        <f>IFERROR(VLOOKUP(D1290,'LEAID Match'!$A$2:$B$184,2,FALSE),"")</f>
        <v/>
      </c>
    </row>
    <row r="1291" spans="1:9" x14ac:dyDescent="0.2">
      <c r="A1291" t="str">
        <f t="shared" si="20"/>
        <v/>
      </c>
      <c r="B1291" s="24">
        <v>2019</v>
      </c>
      <c r="C1291" t="s">
        <v>308</v>
      </c>
      <c r="D1291" t="s">
        <v>723</v>
      </c>
      <c r="E1291" t="s">
        <v>723</v>
      </c>
      <c r="F1291" s="11">
        <v>271751774</v>
      </c>
      <c r="G1291" s="18">
        <v>2.2555000000000001E-3</v>
      </c>
      <c r="H1291" s="11">
        <v>4319611.8030000003</v>
      </c>
      <c r="I1291" s="22" t="str">
        <f>IFERROR(VLOOKUP(D1291,'LEAID Match'!$A$2:$B$184,2,FALSE),"")</f>
        <v/>
      </c>
    </row>
    <row r="1292" spans="1:9" x14ac:dyDescent="0.2">
      <c r="A1292" t="str">
        <f t="shared" si="20"/>
        <v/>
      </c>
      <c r="B1292" s="24">
        <v>2020</v>
      </c>
      <c r="C1292" t="s">
        <v>308</v>
      </c>
      <c r="D1292" t="s">
        <v>723</v>
      </c>
      <c r="E1292" t="s">
        <v>723</v>
      </c>
      <c r="F1292" s="11">
        <v>273763504</v>
      </c>
      <c r="G1292" s="18">
        <v>2.2101E-3</v>
      </c>
      <c r="H1292" s="11">
        <v>4541921.2575000003</v>
      </c>
      <c r="I1292" s="22" t="str">
        <f>IFERROR(VLOOKUP(D1292,'LEAID Match'!$A$2:$B$184,2,FALSE),"")</f>
        <v/>
      </c>
    </row>
    <row r="1293" spans="1:9" x14ac:dyDescent="0.2">
      <c r="A1293" t="str">
        <f t="shared" si="20"/>
        <v/>
      </c>
      <c r="B1293" s="24">
        <v>2021</v>
      </c>
      <c r="C1293" t="s">
        <v>308</v>
      </c>
      <c r="D1293" t="s">
        <v>723</v>
      </c>
      <c r="E1293" t="s">
        <v>723</v>
      </c>
      <c r="F1293" s="11">
        <v>276859100</v>
      </c>
      <c r="G1293" s="18">
        <v>2.2122000000000001E-3</v>
      </c>
      <c r="H1293" s="11">
        <v>5250108.0744000003</v>
      </c>
      <c r="I1293" s="22" t="str">
        <f>IFERROR(VLOOKUP(D1293,'LEAID Match'!$A$2:$B$184,2,FALSE),"")</f>
        <v/>
      </c>
    </row>
    <row r="1294" spans="1:9" x14ac:dyDescent="0.2">
      <c r="A1294" t="str">
        <f t="shared" si="20"/>
        <v/>
      </c>
      <c r="B1294" s="24">
        <v>2022</v>
      </c>
      <c r="C1294" t="s">
        <v>308</v>
      </c>
      <c r="D1294" t="s">
        <v>723</v>
      </c>
      <c r="E1294" t="s">
        <v>723</v>
      </c>
      <c r="F1294" s="11">
        <v>267008697</v>
      </c>
      <c r="G1294" s="18">
        <v>2.1170999999999998E-3</v>
      </c>
      <c r="H1294" s="11">
        <v>5847315.8765999991</v>
      </c>
      <c r="I1294" s="22" t="str">
        <f>IFERROR(VLOOKUP(D1294,'LEAID Match'!$A$2:$B$184,2,FALSE),"")</f>
        <v/>
      </c>
    </row>
    <row r="1295" spans="1:9" x14ac:dyDescent="0.2">
      <c r="A1295" t="str">
        <f t="shared" si="20"/>
        <v/>
      </c>
      <c r="B1295" s="24">
        <v>2023</v>
      </c>
      <c r="C1295" t="s">
        <v>308</v>
      </c>
      <c r="D1295" t="s">
        <v>723</v>
      </c>
      <c r="E1295" t="s">
        <v>723</v>
      </c>
      <c r="F1295" s="11">
        <v>289056103</v>
      </c>
      <c r="G1295" s="18">
        <v>2.1749E-3</v>
      </c>
      <c r="H1295" s="11">
        <v>6600597.4852999998</v>
      </c>
      <c r="I1295" s="22" t="str">
        <f>IFERROR(VLOOKUP(D1295,'LEAID Match'!$A$2:$B$184,2,FALSE),"")</f>
        <v/>
      </c>
    </row>
    <row r="1296" spans="1:9" x14ac:dyDescent="0.2">
      <c r="A1296">
        <f t="shared" si="20"/>
        <v>3701950</v>
      </c>
      <c r="B1296" s="24">
        <v>2015</v>
      </c>
      <c r="C1296" t="s">
        <v>309</v>
      </c>
      <c r="D1296" t="s">
        <v>724</v>
      </c>
      <c r="E1296" t="s">
        <v>255</v>
      </c>
      <c r="F1296" s="11">
        <v>155209659</v>
      </c>
      <c r="G1296" s="18">
        <v>1.3571E-3</v>
      </c>
      <c r="H1296" s="11">
        <v>1714001.0148</v>
      </c>
      <c r="I1296" s="22">
        <f>IFERROR(VLOOKUP(D1296,'LEAID Match'!$A$2:$B$184,2,FALSE),"")</f>
        <v>3701950</v>
      </c>
    </row>
    <row r="1297" spans="1:9" x14ac:dyDescent="0.2">
      <c r="A1297">
        <f t="shared" si="20"/>
        <v>3701950</v>
      </c>
      <c r="B1297" s="24">
        <v>2016</v>
      </c>
      <c r="C1297" t="s">
        <v>309</v>
      </c>
      <c r="D1297" t="s">
        <v>724</v>
      </c>
      <c r="E1297" t="s">
        <v>724</v>
      </c>
      <c r="F1297" s="11">
        <v>119916576</v>
      </c>
      <c r="G1297" s="18">
        <v>1.1073999999999999E-3</v>
      </c>
      <c r="H1297" s="11">
        <v>1411938.3221999998</v>
      </c>
      <c r="I1297" s="22">
        <f>IFERROR(VLOOKUP(D1297,'LEAID Match'!$A$2:$B$184,2,FALSE),"")</f>
        <v>3701950</v>
      </c>
    </row>
    <row r="1298" spans="1:9" x14ac:dyDescent="0.2">
      <c r="A1298">
        <f t="shared" si="20"/>
        <v>3701950</v>
      </c>
      <c r="B1298" s="24">
        <v>2017</v>
      </c>
      <c r="C1298" t="s">
        <v>309</v>
      </c>
      <c r="D1298" t="s">
        <v>724</v>
      </c>
      <c r="E1298" t="s">
        <v>724</v>
      </c>
      <c r="F1298" s="11">
        <v>107658514</v>
      </c>
      <c r="G1298" s="18">
        <v>9.6480000000000003E-4</v>
      </c>
      <c r="H1298" s="11">
        <v>1390463.9712</v>
      </c>
      <c r="I1298" s="22">
        <f>IFERROR(VLOOKUP(D1298,'LEAID Match'!$A$2:$B$184,2,FALSE),"")</f>
        <v>3701950</v>
      </c>
    </row>
    <row r="1299" spans="1:9" x14ac:dyDescent="0.2">
      <c r="A1299">
        <f t="shared" si="20"/>
        <v>3701950</v>
      </c>
      <c r="B1299" s="24">
        <v>2018</v>
      </c>
      <c r="C1299" t="s">
        <v>309</v>
      </c>
      <c r="D1299" t="s">
        <v>724</v>
      </c>
      <c r="E1299" t="s">
        <v>724</v>
      </c>
      <c r="F1299" s="11">
        <v>112491007</v>
      </c>
      <c r="G1299" s="18">
        <v>9.68E-4</v>
      </c>
      <c r="H1299" s="11">
        <v>1551608.1680000001</v>
      </c>
      <c r="I1299" s="22">
        <f>IFERROR(VLOOKUP(D1299,'LEAID Match'!$A$2:$B$184,2,FALSE),"")</f>
        <v>3701950</v>
      </c>
    </row>
    <row r="1300" spans="1:9" x14ac:dyDescent="0.2">
      <c r="A1300">
        <f t="shared" si="20"/>
        <v>3701950</v>
      </c>
      <c r="B1300" s="24">
        <v>2019</v>
      </c>
      <c r="C1300" t="s">
        <v>309</v>
      </c>
      <c r="D1300" t="s">
        <v>724</v>
      </c>
      <c r="E1300" t="s">
        <v>724</v>
      </c>
      <c r="F1300" s="11">
        <v>124048492</v>
      </c>
      <c r="G1300" s="18">
        <v>1.0296000000000001E-3</v>
      </c>
      <c r="H1300" s="11">
        <v>1971834.3216000001</v>
      </c>
      <c r="I1300" s="22">
        <f>IFERROR(VLOOKUP(D1300,'LEAID Match'!$A$2:$B$184,2,FALSE),"")</f>
        <v>3701950</v>
      </c>
    </row>
    <row r="1301" spans="1:9" x14ac:dyDescent="0.2">
      <c r="A1301">
        <f t="shared" si="20"/>
        <v>3701950</v>
      </c>
      <c r="B1301" s="24">
        <v>2020</v>
      </c>
      <c r="C1301" t="s">
        <v>309</v>
      </c>
      <c r="D1301" t="s">
        <v>724</v>
      </c>
      <c r="E1301" t="s">
        <v>724</v>
      </c>
      <c r="F1301" s="11">
        <v>114458072</v>
      </c>
      <c r="G1301" s="18">
        <v>9.2400000000000002E-4</v>
      </c>
      <c r="H1301" s="11">
        <v>1898889.3</v>
      </c>
      <c r="I1301" s="22">
        <f>IFERROR(VLOOKUP(D1301,'LEAID Match'!$A$2:$B$184,2,FALSE),"")</f>
        <v>3701950</v>
      </c>
    </row>
    <row r="1302" spans="1:9" x14ac:dyDescent="0.2">
      <c r="A1302">
        <f t="shared" si="20"/>
        <v>3701950</v>
      </c>
      <c r="B1302" s="24">
        <v>2021</v>
      </c>
      <c r="C1302" t="s">
        <v>309</v>
      </c>
      <c r="D1302" t="s">
        <v>724</v>
      </c>
      <c r="E1302" t="s">
        <v>724</v>
      </c>
      <c r="F1302" s="11">
        <v>103187843</v>
      </c>
      <c r="G1302" s="18">
        <v>8.2450000000000004E-4</v>
      </c>
      <c r="H1302" s="11">
        <v>1956746.274</v>
      </c>
      <c r="I1302" s="22">
        <f>IFERROR(VLOOKUP(D1302,'LEAID Match'!$A$2:$B$184,2,FALSE),"")</f>
        <v>3701950</v>
      </c>
    </row>
    <row r="1303" spans="1:9" x14ac:dyDescent="0.2">
      <c r="A1303">
        <f t="shared" si="20"/>
        <v>3701950</v>
      </c>
      <c r="B1303" s="24">
        <v>2022</v>
      </c>
      <c r="C1303" t="s">
        <v>309</v>
      </c>
      <c r="D1303" t="s">
        <v>724</v>
      </c>
      <c r="E1303" t="s">
        <v>724</v>
      </c>
      <c r="F1303" s="11">
        <v>112892675</v>
      </c>
      <c r="G1303" s="18">
        <v>8.9510000000000002E-4</v>
      </c>
      <c r="H1303" s="11">
        <v>2472217.8646</v>
      </c>
      <c r="I1303" s="22">
        <f>IFERROR(VLOOKUP(D1303,'LEAID Match'!$A$2:$B$184,2,FALSE),"")</f>
        <v>3701950</v>
      </c>
    </row>
    <row r="1304" spans="1:9" x14ac:dyDescent="0.2">
      <c r="A1304">
        <f t="shared" si="20"/>
        <v>3701950</v>
      </c>
      <c r="B1304" s="24">
        <v>2023</v>
      </c>
      <c r="C1304" t="s">
        <v>309</v>
      </c>
      <c r="D1304" t="s">
        <v>724</v>
      </c>
      <c r="E1304" t="s">
        <v>724</v>
      </c>
      <c r="F1304" s="11">
        <v>110142448</v>
      </c>
      <c r="G1304" s="18">
        <v>8.2870000000000003E-4</v>
      </c>
      <c r="H1304" s="11">
        <v>2515019.1439</v>
      </c>
      <c r="I1304" s="22">
        <f>IFERROR(VLOOKUP(D1304,'LEAID Match'!$A$2:$B$184,2,FALSE),"")</f>
        <v>3701950</v>
      </c>
    </row>
    <row r="1305" spans="1:9" x14ac:dyDescent="0.2">
      <c r="A1305" t="str">
        <f t="shared" si="20"/>
        <v/>
      </c>
      <c r="B1305" s="24">
        <v>2015</v>
      </c>
      <c r="C1305" t="s">
        <v>310</v>
      </c>
      <c r="D1305" t="s">
        <v>725</v>
      </c>
      <c r="E1305" t="s">
        <v>256</v>
      </c>
      <c r="F1305" s="11">
        <v>55723854</v>
      </c>
      <c r="G1305" s="18">
        <v>4.8720000000000002E-4</v>
      </c>
      <c r="H1305" s="11">
        <v>615327.75360000005</v>
      </c>
      <c r="I1305" s="22" t="str">
        <f>IFERROR(VLOOKUP(D1305,'LEAID Match'!$A$2:$B$184,2,FALSE),"")</f>
        <v/>
      </c>
    </row>
    <row r="1306" spans="1:9" x14ac:dyDescent="0.2">
      <c r="A1306" t="str">
        <f t="shared" si="20"/>
        <v/>
      </c>
      <c r="B1306" s="24">
        <v>2016</v>
      </c>
      <c r="C1306" t="s">
        <v>310</v>
      </c>
      <c r="D1306" t="s">
        <v>725</v>
      </c>
      <c r="E1306" t="s">
        <v>725</v>
      </c>
      <c r="F1306" s="11">
        <v>48641242</v>
      </c>
      <c r="G1306" s="18">
        <v>4.4920000000000002E-4</v>
      </c>
      <c r="H1306" s="11">
        <v>572731.34759999998</v>
      </c>
      <c r="I1306" s="22" t="str">
        <f>IFERROR(VLOOKUP(D1306,'LEAID Match'!$A$2:$B$184,2,FALSE),"")</f>
        <v/>
      </c>
    </row>
    <row r="1307" spans="1:9" x14ac:dyDescent="0.2">
      <c r="A1307" t="str">
        <f t="shared" si="20"/>
        <v/>
      </c>
      <c r="B1307" s="24">
        <v>2017</v>
      </c>
      <c r="C1307" t="s">
        <v>310</v>
      </c>
      <c r="D1307" t="s">
        <v>725</v>
      </c>
      <c r="E1307" t="s">
        <v>725</v>
      </c>
      <c r="F1307" s="11">
        <v>51450040</v>
      </c>
      <c r="G1307" s="18">
        <v>4.6109999999999999E-4</v>
      </c>
      <c r="H1307" s="11">
        <v>664534.55339999998</v>
      </c>
      <c r="I1307" s="22" t="str">
        <f>IFERROR(VLOOKUP(D1307,'LEAID Match'!$A$2:$B$184,2,FALSE),"")</f>
        <v/>
      </c>
    </row>
    <row r="1308" spans="1:9" x14ac:dyDescent="0.2">
      <c r="A1308" t="str">
        <f t="shared" si="20"/>
        <v/>
      </c>
      <c r="B1308" s="24">
        <v>2018</v>
      </c>
      <c r="C1308" t="s">
        <v>310</v>
      </c>
      <c r="D1308" t="s">
        <v>725</v>
      </c>
      <c r="E1308" t="s">
        <v>725</v>
      </c>
      <c r="F1308" s="11">
        <v>49377677</v>
      </c>
      <c r="G1308" s="18">
        <v>4.2489999999999997E-4</v>
      </c>
      <c r="H1308" s="11">
        <v>681072.63489999995</v>
      </c>
      <c r="I1308" s="22" t="str">
        <f>IFERROR(VLOOKUP(D1308,'LEAID Match'!$A$2:$B$184,2,FALSE),"")</f>
        <v/>
      </c>
    </row>
    <row r="1309" spans="1:9" x14ac:dyDescent="0.2">
      <c r="A1309" t="str">
        <f t="shared" si="20"/>
        <v/>
      </c>
      <c r="B1309" s="24">
        <v>2019</v>
      </c>
      <c r="C1309" t="s">
        <v>310</v>
      </c>
      <c r="D1309" t="s">
        <v>725</v>
      </c>
      <c r="E1309" t="s">
        <v>725</v>
      </c>
      <c r="F1309" s="11">
        <v>49214996</v>
      </c>
      <c r="G1309" s="18">
        <v>4.0850000000000001E-4</v>
      </c>
      <c r="H1309" s="11">
        <v>782337.14100000006</v>
      </c>
      <c r="I1309" s="22" t="str">
        <f>IFERROR(VLOOKUP(D1309,'LEAID Match'!$A$2:$B$184,2,FALSE),"")</f>
        <v/>
      </c>
    </row>
    <row r="1310" spans="1:9" x14ac:dyDescent="0.2">
      <c r="A1310" t="str">
        <f t="shared" si="20"/>
        <v/>
      </c>
      <c r="B1310" s="24">
        <v>2020</v>
      </c>
      <c r="C1310" t="s">
        <v>310</v>
      </c>
      <c r="D1310" t="s">
        <v>725</v>
      </c>
      <c r="E1310" t="s">
        <v>725</v>
      </c>
      <c r="F1310" s="11">
        <v>46749758</v>
      </c>
      <c r="G1310" s="18">
        <v>3.7740000000000001E-4</v>
      </c>
      <c r="H1310" s="11">
        <v>775585.30500000005</v>
      </c>
      <c r="I1310" s="22" t="str">
        <f>IFERROR(VLOOKUP(D1310,'LEAID Match'!$A$2:$B$184,2,FALSE),"")</f>
        <v/>
      </c>
    </row>
    <row r="1311" spans="1:9" x14ac:dyDescent="0.2">
      <c r="A1311" t="str">
        <f t="shared" si="20"/>
        <v/>
      </c>
      <c r="B1311" s="24">
        <v>2021</v>
      </c>
      <c r="C1311" t="s">
        <v>310</v>
      </c>
      <c r="D1311" t="s">
        <v>725</v>
      </c>
      <c r="E1311" t="s">
        <v>725</v>
      </c>
      <c r="F1311" s="11">
        <v>51512695</v>
      </c>
      <c r="G1311" s="18">
        <v>4.1159999999999998E-4</v>
      </c>
      <c r="H1311" s="11">
        <v>976830.52319999994</v>
      </c>
      <c r="I1311" s="22" t="str">
        <f>IFERROR(VLOOKUP(D1311,'LEAID Match'!$A$2:$B$184,2,FALSE),"")</f>
        <v/>
      </c>
    </row>
    <row r="1312" spans="1:9" x14ac:dyDescent="0.2">
      <c r="A1312" t="str">
        <f t="shared" si="20"/>
        <v/>
      </c>
      <c r="B1312" s="24">
        <v>2022</v>
      </c>
      <c r="C1312" t="s">
        <v>310</v>
      </c>
      <c r="D1312" t="s">
        <v>725</v>
      </c>
      <c r="E1312" t="s">
        <v>725</v>
      </c>
      <c r="F1312" s="11">
        <v>47157509</v>
      </c>
      <c r="G1312" s="18">
        <v>3.7389999999999998E-4</v>
      </c>
      <c r="H1312" s="11">
        <v>1032691.6094</v>
      </c>
      <c r="I1312" s="22" t="str">
        <f>IFERROR(VLOOKUP(D1312,'LEAID Match'!$A$2:$B$184,2,FALSE),"")</f>
        <v/>
      </c>
    </row>
    <row r="1313" spans="1:9" x14ac:dyDescent="0.2">
      <c r="A1313" t="str">
        <f t="shared" si="20"/>
        <v/>
      </c>
      <c r="B1313" s="24">
        <v>2023</v>
      </c>
      <c r="C1313" t="s">
        <v>310</v>
      </c>
      <c r="D1313" t="s">
        <v>725</v>
      </c>
      <c r="E1313" t="s">
        <v>725</v>
      </c>
      <c r="F1313" s="11">
        <v>46351596</v>
      </c>
      <c r="G1313" s="18">
        <v>3.4880000000000002E-4</v>
      </c>
      <c r="H1313" s="11">
        <v>1058572.0736</v>
      </c>
      <c r="I1313" s="22" t="str">
        <f>IFERROR(VLOOKUP(D1313,'LEAID Match'!$A$2:$B$184,2,FALSE),"")</f>
        <v/>
      </c>
    </row>
    <row r="1314" spans="1:9" x14ac:dyDescent="0.2">
      <c r="A1314">
        <f t="shared" si="20"/>
        <v>3703900</v>
      </c>
      <c r="B1314" s="24">
        <v>2015</v>
      </c>
      <c r="C1314" t="s">
        <v>311</v>
      </c>
      <c r="D1314" t="s">
        <v>726</v>
      </c>
      <c r="E1314" t="s">
        <v>257</v>
      </c>
      <c r="F1314" s="11">
        <v>121683914</v>
      </c>
      <c r="G1314" s="18">
        <v>1.0639E-3</v>
      </c>
      <c r="H1314" s="11">
        <v>1343692.9332000001</v>
      </c>
      <c r="I1314" s="22">
        <f>IFERROR(VLOOKUP(D1314,'LEAID Match'!$A$2:$B$184,2,FALSE),"")</f>
        <v>3703900</v>
      </c>
    </row>
    <row r="1315" spans="1:9" x14ac:dyDescent="0.2">
      <c r="A1315">
        <f t="shared" si="20"/>
        <v>3703900</v>
      </c>
      <c r="B1315" s="24">
        <v>2016</v>
      </c>
      <c r="C1315" t="s">
        <v>311</v>
      </c>
      <c r="D1315" t="s">
        <v>726</v>
      </c>
      <c r="E1315" t="s">
        <v>726</v>
      </c>
      <c r="F1315" s="11">
        <v>115623318</v>
      </c>
      <c r="G1315" s="18">
        <v>1.0677E-3</v>
      </c>
      <c r="H1315" s="11">
        <v>1361320.7031</v>
      </c>
      <c r="I1315" s="22">
        <f>IFERROR(VLOOKUP(D1315,'LEAID Match'!$A$2:$B$184,2,FALSE),"")</f>
        <v>3703900</v>
      </c>
    </row>
    <row r="1316" spans="1:9" x14ac:dyDescent="0.2">
      <c r="A1316">
        <f t="shared" si="20"/>
        <v>3703900</v>
      </c>
      <c r="B1316" s="24">
        <v>2017</v>
      </c>
      <c r="C1316" t="s">
        <v>311</v>
      </c>
      <c r="D1316" t="s">
        <v>726</v>
      </c>
      <c r="E1316" t="s">
        <v>726</v>
      </c>
      <c r="F1316" s="11">
        <v>121378461</v>
      </c>
      <c r="G1316" s="18">
        <v>1.0878000000000001E-3</v>
      </c>
      <c r="H1316" s="11">
        <v>1567730.8332000002</v>
      </c>
      <c r="I1316" s="22">
        <f>IFERROR(VLOOKUP(D1316,'LEAID Match'!$A$2:$B$184,2,FALSE),"")</f>
        <v>3703900</v>
      </c>
    </row>
    <row r="1317" spans="1:9" x14ac:dyDescent="0.2">
      <c r="A1317">
        <f t="shared" si="20"/>
        <v>3703900</v>
      </c>
      <c r="B1317" s="24">
        <v>2018</v>
      </c>
      <c r="C1317" t="s">
        <v>311</v>
      </c>
      <c r="D1317" t="s">
        <v>726</v>
      </c>
      <c r="E1317" t="s">
        <v>726</v>
      </c>
      <c r="F1317" s="11">
        <v>131669695</v>
      </c>
      <c r="G1317" s="18">
        <v>1.1330999999999999E-3</v>
      </c>
      <c r="H1317" s="11">
        <v>1816247.1231</v>
      </c>
      <c r="I1317" s="22">
        <f>IFERROR(VLOOKUP(D1317,'LEAID Match'!$A$2:$B$184,2,FALSE),"")</f>
        <v>3703900</v>
      </c>
    </row>
    <row r="1318" spans="1:9" x14ac:dyDescent="0.2">
      <c r="A1318">
        <f t="shared" si="20"/>
        <v>3703900</v>
      </c>
      <c r="B1318" s="24">
        <v>2019</v>
      </c>
      <c r="C1318" t="s">
        <v>311</v>
      </c>
      <c r="D1318" t="s">
        <v>726</v>
      </c>
      <c r="E1318" t="s">
        <v>726</v>
      </c>
      <c r="F1318" s="11">
        <v>132381414</v>
      </c>
      <c r="G1318" s="18">
        <v>1.0988E-3</v>
      </c>
      <c r="H1318" s="11">
        <v>2104362.4248000002</v>
      </c>
      <c r="I1318" s="22">
        <f>IFERROR(VLOOKUP(D1318,'LEAID Match'!$A$2:$B$184,2,FALSE),"")</f>
        <v>3703900</v>
      </c>
    </row>
    <row r="1319" spans="1:9" x14ac:dyDescent="0.2">
      <c r="A1319">
        <f t="shared" si="20"/>
        <v>3703900</v>
      </c>
      <c r="B1319" s="24">
        <v>2020</v>
      </c>
      <c r="C1319" t="s">
        <v>311</v>
      </c>
      <c r="D1319" t="s">
        <v>726</v>
      </c>
      <c r="E1319" t="s">
        <v>726</v>
      </c>
      <c r="F1319" s="11">
        <v>133209545</v>
      </c>
      <c r="G1319" s="18">
        <v>1.0754E-3</v>
      </c>
      <c r="H1319" s="11">
        <v>2210027.6549999998</v>
      </c>
      <c r="I1319" s="22">
        <f>IFERROR(VLOOKUP(D1319,'LEAID Match'!$A$2:$B$184,2,FALSE),"")</f>
        <v>3703900</v>
      </c>
    </row>
    <row r="1320" spans="1:9" x14ac:dyDescent="0.2">
      <c r="A1320">
        <f t="shared" si="20"/>
        <v>3703900</v>
      </c>
      <c r="B1320" s="24">
        <v>2021</v>
      </c>
      <c r="C1320" t="s">
        <v>311</v>
      </c>
      <c r="D1320" t="s">
        <v>726</v>
      </c>
      <c r="E1320" t="s">
        <v>726</v>
      </c>
      <c r="F1320" s="11">
        <v>126593425</v>
      </c>
      <c r="G1320" s="18">
        <v>1.0115E-3</v>
      </c>
      <c r="H1320" s="11">
        <v>2400544.398</v>
      </c>
      <c r="I1320" s="22">
        <f>IFERROR(VLOOKUP(D1320,'LEAID Match'!$A$2:$B$184,2,FALSE),"")</f>
        <v>3703900</v>
      </c>
    </row>
    <row r="1321" spans="1:9" x14ac:dyDescent="0.2">
      <c r="A1321">
        <f t="shared" si="20"/>
        <v>3703900</v>
      </c>
      <c r="B1321" s="24">
        <v>2022</v>
      </c>
      <c r="C1321" t="s">
        <v>311</v>
      </c>
      <c r="D1321" t="s">
        <v>726</v>
      </c>
      <c r="E1321" t="s">
        <v>726</v>
      </c>
      <c r="F1321" s="11">
        <v>130133681</v>
      </c>
      <c r="G1321" s="18">
        <v>1.0318E-3</v>
      </c>
      <c r="H1321" s="11">
        <v>2849775.8828000003</v>
      </c>
      <c r="I1321" s="22">
        <f>IFERROR(VLOOKUP(D1321,'LEAID Match'!$A$2:$B$184,2,FALSE),"")</f>
        <v>3703900</v>
      </c>
    </row>
    <row r="1322" spans="1:9" x14ac:dyDescent="0.2">
      <c r="A1322">
        <f t="shared" si="20"/>
        <v>3703900</v>
      </c>
      <c r="B1322" s="24">
        <v>2023</v>
      </c>
      <c r="C1322" t="s">
        <v>311</v>
      </c>
      <c r="D1322" t="s">
        <v>726</v>
      </c>
      <c r="E1322" t="s">
        <v>726</v>
      </c>
      <c r="F1322" s="11">
        <v>135850532</v>
      </c>
      <c r="G1322" s="18">
        <v>1.0222E-3</v>
      </c>
      <c r="H1322" s="11">
        <v>3102271.7134000002</v>
      </c>
      <c r="I1322" s="22">
        <f>IFERROR(VLOOKUP(D1322,'LEAID Match'!$A$2:$B$184,2,FALSE),"")</f>
        <v>3703900</v>
      </c>
    </row>
    <row r="1323" spans="1:9" x14ac:dyDescent="0.2">
      <c r="A1323">
        <f t="shared" si="20"/>
        <v>3704890</v>
      </c>
      <c r="B1323" s="24">
        <v>2015</v>
      </c>
      <c r="C1323" t="s">
        <v>312</v>
      </c>
      <c r="D1323" t="s">
        <v>727</v>
      </c>
      <c r="E1323" t="s">
        <v>258</v>
      </c>
      <c r="F1323" s="11">
        <v>56978234</v>
      </c>
      <c r="G1323" s="18">
        <v>4.9819999999999997E-4</v>
      </c>
      <c r="H1323" s="11">
        <v>629220.62159999995</v>
      </c>
      <c r="I1323" s="22">
        <f>IFERROR(VLOOKUP(D1323,'LEAID Match'!$A$2:$B$184,2,FALSE),"")</f>
        <v>3704890</v>
      </c>
    </row>
    <row r="1324" spans="1:9" x14ac:dyDescent="0.2">
      <c r="A1324">
        <f t="shared" si="20"/>
        <v>3704890</v>
      </c>
      <c r="B1324" s="24">
        <v>2016</v>
      </c>
      <c r="C1324" t="s">
        <v>312</v>
      </c>
      <c r="D1324" t="s">
        <v>727</v>
      </c>
      <c r="E1324" t="s">
        <v>727</v>
      </c>
      <c r="F1324" s="11">
        <v>53083871</v>
      </c>
      <c r="G1324" s="18">
        <v>4.9019999999999999E-4</v>
      </c>
      <c r="H1324" s="11">
        <v>625006.4706</v>
      </c>
      <c r="I1324" s="22">
        <f>IFERROR(VLOOKUP(D1324,'LEAID Match'!$A$2:$B$184,2,FALSE),"")</f>
        <v>3704890</v>
      </c>
    </row>
    <row r="1325" spans="1:9" x14ac:dyDescent="0.2">
      <c r="A1325">
        <f t="shared" si="20"/>
        <v>3704890</v>
      </c>
      <c r="B1325" s="24">
        <v>2017</v>
      </c>
      <c r="C1325" t="s">
        <v>312</v>
      </c>
      <c r="D1325" t="s">
        <v>727</v>
      </c>
      <c r="E1325" t="s">
        <v>727</v>
      </c>
      <c r="F1325" s="11">
        <v>48610401</v>
      </c>
      <c r="G1325" s="18">
        <v>4.3560000000000002E-4</v>
      </c>
      <c r="H1325" s="11">
        <v>627784.10640000005</v>
      </c>
      <c r="I1325" s="22">
        <f>IFERROR(VLOOKUP(D1325,'LEAID Match'!$A$2:$B$184,2,FALSE),"")</f>
        <v>3704890</v>
      </c>
    </row>
    <row r="1326" spans="1:9" x14ac:dyDescent="0.2">
      <c r="A1326">
        <f t="shared" si="20"/>
        <v>3704890</v>
      </c>
      <c r="B1326" s="24">
        <v>2018</v>
      </c>
      <c r="C1326" t="s">
        <v>312</v>
      </c>
      <c r="D1326" t="s">
        <v>727</v>
      </c>
      <c r="E1326" t="s">
        <v>727</v>
      </c>
      <c r="F1326" s="11">
        <v>49150418</v>
      </c>
      <c r="G1326" s="18">
        <v>4.2299999999999998E-4</v>
      </c>
      <c r="H1326" s="11">
        <v>678027.12300000002</v>
      </c>
      <c r="I1326" s="22">
        <f>IFERROR(VLOOKUP(D1326,'LEAID Match'!$A$2:$B$184,2,FALSE),"")</f>
        <v>3704890</v>
      </c>
    </row>
    <row r="1327" spans="1:9" x14ac:dyDescent="0.2">
      <c r="A1327">
        <f t="shared" si="20"/>
        <v>3704890</v>
      </c>
      <c r="B1327" s="24">
        <v>2019</v>
      </c>
      <c r="C1327" t="s">
        <v>312</v>
      </c>
      <c r="D1327" t="s">
        <v>727</v>
      </c>
      <c r="E1327" t="s">
        <v>727</v>
      </c>
      <c r="F1327" s="11">
        <v>44025049</v>
      </c>
      <c r="G1327" s="18">
        <v>3.6539999999999999E-4</v>
      </c>
      <c r="H1327" s="11">
        <v>699794.34840000002</v>
      </c>
      <c r="I1327" s="22">
        <f>IFERROR(VLOOKUP(D1327,'LEAID Match'!$A$2:$B$184,2,FALSE),"")</f>
        <v>3704890</v>
      </c>
    </row>
    <row r="1328" spans="1:9" x14ac:dyDescent="0.2">
      <c r="A1328">
        <f t="shared" si="20"/>
        <v>3704890</v>
      </c>
      <c r="B1328" s="24">
        <v>2020</v>
      </c>
      <c r="C1328" t="s">
        <v>312</v>
      </c>
      <c r="D1328" t="s">
        <v>727</v>
      </c>
      <c r="E1328" t="s">
        <v>727</v>
      </c>
      <c r="F1328" s="11">
        <v>44107733</v>
      </c>
      <c r="G1328" s="18">
        <v>3.5609999999999998E-4</v>
      </c>
      <c r="H1328" s="11">
        <v>731812.20750000002</v>
      </c>
      <c r="I1328" s="22">
        <f>IFERROR(VLOOKUP(D1328,'LEAID Match'!$A$2:$B$184,2,FALSE),"")</f>
        <v>3704890</v>
      </c>
    </row>
    <row r="1329" spans="1:9" x14ac:dyDescent="0.2">
      <c r="A1329">
        <f t="shared" si="20"/>
        <v>3704890</v>
      </c>
      <c r="B1329" s="24">
        <v>2021</v>
      </c>
      <c r="C1329" t="s">
        <v>312</v>
      </c>
      <c r="D1329" t="s">
        <v>727</v>
      </c>
      <c r="E1329" t="s">
        <v>727</v>
      </c>
      <c r="F1329" s="11">
        <v>41366533</v>
      </c>
      <c r="G1329" s="18">
        <v>3.3050000000000001E-4</v>
      </c>
      <c r="H1329" s="11">
        <v>784359.78600000008</v>
      </c>
      <c r="I1329" s="22">
        <f>IFERROR(VLOOKUP(D1329,'LEAID Match'!$A$2:$B$184,2,FALSE),"")</f>
        <v>3704890</v>
      </c>
    </row>
    <row r="1330" spans="1:9" x14ac:dyDescent="0.2">
      <c r="A1330">
        <f t="shared" si="20"/>
        <v>3704890</v>
      </c>
      <c r="B1330" s="24">
        <v>2022</v>
      </c>
      <c r="C1330" t="s">
        <v>312</v>
      </c>
      <c r="D1330" t="s">
        <v>727</v>
      </c>
      <c r="E1330" t="s">
        <v>727</v>
      </c>
      <c r="F1330" s="11">
        <v>39462991</v>
      </c>
      <c r="G1330" s="18">
        <v>3.1290000000000002E-4</v>
      </c>
      <c r="H1330" s="11">
        <v>864212.90340000007</v>
      </c>
      <c r="I1330" s="22">
        <f>IFERROR(VLOOKUP(D1330,'LEAID Match'!$A$2:$B$184,2,FALSE),"")</f>
        <v>3704890</v>
      </c>
    </row>
    <row r="1331" spans="1:9" x14ac:dyDescent="0.2">
      <c r="A1331">
        <f t="shared" si="20"/>
        <v>3704890</v>
      </c>
      <c r="B1331" s="24">
        <v>2023</v>
      </c>
      <c r="C1331" t="s">
        <v>312</v>
      </c>
      <c r="D1331" t="s">
        <v>727</v>
      </c>
      <c r="E1331" t="s">
        <v>727</v>
      </c>
      <c r="F1331" s="11">
        <v>49662278</v>
      </c>
      <c r="G1331" s="18">
        <v>3.7369999999999998E-4</v>
      </c>
      <c r="H1331" s="11">
        <v>1134141.0089</v>
      </c>
      <c r="I1331" s="22">
        <f>IFERROR(VLOOKUP(D1331,'LEAID Match'!$A$2:$B$184,2,FALSE),"")</f>
        <v>3704890</v>
      </c>
    </row>
    <row r="1332" spans="1:9" x14ac:dyDescent="0.2">
      <c r="A1332">
        <f t="shared" si="20"/>
        <v>3702010</v>
      </c>
      <c r="B1332" s="24">
        <v>2015</v>
      </c>
      <c r="C1332" t="s">
        <v>313</v>
      </c>
      <c r="D1332" t="s">
        <v>728</v>
      </c>
      <c r="E1332" t="s">
        <v>259</v>
      </c>
      <c r="F1332" s="11">
        <v>807323736</v>
      </c>
      <c r="G1332" s="18">
        <v>7.0587000000000002E-3</v>
      </c>
      <c r="H1332" s="11">
        <v>8915053.3956000004</v>
      </c>
      <c r="I1332" s="22">
        <f>IFERROR(VLOOKUP(D1332,'LEAID Match'!$A$2:$B$184,2,FALSE),"")</f>
        <v>3702010</v>
      </c>
    </row>
    <row r="1333" spans="1:9" x14ac:dyDescent="0.2">
      <c r="A1333">
        <f t="shared" si="20"/>
        <v>3702010</v>
      </c>
      <c r="B1333" s="24">
        <v>2016</v>
      </c>
      <c r="C1333" t="s">
        <v>313</v>
      </c>
      <c r="D1333" t="s">
        <v>728</v>
      </c>
      <c r="E1333" t="s">
        <v>728</v>
      </c>
      <c r="F1333" s="11">
        <v>766877417</v>
      </c>
      <c r="G1333" s="18">
        <v>7.0816000000000004E-3</v>
      </c>
      <c r="H1333" s="11">
        <v>9029061.2448000014</v>
      </c>
      <c r="I1333" s="22">
        <f>IFERROR(VLOOKUP(D1333,'LEAID Match'!$A$2:$B$184,2,FALSE),"")</f>
        <v>3702010</v>
      </c>
    </row>
    <row r="1334" spans="1:9" x14ac:dyDescent="0.2">
      <c r="A1334">
        <f t="shared" si="20"/>
        <v>3702010</v>
      </c>
      <c r="B1334" s="24">
        <v>2017</v>
      </c>
      <c r="C1334" t="s">
        <v>313</v>
      </c>
      <c r="D1334" t="s">
        <v>728</v>
      </c>
      <c r="E1334" t="s">
        <v>728</v>
      </c>
      <c r="F1334" s="11">
        <v>796503412</v>
      </c>
      <c r="G1334" s="18">
        <v>7.1383000000000002E-3</v>
      </c>
      <c r="H1334" s="11">
        <v>10287675.1302</v>
      </c>
      <c r="I1334" s="22">
        <f>IFERROR(VLOOKUP(D1334,'LEAID Match'!$A$2:$B$184,2,FALSE),"")</f>
        <v>3702010</v>
      </c>
    </row>
    <row r="1335" spans="1:9" x14ac:dyDescent="0.2">
      <c r="A1335">
        <f t="shared" si="20"/>
        <v>3702010</v>
      </c>
      <c r="B1335" s="24">
        <v>2018</v>
      </c>
      <c r="C1335" t="s">
        <v>313</v>
      </c>
      <c r="D1335" t="s">
        <v>728</v>
      </c>
      <c r="E1335" t="s">
        <v>728</v>
      </c>
      <c r="F1335" s="11">
        <v>833016993</v>
      </c>
      <c r="G1335" s="18">
        <v>7.1682999999999998E-3</v>
      </c>
      <c r="H1335" s="11">
        <v>11490075.238299999</v>
      </c>
      <c r="I1335" s="22">
        <f>IFERROR(VLOOKUP(D1335,'LEAID Match'!$A$2:$B$184,2,FALSE),"")</f>
        <v>3702010</v>
      </c>
    </row>
    <row r="1336" spans="1:9" x14ac:dyDescent="0.2">
      <c r="A1336">
        <f t="shared" si="20"/>
        <v>3702010</v>
      </c>
      <c r="B1336" s="24">
        <v>2019</v>
      </c>
      <c r="C1336" t="s">
        <v>313</v>
      </c>
      <c r="D1336" t="s">
        <v>728</v>
      </c>
      <c r="E1336" t="s">
        <v>728</v>
      </c>
      <c r="F1336" s="11">
        <v>855790097</v>
      </c>
      <c r="G1336" s="18">
        <v>7.1031000000000002E-3</v>
      </c>
      <c r="H1336" s="11">
        <v>13603473.5526</v>
      </c>
      <c r="I1336" s="22">
        <f>IFERROR(VLOOKUP(D1336,'LEAID Match'!$A$2:$B$184,2,FALSE),"")</f>
        <v>3702010</v>
      </c>
    </row>
    <row r="1337" spans="1:9" x14ac:dyDescent="0.2">
      <c r="A1337">
        <f t="shared" si="20"/>
        <v>3702010</v>
      </c>
      <c r="B1337" s="24">
        <v>2020</v>
      </c>
      <c r="C1337" t="s">
        <v>313</v>
      </c>
      <c r="D1337" t="s">
        <v>728</v>
      </c>
      <c r="E1337" t="s">
        <v>728</v>
      </c>
      <c r="F1337" s="11">
        <v>865452595</v>
      </c>
      <c r="G1337" s="18">
        <v>6.9867000000000002E-3</v>
      </c>
      <c r="H1337" s="11">
        <v>14358192.502500001</v>
      </c>
      <c r="I1337" s="22">
        <f>IFERROR(VLOOKUP(D1337,'LEAID Match'!$A$2:$B$184,2,FALSE),"")</f>
        <v>3702010</v>
      </c>
    </row>
    <row r="1338" spans="1:9" x14ac:dyDescent="0.2">
      <c r="A1338">
        <f t="shared" si="20"/>
        <v>3702010</v>
      </c>
      <c r="B1338" s="24">
        <v>2021</v>
      </c>
      <c r="C1338" t="s">
        <v>313</v>
      </c>
      <c r="D1338" t="s">
        <v>728</v>
      </c>
      <c r="E1338" t="s">
        <v>728</v>
      </c>
      <c r="F1338" s="11">
        <v>836753289</v>
      </c>
      <c r="G1338" s="18">
        <v>6.6860000000000001E-3</v>
      </c>
      <c r="H1338" s="11">
        <v>15867562.872</v>
      </c>
      <c r="I1338" s="22">
        <f>IFERROR(VLOOKUP(D1338,'LEAID Match'!$A$2:$B$184,2,FALSE),"")</f>
        <v>3702010</v>
      </c>
    </row>
    <row r="1339" spans="1:9" x14ac:dyDescent="0.2">
      <c r="A1339">
        <f t="shared" si="20"/>
        <v>3702010</v>
      </c>
      <c r="B1339" s="24">
        <v>2022</v>
      </c>
      <c r="C1339" t="s">
        <v>313</v>
      </c>
      <c r="D1339" t="s">
        <v>728</v>
      </c>
      <c r="E1339" t="s">
        <v>728</v>
      </c>
      <c r="F1339" s="11">
        <v>860309816</v>
      </c>
      <c r="G1339" s="18">
        <v>6.8214E-3</v>
      </c>
      <c r="H1339" s="11">
        <v>18840338.444400001</v>
      </c>
      <c r="I1339" s="22">
        <f>IFERROR(VLOOKUP(D1339,'LEAID Match'!$A$2:$B$184,2,FALSE),"")</f>
        <v>3702010</v>
      </c>
    </row>
    <row r="1340" spans="1:9" x14ac:dyDescent="0.2">
      <c r="A1340">
        <f t="shared" si="20"/>
        <v>3702010</v>
      </c>
      <c r="B1340" s="24">
        <v>2023</v>
      </c>
      <c r="C1340" t="s">
        <v>313</v>
      </c>
      <c r="D1340" t="s">
        <v>728</v>
      </c>
      <c r="E1340" t="s">
        <v>728</v>
      </c>
      <c r="F1340" s="11">
        <v>876029135</v>
      </c>
      <c r="G1340" s="18">
        <v>6.5915000000000001E-3</v>
      </c>
      <c r="H1340" s="11">
        <v>20004523.5755</v>
      </c>
      <c r="I1340" s="22">
        <f>IFERROR(VLOOKUP(D1340,'LEAID Match'!$A$2:$B$184,2,FALSE),"")</f>
        <v>3702010</v>
      </c>
    </row>
    <row r="1341" spans="1:9" x14ac:dyDescent="0.2">
      <c r="A1341">
        <f t="shared" si="20"/>
        <v>3702040</v>
      </c>
      <c r="B1341" s="24">
        <v>2015</v>
      </c>
      <c r="C1341" t="s">
        <v>314</v>
      </c>
      <c r="D1341" t="s">
        <v>729</v>
      </c>
      <c r="E1341" t="s">
        <v>260</v>
      </c>
      <c r="F1341" s="11">
        <v>341883171</v>
      </c>
      <c r="G1341" s="18">
        <v>2.9892E-3</v>
      </c>
      <c r="H1341" s="11">
        <v>3775323.7296000002</v>
      </c>
      <c r="I1341" s="22">
        <f>IFERROR(VLOOKUP(D1341,'LEAID Match'!$A$2:$B$184,2,FALSE),"")</f>
        <v>3702040</v>
      </c>
    </row>
    <row r="1342" spans="1:9" x14ac:dyDescent="0.2">
      <c r="A1342">
        <f t="shared" si="20"/>
        <v>3702040</v>
      </c>
      <c r="B1342" s="24">
        <v>2016</v>
      </c>
      <c r="C1342" t="s">
        <v>314</v>
      </c>
      <c r="D1342" t="s">
        <v>729</v>
      </c>
      <c r="E1342" t="s">
        <v>729</v>
      </c>
      <c r="F1342" s="11">
        <v>324080314</v>
      </c>
      <c r="G1342" s="18">
        <v>2.9927E-3</v>
      </c>
      <c r="H1342" s="11">
        <v>3815701.4780999999</v>
      </c>
      <c r="I1342" s="22">
        <f>IFERROR(VLOOKUP(D1342,'LEAID Match'!$A$2:$B$184,2,FALSE),"")</f>
        <v>3702040</v>
      </c>
    </row>
    <row r="1343" spans="1:9" x14ac:dyDescent="0.2">
      <c r="A1343">
        <f t="shared" si="20"/>
        <v>3702040</v>
      </c>
      <c r="B1343" s="24">
        <v>2017</v>
      </c>
      <c r="C1343" t="s">
        <v>314</v>
      </c>
      <c r="D1343" t="s">
        <v>729</v>
      </c>
      <c r="E1343" t="s">
        <v>729</v>
      </c>
      <c r="F1343" s="11">
        <v>315126314</v>
      </c>
      <c r="G1343" s="18">
        <v>2.8241999999999998E-3</v>
      </c>
      <c r="H1343" s="11">
        <v>4070220.0947999996</v>
      </c>
      <c r="I1343" s="22">
        <f>IFERROR(VLOOKUP(D1343,'LEAID Match'!$A$2:$B$184,2,FALSE),"")</f>
        <v>3702040</v>
      </c>
    </row>
    <row r="1344" spans="1:9" x14ac:dyDescent="0.2">
      <c r="A1344">
        <f t="shared" si="20"/>
        <v>3702040</v>
      </c>
      <c r="B1344" s="24">
        <v>2018</v>
      </c>
      <c r="C1344" t="s">
        <v>314</v>
      </c>
      <c r="D1344" t="s">
        <v>729</v>
      </c>
      <c r="E1344" t="s">
        <v>729</v>
      </c>
      <c r="F1344" s="11">
        <v>324042513</v>
      </c>
      <c r="G1344" s="18">
        <v>2.7885000000000002E-3</v>
      </c>
      <c r="H1344" s="11">
        <v>4469689.4385000002</v>
      </c>
      <c r="I1344" s="22">
        <f>IFERROR(VLOOKUP(D1344,'LEAID Match'!$A$2:$B$184,2,FALSE),"")</f>
        <v>3702040</v>
      </c>
    </row>
    <row r="1345" spans="1:9" x14ac:dyDescent="0.2">
      <c r="A1345">
        <f t="shared" si="20"/>
        <v>3702040</v>
      </c>
      <c r="B1345" s="24">
        <v>2019</v>
      </c>
      <c r="C1345" t="s">
        <v>314</v>
      </c>
      <c r="D1345" t="s">
        <v>729</v>
      </c>
      <c r="E1345" t="s">
        <v>729</v>
      </c>
      <c r="F1345" s="11">
        <v>341216302</v>
      </c>
      <c r="G1345" s="18">
        <v>2.8321000000000002E-3</v>
      </c>
      <c r="H1345" s="11">
        <v>5423884.9866000004</v>
      </c>
      <c r="I1345" s="22">
        <f>IFERROR(VLOOKUP(D1345,'LEAID Match'!$A$2:$B$184,2,FALSE),"")</f>
        <v>3702040</v>
      </c>
    </row>
    <row r="1346" spans="1:9" x14ac:dyDescent="0.2">
      <c r="A1346">
        <f t="shared" si="20"/>
        <v>3702040</v>
      </c>
      <c r="B1346" s="24">
        <v>2020</v>
      </c>
      <c r="C1346" t="s">
        <v>314</v>
      </c>
      <c r="D1346" t="s">
        <v>729</v>
      </c>
      <c r="E1346" t="s">
        <v>729</v>
      </c>
      <c r="F1346" s="11">
        <v>353918149</v>
      </c>
      <c r="G1346" s="18">
        <v>2.8571E-3</v>
      </c>
      <c r="H1346" s="11">
        <v>5871554.7824999997</v>
      </c>
      <c r="I1346" s="22">
        <f>IFERROR(VLOOKUP(D1346,'LEAID Match'!$A$2:$B$184,2,FALSE),"")</f>
        <v>3702040</v>
      </c>
    </row>
    <row r="1347" spans="1:9" x14ac:dyDescent="0.2">
      <c r="A1347">
        <f t="shared" ref="A1347:A1410" si="21">I1347</f>
        <v>3702040</v>
      </c>
      <c r="B1347" s="24">
        <v>2021</v>
      </c>
      <c r="C1347" t="s">
        <v>314</v>
      </c>
      <c r="D1347" t="s">
        <v>729</v>
      </c>
      <c r="E1347" t="s">
        <v>729</v>
      </c>
      <c r="F1347" s="11">
        <v>348938992</v>
      </c>
      <c r="G1347" s="18">
        <v>2.7881999999999998E-3</v>
      </c>
      <c r="H1347" s="11">
        <v>6617101.2263999991</v>
      </c>
      <c r="I1347" s="22">
        <f>IFERROR(VLOOKUP(D1347,'LEAID Match'!$A$2:$B$184,2,FALSE),"")</f>
        <v>3702040</v>
      </c>
    </row>
    <row r="1348" spans="1:9" x14ac:dyDescent="0.2">
      <c r="A1348">
        <f t="shared" si="21"/>
        <v>3702040</v>
      </c>
      <c r="B1348" s="24">
        <v>2022</v>
      </c>
      <c r="C1348" t="s">
        <v>314</v>
      </c>
      <c r="D1348" t="s">
        <v>729</v>
      </c>
      <c r="E1348" t="s">
        <v>729</v>
      </c>
      <c r="F1348" s="11">
        <v>357556347</v>
      </c>
      <c r="G1348" s="18">
        <v>2.8351000000000001E-3</v>
      </c>
      <c r="H1348" s="11">
        <v>7830393.1046000002</v>
      </c>
      <c r="I1348" s="22">
        <f>IFERROR(VLOOKUP(D1348,'LEAID Match'!$A$2:$B$184,2,FALSE),"")</f>
        <v>3702040</v>
      </c>
    </row>
    <row r="1349" spans="1:9" x14ac:dyDescent="0.2">
      <c r="A1349">
        <f t="shared" si="21"/>
        <v>3702040</v>
      </c>
      <c r="B1349" s="24">
        <v>2023</v>
      </c>
      <c r="C1349" t="s">
        <v>314</v>
      </c>
      <c r="D1349" t="s">
        <v>729</v>
      </c>
      <c r="E1349" t="s">
        <v>729</v>
      </c>
      <c r="F1349" s="11">
        <v>362670314</v>
      </c>
      <c r="G1349" s="18">
        <v>2.7288E-3</v>
      </c>
      <c r="H1349" s="11">
        <v>8281626.9336000001</v>
      </c>
      <c r="I1349" s="22">
        <f>IFERROR(VLOOKUP(D1349,'LEAID Match'!$A$2:$B$184,2,FALSE),"")</f>
        <v>3702040</v>
      </c>
    </row>
    <row r="1350" spans="1:9" x14ac:dyDescent="0.2">
      <c r="A1350" t="str">
        <f t="shared" si="21"/>
        <v/>
      </c>
      <c r="B1350" s="24">
        <v>2015</v>
      </c>
      <c r="C1350" t="s">
        <v>315</v>
      </c>
      <c r="D1350" t="s">
        <v>730</v>
      </c>
      <c r="E1350" t="s">
        <v>261</v>
      </c>
      <c r="F1350" s="11">
        <v>72619541</v>
      </c>
      <c r="G1350" s="18">
        <v>6.3489999999999998E-4</v>
      </c>
      <c r="H1350" s="11">
        <v>801871.08120000002</v>
      </c>
      <c r="I1350" s="22" t="str">
        <f>IFERROR(VLOOKUP(D1350,'LEAID Match'!$A$2:$B$184,2,FALSE),"")</f>
        <v/>
      </c>
    </row>
    <row r="1351" spans="1:9" x14ac:dyDescent="0.2">
      <c r="A1351" t="str">
        <f t="shared" si="21"/>
        <v/>
      </c>
      <c r="B1351" s="24">
        <v>2016</v>
      </c>
      <c r="C1351" t="s">
        <v>315</v>
      </c>
      <c r="D1351" t="s">
        <v>730</v>
      </c>
      <c r="E1351" t="s">
        <v>730</v>
      </c>
      <c r="F1351" s="11">
        <v>64915439</v>
      </c>
      <c r="G1351" s="18">
        <v>5.9949999999999999E-4</v>
      </c>
      <c r="H1351" s="11">
        <v>764364.29850000003</v>
      </c>
      <c r="I1351" s="22" t="str">
        <f>IFERROR(VLOOKUP(D1351,'LEAID Match'!$A$2:$B$184,2,FALSE),"")</f>
        <v/>
      </c>
    </row>
    <row r="1352" spans="1:9" x14ac:dyDescent="0.2">
      <c r="A1352" t="str">
        <f t="shared" si="21"/>
        <v/>
      </c>
      <c r="B1352" s="24">
        <v>2017</v>
      </c>
      <c r="C1352" t="s">
        <v>315</v>
      </c>
      <c r="D1352" t="s">
        <v>730</v>
      </c>
      <c r="E1352" t="s">
        <v>730</v>
      </c>
      <c r="F1352" s="11">
        <v>63077762</v>
      </c>
      <c r="G1352" s="18">
        <v>5.6530000000000003E-4</v>
      </c>
      <c r="H1352" s="11">
        <v>814706.9682</v>
      </c>
      <c r="I1352" s="22" t="str">
        <f>IFERROR(VLOOKUP(D1352,'LEAID Match'!$A$2:$B$184,2,FALSE),"")</f>
        <v/>
      </c>
    </row>
    <row r="1353" spans="1:9" x14ac:dyDescent="0.2">
      <c r="A1353" t="str">
        <f t="shared" si="21"/>
        <v/>
      </c>
      <c r="B1353" s="24">
        <v>2018</v>
      </c>
      <c r="C1353" t="s">
        <v>315</v>
      </c>
      <c r="D1353" t="s">
        <v>730</v>
      </c>
      <c r="E1353" t="s">
        <v>730</v>
      </c>
      <c r="F1353" s="11">
        <v>65092790</v>
      </c>
      <c r="G1353" s="18">
        <v>5.6010000000000001E-4</v>
      </c>
      <c r="H1353" s="11">
        <v>897784.85010000004</v>
      </c>
      <c r="I1353" s="22" t="str">
        <f>IFERROR(VLOOKUP(D1353,'LEAID Match'!$A$2:$B$184,2,FALSE),"")</f>
        <v/>
      </c>
    </row>
    <row r="1354" spans="1:9" x14ac:dyDescent="0.2">
      <c r="A1354" t="str">
        <f t="shared" si="21"/>
        <v/>
      </c>
      <c r="B1354" s="24">
        <v>2019</v>
      </c>
      <c r="C1354" t="s">
        <v>315</v>
      </c>
      <c r="D1354" t="s">
        <v>730</v>
      </c>
      <c r="E1354" t="s">
        <v>730</v>
      </c>
      <c r="F1354" s="11">
        <v>67602748</v>
      </c>
      <c r="G1354" s="18">
        <v>5.6110000000000003E-4</v>
      </c>
      <c r="H1354" s="11">
        <v>1074588.4206000001</v>
      </c>
      <c r="I1354" s="22" t="str">
        <f>IFERROR(VLOOKUP(D1354,'LEAID Match'!$A$2:$B$184,2,FALSE),"")</f>
        <v/>
      </c>
    </row>
    <row r="1355" spans="1:9" x14ac:dyDescent="0.2">
      <c r="A1355" t="str">
        <f t="shared" si="21"/>
        <v/>
      </c>
      <c r="B1355" s="24">
        <v>2020</v>
      </c>
      <c r="C1355" t="s">
        <v>315</v>
      </c>
      <c r="D1355" t="s">
        <v>730</v>
      </c>
      <c r="E1355" t="s">
        <v>730</v>
      </c>
      <c r="F1355" s="11">
        <v>63093451</v>
      </c>
      <c r="G1355" s="18">
        <v>5.0929999999999997E-4</v>
      </c>
      <c r="H1355" s="11">
        <v>1046649.6974999999</v>
      </c>
      <c r="I1355" s="22" t="str">
        <f>IFERROR(VLOOKUP(D1355,'LEAID Match'!$A$2:$B$184,2,FALSE),"")</f>
        <v/>
      </c>
    </row>
    <row r="1356" spans="1:9" x14ac:dyDescent="0.2">
      <c r="A1356" t="str">
        <f t="shared" si="21"/>
        <v/>
      </c>
      <c r="B1356" s="24">
        <v>2021</v>
      </c>
      <c r="C1356" t="s">
        <v>315</v>
      </c>
      <c r="D1356" t="s">
        <v>730</v>
      </c>
      <c r="E1356" t="s">
        <v>730</v>
      </c>
      <c r="F1356" s="11">
        <v>61932697</v>
      </c>
      <c r="G1356" s="18">
        <v>4.9490000000000005E-4</v>
      </c>
      <c r="H1356" s="11">
        <v>1174522.4148000001</v>
      </c>
      <c r="I1356" s="22" t="str">
        <f>IFERROR(VLOOKUP(D1356,'LEAID Match'!$A$2:$B$184,2,FALSE),"")</f>
        <v/>
      </c>
    </row>
    <row r="1357" spans="1:9" x14ac:dyDescent="0.2">
      <c r="A1357" t="str">
        <f t="shared" si="21"/>
        <v/>
      </c>
      <c r="B1357" s="24">
        <v>2022</v>
      </c>
      <c r="C1357" t="s">
        <v>315</v>
      </c>
      <c r="D1357" t="s">
        <v>730</v>
      </c>
      <c r="E1357" t="s">
        <v>730</v>
      </c>
      <c r="F1357" s="11">
        <v>64580165</v>
      </c>
      <c r="G1357" s="18">
        <v>5.1210000000000003E-4</v>
      </c>
      <c r="H1357" s="11">
        <v>1414392.5466</v>
      </c>
      <c r="I1357" s="22" t="str">
        <f>IFERROR(VLOOKUP(D1357,'LEAID Match'!$A$2:$B$184,2,FALSE),"")</f>
        <v/>
      </c>
    </row>
    <row r="1358" spans="1:9" x14ac:dyDescent="0.2">
      <c r="A1358" t="str">
        <f t="shared" si="21"/>
        <v/>
      </c>
      <c r="B1358" s="24">
        <v>2023</v>
      </c>
      <c r="C1358" t="s">
        <v>315</v>
      </c>
      <c r="D1358" t="s">
        <v>730</v>
      </c>
      <c r="E1358" t="s">
        <v>730</v>
      </c>
      <c r="F1358" s="11">
        <v>66794376</v>
      </c>
      <c r="G1358" s="18">
        <v>5.0259999999999997E-4</v>
      </c>
      <c r="H1358" s="11">
        <v>1525339.2322</v>
      </c>
      <c r="I1358" s="22" t="str">
        <f>IFERROR(VLOOKUP(D1358,'LEAID Match'!$A$2:$B$184,2,FALSE),"")</f>
        <v/>
      </c>
    </row>
    <row r="1359" spans="1:9" x14ac:dyDescent="0.2">
      <c r="A1359">
        <f t="shared" si="21"/>
        <v>3702100</v>
      </c>
      <c r="B1359" s="24">
        <v>2015</v>
      </c>
      <c r="C1359" t="s">
        <v>316</v>
      </c>
      <c r="D1359" t="s">
        <v>731</v>
      </c>
      <c r="E1359" t="s">
        <v>262</v>
      </c>
      <c r="F1359" s="11">
        <v>572214129</v>
      </c>
      <c r="G1359" s="18">
        <v>5.0030999999999999E-3</v>
      </c>
      <c r="H1359" s="11">
        <v>6318855.2627999997</v>
      </c>
      <c r="I1359" s="22">
        <f>IFERROR(VLOOKUP(D1359,'LEAID Match'!$A$2:$B$184,2,FALSE),"")</f>
        <v>3702100</v>
      </c>
    </row>
    <row r="1360" spans="1:9" x14ac:dyDescent="0.2">
      <c r="A1360">
        <f t="shared" si="21"/>
        <v>3702100</v>
      </c>
      <c r="B1360" s="24">
        <v>2016</v>
      </c>
      <c r="C1360" t="s">
        <v>316</v>
      </c>
      <c r="D1360" t="s">
        <v>731</v>
      </c>
      <c r="E1360" t="s">
        <v>731</v>
      </c>
      <c r="F1360" s="11">
        <v>556594104</v>
      </c>
      <c r="G1360" s="18">
        <v>5.1397999999999999E-3</v>
      </c>
      <c r="H1360" s="11">
        <v>6553260.4194</v>
      </c>
      <c r="I1360" s="22">
        <f>IFERROR(VLOOKUP(D1360,'LEAID Match'!$A$2:$B$184,2,FALSE),"")</f>
        <v>3702100</v>
      </c>
    </row>
    <row r="1361" spans="1:9" x14ac:dyDescent="0.2">
      <c r="A1361">
        <f t="shared" si="21"/>
        <v>3702100</v>
      </c>
      <c r="B1361" s="24">
        <v>2017</v>
      </c>
      <c r="C1361" t="s">
        <v>316</v>
      </c>
      <c r="D1361" t="s">
        <v>731</v>
      </c>
      <c r="E1361" t="s">
        <v>731</v>
      </c>
      <c r="F1361" s="11">
        <v>567371227</v>
      </c>
      <c r="G1361" s="18">
        <v>5.0848000000000004E-3</v>
      </c>
      <c r="H1361" s="11">
        <v>7328183.2512000008</v>
      </c>
      <c r="I1361" s="22">
        <f>IFERROR(VLOOKUP(D1361,'LEAID Match'!$A$2:$B$184,2,FALSE),"")</f>
        <v>3702100</v>
      </c>
    </row>
    <row r="1362" spans="1:9" x14ac:dyDescent="0.2">
      <c r="A1362">
        <f t="shared" si="21"/>
        <v>3702100</v>
      </c>
      <c r="B1362" s="24">
        <v>2018</v>
      </c>
      <c r="C1362" t="s">
        <v>316</v>
      </c>
      <c r="D1362" t="s">
        <v>731</v>
      </c>
      <c r="E1362" t="s">
        <v>731</v>
      </c>
      <c r="F1362" s="11">
        <v>592171628</v>
      </c>
      <c r="G1362" s="18">
        <v>5.0958000000000002E-3</v>
      </c>
      <c r="H1362" s="11">
        <v>8168062.9158000005</v>
      </c>
      <c r="I1362" s="22">
        <f>IFERROR(VLOOKUP(D1362,'LEAID Match'!$A$2:$B$184,2,FALSE),"")</f>
        <v>3702100</v>
      </c>
    </row>
    <row r="1363" spans="1:9" x14ac:dyDescent="0.2">
      <c r="A1363">
        <f t="shared" si="21"/>
        <v>3702100</v>
      </c>
      <c r="B1363" s="24">
        <v>2019</v>
      </c>
      <c r="C1363" t="s">
        <v>316</v>
      </c>
      <c r="D1363" t="s">
        <v>731</v>
      </c>
      <c r="E1363" t="s">
        <v>731</v>
      </c>
      <c r="F1363" s="11">
        <v>624030445</v>
      </c>
      <c r="G1363" s="18">
        <v>5.1795000000000001E-3</v>
      </c>
      <c r="H1363" s="11">
        <v>9919498.7070000004</v>
      </c>
      <c r="I1363" s="22">
        <f>IFERROR(VLOOKUP(D1363,'LEAID Match'!$A$2:$B$184,2,FALSE),"")</f>
        <v>3702100</v>
      </c>
    </row>
    <row r="1364" spans="1:9" x14ac:dyDescent="0.2">
      <c r="A1364">
        <f t="shared" si="21"/>
        <v>3702100</v>
      </c>
      <c r="B1364" s="24">
        <v>2020</v>
      </c>
      <c r="C1364" t="s">
        <v>316</v>
      </c>
      <c r="D1364" t="s">
        <v>731</v>
      </c>
      <c r="E1364" t="s">
        <v>731</v>
      </c>
      <c r="F1364" s="11">
        <v>636502743</v>
      </c>
      <c r="G1364" s="18">
        <v>5.1384000000000004E-3</v>
      </c>
      <c r="H1364" s="11">
        <v>10559797.380000001</v>
      </c>
      <c r="I1364" s="22">
        <f>IFERROR(VLOOKUP(D1364,'LEAID Match'!$A$2:$B$184,2,FALSE),"")</f>
        <v>3702100</v>
      </c>
    </row>
    <row r="1365" spans="1:9" x14ac:dyDescent="0.2">
      <c r="A1365">
        <f t="shared" si="21"/>
        <v>3702100</v>
      </c>
      <c r="B1365" s="24">
        <v>2021</v>
      </c>
      <c r="C1365" t="s">
        <v>316</v>
      </c>
      <c r="D1365" t="s">
        <v>731</v>
      </c>
      <c r="E1365" t="s">
        <v>731</v>
      </c>
      <c r="F1365" s="11">
        <v>621709079</v>
      </c>
      <c r="G1365" s="18">
        <v>4.9677000000000002E-3</v>
      </c>
      <c r="H1365" s="11">
        <v>11789603.9604</v>
      </c>
      <c r="I1365" s="22">
        <f>IFERROR(VLOOKUP(D1365,'LEAID Match'!$A$2:$B$184,2,FALSE),"")</f>
        <v>3702100</v>
      </c>
    </row>
    <row r="1366" spans="1:9" x14ac:dyDescent="0.2">
      <c r="A1366">
        <f t="shared" si="21"/>
        <v>3702100</v>
      </c>
      <c r="B1366" s="24">
        <v>2022</v>
      </c>
      <c r="C1366" t="s">
        <v>316</v>
      </c>
      <c r="D1366" t="s">
        <v>731</v>
      </c>
      <c r="E1366" t="s">
        <v>731</v>
      </c>
      <c r="F1366" s="11">
        <v>653206771</v>
      </c>
      <c r="G1366" s="18">
        <v>5.1793000000000004E-3</v>
      </c>
      <c r="H1366" s="11">
        <v>14304946.917800002</v>
      </c>
      <c r="I1366" s="22">
        <f>IFERROR(VLOOKUP(D1366,'LEAID Match'!$A$2:$B$184,2,FALSE),"")</f>
        <v>3702100</v>
      </c>
    </row>
    <row r="1367" spans="1:9" x14ac:dyDescent="0.2">
      <c r="A1367">
        <f t="shared" si="21"/>
        <v>3702100</v>
      </c>
      <c r="B1367" s="24">
        <v>2023</v>
      </c>
      <c r="C1367" t="s">
        <v>316</v>
      </c>
      <c r="D1367" t="s">
        <v>731</v>
      </c>
      <c r="E1367" t="s">
        <v>731</v>
      </c>
      <c r="F1367" s="11">
        <v>704827181</v>
      </c>
      <c r="G1367" s="18">
        <v>5.3033000000000004E-3</v>
      </c>
      <c r="H1367" s="11">
        <v>16094969.260100001</v>
      </c>
      <c r="I1367" s="22">
        <f>IFERROR(VLOOKUP(D1367,'LEAID Match'!$A$2:$B$184,2,FALSE),"")</f>
        <v>3702100</v>
      </c>
    </row>
    <row r="1368" spans="1:9" x14ac:dyDescent="0.2">
      <c r="A1368">
        <f t="shared" si="21"/>
        <v>3700085</v>
      </c>
      <c r="B1368" s="24">
        <v>2015</v>
      </c>
      <c r="C1368" t="s">
        <v>317</v>
      </c>
      <c r="D1368" t="s">
        <v>732</v>
      </c>
      <c r="E1368" t="s">
        <v>263</v>
      </c>
      <c r="F1368" s="11">
        <v>7140602</v>
      </c>
      <c r="G1368" s="18">
        <v>6.2399999999999999E-5</v>
      </c>
      <c r="H1368" s="11">
        <v>78810.451199999996</v>
      </c>
      <c r="I1368" s="22">
        <f>IFERROR(VLOOKUP(D1368,'LEAID Match'!$A$2:$B$184,2,FALSE),"")</f>
        <v>3700085</v>
      </c>
    </row>
    <row r="1369" spans="1:9" x14ac:dyDescent="0.2">
      <c r="A1369">
        <f t="shared" si="21"/>
        <v>3700085</v>
      </c>
      <c r="B1369" s="24">
        <v>2016</v>
      </c>
      <c r="C1369" t="s">
        <v>317</v>
      </c>
      <c r="D1369" t="s">
        <v>732</v>
      </c>
      <c r="E1369" t="s">
        <v>732</v>
      </c>
      <c r="F1369" s="11">
        <v>6699219</v>
      </c>
      <c r="G1369" s="18">
        <v>6.19E-5</v>
      </c>
      <c r="H1369" s="11">
        <v>78922.685700000002</v>
      </c>
      <c r="I1369" s="22">
        <f>IFERROR(VLOOKUP(D1369,'LEAID Match'!$A$2:$B$184,2,FALSE),"")</f>
        <v>3700085</v>
      </c>
    </row>
    <row r="1370" spans="1:9" x14ac:dyDescent="0.2">
      <c r="A1370">
        <f t="shared" si="21"/>
        <v>3700085</v>
      </c>
      <c r="B1370" s="24">
        <v>2017</v>
      </c>
      <c r="C1370" t="s">
        <v>317</v>
      </c>
      <c r="D1370" t="s">
        <v>732</v>
      </c>
      <c r="E1370" t="s">
        <v>732</v>
      </c>
      <c r="F1370" s="11">
        <v>6895199</v>
      </c>
      <c r="G1370" s="18">
        <v>6.1799999999999998E-5</v>
      </c>
      <c r="H1370" s="11">
        <v>89065.789199999999</v>
      </c>
      <c r="I1370" s="22">
        <f>IFERROR(VLOOKUP(D1370,'LEAID Match'!$A$2:$B$184,2,FALSE),"")</f>
        <v>3700085</v>
      </c>
    </row>
    <row r="1371" spans="1:9" x14ac:dyDescent="0.2">
      <c r="A1371">
        <f t="shared" si="21"/>
        <v>3700085</v>
      </c>
      <c r="B1371" s="24">
        <v>2018</v>
      </c>
      <c r="C1371" t="s">
        <v>317</v>
      </c>
      <c r="D1371" t="s">
        <v>732</v>
      </c>
      <c r="E1371" t="s">
        <v>732</v>
      </c>
      <c r="F1371" s="11">
        <v>8134880</v>
      </c>
      <c r="G1371" s="18">
        <v>6.9999999999999994E-5</v>
      </c>
      <c r="H1371" s="11">
        <v>112203.06999999999</v>
      </c>
      <c r="I1371" s="22">
        <f>IFERROR(VLOOKUP(D1371,'LEAID Match'!$A$2:$B$184,2,FALSE),"")</f>
        <v>3700085</v>
      </c>
    </row>
    <row r="1372" spans="1:9" x14ac:dyDescent="0.2">
      <c r="A1372">
        <f t="shared" si="21"/>
        <v>3700085</v>
      </c>
      <c r="B1372" s="24">
        <v>2019</v>
      </c>
      <c r="C1372" t="s">
        <v>317</v>
      </c>
      <c r="D1372" t="s">
        <v>732</v>
      </c>
      <c r="E1372" t="s">
        <v>732</v>
      </c>
      <c r="F1372" s="11">
        <v>8332370</v>
      </c>
      <c r="G1372" s="18">
        <v>6.9200000000000002E-5</v>
      </c>
      <c r="H1372" s="11">
        <v>132528.10320000001</v>
      </c>
      <c r="I1372" s="22">
        <f>IFERROR(VLOOKUP(D1372,'LEAID Match'!$A$2:$B$184,2,FALSE),"")</f>
        <v>3700085</v>
      </c>
    </row>
    <row r="1373" spans="1:9" x14ac:dyDescent="0.2">
      <c r="A1373">
        <f t="shared" si="21"/>
        <v>3700085</v>
      </c>
      <c r="B1373" s="24">
        <v>2020</v>
      </c>
      <c r="C1373" t="s">
        <v>317</v>
      </c>
      <c r="D1373" t="s">
        <v>732</v>
      </c>
      <c r="E1373" t="s">
        <v>732</v>
      </c>
      <c r="F1373" s="11">
        <v>8840607</v>
      </c>
      <c r="G1373" s="18">
        <v>7.1400000000000001E-5</v>
      </c>
      <c r="H1373" s="11">
        <v>146732.35500000001</v>
      </c>
      <c r="I1373" s="22">
        <f>IFERROR(VLOOKUP(D1373,'LEAID Match'!$A$2:$B$184,2,FALSE),"")</f>
        <v>3700085</v>
      </c>
    </row>
    <row r="1374" spans="1:9" x14ac:dyDescent="0.2">
      <c r="A1374">
        <f t="shared" si="21"/>
        <v>3700085</v>
      </c>
      <c r="B1374" s="24">
        <v>2021</v>
      </c>
      <c r="C1374" t="s">
        <v>317</v>
      </c>
      <c r="D1374" t="s">
        <v>732</v>
      </c>
      <c r="E1374" t="s">
        <v>732</v>
      </c>
      <c r="F1374" s="11">
        <v>7857535</v>
      </c>
      <c r="G1374" s="18">
        <v>6.2799999999999995E-5</v>
      </c>
      <c r="H1374" s="11">
        <v>149040.22559999998</v>
      </c>
      <c r="I1374" s="22">
        <f>IFERROR(VLOOKUP(D1374,'LEAID Match'!$A$2:$B$184,2,FALSE),"")</f>
        <v>3700085</v>
      </c>
    </row>
    <row r="1375" spans="1:9" x14ac:dyDescent="0.2">
      <c r="A1375">
        <f t="shared" si="21"/>
        <v>3700085</v>
      </c>
      <c r="B1375" s="24">
        <v>2022</v>
      </c>
      <c r="C1375" t="s">
        <v>317</v>
      </c>
      <c r="D1375" t="s">
        <v>732</v>
      </c>
      <c r="E1375" t="s">
        <v>732</v>
      </c>
      <c r="F1375" s="11">
        <v>8910128</v>
      </c>
      <c r="G1375" s="18">
        <v>7.0599999999999995E-5</v>
      </c>
      <c r="H1375" s="11">
        <v>194993.38759999999</v>
      </c>
      <c r="I1375" s="22">
        <f>IFERROR(VLOOKUP(D1375,'LEAID Match'!$A$2:$B$184,2,FALSE),"")</f>
        <v>3700085</v>
      </c>
    </row>
    <row r="1376" spans="1:9" x14ac:dyDescent="0.2">
      <c r="A1376">
        <f t="shared" si="21"/>
        <v>3700085</v>
      </c>
      <c r="B1376" s="24">
        <v>2023</v>
      </c>
      <c r="C1376" t="s">
        <v>317</v>
      </c>
      <c r="D1376" t="s">
        <v>732</v>
      </c>
      <c r="E1376" t="s">
        <v>732</v>
      </c>
      <c r="F1376" s="11">
        <v>9939446</v>
      </c>
      <c r="G1376" s="18">
        <v>7.4800000000000002E-5</v>
      </c>
      <c r="H1376" s="11">
        <v>227010.29560000001</v>
      </c>
      <c r="I1376" s="22">
        <f>IFERROR(VLOOKUP(D1376,'LEAID Match'!$A$2:$B$184,2,FALSE),"")</f>
        <v>3700085</v>
      </c>
    </row>
    <row r="1377" spans="1:9" x14ac:dyDescent="0.2">
      <c r="A1377" t="str">
        <f t="shared" si="21"/>
        <v/>
      </c>
      <c r="B1377" s="24">
        <v>2015</v>
      </c>
      <c r="C1377" t="s">
        <v>318</v>
      </c>
      <c r="D1377" t="s">
        <v>733</v>
      </c>
      <c r="E1377" t="s">
        <v>264</v>
      </c>
      <c r="F1377" s="11">
        <v>70270412</v>
      </c>
      <c r="G1377" s="18">
        <v>6.1439999999999997E-4</v>
      </c>
      <c r="H1377" s="11">
        <v>775979.82719999994</v>
      </c>
      <c r="I1377" s="22" t="str">
        <f>IFERROR(VLOOKUP(D1377,'LEAID Match'!$A$2:$B$184,2,FALSE),"")</f>
        <v/>
      </c>
    </row>
    <row r="1378" spans="1:9" x14ac:dyDescent="0.2">
      <c r="A1378" t="str">
        <f t="shared" si="21"/>
        <v/>
      </c>
      <c r="B1378" s="24">
        <v>2016</v>
      </c>
      <c r="C1378" t="s">
        <v>318</v>
      </c>
      <c r="D1378" t="s">
        <v>733</v>
      </c>
      <c r="E1378" t="s">
        <v>733</v>
      </c>
      <c r="F1378" s="11">
        <v>68401789</v>
      </c>
      <c r="G1378" s="18">
        <v>6.3159999999999996E-4</v>
      </c>
      <c r="H1378" s="11">
        <v>805291.89479999989</v>
      </c>
      <c r="I1378" s="22" t="str">
        <f>IFERROR(VLOOKUP(D1378,'LEAID Match'!$A$2:$B$184,2,FALSE),"")</f>
        <v/>
      </c>
    </row>
    <row r="1379" spans="1:9" x14ac:dyDescent="0.2">
      <c r="A1379" t="str">
        <f t="shared" si="21"/>
        <v/>
      </c>
      <c r="B1379" s="24">
        <v>2017</v>
      </c>
      <c r="C1379" t="s">
        <v>318</v>
      </c>
      <c r="D1379" t="s">
        <v>733</v>
      </c>
      <c r="E1379" t="s">
        <v>733</v>
      </c>
      <c r="F1379" s="11">
        <v>74057743</v>
      </c>
      <c r="G1379" s="18">
        <v>6.6370000000000003E-4</v>
      </c>
      <c r="H1379" s="11">
        <v>956520.45780000009</v>
      </c>
      <c r="I1379" s="22" t="str">
        <f>IFERROR(VLOOKUP(D1379,'LEAID Match'!$A$2:$B$184,2,FALSE),"")</f>
        <v/>
      </c>
    </row>
    <row r="1380" spans="1:9" x14ac:dyDescent="0.2">
      <c r="A1380" t="str">
        <f t="shared" si="21"/>
        <v/>
      </c>
      <c r="B1380" s="24">
        <v>2018</v>
      </c>
      <c r="C1380" t="s">
        <v>318</v>
      </c>
      <c r="D1380" t="s">
        <v>733</v>
      </c>
      <c r="E1380" t="s">
        <v>733</v>
      </c>
      <c r="F1380" s="11">
        <v>76362585</v>
      </c>
      <c r="G1380" s="18">
        <v>6.5709999999999998E-4</v>
      </c>
      <c r="H1380" s="11">
        <v>1053266.2471</v>
      </c>
      <c r="I1380" s="22" t="str">
        <f>IFERROR(VLOOKUP(D1380,'LEAID Match'!$A$2:$B$184,2,FALSE),"")</f>
        <v/>
      </c>
    </row>
    <row r="1381" spans="1:9" x14ac:dyDescent="0.2">
      <c r="A1381" t="str">
        <f t="shared" si="21"/>
        <v/>
      </c>
      <c r="B1381" s="24">
        <v>2019</v>
      </c>
      <c r="C1381" t="s">
        <v>318</v>
      </c>
      <c r="D1381" t="s">
        <v>733</v>
      </c>
      <c r="E1381" t="s">
        <v>733</v>
      </c>
      <c r="F1381" s="11">
        <v>77817457</v>
      </c>
      <c r="G1381" s="18">
        <v>6.4590000000000003E-4</v>
      </c>
      <c r="H1381" s="11">
        <v>1236992.8014</v>
      </c>
      <c r="I1381" s="22" t="str">
        <f>IFERROR(VLOOKUP(D1381,'LEAID Match'!$A$2:$B$184,2,FALSE),"")</f>
        <v/>
      </c>
    </row>
    <row r="1382" spans="1:9" x14ac:dyDescent="0.2">
      <c r="A1382" t="str">
        <f t="shared" si="21"/>
        <v/>
      </c>
      <c r="B1382" s="24">
        <v>2020</v>
      </c>
      <c r="C1382" t="s">
        <v>318</v>
      </c>
      <c r="D1382" t="s">
        <v>733</v>
      </c>
      <c r="E1382" t="s">
        <v>733</v>
      </c>
      <c r="F1382" s="11">
        <v>85618239</v>
      </c>
      <c r="G1382" s="18">
        <v>6.912E-4</v>
      </c>
      <c r="H1382" s="11">
        <v>1420467.84</v>
      </c>
      <c r="I1382" s="22" t="str">
        <f>IFERROR(VLOOKUP(D1382,'LEAID Match'!$A$2:$B$184,2,FALSE),"")</f>
        <v/>
      </c>
    </row>
    <row r="1383" spans="1:9" x14ac:dyDescent="0.2">
      <c r="A1383" t="str">
        <f t="shared" si="21"/>
        <v/>
      </c>
      <c r="B1383" s="24">
        <v>2021</v>
      </c>
      <c r="C1383" t="s">
        <v>318</v>
      </c>
      <c r="D1383" t="s">
        <v>733</v>
      </c>
      <c r="E1383" t="s">
        <v>733</v>
      </c>
      <c r="F1383" s="11">
        <v>82140027</v>
      </c>
      <c r="G1383" s="18">
        <v>6.5629999999999996E-4</v>
      </c>
      <c r="H1383" s="11">
        <v>1557565.2875999999</v>
      </c>
      <c r="I1383" s="22" t="str">
        <f>IFERROR(VLOOKUP(D1383,'LEAID Match'!$A$2:$B$184,2,FALSE),"")</f>
        <v/>
      </c>
    </row>
    <row r="1384" spans="1:9" x14ac:dyDescent="0.2">
      <c r="A1384" t="str">
        <f t="shared" si="21"/>
        <v/>
      </c>
      <c r="B1384" s="24">
        <v>2022</v>
      </c>
      <c r="C1384" t="s">
        <v>318</v>
      </c>
      <c r="D1384" t="s">
        <v>733</v>
      </c>
      <c r="E1384" t="s">
        <v>733</v>
      </c>
      <c r="F1384" s="11">
        <v>91100983</v>
      </c>
      <c r="G1384" s="18">
        <v>7.2230000000000005E-4</v>
      </c>
      <c r="H1384" s="11">
        <v>1994953.5958000002</v>
      </c>
      <c r="I1384" s="22" t="str">
        <f>IFERROR(VLOOKUP(D1384,'LEAID Match'!$A$2:$B$184,2,FALSE),"")</f>
        <v/>
      </c>
    </row>
    <row r="1385" spans="1:9" x14ac:dyDescent="0.2">
      <c r="A1385" t="str">
        <f t="shared" si="21"/>
        <v/>
      </c>
      <c r="B1385" s="24">
        <v>2023</v>
      </c>
      <c r="C1385" t="s">
        <v>318</v>
      </c>
      <c r="D1385" t="s">
        <v>733</v>
      </c>
      <c r="E1385" t="s">
        <v>733</v>
      </c>
      <c r="F1385" s="11">
        <v>102698184</v>
      </c>
      <c r="G1385" s="18">
        <v>7.7269999999999997E-4</v>
      </c>
      <c r="H1385" s="11">
        <v>2345064.9118999997</v>
      </c>
      <c r="I1385" s="22" t="str">
        <f>IFERROR(VLOOKUP(D1385,'LEAID Match'!$A$2:$B$184,2,FALSE),"")</f>
        <v/>
      </c>
    </row>
    <row r="1386" spans="1:9" x14ac:dyDescent="0.2">
      <c r="A1386">
        <f t="shared" si="21"/>
        <v>3702160</v>
      </c>
      <c r="B1386" s="24">
        <v>2015</v>
      </c>
      <c r="C1386" t="s">
        <v>319</v>
      </c>
      <c r="D1386" t="s">
        <v>734</v>
      </c>
      <c r="E1386" t="s">
        <v>265</v>
      </c>
      <c r="F1386" s="11">
        <v>142238192</v>
      </c>
      <c r="G1386" s="18">
        <v>1.2436000000000001E-3</v>
      </c>
      <c r="H1386" s="11">
        <v>1570651.8768000002</v>
      </c>
      <c r="I1386" s="22">
        <f>IFERROR(VLOOKUP(D1386,'LEAID Match'!$A$2:$B$184,2,FALSE),"")</f>
        <v>3702160</v>
      </c>
    </row>
    <row r="1387" spans="1:9" x14ac:dyDescent="0.2">
      <c r="A1387">
        <f t="shared" si="21"/>
        <v>3702160</v>
      </c>
      <c r="B1387" s="24">
        <v>2016</v>
      </c>
      <c r="C1387" t="s">
        <v>319</v>
      </c>
      <c r="D1387" t="s">
        <v>734</v>
      </c>
      <c r="E1387" t="s">
        <v>734</v>
      </c>
      <c r="F1387" s="11">
        <v>131665501</v>
      </c>
      <c r="G1387" s="18">
        <v>1.2158E-3</v>
      </c>
      <c r="H1387" s="11">
        <v>1550148.6473999999</v>
      </c>
      <c r="I1387" s="22">
        <f>IFERROR(VLOOKUP(D1387,'LEAID Match'!$A$2:$B$184,2,FALSE),"")</f>
        <v>3702160</v>
      </c>
    </row>
    <row r="1388" spans="1:9" x14ac:dyDescent="0.2">
      <c r="A1388">
        <f t="shared" si="21"/>
        <v>3702160</v>
      </c>
      <c r="B1388" s="24">
        <v>2017</v>
      </c>
      <c r="C1388" t="s">
        <v>319</v>
      </c>
      <c r="D1388" t="s">
        <v>734</v>
      </c>
      <c r="E1388" t="s">
        <v>734</v>
      </c>
      <c r="F1388" s="11">
        <v>135753047</v>
      </c>
      <c r="G1388" s="18">
        <v>1.2166E-3</v>
      </c>
      <c r="H1388" s="11">
        <v>1753356.6203999999</v>
      </c>
      <c r="I1388" s="22">
        <f>IFERROR(VLOOKUP(D1388,'LEAID Match'!$A$2:$B$184,2,FALSE),"")</f>
        <v>3702160</v>
      </c>
    </row>
    <row r="1389" spans="1:9" x14ac:dyDescent="0.2">
      <c r="A1389">
        <f t="shared" si="21"/>
        <v>3702160</v>
      </c>
      <c r="B1389" s="24">
        <v>2018</v>
      </c>
      <c r="C1389" t="s">
        <v>319</v>
      </c>
      <c r="D1389" t="s">
        <v>734</v>
      </c>
      <c r="E1389" t="s">
        <v>734</v>
      </c>
      <c r="F1389" s="11">
        <v>140492005</v>
      </c>
      <c r="G1389" s="18">
        <v>1.209E-3</v>
      </c>
      <c r="H1389" s="11">
        <v>1937907.3089999999</v>
      </c>
      <c r="I1389" s="22">
        <f>IFERROR(VLOOKUP(D1389,'LEAID Match'!$A$2:$B$184,2,FALSE),"")</f>
        <v>3702160</v>
      </c>
    </row>
    <row r="1390" spans="1:9" x14ac:dyDescent="0.2">
      <c r="A1390">
        <f t="shared" si="21"/>
        <v>3702160</v>
      </c>
      <c r="B1390" s="24">
        <v>2019</v>
      </c>
      <c r="C1390" t="s">
        <v>319</v>
      </c>
      <c r="D1390" t="s">
        <v>734</v>
      </c>
      <c r="E1390" t="s">
        <v>734</v>
      </c>
      <c r="F1390" s="11">
        <v>138732949</v>
      </c>
      <c r="G1390" s="18">
        <v>1.1515E-3</v>
      </c>
      <c r="H1390" s="11">
        <v>2205290.6189999999</v>
      </c>
      <c r="I1390" s="22">
        <f>IFERROR(VLOOKUP(D1390,'LEAID Match'!$A$2:$B$184,2,FALSE),"")</f>
        <v>3702160</v>
      </c>
    </row>
    <row r="1391" spans="1:9" x14ac:dyDescent="0.2">
      <c r="A1391">
        <f t="shared" si="21"/>
        <v>3702160</v>
      </c>
      <c r="B1391" s="24">
        <v>2020</v>
      </c>
      <c r="C1391" t="s">
        <v>319</v>
      </c>
      <c r="D1391" t="s">
        <v>734</v>
      </c>
      <c r="E1391" t="s">
        <v>734</v>
      </c>
      <c r="F1391" s="11">
        <v>139477672</v>
      </c>
      <c r="G1391" s="18">
        <v>1.126E-3</v>
      </c>
      <c r="H1391" s="11">
        <v>2314014.4500000002</v>
      </c>
      <c r="I1391" s="22">
        <f>IFERROR(VLOOKUP(D1391,'LEAID Match'!$A$2:$B$184,2,FALSE),"")</f>
        <v>3702160</v>
      </c>
    </row>
    <row r="1392" spans="1:9" x14ac:dyDescent="0.2">
      <c r="A1392">
        <f t="shared" si="21"/>
        <v>3702160</v>
      </c>
      <c r="B1392" s="24">
        <v>2021</v>
      </c>
      <c r="C1392" t="s">
        <v>319</v>
      </c>
      <c r="D1392" t="s">
        <v>734</v>
      </c>
      <c r="E1392" t="s">
        <v>734</v>
      </c>
      <c r="F1392" s="11">
        <v>129319256</v>
      </c>
      <c r="G1392" s="18">
        <v>1.0333E-3</v>
      </c>
      <c r="H1392" s="11">
        <v>2452281.2916000001</v>
      </c>
      <c r="I1392" s="22">
        <f>IFERROR(VLOOKUP(D1392,'LEAID Match'!$A$2:$B$184,2,FALSE),"")</f>
        <v>3702160</v>
      </c>
    </row>
    <row r="1393" spans="1:9" x14ac:dyDescent="0.2">
      <c r="A1393">
        <f t="shared" si="21"/>
        <v>3702160</v>
      </c>
      <c r="B1393" s="24">
        <v>2022</v>
      </c>
      <c r="C1393" t="s">
        <v>319</v>
      </c>
      <c r="D1393" t="s">
        <v>734</v>
      </c>
      <c r="E1393" t="s">
        <v>734</v>
      </c>
      <c r="F1393" s="11">
        <v>132959989</v>
      </c>
      <c r="G1393" s="18">
        <v>1.0541999999999999E-3</v>
      </c>
      <c r="H1393" s="11">
        <v>2911643.4731999999</v>
      </c>
      <c r="I1393" s="22">
        <f>IFERROR(VLOOKUP(D1393,'LEAID Match'!$A$2:$B$184,2,FALSE),"")</f>
        <v>3702160</v>
      </c>
    </row>
    <row r="1394" spans="1:9" x14ac:dyDescent="0.2">
      <c r="A1394">
        <f t="shared" si="21"/>
        <v>3702160</v>
      </c>
      <c r="B1394" s="24">
        <v>2023</v>
      </c>
      <c r="C1394" t="s">
        <v>319</v>
      </c>
      <c r="D1394" t="s">
        <v>734</v>
      </c>
      <c r="E1394" t="s">
        <v>734</v>
      </c>
      <c r="F1394" s="11">
        <v>127719216</v>
      </c>
      <c r="G1394" s="18">
        <v>9.6100000000000005E-4</v>
      </c>
      <c r="H1394" s="11">
        <v>2916536.017</v>
      </c>
      <c r="I1394" s="22">
        <f>IFERROR(VLOOKUP(D1394,'LEAID Match'!$A$2:$B$184,2,FALSE),"")</f>
        <v>3702160</v>
      </c>
    </row>
    <row r="1395" spans="1:9" x14ac:dyDescent="0.2">
      <c r="A1395" t="str">
        <f t="shared" si="21"/>
        <v/>
      </c>
      <c r="B1395" s="24">
        <v>2015</v>
      </c>
      <c r="C1395" t="s">
        <v>320</v>
      </c>
      <c r="D1395" t="s">
        <v>735</v>
      </c>
      <c r="E1395" t="s">
        <v>266</v>
      </c>
      <c r="F1395" s="11">
        <v>31320296</v>
      </c>
      <c r="G1395" s="18">
        <v>2.7379999999999999E-4</v>
      </c>
      <c r="H1395" s="11">
        <v>345806.11439999996</v>
      </c>
      <c r="I1395" s="22" t="str">
        <f>IFERROR(VLOOKUP(D1395,'LEAID Match'!$A$2:$B$184,2,FALSE),"")</f>
        <v/>
      </c>
    </row>
    <row r="1396" spans="1:9" x14ac:dyDescent="0.2">
      <c r="A1396" t="str">
        <f t="shared" si="21"/>
        <v/>
      </c>
      <c r="B1396" s="24">
        <v>2016</v>
      </c>
      <c r="C1396" t="s">
        <v>320</v>
      </c>
      <c r="D1396" t="s">
        <v>735</v>
      </c>
      <c r="E1396" t="s">
        <v>735</v>
      </c>
      <c r="F1396" s="11">
        <v>29953620</v>
      </c>
      <c r="G1396" s="18">
        <v>2.766E-4</v>
      </c>
      <c r="H1396" s="11">
        <v>352665.82980000001</v>
      </c>
      <c r="I1396" s="22" t="str">
        <f>IFERROR(VLOOKUP(D1396,'LEAID Match'!$A$2:$B$184,2,FALSE),"")</f>
        <v/>
      </c>
    </row>
    <row r="1397" spans="1:9" x14ac:dyDescent="0.2">
      <c r="A1397" t="str">
        <f t="shared" si="21"/>
        <v/>
      </c>
      <c r="B1397" s="24">
        <v>2017</v>
      </c>
      <c r="C1397" t="s">
        <v>320</v>
      </c>
      <c r="D1397" t="s">
        <v>735</v>
      </c>
      <c r="E1397" t="s">
        <v>735</v>
      </c>
      <c r="F1397" s="11">
        <v>28092715</v>
      </c>
      <c r="G1397" s="18">
        <v>2.5179999999999999E-4</v>
      </c>
      <c r="H1397" s="11">
        <v>362892.64919999999</v>
      </c>
      <c r="I1397" s="22" t="str">
        <f>IFERROR(VLOOKUP(D1397,'LEAID Match'!$A$2:$B$184,2,FALSE),"")</f>
        <v/>
      </c>
    </row>
    <row r="1398" spans="1:9" x14ac:dyDescent="0.2">
      <c r="A1398" t="str">
        <f t="shared" si="21"/>
        <v/>
      </c>
      <c r="B1398" s="24">
        <v>2018</v>
      </c>
      <c r="C1398" t="s">
        <v>320</v>
      </c>
      <c r="D1398" t="s">
        <v>735</v>
      </c>
      <c r="E1398" t="s">
        <v>735</v>
      </c>
      <c r="F1398" s="11">
        <v>27316964</v>
      </c>
      <c r="G1398" s="18">
        <v>2.351E-4</v>
      </c>
      <c r="H1398" s="11">
        <v>376842.02509999997</v>
      </c>
      <c r="I1398" s="22" t="str">
        <f>IFERROR(VLOOKUP(D1398,'LEAID Match'!$A$2:$B$184,2,FALSE),"")</f>
        <v/>
      </c>
    </row>
    <row r="1399" spans="1:9" x14ac:dyDescent="0.2">
      <c r="A1399" t="str">
        <f t="shared" si="21"/>
        <v/>
      </c>
      <c r="B1399" s="24">
        <v>2019</v>
      </c>
      <c r="C1399" t="s">
        <v>320</v>
      </c>
      <c r="D1399" t="s">
        <v>735</v>
      </c>
      <c r="E1399" t="s">
        <v>735</v>
      </c>
      <c r="F1399" s="11">
        <v>25464259</v>
      </c>
      <c r="G1399" s="18">
        <v>2.1139999999999999E-4</v>
      </c>
      <c r="H1399" s="11">
        <v>404861.86439999996</v>
      </c>
      <c r="I1399" s="22" t="str">
        <f>IFERROR(VLOOKUP(D1399,'LEAID Match'!$A$2:$B$184,2,FALSE),"")</f>
        <v/>
      </c>
    </row>
    <row r="1400" spans="1:9" x14ac:dyDescent="0.2">
      <c r="A1400" t="str">
        <f t="shared" si="21"/>
        <v/>
      </c>
      <c r="B1400" s="24">
        <v>2020</v>
      </c>
      <c r="C1400" t="s">
        <v>320</v>
      </c>
      <c r="D1400" t="s">
        <v>735</v>
      </c>
      <c r="E1400" t="s">
        <v>735</v>
      </c>
      <c r="F1400" s="11">
        <v>22680287</v>
      </c>
      <c r="G1400" s="18">
        <v>1.8310000000000001E-4</v>
      </c>
      <c r="H1400" s="11">
        <v>376284.23249999998</v>
      </c>
      <c r="I1400" s="22" t="str">
        <f>IFERROR(VLOOKUP(D1400,'LEAID Match'!$A$2:$B$184,2,FALSE),"")</f>
        <v/>
      </c>
    </row>
    <row r="1401" spans="1:9" x14ac:dyDescent="0.2">
      <c r="A1401" t="str">
        <f t="shared" si="21"/>
        <v/>
      </c>
      <c r="B1401" s="24">
        <v>2021</v>
      </c>
      <c r="C1401" t="s">
        <v>320</v>
      </c>
      <c r="D1401" t="s">
        <v>735</v>
      </c>
      <c r="E1401" t="s">
        <v>735</v>
      </c>
      <c r="F1401" s="11">
        <v>21091147</v>
      </c>
      <c r="G1401" s="18">
        <v>1.685E-4</v>
      </c>
      <c r="H1401" s="11">
        <v>399892.962</v>
      </c>
      <c r="I1401" s="22" t="str">
        <f>IFERROR(VLOOKUP(D1401,'LEAID Match'!$A$2:$B$184,2,FALSE),"")</f>
        <v/>
      </c>
    </row>
    <row r="1402" spans="1:9" x14ac:dyDescent="0.2">
      <c r="A1402" t="str">
        <f t="shared" si="21"/>
        <v/>
      </c>
      <c r="B1402" s="24">
        <v>2022</v>
      </c>
      <c r="C1402" t="s">
        <v>320</v>
      </c>
      <c r="D1402" t="s">
        <v>735</v>
      </c>
      <c r="E1402" t="s">
        <v>735</v>
      </c>
      <c r="F1402" s="11">
        <v>22977858</v>
      </c>
      <c r="G1402" s="18">
        <v>1.8220000000000001E-4</v>
      </c>
      <c r="H1402" s="11">
        <v>503226.56120000005</v>
      </c>
      <c r="I1402" s="22" t="str">
        <f>IFERROR(VLOOKUP(D1402,'LEAID Match'!$A$2:$B$184,2,FALSE),"")</f>
        <v/>
      </c>
    </row>
    <row r="1403" spans="1:9" x14ac:dyDescent="0.2">
      <c r="A1403" t="str">
        <f t="shared" si="21"/>
        <v/>
      </c>
      <c r="B1403" s="24">
        <v>2023</v>
      </c>
      <c r="C1403" t="s">
        <v>320</v>
      </c>
      <c r="D1403" t="s">
        <v>735</v>
      </c>
      <c r="E1403" t="s">
        <v>735</v>
      </c>
      <c r="F1403" s="11">
        <v>25893418</v>
      </c>
      <c r="G1403" s="18">
        <v>1.9479999999999999E-4</v>
      </c>
      <c r="H1403" s="11">
        <v>591197.93559999997</v>
      </c>
      <c r="I1403" s="22" t="str">
        <f>IFERROR(VLOOKUP(D1403,'LEAID Match'!$A$2:$B$184,2,FALSE),"")</f>
        <v/>
      </c>
    </row>
    <row r="1404" spans="1:9" x14ac:dyDescent="0.2">
      <c r="A1404">
        <f t="shared" si="21"/>
        <v>3702250</v>
      </c>
      <c r="B1404" s="24">
        <v>2015</v>
      </c>
      <c r="C1404" t="s">
        <v>321</v>
      </c>
      <c r="D1404" t="s">
        <v>736</v>
      </c>
      <c r="E1404" t="s">
        <v>267</v>
      </c>
      <c r="F1404" s="11">
        <v>379959936</v>
      </c>
      <c r="G1404" s="18">
        <v>3.3221000000000001E-3</v>
      </c>
      <c r="H1404" s="11">
        <v>4195772.4347999999</v>
      </c>
      <c r="I1404" s="22">
        <f>IFERROR(VLOOKUP(D1404,'LEAID Match'!$A$2:$B$184,2,FALSE),"")</f>
        <v>3702250</v>
      </c>
    </row>
    <row r="1405" spans="1:9" x14ac:dyDescent="0.2">
      <c r="A1405">
        <f t="shared" si="21"/>
        <v>3702250</v>
      </c>
      <c r="B1405" s="24">
        <v>2016</v>
      </c>
      <c r="C1405" t="s">
        <v>321</v>
      </c>
      <c r="D1405" t="s">
        <v>736</v>
      </c>
      <c r="E1405" t="s">
        <v>736</v>
      </c>
      <c r="F1405" s="11">
        <v>357358219</v>
      </c>
      <c r="G1405" s="18">
        <v>3.3E-3</v>
      </c>
      <c r="H1405" s="11">
        <v>4207509.9000000004</v>
      </c>
      <c r="I1405" s="22">
        <f>IFERROR(VLOOKUP(D1405,'LEAID Match'!$A$2:$B$184,2,FALSE),"")</f>
        <v>3702250</v>
      </c>
    </row>
    <row r="1406" spans="1:9" x14ac:dyDescent="0.2">
      <c r="A1406">
        <f t="shared" si="21"/>
        <v>3702250</v>
      </c>
      <c r="B1406" s="24">
        <v>2017</v>
      </c>
      <c r="C1406" t="s">
        <v>321</v>
      </c>
      <c r="D1406" t="s">
        <v>736</v>
      </c>
      <c r="E1406" t="s">
        <v>736</v>
      </c>
      <c r="F1406" s="11">
        <v>368268143</v>
      </c>
      <c r="G1406" s="18">
        <v>3.3004000000000002E-3</v>
      </c>
      <c r="H1406" s="11">
        <v>4756516.6776000001</v>
      </c>
      <c r="I1406" s="22">
        <f>IFERROR(VLOOKUP(D1406,'LEAID Match'!$A$2:$B$184,2,FALSE),"")</f>
        <v>3702250</v>
      </c>
    </row>
    <row r="1407" spans="1:9" x14ac:dyDescent="0.2">
      <c r="A1407">
        <f t="shared" si="21"/>
        <v>3702250</v>
      </c>
      <c r="B1407" s="24">
        <v>2018</v>
      </c>
      <c r="C1407" t="s">
        <v>321</v>
      </c>
      <c r="D1407" t="s">
        <v>736</v>
      </c>
      <c r="E1407" t="s">
        <v>736</v>
      </c>
      <c r="F1407" s="11">
        <v>385985645</v>
      </c>
      <c r="G1407" s="18">
        <v>3.3214999999999998E-3</v>
      </c>
      <c r="H1407" s="11">
        <v>5324035.6714999992</v>
      </c>
      <c r="I1407" s="22">
        <f>IFERROR(VLOOKUP(D1407,'LEAID Match'!$A$2:$B$184,2,FALSE),"")</f>
        <v>3702250</v>
      </c>
    </row>
    <row r="1408" spans="1:9" x14ac:dyDescent="0.2">
      <c r="A1408">
        <f t="shared" si="21"/>
        <v>3702250</v>
      </c>
      <c r="B1408" s="24">
        <v>2019</v>
      </c>
      <c r="C1408" t="s">
        <v>321</v>
      </c>
      <c r="D1408" t="s">
        <v>736</v>
      </c>
      <c r="E1408" t="s">
        <v>736</v>
      </c>
      <c r="F1408" s="11">
        <v>401752788</v>
      </c>
      <c r="G1408" s="18">
        <v>3.3346000000000001E-3</v>
      </c>
      <c r="H1408" s="11">
        <v>6386245.8515999997</v>
      </c>
      <c r="I1408" s="22">
        <f>IFERROR(VLOOKUP(D1408,'LEAID Match'!$A$2:$B$184,2,FALSE),"")</f>
        <v>3702250</v>
      </c>
    </row>
    <row r="1409" spans="1:9" x14ac:dyDescent="0.2">
      <c r="A1409">
        <f t="shared" si="21"/>
        <v>3702250</v>
      </c>
      <c r="B1409" s="24">
        <v>2020</v>
      </c>
      <c r="C1409" t="s">
        <v>321</v>
      </c>
      <c r="D1409" t="s">
        <v>736</v>
      </c>
      <c r="E1409" t="s">
        <v>736</v>
      </c>
      <c r="F1409" s="11">
        <v>422094825</v>
      </c>
      <c r="G1409" s="18">
        <v>3.4074999999999999E-3</v>
      </c>
      <c r="H1409" s="11">
        <v>7002668.0625</v>
      </c>
      <c r="I1409" s="22">
        <f>IFERROR(VLOOKUP(D1409,'LEAID Match'!$A$2:$B$184,2,FALSE),"")</f>
        <v>3702250</v>
      </c>
    </row>
    <row r="1410" spans="1:9" x14ac:dyDescent="0.2">
      <c r="A1410">
        <f t="shared" si="21"/>
        <v>3702250</v>
      </c>
      <c r="B1410" s="24">
        <v>2021</v>
      </c>
      <c r="C1410" t="s">
        <v>321</v>
      </c>
      <c r="D1410" t="s">
        <v>736</v>
      </c>
      <c r="E1410" t="s">
        <v>736</v>
      </c>
      <c r="F1410" s="11">
        <v>412570745</v>
      </c>
      <c r="G1410" s="18">
        <v>3.2965999999999998E-3</v>
      </c>
      <c r="H1410" s="11">
        <v>7823662.5431999993</v>
      </c>
      <c r="I1410" s="22">
        <f>IFERROR(VLOOKUP(D1410,'LEAID Match'!$A$2:$B$184,2,FALSE),"")</f>
        <v>3702250</v>
      </c>
    </row>
    <row r="1411" spans="1:9" x14ac:dyDescent="0.2">
      <c r="A1411">
        <f t="shared" ref="A1411:A1474" si="22">I1411</f>
        <v>3702250</v>
      </c>
      <c r="B1411" s="24">
        <v>2022</v>
      </c>
      <c r="C1411" t="s">
        <v>321</v>
      </c>
      <c r="D1411" t="s">
        <v>736</v>
      </c>
      <c r="E1411" t="s">
        <v>736</v>
      </c>
      <c r="F1411" s="11">
        <v>441938240</v>
      </c>
      <c r="G1411" s="18">
        <v>3.5041E-3</v>
      </c>
      <c r="H1411" s="11">
        <v>9678134.9785999991</v>
      </c>
      <c r="I1411" s="22">
        <f>IFERROR(VLOOKUP(D1411,'LEAID Match'!$A$2:$B$184,2,FALSE),"")</f>
        <v>3702250</v>
      </c>
    </row>
    <row r="1412" spans="1:9" x14ac:dyDescent="0.2">
      <c r="A1412">
        <f t="shared" si="22"/>
        <v>3702250</v>
      </c>
      <c r="B1412" s="24">
        <v>2023</v>
      </c>
      <c r="C1412" t="s">
        <v>321</v>
      </c>
      <c r="D1412" t="s">
        <v>736</v>
      </c>
      <c r="E1412" t="s">
        <v>736</v>
      </c>
      <c r="F1412" s="11">
        <v>458478645</v>
      </c>
      <c r="G1412" s="18">
        <v>3.4497E-3</v>
      </c>
      <c r="H1412" s="11">
        <v>10469484.1809</v>
      </c>
      <c r="I1412" s="22">
        <f>IFERROR(VLOOKUP(D1412,'LEAID Match'!$A$2:$B$184,2,FALSE),"")</f>
        <v>3702250</v>
      </c>
    </row>
    <row r="1413" spans="1:9" x14ac:dyDescent="0.2">
      <c r="A1413">
        <f t="shared" si="22"/>
        <v>3702280</v>
      </c>
      <c r="B1413" s="24">
        <v>2015</v>
      </c>
      <c r="C1413" t="s">
        <v>322</v>
      </c>
      <c r="D1413" t="s">
        <v>737</v>
      </c>
      <c r="E1413" t="s">
        <v>268</v>
      </c>
      <c r="F1413" s="11">
        <v>37080172</v>
      </c>
      <c r="G1413" s="18">
        <v>3.2420000000000002E-4</v>
      </c>
      <c r="H1413" s="11">
        <v>409460.7096</v>
      </c>
      <c r="I1413" s="22">
        <f>IFERROR(VLOOKUP(D1413,'LEAID Match'!$A$2:$B$184,2,FALSE),"")</f>
        <v>3702280</v>
      </c>
    </row>
    <row r="1414" spans="1:9" x14ac:dyDescent="0.2">
      <c r="A1414">
        <f t="shared" si="22"/>
        <v>3702280</v>
      </c>
      <c r="B1414" s="24">
        <v>2016</v>
      </c>
      <c r="C1414" t="s">
        <v>322</v>
      </c>
      <c r="D1414" t="s">
        <v>737</v>
      </c>
      <c r="E1414" t="s">
        <v>737</v>
      </c>
      <c r="F1414" s="11">
        <v>39402899</v>
      </c>
      <c r="G1414" s="18">
        <v>3.6390000000000001E-4</v>
      </c>
      <c r="H1414" s="11">
        <v>463973.59169999999</v>
      </c>
      <c r="I1414" s="22">
        <f>IFERROR(VLOOKUP(D1414,'LEAID Match'!$A$2:$B$184,2,FALSE),"")</f>
        <v>3702280</v>
      </c>
    </row>
    <row r="1415" spans="1:9" x14ac:dyDescent="0.2">
      <c r="A1415">
        <f t="shared" si="22"/>
        <v>3702280</v>
      </c>
      <c r="B1415" s="24">
        <v>2017</v>
      </c>
      <c r="C1415" t="s">
        <v>322</v>
      </c>
      <c r="D1415" t="s">
        <v>737</v>
      </c>
      <c r="E1415" t="s">
        <v>737</v>
      </c>
      <c r="F1415" s="11">
        <v>41716472</v>
      </c>
      <c r="G1415" s="18">
        <v>3.7389999999999998E-4</v>
      </c>
      <c r="H1415" s="11">
        <v>538862.43660000002</v>
      </c>
      <c r="I1415" s="22">
        <f>IFERROR(VLOOKUP(D1415,'LEAID Match'!$A$2:$B$184,2,FALSE),"")</f>
        <v>3702280</v>
      </c>
    </row>
    <row r="1416" spans="1:9" x14ac:dyDescent="0.2">
      <c r="A1416">
        <f t="shared" si="22"/>
        <v>3702280</v>
      </c>
      <c r="B1416" s="24">
        <v>2018</v>
      </c>
      <c r="C1416" t="s">
        <v>322</v>
      </c>
      <c r="D1416" t="s">
        <v>737</v>
      </c>
      <c r="E1416" t="s">
        <v>737</v>
      </c>
      <c r="F1416" s="11">
        <v>44373172</v>
      </c>
      <c r="G1416" s="18">
        <v>3.8180000000000001E-4</v>
      </c>
      <c r="H1416" s="11">
        <v>611987.60180000006</v>
      </c>
      <c r="I1416" s="22">
        <f>IFERROR(VLOOKUP(D1416,'LEAID Match'!$A$2:$B$184,2,FALSE),"")</f>
        <v>3702280</v>
      </c>
    </row>
    <row r="1417" spans="1:9" x14ac:dyDescent="0.2">
      <c r="A1417">
        <f t="shared" si="22"/>
        <v>3702280</v>
      </c>
      <c r="B1417" s="24">
        <v>2019</v>
      </c>
      <c r="C1417" t="s">
        <v>322</v>
      </c>
      <c r="D1417" t="s">
        <v>737</v>
      </c>
      <c r="E1417" t="s">
        <v>737</v>
      </c>
      <c r="F1417" s="11">
        <v>42779380</v>
      </c>
      <c r="G1417" s="18">
        <v>3.5510000000000001E-4</v>
      </c>
      <c r="H1417" s="11">
        <v>680068.34460000007</v>
      </c>
      <c r="I1417" s="22">
        <f>IFERROR(VLOOKUP(D1417,'LEAID Match'!$A$2:$B$184,2,FALSE),"")</f>
        <v>3702280</v>
      </c>
    </row>
    <row r="1418" spans="1:9" x14ac:dyDescent="0.2">
      <c r="A1418">
        <f t="shared" si="22"/>
        <v>3702280</v>
      </c>
      <c r="B1418" s="24">
        <v>2020</v>
      </c>
      <c r="C1418" t="s">
        <v>322</v>
      </c>
      <c r="D1418" t="s">
        <v>737</v>
      </c>
      <c r="E1418" t="s">
        <v>737</v>
      </c>
      <c r="F1418" s="11">
        <v>42974990</v>
      </c>
      <c r="G1418" s="18">
        <v>3.4689999999999998E-4</v>
      </c>
      <c r="H1418" s="11">
        <v>712905.51749999996</v>
      </c>
      <c r="I1418" s="22">
        <f>IFERROR(VLOOKUP(D1418,'LEAID Match'!$A$2:$B$184,2,FALSE),"")</f>
        <v>3702280</v>
      </c>
    </row>
    <row r="1419" spans="1:9" x14ac:dyDescent="0.2">
      <c r="A1419">
        <f t="shared" si="22"/>
        <v>3702280</v>
      </c>
      <c r="B1419" s="24">
        <v>2021</v>
      </c>
      <c r="C1419" t="s">
        <v>322</v>
      </c>
      <c r="D1419" t="s">
        <v>737</v>
      </c>
      <c r="E1419" t="s">
        <v>737</v>
      </c>
      <c r="F1419" s="11">
        <v>41935256</v>
      </c>
      <c r="G1419" s="18">
        <v>3.3510000000000001E-4</v>
      </c>
      <c r="H1419" s="11">
        <v>795276.7452</v>
      </c>
      <c r="I1419" s="22">
        <f>IFERROR(VLOOKUP(D1419,'LEAID Match'!$A$2:$B$184,2,FALSE),"")</f>
        <v>3702280</v>
      </c>
    </row>
    <row r="1420" spans="1:9" x14ac:dyDescent="0.2">
      <c r="A1420">
        <f t="shared" si="22"/>
        <v>3702280</v>
      </c>
      <c r="B1420" s="24">
        <v>2022</v>
      </c>
      <c r="C1420" t="s">
        <v>322</v>
      </c>
      <c r="D1420" t="s">
        <v>737</v>
      </c>
      <c r="E1420" t="s">
        <v>737</v>
      </c>
      <c r="F1420" s="11">
        <v>43403294</v>
      </c>
      <c r="G1420" s="18">
        <v>3.4410000000000002E-4</v>
      </c>
      <c r="H1420" s="11">
        <v>950385.61860000005</v>
      </c>
      <c r="I1420" s="22">
        <f>IFERROR(VLOOKUP(D1420,'LEAID Match'!$A$2:$B$184,2,FALSE),"")</f>
        <v>3702280</v>
      </c>
    </row>
    <row r="1421" spans="1:9" x14ac:dyDescent="0.2">
      <c r="A1421">
        <f t="shared" si="22"/>
        <v>3702280</v>
      </c>
      <c r="B1421" s="24">
        <v>2023</v>
      </c>
      <c r="C1421" t="s">
        <v>322</v>
      </c>
      <c r="D1421" t="s">
        <v>737</v>
      </c>
      <c r="E1421" t="s">
        <v>737</v>
      </c>
      <c r="F1421" s="11">
        <v>46389694</v>
      </c>
      <c r="G1421" s="18">
        <v>3.4900000000000003E-4</v>
      </c>
      <c r="H1421" s="11">
        <v>1059179.0530000001</v>
      </c>
      <c r="I1421" s="22">
        <f>IFERROR(VLOOKUP(D1421,'LEAID Match'!$A$2:$B$184,2,FALSE),"")</f>
        <v>3702280</v>
      </c>
    </row>
    <row r="1422" spans="1:9" x14ac:dyDescent="0.2">
      <c r="A1422">
        <f t="shared" si="22"/>
        <v>3702310</v>
      </c>
      <c r="B1422" s="24">
        <v>2015</v>
      </c>
      <c r="C1422" t="s">
        <v>323</v>
      </c>
      <c r="D1422" t="s">
        <v>738</v>
      </c>
      <c r="E1422" t="s">
        <v>269</v>
      </c>
      <c r="F1422" s="11">
        <v>865388825</v>
      </c>
      <c r="G1422" s="18">
        <v>7.5664E-3</v>
      </c>
      <c r="H1422" s="11">
        <v>9556272.4032000005</v>
      </c>
      <c r="I1422" s="22">
        <f>IFERROR(VLOOKUP(D1422,'LEAID Match'!$A$2:$B$184,2,FALSE),"")</f>
        <v>3702310</v>
      </c>
    </row>
    <row r="1423" spans="1:9" x14ac:dyDescent="0.2">
      <c r="A1423">
        <f t="shared" si="22"/>
        <v>3702310</v>
      </c>
      <c r="B1423" s="24">
        <v>2016</v>
      </c>
      <c r="C1423" t="s">
        <v>323</v>
      </c>
      <c r="D1423" t="s">
        <v>738</v>
      </c>
      <c r="E1423" t="s">
        <v>738</v>
      </c>
      <c r="F1423" s="11">
        <v>798018528</v>
      </c>
      <c r="G1423" s="18">
        <v>7.3692000000000002E-3</v>
      </c>
      <c r="H1423" s="11">
        <v>9395752.1075999998</v>
      </c>
      <c r="I1423" s="22">
        <f>IFERROR(VLOOKUP(D1423,'LEAID Match'!$A$2:$B$184,2,FALSE),"")</f>
        <v>3702310</v>
      </c>
    </row>
    <row r="1424" spans="1:9" x14ac:dyDescent="0.2">
      <c r="A1424">
        <f t="shared" si="22"/>
        <v>3702310</v>
      </c>
      <c r="B1424" s="24">
        <v>2017</v>
      </c>
      <c r="C1424" t="s">
        <v>323</v>
      </c>
      <c r="D1424" t="s">
        <v>738</v>
      </c>
      <c r="E1424" t="s">
        <v>906</v>
      </c>
      <c r="F1424" s="11">
        <v>818121941</v>
      </c>
      <c r="G1424" s="18">
        <v>7.332E-3</v>
      </c>
      <c r="H1424" s="11">
        <v>10566834.408</v>
      </c>
      <c r="I1424" s="22">
        <f>IFERROR(VLOOKUP(D1424,'LEAID Match'!$A$2:$B$184,2,FALSE),"")</f>
        <v>3702310</v>
      </c>
    </row>
    <row r="1425" spans="1:9" x14ac:dyDescent="0.2">
      <c r="A1425">
        <f t="shared" si="22"/>
        <v>3702310</v>
      </c>
      <c r="B1425" s="24">
        <v>2018</v>
      </c>
      <c r="C1425" t="s">
        <v>323</v>
      </c>
      <c r="D1425" t="s">
        <v>738</v>
      </c>
      <c r="E1425" t="s">
        <v>906</v>
      </c>
      <c r="F1425" s="11">
        <v>838544415</v>
      </c>
      <c r="G1425" s="18">
        <v>7.2158999999999999E-3</v>
      </c>
      <c r="H1425" s="11">
        <v>11566373.3259</v>
      </c>
      <c r="I1425" s="22">
        <f>IFERROR(VLOOKUP(D1425,'LEAID Match'!$A$2:$B$184,2,FALSE),"")</f>
        <v>3702310</v>
      </c>
    </row>
    <row r="1426" spans="1:9" x14ac:dyDescent="0.2">
      <c r="A1426">
        <f t="shared" si="22"/>
        <v>3702310</v>
      </c>
      <c r="B1426" s="24">
        <v>2019</v>
      </c>
      <c r="C1426" t="s">
        <v>323</v>
      </c>
      <c r="D1426" t="s">
        <v>738</v>
      </c>
      <c r="E1426" t="s">
        <v>906</v>
      </c>
      <c r="F1426" s="11">
        <v>871107558</v>
      </c>
      <c r="G1426" s="18">
        <v>7.2302E-3</v>
      </c>
      <c r="H1426" s="11">
        <v>13846888.609200001</v>
      </c>
      <c r="I1426" s="22">
        <f>IFERROR(VLOOKUP(D1426,'LEAID Match'!$A$2:$B$184,2,FALSE),"")</f>
        <v>3702310</v>
      </c>
    </row>
    <row r="1427" spans="1:9" x14ac:dyDescent="0.2">
      <c r="A1427">
        <f t="shared" si="22"/>
        <v>3702310</v>
      </c>
      <c r="B1427" s="24">
        <v>2020</v>
      </c>
      <c r="C1427" t="s">
        <v>323</v>
      </c>
      <c r="D1427" t="s">
        <v>738</v>
      </c>
      <c r="E1427" t="s">
        <v>738</v>
      </c>
      <c r="F1427" s="11">
        <v>882724302</v>
      </c>
      <c r="G1427" s="18">
        <v>7.1260999999999998E-3</v>
      </c>
      <c r="H1427" s="11">
        <v>14644669.9575</v>
      </c>
      <c r="I1427" s="22">
        <f>IFERROR(VLOOKUP(D1427,'LEAID Match'!$A$2:$B$184,2,FALSE),"")</f>
        <v>3702310</v>
      </c>
    </row>
    <row r="1428" spans="1:9" x14ac:dyDescent="0.2">
      <c r="A1428">
        <f t="shared" si="22"/>
        <v>3702310</v>
      </c>
      <c r="B1428" s="24">
        <v>2021</v>
      </c>
      <c r="C1428" t="s">
        <v>323</v>
      </c>
      <c r="D1428" t="s">
        <v>738</v>
      </c>
      <c r="E1428" t="s">
        <v>738</v>
      </c>
      <c r="F1428" s="11">
        <v>902775925</v>
      </c>
      <c r="G1428" s="18">
        <v>7.2135000000000003E-3</v>
      </c>
      <c r="H1428" s="11">
        <v>17119453.302000001</v>
      </c>
      <c r="I1428" s="22">
        <f>IFERROR(VLOOKUP(D1428,'LEAID Match'!$A$2:$B$184,2,FALSE),"")</f>
        <v>3702310</v>
      </c>
    </row>
    <row r="1429" spans="1:9" x14ac:dyDescent="0.2">
      <c r="A1429">
        <f t="shared" si="22"/>
        <v>3702310</v>
      </c>
      <c r="B1429" s="24">
        <v>2022</v>
      </c>
      <c r="C1429" t="s">
        <v>323</v>
      </c>
      <c r="D1429" t="s">
        <v>738</v>
      </c>
      <c r="E1429" t="s">
        <v>738</v>
      </c>
      <c r="F1429" s="11">
        <v>925366344</v>
      </c>
      <c r="G1429" s="18">
        <v>7.3372000000000003E-3</v>
      </c>
      <c r="H1429" s="11">
        <v>20264950.191199999</v>
      </c>
      <c r="I1429" s="22">
        <f>IFERROR(VLOOKUP(D1429,'LEAID Match'!$A$2:$B$184,2,FALSE),"")</f>
        <v>3702310</v>
      </c>
    </row>
    <row r="1430" spans="1:9" x14ac:dyDescent="0.2">
      <c r="A1430">
        <f t="shared" si="22"/>
        <v>3702310</v>
      </c>
      <c r="B1430" s="24">
        <v>2023</v>
      </c>
      <c r="C1430" t="s">
        <v>323</v>
      </c>
      <c r="D1430" t="s">
        <v>738</v>
      </c>
      <c r="E1430" t="s">
        <v>738</v>
      </c>
      <c r="F1430" s="11">
        <v>977621398</v>
      </c>
      <c r="G1430" s="18">
        <v>7.3559000000000003E-3</v>
      </c>
      <c r="H1430" s="11">
        <v>22324398.842300002</v>
      </c>
      <c r="I1430" s="22">
        <f>IFERROR(VLOOKUP(D1430,'LEAID Match'!$A$2:$B$184,2,FALSE),"")</f>
        <v>3702310</v>
      </c>
    </row>
    <row r="1431" spans="1:9" x14ac:dyDescent="0.2">
      <c r="A1431">
        <f t="shared" si="22"/>
        <v>3700086</v>
      </c>
      <c r="B1431" s="24">
        <v>2015</v>
      </c>
      <c r="C1431" t="s">
        <v>324</v>
      </c>
      <c r="D1431" t="s">
        <v>907</v>
      </c>
      <c r="E1431" t="s">
        <v>270</v>
      </c>
      <c r="F1431" s="11">
        <v>20705972</v>
      </c>
      <c r="G1431" s="18">
        <v>1.8100000000000001E-4</v>
      </c>
      <c r="H1431" s="11">
        <v>228600.82800000001</v>
      </c>
      <c r="I1431" s="22">
        <f>IFERROR(VLOOKUP(D1431,'LEAID Match'!$A$2:$B$184,2,FALSE),"")</f>
        <v>3700086</v>
      </c>
    </row>
    <row r="1432" spans="1:9" x14ac:dyDescent="0.2">
      <c r="A1432">
        <f t="shared" si="22"/>
        <v>3700086</v>
      </c>
      <c r="B1432" s="24">
        <v>2016</v>
      </c>
      <c r="C1432" t="s">
        <v>324</v>
      </c>
      <c r="D1432" t="s">
        <v>907</v>
      </c>
      <c r="E1432" t="s">
        <v>739</v>
      </c>
      <c r="F1432" s="11">
        <v>20473960</v>
      </c>
      <c r="G1432" s="18">
        <v>1.8909999999999999E-4</v>
      </c>
      <c r="H1432" s="11">
        <v>241103.0673</v>
      </c>
      <c r="I1432" s="22">
        <f>IFERROR(VLOOKUP(D1432,'LEAID Match'!$A$2:$B$184,2,FALSE),"")</f>
        <v>3700086</v>
      </c>
    </row>
    <row r="1433" spans="1:9" x14ac:dyDescent="0.2">
      <c r="A1433">
        <f t="shared" si="22"/>
        <v>3700086</v>
      </c>
      <c r="B1433" s="24">
        <v>2017</v>
      </c>
      <c r="C1433" t="s">
        <v>324</v>
      </c>
      <c r="D1433" t="s">
        <v>907</v>
      </c>
      <c r="E1433" t="s">
        <v>907</v>
      </c>
      <c r="F1433" s="11">
        <v>20046853</v>
      </c>
      <c r="G1433" s="18">
        <v>1.797E-4</v>
      </c>
      <c r="H1433" s="11">
        <v>258982.5618</v>
      </c>
      <c r="I1433" s="22">
        <f>IFERROR(VLOOKUP(D1433,'LEAID Match'!$A$2:$B$184,2,FALSE),"")</f>
        <v>3700086</v>
      </c>
    </row>
    <row r="1434" spans="1:9" x14ac:dyDescent="0.2">
      <c r="A1434">
        <f t="shared" si="22"/>
        <v>3700086</v>
      </c>
      <c r="B1434" s="24">
        <v>2018</v>
      </c>
      <c r="C1434" t="s">
        <v>324</v>
      </c>
      <c r="D1434" t="s">
        <v>907</v>
      </c>
      <c r="E1434" t="s">
        <v>907</v>
      </c>
      <c r="F1434" s="11">
        <v>22356856</v>
      </c>
      <c r="G1434" s="18">
        <v>1.9239999999999999E-4</v>
      </c>
      <c r="H1434" s="11">
        <v>308398.15239999996</v>
      </c>
      <c r="I1434" s="22">
        <f>IFERROR(VLOOKUP(D1434,'LEAID Match'!$A$2:$B$184,2,FALSE),"")</f>
        <v>3700086</v>
      </c>
    </row>
    <row r="1435" spans="1:9" x14ac:dyDescent="0.2">
      <c r="A1435">
        <f t="shared" si="22"/>
        <v>3700086</v>
      </c>
      <c r="B1435" s="24">
        <v>2019</v>
      </c>
      <c r="C1435" t="s">
        <v>324</v>
      </c>
      <c r="D1435" t="s">
        <v>907</v>
      </c>
      <c r="E1435" t="s">
        <v>907</v>
      </c>
      <c r="F1435" s="11">
        <v>23003437</v>
      </c>
      <c r="G1435" s="18">
        <v>1.9090000000000001E-4</v>
      </c>
      <c r="H1435" s="11">
        <v>365601.3714</v>
      </c>
      <c r="I1435" s="22">
        <f>IFERROR(VLOOKUP(D1435,'LEAID Match'!$A$2:$B$184,2,FALSE),"")</f>
        <v>3700086</v>
      </c>
    </row>
    <row r="1436" spans="1:9" x14ac:dyDescent="0.2">
      <c r="A1436">
        <f t="shared" si="22"/>
        <v>3700086</v>
      </c>
      <c r="B1436" s="24">
        <v>2020</v>
      </c>
      <c r="C1436" t="s">
        <v>324</v>
      </c>
      <c r="D1436" t="s">
        <v>907</v>
      </c>
      <c r="E1436" t="s">
        <v>907</v>
      </c>
      <c r="F1436" s="11">
        <v>23844976</v>
      </c>
      <c r="G1436" s="18">
        <v>1.9249999999999999E-4</v>
      </c>
      <c r="H1436" s="11">
        <v>395601.9375</v>
      </c>
      <c r="I1436" s="22">
        <f>IFERROR(VLOOKUP(D1436,'LEAID Match'!$A$2:$B$184,2,FALSE),"")</f>
        <v>3700086</v>
      </c>
    </row>
    <row r="1437" spans="1:9" x14ac:dyDescent="0.2">
      <c r="A1437">
        <f t="shared" si="22"/>
        <v>3700086</v>
      </c>
      <c r="B1437" s="24">
        <v>2021</v>
      </c>
      <c r="C1437" t="s">
        <v>324</v>
      </c>
      <c r="D1437" t="s">
        <v>907</v>
      </c>
      <c r="E1437" t="s">
        <v>907</v>
      </c>
      <c r="F1437" s="11">
        <v>24997512</v>
      </c>
      <c r="G1437" s="18">
        <v>1.997E-4</v>
      </c>
      <c r="H1437" s="11">
        <v>473938.42440000002</v>
      </c>
      <c r="I1437" s="22">
        <f>IFERROR(VLOOKUP(D1437,'LEAID Match'!$A$2:$B$184,2,FALSE),"")</f>
        <v>3700086</v>
      </c>
    </row>
    <row r="1438" spans="1:9" x14ac:dyDescent="0.2">
      <c r="A1438">
        <f t="shared" si="22"/>
        <v>3700086</v>
      </c>
      <c r="B1438" s="24">
        <v>2022</v>
      </c>
      <c r="C1438" t="s">
        <v>324</v>
      </c>
      <c r="D1438" t="s">
        <v>907</v>
      </c>
      <c r="E1438" t="s">
        <v>907</v>
      </c>
      <c r="F1438" s="11">
        <v>28179236</v>
      </c>
      <c r="G1438" s="18">
        <v>2.2340000000000001E-4</v>
      </c>
      <c r="H1438" s="11">
        <v>617018.73640000005</v>
      </c>
      <c r="I1438" s="22">
        <f>IFERROR(VLOOKUP(D1438,'LEAID Match'!$A$2:$B$184,2,FALSE),"")</f>
        <v>3700086</v>
      </c>
    </row>
    <row r="1439" spans="1:9" x14ac:dyDescent="0.2">
      <c r="A1439">
        <f t="shared" si="22"/>
        <v>3700086</v>
      </c>
      <c r="B1439" s="24">
        <v>2023</v>
      </c>
      <c r="C1439" t="s">
        <v>324</v>
      </c>
      <c r="D1439" t="s">
        <v>907</v>
      </c>
      <c r="E1439" t="s">
        <v>907</v>
      </c>
      <c r="F1439" s="11">
        <v>27780517</v>
      </c>
      <c r="G1439" s="18">
        <v>2.0900000000000001E-4</v>
      </c>
      <c r="H1439" s="11">
        <v>634293.473</v>
      </c>
      <c r="I1439" s="22">
        <f>IFERROR(VLOOKUP(D1439,'LEAID Match'!$A$2:$B$184,2,FALSE),"")</f>
        <v>3700086</v>
      </c>
    </row>
    <row r="1440" spans="1:9" x14ac:dyDescent="0.2">
      <c r="A1440">
        <f t="shared" si="22"/>
        <v>3700106</v>
      </c>
      <c r="B1440" s="24">
        <v>2015</v>
      </c>
      <c r="C1440" t="s">
        <v>325</v>
      </c>
      <c r="D1440" t="s">
        <v>740</v>
      </c>
      <c r="E1440" t="s">
        <v>271</v>
      </c>
      <c r="F1440" s="11">
        <v>2309822</v>
      </c>
      <c r="G1440" s="18">
        <v>2.02E-5</v>
      </c>
      <c r="H1440" s="11">
        <v>25512.357599999999</v>
      </c>
      <c r="I1440" s="22">
        <f>IFERROR(VLOOKUP(D1440,'LEAID Match'!$A$2:$B$184,2,FALSE),"")</f>
        <v>3700106</v>
      </c>
    </row>
    <row r="1441" spans="1:9" x14ac:dyDescent="0.2">
      <c r="A1441">
        <f t="shared" si="22"/>
        <v>3700106</v>
      </c>
      <c r="B1441" s="24">
        <v>2016</v>
      </c>
      <c r="C1441" t="s">
        <v>325</v>
      </c>
      <c r="D1441" t="s">
        <v>740</v>
      </c>
      <c r="E1441" t="s">
        <v>740</v>
      </c>
      <c r="F1441" s="11">
        <v>1449710</v>
      </c>
      <c r="G1441" s="18">
        <v>1.34E-5</v>
      </c>
      <c r="H1441" s="11">
        <v>17085.040199999999</v>
      </c>
      <c r="I1441" s="22">
        <f>IFERROR(VLOOKUP(D1441,'LEAID Match'!$A$2:$B$184,2,FALSE),"")</f>
        <v>3700106</v>
      </c>
    </row>
    <row r="1442" spans="1:9" x14ac:dyDescent="0.2">
      <c r="A1442">
        <f t="shared" si="22"/>
        <v>3700106</v>
      </c>
      <c r="B1442" s="24">
        <v>2017</v>
      </c>
      <c r="C1442" t="s">
        <v>325</v>
      </c>
      <c r="D1442" t="s">
        <v>740</v>
      </c>
      <c r="E1442" t="s">
        <v>740</v>
      </c>
      <c r="F1442" s="11">
        <v>1405369</v>
      </c>
      <c r="G1442" s="18">
        <v>1.26E-5</v>
      </c>
      <c r="H1442" s="11">
        <v>18159.044399999999</v>
      </c>
      <c r="I1442" s="22">
        <f>IFERROR(VLOOKUP(D1442,'LEAID Match'!$A$2:$B$184,2,FALSE),"")</f>
        <v>3700106</v>
      </c>
    </row>
    <row r="1443" spans="1:9" x14ac:dyDescent="0.2">
      <c r="A1443">
        <f t="shared" si="22"/>
        <v>3700106</v>
      </c>
      <c r="B1443" s="24">
        <v>2018</v>
      </c>
      <c r="C1443" t="s">
        <v>325</v>
      </c>
      <c r="D1443" t="s">
        <v>740</v>
      </c>
      <c r="E1443" t="s">
        <v>740</v>
      </c>
      <c r="F1443" s="11">
        <v>973916</v>
      </c>
      <c r="G1443" s="18">
        <v>8.3999999999999992E-6</v>
      </c>
      <c r="H1443" s="11">
        <v>13464.368399999999</v>
      </c>
      <c r="I1443" s="22">
        <f>IFERROR(VLOOKUP(D1443,'LEAID Match'!$A$2:$B$184,2,FALSE),"")</f>
        <v>3700106</v>
      </c>
    </row>
    <row r="1444" spans="1:9" x14ac:dyDescent="0.2">
      <c r="A1444">
        <f t="shared" si="22"/>
        <v>3700106</v>
      </c>
      <c r="B1444" s="24">
        <v>2019</v>
      </c>
      <c r="C1444" t="s">
        <v>325</v>
      </c>
      <c r="D1444" t="s">
        <v>740</v>
      </c>
      <c r="E1444" t="s">
        <v>740</v>
      </c>
      <c r="F1444" s="11">
        <v>1211628</v>
      </c>
      <c r="G1444" s="18">
        <v>1.01E-5</v>
      </c>
      <c r="H1444" s="11">
        <v>19342.974600000001</v>
      </c>
      <c r="I1444" s="22">
        <f>IFERROR(VLOOKUP(D1444,'LEAID Match'!$A$2:$B$184,2,FALSE),"")</f>
        <v>3700106</v>
      </c>
    </row>
    <row r="1445" spans="1:9" x14ac:dyDescent="0.2">
      <c r="A1445">
        <f t="shared" si="22"/>
        <v>3700106</v>
      </c>
      <c r="B1445" s="24">
        <v>2020</v>
      </c>
      <c r="C1445" t="s">
        <v>325</v>
      </c>
      <c r="D1445" t="s">
        <v>740</v>
      </c>
      <c r="E1445" t="s">
        <v>740</v>
      </c>
      <c r="F1445" s="11">
        <v>1203921</v>
      </c>
      <c r="G1445" s="18">
        <v>9.7000000000000003E-6</v>
      </c>
      <c r="H1445" s="11">
        <v>19934.227500000001</v>
      </c>
      <c r="I1445" s="22">
        <f>IFERROR(VLOOKUP(D1445,'LEAID Match'!$A$2:$B$184,2,FALSE),"")</f>
        <v>3700106</v>
      </c>
    </row>
    <row r="1446" spans="1:9" x14ac:dyDescent="0.2">
      <c r="A1446">
        <f t="shared" si="22"/>
        <v>3700106</v>
      </c>
      <c r="B1446" s="24">
        <v>2021</v>
      </c>
      <c r="C1446" t="s">
        <v>325</v>
      </c>
      <c r="D1446" t="s">
        <v>740</v>
      </c>
      <c r="E1446" t="s">
        <v>740</v>
      </c>
      <c r="F1446" s="11">
        <v>1197860</v>
      </c>
      <c r="G1446" s="18">
        <v>9.5999999999999996E-6</v>
      </c>
      <c r="H1446" s="11">
        <v>22783.2192</v>
      </c>
      <c r="I1446" s="22">
        <f>IFERROR(VLOOKUP(D1446,'LEAID Match'!$A$2:$B$184,2,FALSE),"")</f>
        <v>3700106</v>
      </c>
    </row>
    <row r="1447" spans="1:9" x14ac:dyDescent="0.2">
      <c r="A1447">
        <f t="shared" si="22"/>
        <v>3700106</v>
      </c>
      <c r="B1447" s="24">
        <v>2022</v>
      </c>
      <c r="C1447" t="s">
        <v>325</v>
      </c>
      <c r="D1447" t="s">
        <v>740</v>
      </c>
      <c r="E1447" t="s">
        <v>740</v>
      </c>
      <c r="F1447" s="11">
        <v>2805449</v>
      </c>
      <c r="G1447" s="18">
        <v>2.2200000000000001E-5</v>
      </c>
      <c r="H1447" s="11">
        <v>61315.201200000003</v>
      </c>
      <c r="I1447" s="22">
        <f>IFERROR(VLOOKUP(D1447,'LEAID Match'!$A$2:$B$184,2,FALSE),"")</f>
        <v>3700106</v>
      </c>
    </row>
    <row r="1448" spans="1:9" x14ac:dyDescent="0.2">
      <c r="A1448">
        <f t="shared" si="22"/>
        <v>3700106</v>
      </c>
      <c r="B1448" s="24">
        <v>2023</v>
      </c>
      <c r="C1448" t="s">
        <v>325</v>
      </c>
      <c r="D1448" t="s">
        <v>740</v>
      </c>
      <c r="E1448" t="s">
        <v>740</v>
      </c>
      <c r="F1448" s="11">
        <v>2746277</v>
      </c>
      <c r="G1448" s="18">
        <v>2.0699999999999998E-5</v>
      </c>
      <c r="H1448" s="11">
        <v>62822.367899999997</v>
      </c>
      <c r="I1448" s="22">
        <f>IFERROR(VLOOKUP(D1448,'LEAID Match'!$A$2:$B$184,2,FALSE),"")</f>
        <v>3700106</v>
      </c>
    </row>
    <row r="1449" spans="1:9" x14ac:dyDescent="0.2">
      <c r="A1449" t="str">
        <f t="shared" si="22"/>
        <v/>
      </c>
      <c r="B1449" s="24">
        <v>2015</v>
      </c>
      <c r="C1449" t="s">
        <v>326</v>
      </c>
      <c r="D1449" t="s">
        <v>741</v>
      </c>
      <c r="E1449" t="s">
        <v>272</v>
      </c>
      <c r="F1449" s="11">
        <v>89307069</v>
      </c>
      <c r="G1449" s="18">
        <v>7.8080000000000001E-4</v>
      </c>
      <c r="H1449" s="11">
        <v>986141.03040000005</v>
      </c>
      <c r="I1449" s="22" t="str">
        <f>IFERROR(VLOOKUP(D1449,'LEAID Match'!$A$2:$B$184,2,FALSE),"")</f>
        <v/>
      </c>
    </row>
    <row r="1450" spans="1:9" x14ac:dyDescent="0.2">
      <c r="A1450" t="str">
        <f t="shared" si="22"/>
        <v/>
      </c>
      <c r="B1450" s="24">
        <v>2016</v>
      </c>
      <c r="C1450" t="s">
        <v>326</v>
      </c>
      <c r="D1450" t="s">
        <v>741</v>
      </c>
      <c r="E1450" t="s">
        <v>741</v>
      </c>
      <c r="F1450" s="11">
        <v>78632245</v>
      </c>
      <c r="G1450" s="18">
        <v>7.2610000000000003E-4</v>
      </c>
      <c r="H1450" s="11">
        <v>925779.67830000003</v>
      </c>
      <c r="I1450" s="22" t="str">
        <f>IFERROR(VLOOKUP(D1450,'LEAID Match'!$A$2:$B$184,2,FALSE),"")</f>
        <v/>
      </c>
    </row>
    <row r="1451" spans="1:9" x14ac:dyDescent="0.2">
      <c r="A1451" t="str">
        <f t="shared" si="22"/>
        <v/>
      </c>
      <c r="B1451" s="24">
        <v>2017</v>
      </c>
      <c r="C1451" t="s">
        <v>326</v>
      </c>
      <c r="D1451" t="s">
        <v>741</v>
      </c>
      <c r="E1451" t="s">
        <v>741</v>
      </c>
      <c r="F1451" s="11">
        <v>81480507</v>
      </c>
      <c r="G1451" s="18">
        <v>7.3019999999999997E-4</v>
      </c>
      <c r="H1451" s="11">
        <v>1052359.8588</v>
      </c>
      <c r="I1451" s="22" t="str">
        <f>IFERROR(VLOOKUP(D1451,'LEAID Match'!$A$2:$B$184,2,FALSE),"")</f>
        <v/>
      </c>
    </row>
    <row r="1452" spans="1:9" x14ac:dyDescent="0.2">
      <c r="A1452" t="str">
        <f t="shared" si="22"/>
        <v/>
      </c>
      <c r="B1452" s="24">
        <v>2018</v>
      </c>
      <c r="C1452" t="s">
        <v>326</v>
      </c>
      <c r="D1452" t="s">
        <v>741</v>
      </c>
      <c r="E1452" t="s">
        <v>741</v>
      </c>
      <c r="F1452" s="11">
        <v>81422933</v>
      </c>
      <c r="G1452" s="18">
        <v>7.0069999999999996E-4</v>
      </c>
      <c r="H1452" s="11">
        <v>1123152.7307</v>
      </c>
      <c r="I1452" s="22" t="str">
        <f>IFERROR(VLOOKUP(D1452,'LEAID Match'!$A$2:$B$184,2,FALSE),"")</f>
        <v/>
      </c>
    </row>
    <row r="1453" spans="1:9" x14ac:dyDescent="0.2">
      <c r="A1453" t="str">
        <f t="shared" si="22"/>
        <v/>
      </c>
      <c r="B1453" s="24">
        <v>2019</v>
      </c>
      <c r="C1453" t="s">
        <v>326</v>
      </c>
      <c r="D1453" t="s">
        <v>741</v>
      </c>
      <c r="E1453" t="s">
        <v>741</v>
      </c>
      <c r="F1453" s="11">
        <v>82598173</v>
      </c>
      <c r="G1453" s="18">
        <v>6.8559999999999997E-4</v>
      </c>
      <c r="H1453" s="11">
        <v>1313024.0976</v>
      </c>
      <c r="I1453" s="22" t="str">
        <f>IFERROR(VLOOKUP(D1453,'LEAID Match'!$A$2:$B$184,2,FALSE),"")</f>
        <v/>
      </c>
    </row>
    <row r="1454" spans="1:9" x14ac:dyDescent="0.2">
      <c r="A1454" t="str">
        <f t="shared" si="22"/>
        <v/>
      </c>
      <c r="B1454" s="24">
        <v>2020</v>
      </c>
      <c r="C1454" t="s">
        <v>326</v>
      </c>
      <c r="D1454" t="s">
        <v>741</v>
      </c>
      <c r="E1454" t="s">
        <v>741</v>
      </c>
      <c r="F1454" s="11">
        <v>85850361</v>
      </c>
      <c r="G1454" s="18">
        <v>6.9309999999999999E-4</v>
      </c>
      <c r="H1454" s="11">
        <v>1424372.4824999999</v>
      </c>
      <c r="I1454" s="22" t="str">
        <f>IFERROR(VLOOKUP(D1454,'LEAID Match'!$A$2:$B$184,2,FALSE),"")</f>
        <v/>
      </c>
    </row>
    <row r="1455" spans="1:9" x14ac:dyDescent="0.2">
      <c r="A1455" t="str">
        <f t="shared" si="22"/>
        <v/>
      </c>
      <c r="B1455" s="24">
        <v>2021</v>
      </c>
      <c r="C1455" t="s">
        <v>326</v>
      </c>
      <c r="D1455" t="s">
        <v>741</v>
      </c>
      <c r="E1455" t="s">
        <v>741</v>
      </c>
      <c r="F1455" s="11">
        <v>83779753</v>
      </c>
      <c r="G1455" s="18">
        <v>6.6940000000000001E-4</v>
      </c>
      <c r="H1455" s="11">
        <v>1588654.8888000001</v>
      </c>
      <c r="I1455" s="22" t="str">
        <f>IFERROR(VLOOKUP(D1455,'LEAID Match'!$A$2:$B$184,2,FALSE),"")</f>
        <v/>
      </c>
    </row>
    <row r="1456" spans="1:9" x14ac:dyDescent="0.2">
      <c r="A1456" t="str">
        <f t="shared" si="22"/>
        <v/>
      </c>
      <c r="B1456" s="24">
        <v>2022</v>
      </c>
      <c r="C1456" t="s">
        <v>326</v>
      </c>
      <c r="D1456" t="s">
        <v>741</v>
      </c>
      <c r="E1456" t="s">
        <v>741</v>
      </c>
      <c r="F1456" s="11">
        <v>80033461</v>
      </c>
      <c r="G1456" s="18">
        <v>6.3460000000000003E-4</v>
      </c>
      <c r="H1456" s="11">
        <v>1752730.9316</v>
      </c>
      <c r="I1456" s="22" t="str">
        <f>IFERROR(VLOOKUP(D1456,'LEAID Match'!$A$2:$B$184,2,FALSE),"")</f>
        <v/>
      </c>
    </row>
    <row r="1457" spans="1:9" x14ac:dyDescent="0.2">
      <c r="A1457" t="str">
        <f t="shared" si="22"/>
        <v/>
      </c>
      <c r="B1457" s="24">
        <v>2023</v>
      </c>
      <c r="C1457" t="s">
        <v>326</v>
      </c>
      <c r="D1457" t="s">
        <v>741</v>
      </c>
      <c r="E1457" t="s">
        <v>741</v>
      </c>
      <c r="F1457" s="11">
        <v>87043697</v>
      </c>
      <c r="G1457" s="18">
        <v>6.5490000000000004E-4</v>
      </c>
      <c r="H1457" s="11">
        <v>1987554.0453000001</v>
      </c>
      <c r="I1457" s="22" t="str">
        <f>IFERROR(VLOOKUP(D1457,'LEAID Match'!$A$2:$B$184,2,FALSE),"")</f>
        <v/>
      </c>
    </row>
    <row r="1458" spans="1:9" x14ac:dyDescent="0.2">
      <c r="A1458">
        <f t="shared" si="22"/>
        <v>3703120</v>
      </c>
      <c r="B1458" s="24">
        <v>2015</v>
      </c>
      <c r="C1458" t="s">
        <v>327</v>
      </c>
      <c r="D1458" t="s">
        <v>742</v>
      </c>
      <c r="E1458" t="s">
        <v>273</v>
      </c>
      <c r="F1458" s="11">
        <v>252628617</v>
      </c>
      <c r="G1458" s="18">
        <v>2.2087999999999999E-3</v>
      </c>
      <c r="H1458" s="11">
        <v>2789687.8944000001</v>
      </c>
      <c r="I1458" s="22">
        <f>IFERROR(VLOOKUP(D1458,'LEAID Match'!$A$2:$B$184,2,FALSE),"")</f>
        <v>3703120</v>
      </c>
    </row>
    <row r="1459" spans="1:9" x14ac:dyDescent="0.2">
      <c r="A1459">
        <f t="shared" si="22"/>
        <v>3703120</v>
      </c>
      <c r="B1459" s="24">
        <v>2016</v>
      </c>
      <c r="C1459" t="s">
        <v>327</v>
      </c>
      <c r="D1459" t="s">
        <v>742</v>
      </c>
      <c r="E1459" t="s">
        <v>742</v>
      </c>
      <c r="F1459" s="11">
        <v>250621716</v>
      </c>
      <c r="G1459" s="18">
        <v>2.3143E-3</v>
      </c>
      <c r="H1459" s="11">
        <v>2950739.4429000001</v>
      </c>
      <c r="I1459" s="22">
        <f>IFERROR(VLOOKUP(D1459,'LEAID Match'!$A$2:$B$184,2,FALSE),"")</f>
        <v>3703120</v>
      </c>
    </row>
    <row r="1460" spans="1:9" x14ac:dyDescent="0.2">
      <c r="A1460">
        <f t="shared" si="22"/>
        <v>3703120</v>
      </c>
      <c r="B1460" s="24">
        <v>2017</v>
      </c>
      <c r="C1460" t="s">
        <v>327</v>
      </c>
      <c r="D1460" t="s">
        <v>742</v>
      </c>
      <c r="E1460" t="s">
        <v>742</v>
      </c>
      <c r="F1460" s="11">
        <v>254308486</v>
      </c>
      <c r="G1460" s="18">
        <v>2.2791E-3</v>
      </c>
      <c r="H1460" s="11">
        <v>3284625.2453999999</v>
      </c>
      <c r="I1460" s="22">
        <f>IFERROR(VLOOKUP(D1460,'LEAID Match'!$A$2:$B$184,2,FALSE),"")</f>
        <v>3703120</v>
      </c>
    </row>
    <row r="1461" spans="1:9" x14ac:dyDescent="0.2">
      <c r="A1461">
        <f t="shared" si="22"/>
        <v>3703120</v>
      </c>
      <c r="B1461" s="24">
        <v>2018</v>
      </c>
      <c r="C1461" t="s">
        <v>327</v>
      </c>
      <c r="D1461" t="s">
        <v>742</v>
      </c>
      <c r="E1461" t="s">
        <v>742</v>
      </c>
      <c r="F1461" s="11">
        <v>268738218</v>
      </c>
      <c r="G1461" s="18">
        <v>2.3126000000000002E-3</v>
      </c>
      <c r="H1461" s="11">
        <v>3706868.8526000003</v>
      </c>
      <c r="I1461" s="22">
        <f>IFERROR(VLOOKUP(D1461,'LEAID Match'!$A$2:$B$184,2,FALSE),"")</f>
        <v>3703120</v>
      </c>
    </row>
    <row r="1462" spans="1:9" x14ac:dyDescent="0.2">
      <c r="A1462">
        <f t="shared" si="22"/>
        <v>3703120</v>
      </c>
      <c r="B1462" s="24">
        <v>2019</v>
      </c>
      <c r="C1462" t="s">
        <v>327</v>
      </c>
      <c r="D1462" t="s">
        <v>742</v>
      </c>
      <c r="E1462" t="s">
        <v>742</v>
      </c>
      <c r="F1462" s="11">
        <v>277832067</v>
      </c>
      <c r="G1462" s="18">
        <v>2.3059999999999999E-3</v>
      </c>
      <c r="H1462" s="11">
        <v>4416326.676</v>
      </c>
      <c r="I1462" s="22">
        <f>IFERROR(VLOOKUP(D1462,'LEAID Match'!$A$2:$B$184,2,FALSE),"")</f>
        <v>3703120</v>
      </c>
    </row>
    <row r="1463" spans="1:9" x14ac:dyDescent="0.2">
      <c r="A1463">
        <f t="shared" si="22"/>
        <v>3703120</v>
      </c>
      <c r="B1463" s="24">
        <v>2020</v>
      </c>
      <c r="C1463" t="s">
        <v>327</v>
      </c>
      <c r="D1463" t="s">
        <v>742</v>
      </c>
      <c r="E1463" t="s">
        <v>742</v>
      </c>
      <c r="F1463" s="11">
        <v>284020343</v>
      </c>
      <c r="G1463" s="18">
        <v>2.2929000000000001E-3</v>
      </c>
      <c r="H1463" s="11">
        <v>4712081.4675000003</v>
      </c>
      <c r="I1463" s="22">
        <f>IFERROR(VLOOKUP(D1463,'LEAID Match'!$A$2:$B$184,2,FALSE),"")</f>
        <v>3703120</v>
      </c>
    </row>
    <row r="1464" spans="1:9" x14ac:dyDescent="0.2">
      <c r="A1464">
        <f t="shared" si="22"/>
        <v>3703120</v>
      </c>
      <c r="B1464" s="24">
        <v>2021</v>
      </c>
      <c r="C1464" t="s">
        <v>327</v>
      </c>
      <c r="D1464" t="s">
        <v>742</v>
      </c>
      <c r="E1464" t="s">
        <v>742</v>
      </c>
      <c r="F1464" s="11">
        <v>286554710</v>
      </c>
      <c r="G1464" s="18">
        <v>2.2897E-3</v>
      </c>
      <c r="H1464" s="11">
        <v>5434035.1043999996</v>
      </c>
      <c r="I1464" s="22">
        <f>IFERROR(VLOOKUP(D1464,'LEAID Match'!$A$2:$B$184,2,FALSE),"")</f>
        <v>3703120</v>
      </c>
    </row>
    <row r="1465" spans="1:9" x14ac:dyDescent="0.2">
      <c r="A1465">
        <f t="shared" si="22"/>
        <v>3703120</v>
      </c>
      <c r="B1465" s="24">
        <v>2022</v>
      </c>
      <c r="C1465" t="s">
        <v>327</v>
      </c>
      <c r="D1465" t="s">
        <v>742</v>
      </c>
      <c r="E1465" t="s">
        <v>742</v>
      </c>
      <c r="F1465" s="11">
        <v>289783912</v>
      </c>
      <c r="G1465" s="18">
        <v>2.2977000000000002E-3</v>
      </c>
      <c r="H1465" s="11">
        <v>6346123.3242000006</v>
      </c>
      <c r="I1465" s="22">
        <f>IFERROR(VLOOKUP(D1465,'LEAID Match'!$A$2:$B$184,2,FALSE),"")</f>
        <v>3703120</v>
      </c>
    </row>
    <row r="1466" spans="1:9" x14ac:dyDescent="0.2">
      <c r="A1466">
        <f t="shared" si="22"/>
        <v>3703120</v>
      </c>
      <c r="B1466" s="24">
        <v>2023</v>
      </c>
      <c r="C1466" t="s">
        <v>327</v>
      </c>
      <c r="D1466" t="s">
        <v>742</v>
      </c>
      <c r="E1466" t="s">
        <v>742</v>
      </c>
      <c r="F1466" s="11">
        <v>292025513</v>
      </c>
      <c r="G1466" s="18">
        <v>2.1973000000000001E-3</v>
      </c>
      <c r="H1466" s="11">
        <v>6668579.1781000001</v>
      </c>
      <c r="I1466" s="22">
        <f>IFERROR(VLOOKUP(D1466,'LEAID Match'!$A$2:$B$184,2,FALSE),"")</f>
        <v>3703120</v>
      </c>
    </row>
    <row r="1467" spans="1:9" x14ac:dyDescent="0.2">
      <c r="A1467">
        <f t="shared" si="22"/>
        <v>3702340</v>
      </c>
      <c r="B1467" s="24">
        <v>2015</v>
      </c>
      <c r="C1467" t="s">
        <v>382</v>
      </c>
      <c r="D1467" t="s">
        <v>743</v>
      </c>
      <c r="E1467" t="s">
        <v>328</v>
      </c>
      <c r="F1467" s="11">
        <v>172299049</v>
      </c>
      <c r="G1467" s="18">
        <v>1.5065E-3</v>
      </c>
      <c r="H1467" s="11">
        <v>1902691.422</v>
      </c>
      <c r="I1467" s="22">
        <f>IFERROR(VLOOKUP(D1467,'LEAID Match'!$A$2:$B$184,2,FALSE),"")</f>
        <v>3702340</v>
      </c>
    </row>
    <row r="1468" spans="1:9" x14ac:dyDescent="0.2">
      <c r="A1468">
        <f t="shared" si="22"/>
        <v>3702340</v>
      </c>
      <c r="B1468" s="24">
        <v>2016</v>
      </c>
      <c r="C1468" t="s">
        <v>382</v>
      </c>
      <c r="D1468" t="s">
        <v>743</v>
      </c>
      <c r="E1468" t="s">
        <v>743</v>
      </c>
      <c r="F1468" s="11">
        <v>168465598</v>
      </c>
      <c r="G1468" s="18">
        <v>1.5556999999999999E-3</v>
      </c>
      <c r="H1468" s="11">
        <v>1983522.1671</v>
      </c>
      <c r="I1468" s="22">
        <f>IFERROR(VLOOKUP(D1468,'LEAID Match'!$A$2:$B$184,2,FALSE),"")</f>
        <v>3702340</v>
      </c>
    </row>
    <row r="1469" spans="1:9" x14ac:dyDescent="0.2">
      <c r="A1469">
        <f t="shared" si="22"/>
        <v>3702340</v>
      </c>
      <c r="B1469" s="24">
        <v>2017</v>
      </c>
      <c r="C1469" t="s">
        <v>382</v>
      </c>
      <c r="D1469" t="s">
        <v>743</v>
      </c>
      <c r="E1469" t="s">
        <v>743</v>
      </c>
      <c r="F1469" s="11">
        <v>168291187</v>
      </c>
      <c r="G1469" s="18">
        <v>1.5081999999999999E-3</v>
      </c>
      <c r="H1469" s="11">
        <v>2173608.7908000001</v>
      </c>
      <c r="I1469" s="22">
        <f>IFERROR(VLOOKUP(D1469,'LEAID Match'!$A$2:$B$184,2,FALSE),"")</f>
        <v>3702340</v>
      </c>
    </row>
    <row r="1470" spans="1:9" x14ac:dyDescent="0.2">
      <c r="A1470">
        <f t="shared" si="22"/>
        <v>3702340</v>
      </c>
      <c r="B1470" s="24">
        <v>2018</v>
      </c>
      <c r="C1470" t="s">
        <v>382</v>
      </c>
      <c r="D1470" t="s">
        <v>743</v>
      </c>
      <c r="E1470" t="s">
        <v>743</v>
      </c>
      <c r="F1470" s="11">
        <v>173692751</v>
      </c>
      <c r="G1470" s="18">
        <v>1.4947000000000001E-3</v>
      </c>
      <c r="H1470" s="11">
        <v>2395856.1247</v>
      </c>
      <c r="I1470" s="22">
        <f>IFERROR(VLOOKUP(D1470,'LEAID Match'!$A$2:$B$184,2,FALSE),"")</f>
        <v>3702340</v>
      </c>
    </row>
    <row r="1471" spans="1:9" x14ac:dyDescent="0.2">
      <c r="A1471">
        <f t="shared" si="22"/>
        <v>3702340</v>
      </c>
      <c r="B1471" s="24">
        <v>2019</v>
      </c>
      <c r="C1471" t="s">
        <v>382</v>
      </c>
      <c r="D1471" t="s">
        <v>743</v>
      </c>
      <c r="E1471" t="s">
        <v>743</v>
      </c>
      <c r="F1471" s="11">
        <v>182776637</v>
      </c>
      <c r="G1471" s="18">
        <v>1.5169999999999999E-3</v>
      </c>
      <c r="H1471" s="11">
        <v>2905276.4819999998</v>
      </c>
      <c r="I1471" s="22">
        <f>IFERROR(VLOOKUP(D1471,'LEAID Match'!$A$2:$B$184,2,FALSE),"")</f>
        <v>3702340</v>
      </c>
    </row>
    <row r="1472" spans="1:9" x14ac:dyDescent="0.2">
      <c r="A1472">
        <f t="shared" si="22"/>
        <v>3702340</v>
      </c>
      <c r="B1472" s="24">
        <v>2020</v>
      </c>
      <c r="C1472" t="s">
        <v>382</v>
      </c>
      <c r="D1472" t="s">
        <v>743</v>
      </c>
      <c r="E1472" t="s">
        <v>743</v>
      </c>
      <c r="F1472" s="11">
        <v>188382503</v>
      </c>
      <c r="G1472" s="18">
        <v>1.5208000000000001E-3</v>
      </c>
      <c r="H1472" s="11">
        <v>3125358.06</v>
      </c>
      <c r="I1472" s="22">
        <f>IFERROR(VLOOKUP(D1472,'LEAID Match'!$A$2:$B$184,2,FALSE),"")</f>
        <v>3702340</v>
      </c>
    </row>
    <row r="1473" spans="1:9" x14ac:dyDescent="0.2">
      <c r="A1473">
        <f t="shared" si="22"/>
        <v>3702340</v>
      </c>
      <c r="B1473" s="24">
        <v>2021</v>
      </c>
      <c r="C1473" t="s">
        <v>382</v>
      </c>
      <c r="D1473" t="s">
        <v>743</v>
      </c>
      <c r="E1473" t="s">
        <v>743</v>
      </c>
      <c r="F1473" s="11">
        <v>188928505</v>
      </c>
      <c r="G1473" s="18">
        <v>1.5096E-3</v>
      </c>
      <c r="H1473" s="11">
        <v>3582661.2192000002</v>
      </c>
      <c r="I1473" s="22">
        <f>IFERROR(VLOOKUP(D1473,'LEAID Match'!$A$2:$B$184,2,FALSE),"")</f>
        <v>3702340</v>
      </c>
    </row>
    <row r="1474" spans="1:9" x14ac:dyDescent="0.2">
      <c r="A1474">
        <f t="shared" si="22"/>
        <v>3702340</v>
      </c>
      <c r="B1474" s="24">
        <v>2022</v>
      </c>
      <c r="C1474" t="s">
        <v>382</v>
      </c>
      <c r="D1474" t="s">
        <v>743</v>
      </c>
      <c r="E1474" t="s">
        <v>743</v>
      </c>
      <c r="F1474" s="11">
        <v>190388878</v>
      </c>
      <c r="G1474" s="18">
        <v>1.5096E-3</v>
      </c>
      <c r="H1474" s="11">
        <v>4169433.6816000002</v>
      </c>
      <c r="I1474" s="22">
        <f>IFERROR(VLOOKUP(D1474,'LEAID Match'!$A$2:$B$184,2,FALSE),"")</f>
        <v>3702340</v>
      </c>
    </row>
    <row r="1475" spans="1:9" x14ac:dyDescent="0.2">
      <c r="A1475">
        <f t="shared" ref="A1475:A1538" si="23">I1475</f>
        <v>3702340</v>
      </c>
      <c r="B1475" s="24">
        <v>2023</v>
      </c>
      <c r="C1475" t="s">
        <v>382</v>
      </c>
      <c r="D1475" t="s">
        <v>743</v>
      </c>
      <c r="E1475" t="s">
        <v>743</v>
      </c>
      <c r="F1475" s="11">
        <v>216784846</v>
      </c>
      <c r="G1475" s="18">
        <v>1.6310999999999999E-3</v>
      </c>
      <c r="H1475" s="11">
        <v>4950220.4967</v>
      </c>
      <c r="I1475" s="22">
        <f>IFERROR(VLOOKUP(D1475,'LEAID Match'!$A$2:$B$184,2,FALSE),"")</f>
        <v>3702340</v>
      </c>
    </row>
    <row r="1476" spans="1:9" x14ac:dyDescent="0.2">
      <c r="A1476" t="str">
        <f t="shared" si="23"/>
        <v/>
      </c>
      <c r="B1476" s="24">
        <v>2015</v>
      </c>
      <c r="C1476" t="s">
        <v>383</v>
      </c>
      <c r="D1476" t="s">
        <v>744</v>
      </c>
      <c r="E1476" t="s">
        <v>329</v>
      </c>
      <c r="F1476" s="11">
        <v>82355883</v>
      </c>
      <c r="G1476" s="18">
        <v>7.2009999999999999E-4</v>
      </c>
      <c r="H1476" s="11">
        <v>909477.65879999998</v>
      </c>
      <c r="I1476" s="22" t="str">
        <f>IFERROR(VLOOKUP(D1476,'LEAID Match'!$A$2:$B$184,2,FALSE),"")</f>
        <v/>
      </c>
    </row>
    <row r="1477" spans="1:9" x14ac:dyDescent="0.2">
      <c r="A1477" t="str">
        <f t="shared" si="23"/>
        <v/>
      </c>
      <c r="B1477" s="24">
        <v>2016</v>
      </c>
      <c r="C1477" t="s">
        <v>383</v>
      </c>
      <c r="D1477" t="s">
        <v>744</v>
      </c>
      <c r="E1477" t="s">
        <v>744</v>
      </c>
      <c r="F1477" s="11">
        <v>76352166</v>
      </c>
      <c r="G1477" s="18">
        <v>7.0509999999999995E-4</v>
      </c>
      <c r="H1477" s="11">
        <v>899004.61529999995</v>
      </c>
      <c r="I1477" s="22" t="str">
        <f>IFERROR(VLOOKUP(D1477,'LEAID Match'!$A$2:$B$184,2,FALSE),"")</f>
        <v/>
      </c>
    </row>
    <row r="1478" spans="1:9" x14ac:dyDescent="0.2">
      <c r="A1478" t="str">
        <f t="shared" si="23"/>
        <v/>
      </c>
      <c r="B1478" s="24">
        <v>2017</v>
      </c>
      <c r="C1478" t="s">
        <v>383</v>
      </c>
      <c r="D1478" t="s">
        <v>744</v>
      </c>
      <c r="E1478" t="s">
        <v>744</v>
      </c>
      <c r="F1478" s="11">
        <v>78261928</v>
      </c>
      <c r="G1478" s="18">
        <v>7.0140000000000003E-4</v>
      </c>
      <c r="H1478" s="11">
        <v>1010853.4716</v>
      </c>
      <c r="I1478" s="22" t="str">
        <f>IFERROR(VLOOKUP(D1478,'LEAID Match'!$A$2:$B$184,2,FALSE),"")</f>
        <v/>
      </c>
    </row>
    <row r="1479" spans="1:9" x14ac:dyDescent="0.2">
      <c r="A1479" t="str">
        <f t="shared" si="23"/>
        <v/>
      </c>
      <c r="B1479" s="24">
        <v>2018</v>
      </c>
      <c r="C1479" t="s">
        <v>383</v>
      </c>
      <c r="D1479" t="s">
        <v>744</v>
      </c>
      <c r="E1479" t="s">
        <v>744</v>
      </c>
      <c r="F1479" s="11">
        <v>81579606</v>
      </c>
      <c r="G1479" s="18">
        <v>7.0200000000000004E-4</v>
      </c>
      <c r="H1479" s="11">
        <v>1125236.5020000001</v>
      </c>
      <c r="I1479" s="22" t="str">
        <f>IFERROR(VLOOKUP(D1479,'LEAID Match'!$A$2:$B$184,2,FALSE),"")</f>
        <v/>
      </c>
    </row>
    <row r="1480" spans="1:9" x14ac:dyDescent="0.2">
      <c r="A1480" t="str">
        <f t="shared" si="23"/>
        <v/>
      </c>
      <c r="B1480" s="24">
        <v>2019</v>
      </c>
      <c r="C1480" t="s">
        <v>383</v>
      </c>
      <c r="D1480" t="s">
        <v>744</v>
      </c>
      <c r="E1480" t="s">
        <v>744</v>
      </c>
      <c r="F1480" s="11">
        <v>82420886</v>
      </c>
      <c r="G1480" s="18">
        <v>6.8409999999999999E-4</v>
      </c>
      <c r="H1480" s="11">
        <v>1310151.3785999999</v>
      </c>
      <c r="I1480" s="22" t="str">
        <f>IFERROR(VLOOKUP(D1480,'LEAID Match'!$A$2:$B$184,2,FALSE),"")</f>
        <v/>
      </c>
    </row>
    <row r="1481" spans="1:9" x14ac:dyDescent="0.2">
      <c r="A1481" t="str">
        <f t="shared" si="23"/>
        <v/>
      </c>
      <c r="B1481" s="24">
        <v>2020</v>
      </c>
      <c r="C1481" t="s">
        <v>383</v>
      </c>
      <c r="D1481" t="s">
        <v>744</v>
      </c>
      <c r="E1481" t="s">
        <v>744</v>
      </c>
      <c r="F1481" s="11">
        <v>79423861</v>
      </c>
      <c r="G1481" s="18">
        <v>6.4119999999999997E-4</v>
      </c>
      <c r="H1481" s="11">
        <v>1317714.0899999999</v>
      </c>
      <c r="I1481" s="22" t="str">
        <f>IFERROR(VLOOKUP(D1481,'LEAID Match'!$A$2:$B$184,2,FALSE),"")</f>
        <v/>
      </c>
    </row>
    <row r="1482" spans="1:9" x14ac:dyDescent="0.2">
      <c r="A1482" t="str">
        <f t="shared" si="23"/>
        <v/>
      </c>
      <c r="B1482" s="24">
        <v>2021</v>
      </c>
      <c r="C1482" t="s">
        <v>383</v>
      </c>
      <c r="D1482" t="s">
        <v>744</v>
      </c>
      <c r="E1482" t="s">
        <v>744</v>
      </c>
      <c r="F1482" s="11">
        <v>78826775</v>
      </c>
      <c r="G1482" s="18">
        <v>6.2989999999999997E-4</v>
      </c>
      <c r="H1482" s="11">
        <v>1494911.4347999999</v>
      </c>
      <c r="I1482" s="22" t="str">
        <f>IFERROR(VLOOKUP(D1482,'LEAID Match'!$A$2:$B$184,2,FALSE),"")</f>
        <v/>
      </c>
    </row>
    <row r="1483" spans="1:9" x14ac:dyDescent="0.2">
      <c r="A1483" t="str">
        <f t="shared" si="23"/>
        <v/>
      </c>
      <c r="B1483" s="24">
        <v>2022</v>
      </c>
      <c r="C1483" t="s">
        <v>383</v>
      </c>
      <c r="D1483" t="s">
        <v>744</v>
      </c>
      <c r="E1483" t="s">
        <v>744</v>
      </c>
      <c r="F1483" s="11">
        <v>78910875</v>
      </c>
      <c r="G1483" s="18">
        <v>6.2569999999999998E-4</v>
      </c>
      <c r="H1483" s="11">
        <v>1728149.6121999999</v>
      </c>
      <c r="I1483" s="22" t="str">
        <f>IFERROR(VLOOKUP(D1483,'LEAID Match'!$A$2:$B$184,2,FALSE),"")</f>
        <v/>
      </c>
    </row>
    <row r="1484" spans="1:9" x14ac:dyDescent="0.2">
      <c r="A1484" t="str">
        <f t="shared" si="23"/>
        <v/>
      </c>
      <c r="B1484" s="24">
        <v>2023</v>
      </c>
      <c r="C1484" t="s">
        <v>383</v>
      </c>
      <c r="D1484" t="s">
        <v>744</v>
      </c>
      <c r="E1484" t="s">
        <v>744</v>
      </c>
      <c r="F1484" s="11">
        <v>78907990</v>
      </c>
      <c r="G1484" s="18">
        <v>5.9369999999999996E-4</v>
      </c>
      <c r="H1484" s="11">
        <v>1801818.3488999999</v>
      </c>
      <c r="I1484" s="22" t="str">
        <f>IFERROR(VLOOKUP(D1484,'LEAID Match'!$A$2:$B$184,2,FALSE),"")</f>
        <v/>
      </c>
    </row>
    <row r="1485" spans="1:9" x14ac:dyDescent="0.2">
      <c r="A1485">
        <f t="shared" si="23"/>
        <v>3702370</v>
      </c>
      <c r="B1485" s="24">
        <v>2015</v>
      </c>
      <c r="C1485" t="s">
        <v>384</v>
      </c>
      <c r="D1485" t="s">
        <v>745</v>
      </c>
      <c r="E1485" t="s">
        <v>330</v>
      </c>
      <c r="F1485" s="11">
        <v>1484408068</v>
      </c>
      <c r="G1485" s="18">
        <v>1.2978699999999999E-2</v>
      </c>
      <c r="H1485" s="11">
        <v>16391942.355599999</v>
      </c>
      <c r="I1485" s="22">
        <f>IFERROR(VLOOKUP(D1485,'LEAID Match'!$A$2:$B$184,2,FALSE),"")</f>
        <v>3702370</v>
      </c>
    </row>
    <row r="1486" spans="1:9" x14ac:dyDescent="0.2">
      <c r="A1486">
        <f t="shared" si="23"/>
        <v>3702370</v>
      </c>
      <c r="B1486" s="24">
        <v>2016</v>
      </c>
      <c r="C1486" t="s">
        <v>384</v>
      </c>
      <c r="D1486" t="s">
        <v>745</v>
      </c>
      <c r="E1486" t="s">
        <v>745</v>
      </c>
      <c r="F1486" s="11">
        <v>1407648753</v>
      </c>
      <c r="G1486" s="18">
        <v>1.29987E-2</v>
      </c>
      <c r="H1486" s="11">
        <v>16573381.496100001</v>
      </c>
      <c r="I1486" s="22">
        <f>IFERROR(VLOOKUP(D1486,'LEAID Match'!$A$2:$B$184,2,FALSE),"")</f>
        <v>3702370</v>
      </c>
    </row>
    <row r="1487" spans="1:9" x14ac:dyDescent="0.2">
      <c r="A1487">
        <f t="shared" si="23"/>
        <v>3702370</v>
      </c>
      <c r="B1487" s="24">
        <v>2017</v>
      </c>
      <c r="C1487" t="s">
        <v>384</v>
      </c>
      <c r="D1487" t="s">
        <v>745</v>
      </c>
      <c r="E1487" t="s">
        <v>745</v>
      </c>
      <c r="F1487" s="11">
        <v>1479635526</v>
      </c>
      <c r="G1487" s="18">
        <v>1.3260600000000001E-2</v>
      </c>
      <c r="H1487" s="11">
        <v>19111097.156400003</v>
      </c>
      <c r="I1487" s="22">
        <f>IFERROR(VLOOKUP(D1487,'LEAID Match'!$A$2:$B$184,2,FALSE),"")</f>
        <v>3702370</v>
      </c>
    </row>
    <row r="1488" spans="1:9" x14ac:dyDescent="0.2">
      <c r="A1488">
        <f t="shared" si="23"/>
        <v>3702370</v>
      </c>
      <c r="B1488" s="24">
        <v>2018</v>
      </c>
      <c r="C1488" t="s">
        <v>384</v>
      </c>
      <c r="D1488" t="s">
        <v>745</v>
      </c>
      <c r="E1488" t="s">
        <v>745</v>
      </c>
      <c r="F1488" s="11">
        <v>1568800494</v>
      </c>
      <c r="G1488" s="18">
        <v>1.34999E-2</v>
      </c>
      <c r="H1488" s="11">
        <v>21639003.209899999</v>
      </c>
      <c r="I1488" s="22">
        <f>IFERROR(VLOOKUP(D1488,'LEAID Match'!$A$2:$B$184,2,FALSE),"")</f>
        <v>3702370</v>
      </c>
    </row>
    <row r="1489" spans="1:9" x14ac:dyDescent="0.2">
      <c r="A1489">
        <f t="shared" si="23"/>
        <v>3702370</v>
      </c>
      <c r="B1489" s="24">
        <v>2019</v>
      </c>
      <c r="C1489" t="s">
        <v>384</v>
      </c>
      <c r="D1489" t="s">
        <v>745</v>
      </c>
      <c r="E1489" t="s">
        <v>745</v>
      </c>
      <c r="F1489" s="11">
        <v>1656405258</v>
      </c>
      <c r="G1489" s="18">
        <v>1.37482E-2</v>
      </c>
      <c r="H1489" s="11">
        <v>26329810.237199999</v>
      </c>
      <c r="I1489" s="22">
        <f>IFERROR(VLOOKUP(D1489,'LEAID Match'!$A$2:$B$184,2,FALSE),"")</f>
        <v>3702370</v>
      </c>
    </row>
    <row r="1490" spans="1:9" x14ac:dyDescent="0.2">
      <c r="A1490">
        <f t="shared" si="23"/>
        <v>3702370</v>
      </c>
      <c r="B1490" s="24">
        <v>2020</v>
      </c>
      <c r="C1490" t="s">
        <v>384</v>
      </c>
      <c r="D1490" t="s">
        <v>745</v>
      </c>
      <c r="E1490" t="s">
        <v>745</v>
      </c>
      <c r="F1490" s="11">
        <v>1705761146</v>
      </c>
      <c r="G1490" s="18">
        <v>1.37704E-2</v>
      </c>
      <c r="H1490" s="11">
        <v>28299204.780000001</v>
      </c>
      <c r="I1490" s="22">
        <f>IFERROR(VLOOKUP(D1490,'LEAID Match'!$A$2:$B$184,2,FALSE),"")</f>
        <v>3702370</v>
      </c>
    </row>
    <row r="1491" spans="1:9" x14ac:dyDescent="0.2">
      <c r="A1491">
        <f t="shared" si="23"/>
        <v>3702370</v>
      </c>
      <c r="B1491" s="24">
        <v>2021</v>
      </c>
      <c r="C1491" t="s">
        <v>384</v>
      </c>
      <c r="D1491" t="s">
        <v>745</v>
      </c>
      <c r="E1491" t="s">
        <v>745</v>
      </c>
      <c r="F1491" s="11">
        <v>1662792359</v>
      </c>
      <c r="G1491" s="18">
        <v>1.32864E-2</v>
      </c>
      <c r="H1491" s="11">
        <v>31531975.3728</v>
      </c>
      <c r="I1491" s="22">
        <f>IFERROR(VLOOKUP(D1491,'LEAID Match'!$A$2:$B$184,2,FALSE),"")</f>
        <v>3702370</v>
      </c>
    </row>
    <row r="1492" spans="1:9" x14ac:dyDescent="0.2">
      <c r="A1492">
        <f t="shared" si="23"/>
        <v>3702370</v>
      </c>
      <c r="B1492" s="24">
        <v>2022</v>
      </c>
      <c r="C1492" t="s">
        <v>384</v>
      </c>
      <c r="D1492" t="s">
        <v>745</v>
      </c>
      <c r="E1492" t="s">
        <v>745</v>
      </c>
      <c r="F1492" s="11">
        <v>1711213237</v>
      </c>
      <c r="G1492" s="18">
        <v>1.3568200000000001E-2</v>
      </c>
      <c r="H1492" s="11">
        <v>37474635.717200004</v>
      </c>
      <c r="I1492" s="22">
        <f>IFERROR(VLOOKUP(D1492,'LEAID Match'!$A$2:$B$184,2,FALSE),"")</f>
        <v>3702370</v>
      </c>
    </row>
    <row r="1493" spans="1:9" x14ac:dyDescent="0.2">
      <c r="A1493">
        <f t="shared" si="23"/>
        <v>3702370</v>
      </c>
      <c r="B1493" s="24">
        <v>2023</v>
      </c>
      <c r="C1493" t="s">
        <v>384</v>
      </c>
      <c r="D1493" t="s">
        <v>745</v>
      </c>
      <c r="E1493" t="s">
        <v>745</v>
      </c>
      <c r="F1493" s="11">
        <v>1780890260</v>
      </c>
      <c r="G1493" s="18">
        <v>1.3399899999999999E-2</v>
      </c>
      <c r="H1493" s="11">
        <v>40667316.3103</v>
      </c>
      <c r="I1493" s="22">
        <f>IFERROR(VLOOKUP(D1493,'LEAID Match'!$A$2:$B$184,2,FALSE),"")</f>
        <v>3702370</v>
      </c>
    </row>
    <row r="1494" spans="1:9" x14ac:dyDescent="0.2">
      <c r="A1494" t="str">
        <f t="shared" si="23"/>
        <v/>
      </c>
      <c r="B1494" s="24">
        <v>2015</v>
      </c>
      <c r="C1494" t="s">
        <v>385</v>
      </c>
      <c r="D1494" t="s">
        <v>746</v>
      </c>
      <c r="E1494" t="s">
        <v>331</v>
      </c>
      <c r="F1494" s="11">
        <v>137633248</v>
      </c>
      <c r="G1494" s="18">
        <v>1.2034000000000001E-3</v>
      </c>
      <c r="H1494" s="11">
        <v>1519879.7592000002</v>
      </c>
      <c r="I1494" s="22" t="str">
        <f>IFERROR(VLOOKUP(D1494,'LEAID Match'!$A$2:$B$184,2,FALSE),"")</f>
        <v/>
      </c>
    </row>
    <row r="1495" spans="1:9" x14ac:dyDescent="0.2">
      <c r="A1495" t="str">
        <f t="shared" si="23"/>
        <v/>
      </c>
      <c r="B1495" s="24">
        <v>2016</v>
      </c>
      <c r="C1495" t="s">
        <v>385</v>
      </c>
      <c r="D1495" t="s">
        <v>746</v>
      </c>
      <c r="E1495" t="s">
        <v>746</v>
      </c>
      <c r="F1495" s="11">
        <v>126968740</v>
      </c>
      <c r="G1495" s="18">
        <v>1.1724999999999999E-3</v>
      </c>
      <c r="H1495" s="11">
        <v>1494941.0174999998</v>
      </c>
      <c r="I1495" s="22" t="str">
        <f>IFERROR(VLOOKUP(D1495,'LEAID Match'!$A$2:$B$184,2,FALSE),"")</f>
        <v/>
      </c>
    </row>
    <row r="1496" spans="1:9" x14ac:dyDescent="0.2">
      <c r="A1496" t="str">
        <f t="shared" si="23"/>
        <v/>
      </c>
      <c r="B1496" s="24">
        <v>2017</v>
      </c>
      <c r="C1496" t="s">
        <v>385</v>
      </c>
      <c r="D1496" t="s">
        <v>746</v>
      </c>
      <c r="E1496" t="s">
        <v>746</v>
      </c>
      <c r="F1496" s="11">
        <v>129540835</v>
      </c>
      <c r="G1496" s="18">
        <v>1.1609000000000001E-3</v>
      </c>
      <c r="H1496" s="11">
        <v>1673082.1146000002</v>
      </c>
      <c r="I1496" s="22" t="str">
        <f>IFERROR(VLOOKUP(D1496,'LEAID Match'!$A$2:$B$184,2,FALSE),"")</f>
        <v/>
      </c>
    </row>
    <row r="1497" spans="1:9" x14ac:dyDescent="0.2">
      <c r="A1497" t="str">
        <f t="shared" si="23"/>
        <v/>
      </c>
      <c r="B1497" s="24">
        <v>2018</v>
      </c>
      <c r="C1497" t="s">
        <v>385</v>
      </c>
      <c r="D1497" t="s">
        <v>746</v>
      </c>
      <c r="E1497" t="s">
        <v>746</v>
      </c>
      <c r="F1497" s="11">
        <v>133965890</v>
      </c>
      <c r="G1497" s="18">
        <v>1.1528E-3</v>
      </c>
      <c r="H1497" s="11">
        <v>1847824.2728000002</v>
      </c>
      <c r="I1497" s="22" t="str">
        <f>IFERROR(VLOOKUP(D1497,'LEAID Match'!$A$2:$B$184,2,FALSE),"")</f>
        <v/>
      </c>
    </row>
    <row r="1498" spans="1:9" x14ac:dyDescent="0.2">
      <c r="A1498" t="str">
        <f t="shared" si="23"/>
        <v/>
      </c>
      <c r="B1498" s="24">
        <v>2019</v>
      </c>
      <c r="C1498" t="s">
        <v>385</v>
      </c>
      <c r="D1498" t="s">
        <v>746</v>
      </c>
      <c r="E1498" t="s">
        <v>746</v>
      </c>
      <c r="F1498" s="11">
        <v>141722381</v>
      </c>
      <c r="G1498" s="18">
        <v>1.1762999999999999E-3</v>
      </c>
      <c r="H1498" s="11">
        <v>2252786.2397999996</v>
      </c>
      <c r="I1498" s="22" t="str">
        <f>IFERROR(VLOOKUP(D1498,'LEAID Match'!$A$2:$B$184,2,FALSE),"")</f>
        <v/>
      </c>
    </row>
    <row r="1499" spans="1:9" x14ac:dyDescent="0.2">
      <c r="A1499" t="str">
        <f t="shared" si="23"/>
        <v/>
      </c>
      <c r="B1499" s="24">
        <v>2020</v>
      </c>
      <c r="C1499" t="s">
        <v>385</v>
      </c>
      <c r="D1499" t="s">
        <v>746</v>
      </c>
      <c r="E1499" t="s">
        <v>746</v>
      </c>
      <c r="F1499" s="11">
        <v>145914351</v>
      </c>
      <c r="G1499" s="18">
        <v>1.1779E-3</v>
      </c>
      <c r="H1499" s="11">
        <v>2420672.8424999998</v>
      </c>
      <c r="I1499" s="22" t="str">
        <f>IFERROR(VLOOKUP(D1499,'LEAID Match'!$A$2:$B$184,2,FALSE),"")</f>
        <v/>
      </c>
    </row>
    <row r="1500" spans="1:9" x14ac:dyDescent="0.2">
      <c r="A1500" t="str">
        <f t="shared" si="23"/>
        <v/>
      </c>
      <c r="B1500" s="24">
        <v>2021</v>
      </c>
      <c r="C1500" t="s">
        <v>385</v>
      </c>
      <c r="D1500" t="s">
        <v>746</v>
      </c>
      <c r="E1500" t="s">
        <v>746</v>
      </c>
      <c r="F1500" s="11">
        <v>146554849</v>
      </c>
      <c r="G1500" s="18">
        <v>1.1709999999999999E-3</v>
      </c>
      <c r="H1500" s="11">
        <v>2779078.0919999997</v>
      </c>
      <c r="I1500" s="22" t="str">
        <f>IFERROR(VLOOKUP(D1500,'LEAID Match'!$A$2:$B$184,2,FALSE),"")</f>
        <v/>
      </c>
    </row>
    <row r="1501" spans="1:9" x14ac:dyDescent="0.2">
      <c r="A1501" t="str">
        <f t="shared" si="23"/>
        <v/>
      </c>
      <c r="B1501" s="24">
        <v>2022</v>
      </c>
      <c r="C1501" t="s">
        <v>385</v>
      </c>
      <c r="D1501" t="s">
        <v>746</v>
      </c>
      <c r="E1501" t="s">
        <v>746</v>
      </c>
      <c r="F1501" s="11">
        <v>139389387</v>
      </c>
      <c r="G1501" s="18">
        <v>1.1052E-3</v>
      </c>
      <c r="H1501" s="11">
        <v>3052502.7191999997</v>
      </c>
      <c r="I1501" s="22" t="str">
        <f>IFERROR(VLOOKUP(D1501,'LEAID Match'!$A$2:$B$184,2,FALSE),"")</f>
        <v/>
      </c>
    </row>
    <row r="1502" spans="1:9" x14ac:dyDescent="0.2">
      <c r="A1502" t="str">
        <f t="shared" si="23"/>
        <v/>
      </c>
      <c r="B1502" s="24">
        <v>2023</v>
      </c>
      <c r="C1502" t="s">
        <v>385</v>
      </c>
      <c r="D1502" t="s">
        <v>746</v>
      </c>
      <c r="E1502" t="s">
        <v>746</v>
      </c>
      <c r="F1502" s="11">
        <v>144204661</v>
      </c>
      <c r="G1502" s="18">
        <v>1.085E-3</v>
      </c>
      <c r="H1502" s="11">
        <v>3292863.2450000001</v>
      </c>
      <c r="I1502" s="22" t="str">
        <f>IFERROR(VLOOKUP(D1502,'LEAID Match'!$A$2:$B$184,2,FALSE),"")</f>
        <v/>
      </c>
    </row>
    <row r="1503" spans="1:9" x14ac:dyDescent="0.2">
      <c r="A1503">
        <f t="shared" si="23"/>
        <v>3700144</v>
      </c>
      <c r="B1503" s="24">
        <v>2015</v>
      </c>
      <c r="C1503" t="s">
        <v>386</v>
      </c>
      <c r="D1503" t="s">
        <v>747</v>
      </c>
      <c r="E1503" t="s">
        <v>332</v>
      </c>
      <c r="F1503" s="11">
        <v>30222788</v>
      </c>
      <c r="G1503" s="18">
        <v>2.6420000000000003E-4</v>
      </c>
      <c r="H1503" s="11">
        <v>333681.42960000003</v>
      </c>
      <c r="I1503" s="22">
        <f>IFERROR(VLOOKUP(D1503,'LEAID Match'!$A$2:$B$184,2,FALSE),"")</f>
        <v>3700144</v>
      </c>
    </row>
    <row r="1504" spans="1:9" x14ac:dyDescent="0.2">
      <c r="A1504">
        <f t="shared" si="23"/>
        <v>3700144</v>
      </c>
      <c r="B1504" s="24">
        <v>2016</v>
      </c>
      <c r="C1504" t="s">
        <v>386</v>
      </c>
      <c r="D1504" t="s">
        <v>747</v>
      </c>
      <c r="E1504" t="s">
        <v>747</v>
      </c>
      <c r="F1504" s="11">
        <v>32408794</v>
      </c>
      <c r="G1504" s="18">
        <v>2.9930000000000001E-4</v>
      </c>
      <c r="H1504" s="11">
        <v>381608.39790000004</v>
      </c>
      <c r="I1504" s="22">
        <f>IFERROR(VLOOKUP(D1504,'LEAID Match'!$A$2:$B$184,2,FALSE),"")</f>
        <v>3700144</v>
      </c>
    </row>
    <row r="1505" spans="1:9" x14ac:dyDescent="0.2">
      <c r="A1505">
        <f t="shared" si="23"/>
        <v>3700144</v>
      </c>
      <c r="B1505" s="24">
        <v>2017</v>
      </c>
      <c r="C1505" t="s">
        <v>386</v>
      </c>
      <c r="D1505" t="s">
        <v>747</v>
      </c>
      <c r="E1505" t="s">
        <v>747</v>
      </c>
      <c r="F1505" s="11">
        <v>31951075</v>
      </c>
      <c r="G1505" s="18">
        <v>2.8630000000000002E-4</v>
      </c>
      <c r="H1505" s="11">
        <v>412613.84220000001</v>
      </c>
      <c r="I1505" s="22">
        <f>IFERROR(VLOOKUP(D1505,'LEAID Match'!$A$2:$B$184,2,FALSE),"")</f>
        <v>3700144</v>
      </c>
    </row>
    <row r="1506" spans="1:9" x14ac:dyDescent="0.2">
      <c r="A1506">
        <f t="shared" si="23"/>
        <v>3700144</v>
      </c>
      <c r="B1506" s="24">
        <v>2018</v>
      </c>
      <c r="C1506" t="s">
        <v>386</v>
      </c>
      <c r="D1506" t="s">
        <v>747</v>
      </c>
      <c r="E1506" t="s">
        <v>747</v>
      </c>
      <c r="F1506" s="11">
        <v>34215569</v>
      </c>
      <c r="G1506" s="18">
        <v>2.944E-4</v>
      </c>
      <c r="H1506" s="11">
        <v>471894.05440000002</v>
      </c>
      <c r="I1506" s="22">
        <f>IFERROR(VLOOKUP(D1506,'LEAID Match'!$A$2:$B$184,2,FALSE),"")</f>
        <v>3700144</v>
      </c>
    </row>
    <row r="1507" spans="1:9" x14ac:dyDescent="0.2">
      <c r="A1507">
        <f t="shared" si="23"/>
        <v>3700144</v>
      </c>
      <c r="B1507" s="24">
        <v>2019</v>
      </c>
      <c r="C1507" t="s">
        <v>386</v>
      </c>
      <c r="D1507" t="s">
        <v>747</v>
      </c>
      <c r="E1507" t="s">
        <v>747</v>
      </c>
      <c r="F1507" s="11">
        <v>35595963</v>
      </c>
      <c r="G1507" s="18">
        <v>2.9540000000000002E-4</v>
      </c>
      <c r="H1507" s="11">
        <v>565734.12840000005</v>
      </c>
      <c r="I1507" s="22">
        <f>IFERROR(VLOOKUP(D1507,'LEAID Match'!$A$2:$B$184,2,FALSE),"")</f>
        <v>3700144</v>
      </c>
    </row>
    <row r="1508" spans="1:9" x14ac:dyDescent="0.2">
      <c r="A1508">
        <f t="shared" si="23"/>
        <v>3700144</v>
      </c>
      <c r="B1508" s="24">
        <v>2020</v>
      </c>
      <c r="C1508" t="s">
        <v>386</v>
      </c>
      <c r="D1508" t="s">
        <v>747</v>
      </c>
      <c r="E1508" t="s">
        <v>747</v>
      </c>
      <c r="F1508" s="11">
        <v>35332752</v>
      </c>
      <c r="G1508" s="18">
        <v>2.8519999999999999E-4</v>
      </c>
      <c r="H1508" s="11">
        <v>586107.39</v>
      </c>
      <c r="I1508" s="22">
        <f>IFERROR(VLOOKUP(D1508,'LEAID Match'!$A$2:$B$184,2,FALSE),"")</f>
        <v>3700144</v>
      </c>
    </row>
    <row r="1509" spans="1:9" x14ac:dyDescent="0.2">
      <c r="A1509">
        <f t="shared" si="23"/>
        <v>3700144</v>
      </c>
      <c r="B1509" s="24">
        <v>2021</v>
      </c>
      <c r="C1509" t="s">
        <v>386</v>
      </c>
      <c r="D1509" t="s">
        <v>747</v>
      </c>
      <c r="E1509" t="s">
        <v>747</v>
      </c>
      <c r="F1509" s="11">
        <v>34812918</v>
      </c>
      <c r="G1509" s="18">
        <v>2.7819999999999999E-4</v>
      </c>
      <c r="H1509" s="11">
        <v>660238.70640000002</v>
      </c>
      <c r="I1509" s="22">
        <f>IFERROR(VLOOKUP(D1509,'LEAID Match'!$A$2:$B$184,2,FALSE),"")</f>
        <v>3700144</v>
      </c>
    </row>
    <row r="1510" spans="1:9" x14ac:dyDescent="0.2">
      <c r="A1510">
        <f t="shared" si="23"/>
        <v>3700144</v>
      </c>
      <c r="B1510" s="24">
        <v>2022</v>
      </c>
      <c r="C1510" t="s">
        <v>386</v>
      </c>
      <c r="D1510" t="s">
        <v>747</v>
      </c>
      <c r="E1510" t="s">
        <v>747</v>
      </c>
      <c r="F1510" s="11">
        <v>34668738</v>
      </c>
      <c r="G1510" s="18">
        <v>2.7490000000000001E-4</v>
      </c>
      <c r="H1510" s="11">
        <v>759258.95540000009</v>
      </c>
      <c r="I1510" s="22">
        <f>IFERROR(VLOOKUP(D1510,'LEAID Match'!$A$2:$B$184,2,FALSE),"")</f>
        <v>3700144</v>
      </c>
    </row>
    <row r="1511" spans="1:9" x14ac:dyDescent="0.2">
      <c r="A1511">
        <f t="shared" si="23"/>
        <v>3700144</v>
      </c>
      <c r="B1511" s="24">
        <v>2023</v>
      </c>
      <c r="C1511" t="s">
        <v>386</v>
      </c>
      <c r="D1511" t="s">
        <v>747</v>
      </c>
      <c r="E1511" t="s">
        <v>747</v>
      </c>
      <c r="F1511" s="11">
        <v>31839834</v>
      </c>
      <c r="G1511" s="18">
        <v>2.396E-4</v>
      </c>
      <c r="H1511" s="11">
        <v>727161.32120000001</v>
      </c>
      <c r="I1511" s="22">
        <f>IFERROR(VLOOKUP(D1511,'LEAID Match'!$A$2:$B$184,2,FALSE),"")</f>
        <v>3700144</v>
      </c>
    </row>
    <row r="1512" spans="1:9" x14ac:dyDescent="0.2">
      <c r="A1512">
        <f t="shared" si="23"/>
        <v>3702400</v>
      </c>
      <c r="B1512" s="24">
        <v>2015</v>
      </c>
      <c r="C1512" t="s">
        <v>387</v>
      </c>
      <c r="D1512" t="s">
        <v>748</v>
      </c>
      <c r="E1512" t="s">
        <v>333</v>
      </c>
      <c r="F1512" s="11">
        <v>64247696</v>
      </c>
      <c r="G1512" s="18">
        <v>5.6170000000000005E-4</v>
      </c>
      <c r="H1512" s="11">
        <v>709420.35960000008</v>
      </c>
      <c r="I1512" s="22">
        <f>IFERROR(VLOOKUP(D1512,'LEAID Match'!$A$2:$B$184,2,FALSE),"")</f>
        <v>3702400</v>
      </c>
    </row>
    <row r="1513" spans="1:9" x14ac:dyDescent="0.2">
      <c r="A1513">
        <f t="shared" si="23"/>
        <v>3702400</v>
      </c>
      <c r="B1513" s="24">
        <v>2016</v>
      </c>
      <c r="C1513" t="s">
        <v>387</v>
      </c>
      <c r="D1513" t="s">
        <v>748</v>
      </c>
      <c r="E1513" t="s">
        <v>748</v>
      </c>
      <c r="F1513" s="11">
        <v>62878197</v>
      </c>
      <c r="G1513" s="18">
        <v>5.8060000000000002E-4</v>
      </c>
      <c r="H1513" s="11">
        <v>740266.74180000008</v>
      </c>
      <c r="I1513" s="22">
        <f>IFERROR(VLOOKUP(D1513,'LEAID Match'!$A$2:$B$184,2,FALSE),"")</f>
        <v>3702400</v>
      </c>
    </row>
    <row r="1514" spans="1:9" x14ac:dyDescent="0.2">
      <c r="A1514">
        <f t="shared" si="23"/>
        <v>3702400</v>
      </c>
      <c r="B1514" s="24">
        <v>2017</v>
      </c>
      <c r="C1514" t="s">
        <v>387</v>
      </c>
      <c r="D1514" t="s">
        <v>748</v>
      </c>
      <c r="E1514" t="s">
        <v>748</v>
      </c>
      <c r="F1514" s="11">
        <v>62635939</v>
      </c>
      <c r="G1514" s="18">
        <v>5.6130000000000004E-4</v>
      </c>
      <c r="H1514" s="11">
        <v>808942.19220000005</v>
      </c>
      <c r="I1514" s="22">
        <f>IFERROR(VLOOKUP(D1514,'LEAID Match'!$A$2:$B$184,2,FALSE),"")</f>
        <v>3702400</v>
      </c>
    </row>
    <row r="1515" spans="1:9" x14ac:dyDescent="0.2">
      <c r="A1515">
        <f t="shared" si="23"/>
        <v>3702400</v>
      </c>
      <c r="B1515" s="24">
        <v>2018</v>
      </c>
      <c r="C1515" t="s">
        <v>387</v>
      </c>
      <c r="D1515" t="s">
        <v>748</v>
      </c>
      <c r="E1515" t="s">
        <v>748</v>
      </c>
      <c r="F1515" s="11">
        <v>65113727</v>
      </c>
      <c r="G1515" s="18">
        <v>5.6030000000000001E-4</v>
      </c>
      <c r="H1515" s="11">
        <v>898105.43030000001</v>
      </c>
      <c r="I1515" s="22">
        <f>IFERROR(VLOOKUP(D1515,'LEAID Match'!$A$2:$B$184,2,FALSE),"")</f>
        <v>3702400</v>
      </c>
    </row>
    <row r="1516" spans="1:9" x14ac:dyDescent="0.2">
      <c r="A1516">
        <f t="shared" si="23"/>
        <v>3702400</v>
      </c>
      <c r="B1516" s="24">
        <v>2019</v>
      </c>
      <c r="C1516" t="s">
        <v>387</v>
      </c>
      <c r="D1516" t="s">
        <v>748</v>
      </c>
      <c r="E1516" t="s">
        <v>748</v>
      </c>
      <c r="F1516" s="11">
        <v>65572855</v>
      </c>
      <c r="G1516" s="18">
        <v>5.4429999999999995E-4</v>
      </c>
      <c r="H1516" s="11">
        <v>1042413.9677999999</v>
      </c>
      <c r="I1516" s="22">
        <f>IFERROR(VLOOKUP(D1516,'LEAID Match'!$A$2:$B$184,2,FALSE),"")</f>
        <v>3702400</v>
      </c>
    </row>
    <row r="1517" spans="1:9" x14ac:dyDescent="0.2">
      <c r="A1517">
        <f t="shared" si="23"/>
        <v>3702400</v>
      </c>
      <c r="B1517" s="24">
        <v>2020</v>
      </c>
      <c r="C1517" t="s">
        <v>387</v>
      </c>
      <c r="D1517" t="s">
        <v>748</v>
      </c>
      <c r="E1517" t="s">
        <v>748</v>
      </c>
      <c r="F1517" s="11">
        <v>62923356</v>
      </c>
      <c r="G1517" s="18">
        <v>5.0799999999999999E-4</v>
      </c>
      <c r="H1517" s="11">
        <v>1043978.1</v>
      </c>
      <c r="I1517" s="22">
        <f>IFERROR(VLOOKUP(D1517,'LEAID Match'!$A$2:$B$184,2,FALSE),"")</f>
        <v>3702400</v>
      </c>
    </row>
    <row r="1518" spans="1:9" x14ac:dyDescent="0.2">
      <c r="A1518">
        <f t="shared" si="23"/>
        <v>3702400</v>
      </c>
      <c r="B1518" s="24">
        <v>2021</v>
      </c>
      <c r="C1518" t="s">
        <v>387</v>
      </c>
      <c r="D1518" t="s">
        <v>748</v>
      </c>
      <c r="E1518" t="s">
        <v>748</v>
      </c>
      <c r="F1518" s="11">
        <v>64118801</v>
      </c>
      <c r="G1518" s="18">
        <v>5.1230000000000004E-4</v>
      </c>
      <c r="H1518" s="11">
        <v>1215816.9996</v>
      </c>
      <c r="I1518" s="22">
        <f>IFERROR(VLOOKUP(D1518,'LEAID Match'!$A$2:$B$184,2,FALSE),"")</f>
        <v>3702400</v>
      </c>
    </row>
    <row r="1519" spans="1:9" x14ac:dyDescent="0.2">
      <c r="A1519">
        <f t="shared" si="23"/>
        <v>3702400</v>
      </c>
      <c r="B1519" s="24">
        <v>2022</v>
      </c>
      <c r="C1519" t="s">
        <v>387</v>
      </c>
      <c r="D1519" t="s">
        <v>748</v>
      </c>
      <c r="E1519" t="s">
        <v>748</v>
      </c>
      <c r="F1519" s="11">
        <v>67005696</v>
      </c>
      <c r="G1519" s="18">
        <v>5.3129999999999996E-4</v>
      </c>
      <c r="H1519" s="11">
        <v>1467421.9097999998</v>
      </c>
      <c r="I1519" s="22">
        <f>IFERROR(VLOOKUP(D1519,'LEAID Match'!$A$2:$B$184,2,FALSE),"")</f>
        <v>3702400</v>
      </c>
    </row>
    <row r="1520" spans="1:9" x14ac:dyDescent="0.2">
      <c r="A1520">
        <f t="shared" si="23"/>
        <v>3702400</v>
      </c>
      <c r="B1520" s="24">
        <v>2023</v>
      </c>
      <c r="C1520" t="s">
        <v>387</v>
      </c>
      <c r="D1520" t="s">
        <v>748</v>
      </c>
      <c r="E1520" t="s">
        <v>748</v>
      </c>
      <c r="F1520" s="11">
        <v>67801229</v>
      </c>
      <c r="G1520" s="18">
        <v>5.1020000000000004E-4</v>
      </c>
      <c r="H1520" s="11">
        <v>1548404.4494</v>
      </c>
      <c r="I1520" s="22">
        <f>IFERROR(VLOOKUP(D1520,'LEAID Match'!$A$2:$B$184,2,FALSE),"")</f>
        <v>3702400</v>
      </c>
    </row>
    <row r="1521" spans="1:9" x14ac:dyDescent="0.2">
      <c r="A1521">
        <f t="shared" si="23"/>
        <v>3702560</v>
      </c>
      <c r="B1521" s="24">
        <v>2015</v>
      </c>
      <c r="C1521" t="s">
        <v>388</v>
      </c>
      <c r="D1521" t="s">
        <v>749</v>
      </c>
      <c r="E1521" t="s">
        <v>334</v>
      </c>
      <c r="F1521" s="11">
        <v>422163507</v>
      </c>
      <c r="G1521" s="18">
        <v>3.6911000000000001E-3</v>
      </c>
      <c r="H1521" s="11">
        <v>4661815.0068000006</v>
      </c>
      <c r="I1521" s="22">
        <f>IFERROR(VLOOKUP(D1521,'LEAID Match'!$A$2:$B$184,2,FALSE),"")</f>
        <v>3702560</v>
      </c>
    </row>
    <row r="1522" spans="1:9" x14ac:dyDescent="0.2">
      <c r="A1522">
        <f t="shared" si="23"/>
        <v>3702560</v>
      </c>
      <c r="B1522" s="24">
        <v>2016</v>
      </c>
      <c r="C1522" t="s">
        <v>388</v>
      </c>
      <c r="D1522" t="s">
        <v>749</v>
      </c>
      <c r="E1522" t="s">
        <v>749</v>
      </c>
      <c r="F1522" s="11">
        <v>415071288</v>
      </c>
      <c r="G1522" s="18">
        <v>3.8329000000000002E-3</v>
      </c>
      <c r="H1522" s="11">
        <v>4886958.9987000003</v>
      </c>
      <c r="I1522" s="22">
        <f>IFERROR(VLOOKUP(D1522,'LEAID Match'!$A$2:$B$184,2,FALSE),"")</f>
        <v>3702560</v>
      </c>
    </row>
    <row r="1523" spans="1:9" x14ac:dyDescent="0.2">
      <c r="A1523">
        <f t="shared" si="23"/>
        <v>3702560</v>
      </c>
      <c r="B1523" s="24">
        <v>2017</v>
      </c>
      <c r="C1523" t="s">
        <v>388</v>
      </c>
      <c r="D1523" t="s">
        <v>749</v>
      </c>
      <c r="E1523" t="s">
        <v>749</v>
      </c>
      <c r="F1523" s="11">
        <v>449347568</v>
      </c>
      <c r="G1523" s="18">
        <v>4.0270999999999996E-3</v>
      </c>
      <c r="H1523" s="11">
        <v>5803832.3573999992</v>
      </c>
      <c r="I1523" s="22">
        <f>IFERROR(VLOOKUP(D1523,'LEAID Match'!$A$2:$B$184,2,FALSE),"")</f>
        <v>3702560</v>
      </c>
    </row>
    <row r="1524" spans="1:9" x14ac:dyDescent="0.2">
      <c r="A1524">
        <f t="shared" si="23"/>
        <v>3702560</v>
      </c>
      <c r="B1524" s="24">
        <v>2018</v>
      </c>
      <c r="C1524" t="s">
        <v>388</v>
      </c>
      <c r="D1524" t="s">
        <v>749</v>
      </c>
      <c r="E1524" t="s">
        <v>749</v>
      </c>
      <c r="F1524" s="11">
        <v>477980350</v>
      </c>
      <c r="G1524" s="18">
        <v>4.1130999999999997E-3</v>
      </c>
      <c r="H1524" s="11">
        <v>6592892.1030999999</v>
      </c>
      <c r="I1524" s="22">
        <f>IFERROR(VLOOKUP(D1524,'LEAID Match'!$A$2:$B$184,2,FALSE),"")</f>
        <v>3702560</v>
      </c>
    </row>
    <row r="1525" spans="1:9" x14ac:dyDescent="0.2">
      <c r="A1525">
        <f t="shared" si="23"/>
        <v>3702560</v>
      </c>
      <c r="B1525" s="24">
        <v>2019</v>
      </c>
      <c r="C1525" t="s">
        <v>388</v>
      </c>
      <c r="D1525" t="s">
        <v>749</v>
      </c>
      <c r="E1525" t="s">
        <v>749</v>
      </c>
      <c r="F1525" s="11">
        <v>480606170</v>
      </c>
      <c r="G1525" s="18">
        <v>3.9890000000000004E-3</v>
      </c>
      <c r="H1525" s="11">
        <v>7639517.3940000003</v>
      </c>
      <c r="I1525" s="22">
        <f>IFERROR(VLOOKUP(D1525,'LEAID Match'!$A$2:$B$184,2,FALSE),"")</f>
        <v>3702560</v>
      </c>
    </row>
    <row r="1526" spans="1:9" x14ac:dyDescent="0.2">
      <c r="A1526">
        <f t="shared" si="23"/>
        <v>3702560</v>
      </c>
      <c r="B1526" s="24">
        <v>2020</v>
      </c>
      <c r="C1526" t="s">
        <v>388</v>
      </c>
      <c r="D1526" t="s">
        <v>749</v>
      </c>
      <c r="E1526" t="s">
        <v>749</v>
      </c>
      <c r="F1526" s="11">
        <v>482382202</v>
      </c>
      <c r="G1526" s="18">
        <v>3.8942E-3</v>
      </c>
      <c r="H1526" s="11">
        <v>8002873.0650000004</v>
      </c>
      <c r="I1526" s="22">
        <f>IFERROR(VLOOKUP(D1526,'LEAID Match'!$A$2:$B$184,2,FALSE),"")</f>
        <v>3702560</v>
      </c>
    </row>
    <row r="1527" spans="1:9" x14ac:dyDescent="0.2">
      <c r="A1527">
        <f t="shared" si="23"/>
        <v>3702560</v>
      </c>
      <c r="B1527" s="24">
        <v>2021</v>
      </c>
      <c r="C1527" t="s">
        <v>388</v>
      </c>
      <c r="D1527" t="s">
        <v>749</v>
      </c>
      <c r="E1527" t="s">
        <v>749</v>
      </c>
      <c r="F1527" s="11">
        <v>455519464</v>
      </c>
      <c r="G1527" s="18">
        <v>3.6397999999999999E-3</v>
      </c>
      <c r="H1527" s="11">
        <v>8638162.6295999996</v>
      </c>
      <c r="I1527" s="22">
        <f>IFERROR(VLOOKUP(D1527,'LEAID Match'!$A$2:$B$184,2,FALSE),"")</f>
        <v>3702560</v>
      </c>
    </row>
    <row r="1528" spans="1:9" x14ac:dyDescent="0.2">
      <c r="A1528">
        <f t="shared" si="23"/>
        <v>3702560</v>
      </c>
      <c r="B1528" s="24">
        <v>2022</v>
      </c>
      <c r="C1528" t="s">
        <v>388</v>
      </c>
      <c r="D1528" t="s">
        <v>749</v>
      </c>
      <c r="E1528" t="s">
        <v>749</v>
      </c>
      <c r="F1528" s="11">
        <v>513787869</v>
      </c>
      <c r="G1528" s="18">
        <v>4.0737999999999998E-3</v>
      </c>
      <c r="H1528" s="11">
        <v>11251615.614799999</v>
      </c>
      <c r="I1528" s="22">
        <f>IFERROR(VLOOKUP(D1528,'LEAID Match'!$A$2:$B$184,2,FALSE),"")</f>
        <v>3702560</v>
      </c>
    </row>
    <row r="1529" spans="1:9" x14ac:dyDescent="0.2">
      <c r="A1529">
        <f t="shared" si="23"/>
        <v>3702560</v>
      </c>
      <c r="B1529" s="24">
        <v>2023</v>
      </c>
      <c r="C1529" t="s">
        <v>388</v>
      </c>
      <c r="D1529" t="s">
        <v>749</v>
      </c>
      <c r="E1529" t="s">
        <v>749</v>
      </c>
      <c r="F1529" s="11">
        <v>524376680</v>
      </c>
      <c r="G1529" s="18">
        <v>3.9455000000000002E-3</v>
      </c>
      <c r="H1529" s="11">
        <v>11974186.113500001</v>
      </c>
      <c r="I1529" s="22">
        <f>IFERROR(VLOOKUP(D1529,'LEAID Match'!$A$2:$B$184,2,FALSE),"")</f>
        <v>3702560</v>
      </c>
    </row>
    <row r="1530" spans="1:9" x14ac:dyDescent="0.2">
      <c r="A1530" t="str">
        <f t="shared" si="23"/>
        <v/>
      </c>
      <c r="B1530" s="24">
        <v>2015</v>
      </c>
      <c r="C1530" t="s">
        <v>389</v>
      </c>
      <c r="D1530" t="s">
        <v>750</v>
      </c>
      <c r="E1530" t="s">
        <v>335</v>
      </c>
      <c r="F1530" s="11">
        <v>152624320</v>
      </c>
      <c r="G1530" s="18">
        <v>1.3343999999999999E-3</v>
      </c>
      <c r="H1530" s="11">
        <v>1685331.1871999998</v>
      </c>
      <c r="I1530" s="22" t="str">
        <f>IFERROR(VLOOKUP(D1530,'LEAID Match'!$A$2:$B$184,2,FALSE),"")</f>
        <v/>
      </c>
    </row>
    <row r="1531" spans="1:9" x14ac:dyDescent="0.2">
      <c r="A1531" t="str">
        <f t="shared" si="23"/>
        <v/>
      </c>
      <c r="B1531" s="24">
        <v>2016</v>
      </c>
      <c r="C1531" t="s">
        <v>389</v>
      </c>
      <c r="D1531" t="s">
        <v>750</v>
      </c>
      <c r="E1531" t="s">
        <v>750</v>
      </c>
      <c r="F1531" s="11">
        <v>153768992</v>
      </c>
      <c r="G1531" s="18">
        <v>1.42E-3</v>
      </c>
      <c r="H1531" s="11">
        <v>1810504.26</v>
      </c>
      <c r="I1531" s="22" t="str">
        <f>IFERROR(VLOOKUP(D1531,'LEAID Match'!$A$2:$B$184,2,FALSE),"")</f>
        <v/>
      </c>
    </row>
    <row r="1532" spans="1:9" x14ac:dyDescent="0.2">
      <c r="A1532" t="str">
        <f t="shared" si="23"/>
        <v/>
      </c>
      <c r="B1532" s="24">
        <v>2017</v>
      </c>
      <c r="C1532" t="s">
        <v>389</v>
      </c>
      <c r="D1532" t="s">
        <v>750</v>
      </c>
      <c r="E1532" t="s">
        <v>750</v>
      </c>
      <c r="F1532" s="11">
        <v>157002192</v>
      </c>
      <c r="G1532" s="18">
        <v>1.4071000000000001E-3</v>
      </c>
      <c r="H1532" s="11">
        <v>2027904.0774000001</v>
      </c>
      <c r="I1532" s="22" t="str">
        <f>IFERROR(VLOOKUP(D1532,'LEAID Match'!$A$2:$B$184,2,FALSE),"")</f>
        <v/>
      </c>
    </row>
    <row r="1533" spans="1:9" x14ac:dyDescent="0.2">
      <c r="A1533" t="str">
        <f t="shared" si="23"/>
        <v/>
      </c>
      <c r="B1533" s="24">
        <v>2018</v>
      </c>
      <c r="C1533" t="s">
        <v>389</v>
      </c>
      <c r="D1533" t="s">
        <v>750</v>
      </c>
      <c r="E1533" t="s">
        <v>750</v>
      </c>
      <c r="F1533" s="11">
        <v>169907419</v>
      </c>
      <c r="G1533" s="18">
        <v>1.4621E-3</v>
      </c>
      <c r="H1533" s="11">
        <v>2343601.5521</v>
      </c>
      <c r="I1533" s="22" t="str">
        <f>IFERROR(VLOOKUP(D1533,'LEAID Match'!$A$2:$B$184,2,FALSE),"")</f>
        <v/>
      </c>
    </row>
    <row r="1534" spans="1:9" x14ac:dyDescent="0.2">
      <c r="A1534" t="str">
        <f t="shared" si="23"/>
        <v/>
      </c>
      <c r="B1534" s="24">
        <v>2019</v>
      </c>
      <c r="C1534" t="s">
        <v>389</v>
      </c>
      <c r="D1534" t="s">
        <v>750</v>
      </c>
      <c r="E1534" t="s">
        <v>750</v>
      </c>
      <c r="F1534" s="11">
        <v>172302986</v>
      </c>
      <c r="G1534" s="18">
        <v>1.4300999999999999E-3</v>
      </c>
      <c r="H1534" s="11">
        <v>2738850.2945999997</v>
      </c>
      <c r="I1534" s="22" t="str">
        <f>IFERROR(VLOOKUP(D1534,'LEAID Match'!$A$2:$B$184,2,FALSE),"")</f>
        <v/>
      </c>
    </row>
    <row r="1535" spans="1:9" x14ac:dyDescent="0.2">
      <c r="A1535" t="str">
        <f t="shared" si="23"/>
        <v/>
      </c>
      <c r="B1535" s="24">
        <v>2020</v>
      </c>
      <c r="C1535" t="s">
        <v>389</v>
      </c>
      <c r="D1535" t="s">
        <v>750</v>
      </c>
      <c r="E1535" t="s">
        <v>750</v>
      </c>
      <c r="F1535" s="11">
        <v>176092597</v>
      </c>
      <c r="G1535" s="18">
        <v>1.4216000000000001E-3</v>
      </c>
      <c r="H1535" s="11">
        <v>2921494.62</v>
      </c>
      <c r="I1535" s="22" t="str">
        <f>IFERROR(VLOOKUP(D1535,'LEAID Match'!$A$2:$B$184,2,FALSE),"")</f>
        <v/>
      </c>
    </row>
    <row r="1536" spans="1:9" x14ac:dyDescent="0.2">
      <c r="A1536" t="str">
        <f t="shared" si="23"/>
        <v/>
      </c>
      <c r="B1536" s="24">
        <v>2021</v>
      </c>
      <c r="C1536" t="s">
        <v>389</v>
      </c>
      <c r="D1536" t="s">
        <v>750</v>
      </c>
      <c r="E1536" t="s">
        <v>750</v>
      </c>
      <c r="F1536" s="11">
        <v>190200119</v>
      </c>
      <c r="G1536" s="18">
        <v>1.5198E-3</v>
      </c>
      <c r="H1536" s="11">
        <v>3606868.3895999999</v>
      </c>
      <c r="I1536" s="22" t="str">
        <f>IFERROR(VLOOKUP(D1536,'LEAID Match'!$A$2:$B$184,2,FALSE),"")</f>
        <v/>
      </c>
    </row>
    <row r="1537" spans="1:9" x14ac:dyDescent="0.2">
      <c r="A1537" t="str">
        <f t="shared" si="23"/>
        <v/>
      </c>
      <c r="B1537" s="24">
        <v>2022</v>
      </c>
      <c r="C1537" t="s">
        <v>389</v>
      </c>
      <c r="D1537" t="s">
        <v>750</v>
      </c>
      <c r="E1537" t="s">
        <v>750</v>
      </c>
      <c r="F1537" s="11">
        <v>188511989</v>
      </c>
      <c r="G1537" s="18">
        <v>1.4947000000000001E-3</v>
      </c>
      <c r="H1537" s="11">
        <v>4128280.6862000003</v>
      </c>
      <c r="I1537" s="22" t="str">
        <f>IFERROR(VLOOKUP(D1537,'LEAID Match'!$A$2:$B$184,2,FALSE),"")</f>
        <v/>
      </c>
    </row>
    <row r="1538" spans="1:9" x14ac:dyDescent="0.2">
      <c r="A1538" t="str">
        <f t="shared" si="23"/>
        <v/>
      </c>
      <c r="B1538" s="24">
        <v>2023</v>
      </c>
      <c r="C1538" t="s">
        <v>389</v>
      </c>
      <c r="D1538" t="s">
        <v>750</v>
      </c>
      <c r="E1538" t="s">
        <v>750</v>
      </c>
      <c r="F1538" s="11">
        <v>198049120</v>
      </c>
      <c r="G1538" s="18">
        <v>1.4901999999999999E-3</v>
      </c>
      <c r="H1538" s="11">
        <v>4522603.5093999999</v>
      </c>
      <c r="I1538" s="22" t="str">
        <f>IFERROR(VLOOKUP(D1538,'LEAID Match'!$A$2:$B$184,2,FALSE),"")</f>
        <v/>
      </c>
    </row>
    <row r="1539" spans="1:9" x14ac:dyDescent="0.2">
      <c r="A1539">
        <f t="shared" ref="A1539:A1602" si="24">I1539</f>
        <v>3702610</v>
      </c>
      <c r="B1539" s="24">
        <v>2015</v>
      </c>
      <c r="C1539" t="s">
        <v>390</v>
      </c>
      <c r="D1539" t="s">
        <v>751</v>
      </c>
      <c r="E1539" t="s">
        <v>336</v>
      </c>
      <c r="F1539" s="11">
        <v>361617678</v>
      </c>
      <c r="G1539" s="18">
        <v>3.1616999999999999E-3</v>
      </c>
      <c r="H1539" s="11">
        <v>3993189.1595999999</v>
      </c>
      <c r="I1539" s="22">
        <f>IFERROR(VLOOKUP(D1539,'LEAID Match'!$A$2:$B$184,2,FALSE),"")</f>
        <v>3702610</v>
      </c>
    </row>
    <row r="1540" spans="1:9" x14ac:dyDescent="0.2">
      <c r="A1540">
        <f t="shared" si="24"/>
        <v>3702610</v>
      </c>
      <c r="B1540" s="24">
        <v>2016</v>
      </c>
      <c r="C1540" t="s">
        <v>390</v>
      </c>
      <c r="D1540" t="s">
        <v>751</v>
      </c>
      <c r="E1540" t="s">
        <v>751</v>
      </c>
      <c r="F1540" s="11">
        <v>333012335</v>
      </c>
      <c r="G1540" s="18">
        <v>3.0752000000000002E-3</v>
      </c>
      <c r="H1540" s="11">
        <v>3920889.2256</v>
      </c>
      <c r="I1540" s="22">
        <f>IFERROR(VLOOKUP(D1540,'LEAID Match'!$A$2:$B$184,2,FALSE),"")</f>
        <v>3702610</v>
      </c>
    </row>
    <row r="1541" spans="1:9" x14ac:dyDescent="0.2">
      <c r="A1541">
        <f t="shared" si="24"/>
        <v>3702610</v>
      </c>
      <c r="B1541" s="24">
        <v>2017</v>
      </c>
      <c r="C1541" t="s">
        <v>390</v>
      </c>
      <c r="D1541" t="s">
        <v>751</v>
      </c>
      <c r="E1541" t="s">
        <v>751</v>
      </c>
      <c r="F1541" s="11">
        <v>329280474</v>
      </c>
      <c r="G1541" s="18">
        <v>2.9510000000000001E-3</v>
      </c>
      <c r="H1541" s="11">
        <v>4252963.4939999999</v>
      </c>
      <c r="I1541" s="22">
        <f>IFERROR(VLOOKUP(D1541,'LEAID Match'!$A$2:$B$184,2,FALSE),"")</f>
        <v>3702610</v>
      </c>
    </row>
    <row r="1542" spans="1:9" x14ac:dyDescent="0.2">
      <c r="A1542">
        <f t="shared" si="24"/>
        <v>3702610</v>
      </c>
      <c r="B1542" s="24">
        <v>2018</v>
      </c>
      <c r="C1542" t="s">
        <v>390</v>
      </c>
      <c r="D1542" t="s">
        <v>751</v>
      </c>
      <c r="E1542" t="s">
        <v>751</v>
      </c>
      <c r="F1542" s="11">
        <v>346558917</v>
      </c>
      <c r="G1542" s="18">
        <v>2.9822E-3</v>
      </c>
      <c r="H1542" s="11">
        <v>4780171.3622000003</v>
      </c>
      <c r="I1542" s="22">
        <f>IFERROR(VLOOKUP(D1542,'LEAID Match'!$A$2:$B$184,2,FALSE),"")</f>
        <v>3702610</v>
      </c>
    </row>
    <row r="1543" spans="1:9" x14ac:dyDescent="0.2">
      <c r="A1543">
        <f t="shared" si="24"/>
        <v>3702610</v>
      </c>
      <c r="B1543" s="24">
        <v>2019</v>
      </c>
      <c r="C1543" t="s">
        <v>390</v>
      </c>
      <c r="D1543" t="s">
        <v>751</v>
      </c>
      <c r="E1543" t="s">
        <v>751</v>
      </c>
      <c r="F1543" s="11">
        <v>357627851</v>
      </c>
      <c r="G1543" s="18">
        <v>2.9683000000000001E-3</v>
      </c>
      <c r="H1543" s="11">
        <v>5684727.8717999998</v>
      </c>
      <c r="I1543" s="22">
        <f>IFERROR(VLOOKUP(D1543,'LEAID Match'!$A$2:$B$184,2,FALSE),"")</f>
        <v>3702610</v>
      </c>
    </row>
    <row r="1544" spans="1:9" x14ac:dyDescent="0.2">
      <c r="A1544">
        <f t="shared" si="24"/>
        <v>3702610</v>
      </c>
      <c r="B1544" s="24">
        <v>2020</v>
      </c>
      <c r="C1544" t="s">
        <v>390</v>
      </c>
      <c r="D1544" t="s">
        <v>751</v>
      </c>
      <c r="E1544" t="s">
        <v>751</v>
      </c>
      <c r="F1544" s="11">
        <v>369831981</v>
      </c>
      <c r="G1544" s="18">
        <v>2.9856000000000001E-3</v>
      </c>
      <c r="H1544" s="11">
        <v>6135631.9199999999</v>
      </c>
      <c r="I1544" s="22">
        <f>IFERROR(VLOOKUP(D1544,'LEAID Match'!$A$2:$B$184,2,FALSE),"")</f>
        <v>3702610</v>
      </c>
    </row>
    <row r="1545" spans="1:9" x14ac:dyDescent="0.2">
      <c r="A1545">
        <f t="shared" si="24"/>
        <v>3702610</v>
      </c>
      <c r="B1545" s="24">
        <v>2021</v>
      </c>
      <c r="C1545" t="s">
        <v>390</v>
      </c>
      <c r="D1545" t="s">
        <v>751</v>
      </c>
      <c r="E1545" t="s">
        <v>751</v>
      </c>
      <c r="F1545" s="11">
        <v>361806865</v>
      </c>
      <c r="G1545" s="18">
        <v>2.8909999999999999E-3</v>
      </c>
      <c r="H1545" s="11">
        <v>6861071.5319999997</v>
      </c>
      <c r="I1545" s="22">
        <f>IFERROR(VLOOKUP(D1545,'LEAID Match'!$A$2:$B$184,2,FALSE),"")</f>
        <v>3702610</v>
      </c>
    </row>
    <row r="1546" spans="1:9" x14ac:dyDescent="0.2">
      <c r="A1546">
        <f t="shared" si="24"/>
        <v>3702610</v>
      </c>
      <c r="B1546" s="24">
        <v>2022</v>
      </c>
      <c r="C1546" t="s">
        <v>390</v>
      </c>
      <c r="D1546" t="s">
        <v>751</v>
      </c>
      <c r="E1546" t="s">
        <v>751</v>
      </c>
      <c r="F1546" s="11">
        <v>385901393</v>
      </c>
      <c r="G1546" s="18">
        <v>3.0598000000000001E-3</v>
      </c>
      <c r="H1546" s="11">
        <v>8451002.3707999997</v>
      </c>
      <c r="I1546" s="22">
        <f>IFERROR(VLOOKUP(D1546,'LEAID Match'!$A$2:$B$184,2,FALSE),"")</f>
        <v>3702610</v>
      </c>
    </row>
    <row r="1547" spans="1:9" x14ac:dyDescent="0.2">
      <c r="A1547">
        <f t="shared" si="24"/>
        <v>3702610</v>
      </c>
      <c r="B1547" s="24">
        <v>2023</v>
      </c>
      <c r="C1547" t="s">
        <v>390</v>
      </c>
      <c r="D1547" t="s">
        <v>751</v>
      </c>
      <c r="E1547" t="s">
        <v>751</v>
      </c>
      <c r="F1547" s="11">
        <v>446488993</v>
      </c>
      <c r="G1547" s="18">
        <v>3.3595000000000001E-3</v>
      </c>
      <c r="H1547" s="11">
        <v>10195736.4715</v>
      </c>
      <c r="I1547" s="22">
        <f>IFERROR(VLOOKUP(D1547,'LEAID Match'!$A$2:$B$184,2,FALSE),"")</f>
        <v>3702610</v>
      </c>
    </row>
    <row r="1548" spans="1:9" x14ac:dyDescent="0.2">
      <c r="A1548">
        <f t="shared" si="24"/>
        <v>3700031</v>
      </c>
      <c r="B1548" s="24">
        <v>2015</v>
      </c>
      <c r="C1548" t="s">
        <v>391</v>
      </c>
      <c r="D1548" t="s">
        <v>752</v>
      </c>
      <c r="E1548" t="s">
        <v>337</v>
      </c>
      <c r="F1548" s="11">
        <v>3761565</v>
      </c>
      <c r="G1548" s="18">
        <v>3.29E-5</v>
      </c>
      <c r="H1548" s="11">
        <v>41552.305200000003</v>
      </c>
      <c r="I1548" s="22">
        <f>IFERROR(VLOOKUP(D1548,'LEAID Match'!$A$2:$B$184,2,FALSE),"")</f>
        <v>3700031</v>
      </c>
    </row>
    <row r="1549" spans="1:9" x14ac:dyDescent="0.2">
      <c r="A1549">
        <f t="shared" si="24"/>
        <v>3700031</v>
      </c>
      <c r="B1549" s="24">
        <v>2016</v>
      </c>
      <c r="C1549" t="s">
        <v>391</v>
      </c>
      <c r="D1549" t="s">
        <v>752</v>
      </c>
      <c r="E1549" t="s">
        <v>752</v>
      </c>
      <c r="F1549" s="11">
        <v>3025918</v>
      </c>
      <c r="G1549" s="18">
        <v>2.7900000000000001E-5</v>
      </c>
      <c r="H1549" s="11">
        <v>35572.583700000003</v>
      </c>
      <c r="I1549" s="22">
        <f>IFERROR(VLOOKUP(D1549,'LEAID Match'!$A$2:$B$184,2,FALSE),"")</f>
        <v>3700031</v>
      </c>
    </row>
    <row r="1550" spans="1:9" x14ac:dyDescent="0.2">
      <c r="A1550">
        <f t="shared" si="24"/>
        <v>3700031</v>
      </c>
      <c r="B1550" s="24">
        <v>2017</v>
      </c>
      <c r="C1550" t="s">
        <v>391</v>
      </c>
      <c r="D1550" t="s">
        <v>752</v>
      </c>
      <c r="E1550" t="s">
        <v>752</v>
      </c>
      <c r="F1550" s="11">
        <v>4149807</v>
      </c>
      <c r="G1550" s="18">
        <v>3.7200000000000003E-5</v>
      </c>
      <c r="H1550" s="11">
        <v>53612.416800000006</v>
      </c>
      <c r="I1550" s="22">
        <f>IFERROR(VLOOKUP(D1550,'LEAID Match'!$A$2:$B$184,2,FALSE),"")</f>
        <v>3700031</v>
      </c>
    </row>
    <row r="1551" spans="1:9" x14ac:dyDescent="0.2">
      <c r="A1551">
        <f t="shared" si="24"/>
        <v>3700031</v>
      </c>
      <c r="B1551" s="24">
        <v>2018</v>
      </c>
      <c r="C1551" t="s">
        <v>391</v>
      </c>
      <c r="D1551" t="s">
        <v>752</v>
      </c>
      <c r="E1551" t="s">
        <v>752</v>
      </c>
      <c r="F1551" s="11">
        <v>3749245</v>
      </c>
      <c r="G1551" s="18">
        <v>3.2299999999999999E-5</v>
      </c>
      <c r="H1551" s="11">
        <v>51773.702299999997</v>
      </c>
      <c r="I1551" s="22">
        <f>IFERROR(VLOOKUP(D1551,'LEAID Match'!$A$2:$B$184,2,FALSE),"")</f>
        <v>3700031</v>
      </c>
    </row>
    <row r="1552" spans="1:9" x14ac:dyDescent="0.2">
      <c r="A1552">
        <f t="shared" si="24"/>
        <v>3700031</v>
      </c>
      <c r="B1552" s="24">
        <v>2019</v>
      </c>
      <c r="C1552" t="s">
        <v>391</v>
      </c>
      <c r="D1552" t="s">
        <v>752</v>
      </c>
      <c r="E1552" t="s">
        <v>752</v>
      </c>
      <c r="F1552" s="11">
        <v>3760784</v>
      </c>
      <c r="G1552" s="18">
        <v>3.1199999999999999E-5</v>
      </c>
      <c r="H1552" s="11">
        <v>59752.555200000003</v>
      </c>
      <c r="I1552" s="22">
        <f>IFERROR(VLOOKUP(D1552,'LEAID Match'!$A$2:$B$184,2,FALSE),"")</f>
        <v>3700031</v>
      </c>
    </row>
    <row r="1553" spans="1:9" x14ac:dyDescent="0.2">
      <c r="A1553">
        <f t="shared" si="24"/>
        <v>3700031</v>
      </c>
      <c r="B1553" s="24">
        <v>2020</v>
      </c>
      <c r="C1553" t="s">
        <v>391</v>
      </c>
      <c r="D1553" t="s">
        <v>752</v>
      </c>
      <c r="E1553" t="s">
        <v>752</v>
      </c>
      <c r="F1553" s="11">
        <v>3991419</v>
      </c>
      <c r="G1553" s="18">
        <v>3.2199999999999997E-5</v>
      </c>
      <c r="H1553" s="11">
        <v>66173.414999999994</v>
      </c>
      <c r="I1553" s="22">
        <f>IFERROR(VLOOKUP(D1553,'LEAID Match'!$A$2:$B$184,2,FALSE),"")</f>
        <v>3700031</v>
      </c>
    </row>
    <row r="1554" spans="1:9" x14ac:dyDescent="0.2">
      <c r="A1554">
        <f t="shared" si="24"/>
        <v>3700031</v>
      </c>
      <c r="B1554" s="24">
        <v>2021</v>
      </c>
      <c r="C1554" t="s">
        <v>391</v>
      </c>
      <c r="D1554" t="s">
        <v>752</v>
      </c>
      <c r="E1554" t="s">
        <v>752</v>
      </c>
      <c r="F1554" s="11">
        <v>5942231</v>
      </c>
      <c r="G1554" s="18">
        <v>4.7500000000000003E-5</v>
      </c>
      <c r="H1554" s="11">
        <v>112729.47</v>
      </c>
      <c r="I1554" s="22">
        <f>IFERROR(VLOOKUP(D1554,'LEAID Match'!$A$2:$B$184,2,FALSE),"")</f>
        <v>3700031</v>
      </c>
    </row>
    <row r="1555" spans="1:9" x14ac:dyDescent="0.2">
      <c r="A1555">
        <f t="shared" si="24"/>
        <v>3700031</v>
      </c>
      <c r="B1555" s="24">
        <v>2022</v>
      </c>
      <c r="C1555" t="s">
        <v>391</v>
      </c>
      <c r="D1555" t="s">
        <v>752</v>
      </c>
      <c r="E1555" t="s">
        <v>752</v>
      </c>
      <c r="F1555" s="11">
        <v>5452328</v>
      </c>
      <c r="G1555" s="18">
        <v>4.32E-5</v>
      </c>
      <c r="H1555" s="11">
        <v>119316.0672</v>
      </c>
      <c r="I1555" s="22">
        <f>IFERROR(VLOOKUP(D1555,'LEAID Match'!$A$2:$B$184,2,FALSE),"")</f>
        <v>3700031</v>
      </c>
    </row>
    <row r="1556" spans="1:9" x14ac:dyDescent="0.2">
      <c r="A1556">
        <f t="shared" si="24"/>
        <v>3700031</v>
      </c>
      <c r="B1556" s="24">
        <v>2023</v>
      </c>
      <c r="C1556" t="s">
        <v>391</v>
      </c>
      <c r="D1556" t="s">
        <v>752</v>
      </c>
      <c r="E1556" t="s">
        <v>752</v>
      </c>
      <c r="F1556" s="11">
        <v>4605415</v>
      </c>
      <c r="G1556" s="18">
        <v>3.4700000000000003E-5</v>
      </c>
      <c r="H1556" s="11">
        <v>105310.92590000002</v>
      </c>
      <c r="I1556" s="22">
        <f>IFERROR(VLOOKUP(D1556,'LEAID Match'!$A$2:$B$184,2,FALSE),"")</f>
        <v>3700031</v>
      </c>
    </row>
    <row r="1557" spans="1:9" x14ac:dyDescent="0.2">
      <c r="A1557" t="str">
        <f t="shared" si="24"/>
        <v/>
      </c>
      <c r="B1557" s="24">
        <v>2015</v>
      </c>
      <c r="C1557" t="s">
        <v>392</v>
      </c>
      <c r="D1557" t="s">
        <v>753</v>
      </c>
      <c r="E1557" t="s">
        <v>338</v>
      </c>
      <c r="F1557" s="11">
        <v>121077412</v>
      </c>
      <c r="G1557" s="18">
        <v>1.0586E-3</v>
      </c>
      <c r="H1557" s="11">
        <v>1336999.0967999999</v>
      </c>
      <c r="I1557" s="22" t="str">
        <f>IFERROR(VLOOKUP(D1557,'LEAID Match'!$A$2:$B$184,2,FALSE),"")</f>
        <v/>
      </c>
    </row>
    <row r="1558" spans="1:9" x14ac:dyDescent="0.2">
      <c r="A1558" t="str">
        <f t="shared" si="24"/>
        <v/>
      </c>
      <c r="B1558" s="24">
        <v>2016</v>
      </c>
      <c r="C1558" t="s">
        <v>392</v>
      </c>
      <c r="D1558" t="s">
        <v>753</v>
      </c>
      <c r="E1558" t="s">
        <v>753</v>
      </c>
      <c r="F1558" s="11">
        <v>116775501</v>
      </c>
      <c r="G1558" s="18">
        <v>1.0782999999999999E-3</v>
      </c>
      <c r="H1558" s="11">
        <v>1374835.7348999998</v>
      </c>
      <c r="I1558" s="22" t="str">
        <f>IFERROR(VLOOKUP(D1558,'LEAID Match'!$A$2:$B$184,2,FALSE),"")</f>
        <v/>
      </c>
    </row>
    <row r="1559" spans="1:9" x14ac:dyDescent="0.2">
      <c r="A1559" t="str">
        <f t="shared" si="24"/>
        <v/>
      </c>
      <c r="B1559" s="24">
        <v>2017</v>
      </c>
      <c r="C1559" t="s">
        <v>392</v>
      </c>
      <c r="D1559" t="s">
        <v>753</v>
      </c>
      <c r="E1559" t="s">
        <v>753</v>
      </c>
      <c r="F1559" s="11">
        <v>116751879</v>
      </c>
      <c r="G1559" s="18">
        <v>1.0463E-3</v>
      </c>
      <c r="H1559" s="11">
        <v>1507921.2822</v>
      </c>
      <c r="I1559" s="22" t="str">
        <f>IFERROR(VLOOKUP(D1559,'LEAID Match'!$A$2:$B$184,2,FALSE),"")</f>
        <v/>
      </c>
    </row>
    <row r="1560" spans="1:9" x14ac:dyDescent="0.2">
      <c r="A1560" t="str">
        <f t="shared" si="24"/>
        <v/>
      </c>
      <c r="B1560" s="24">
        <v>2018</v>
      </c>
      <c r="C1560" t="s">
        <v>392</v>
      </c>
      <c r="D1560" t="s">
        <v>753</v>
      </c>
      <c r="E1560" t="s">
        <v>753</v>
      </c>
      <c r="F1560" s="11">
        <v>117163081</v>
      </c>
      <c r="G1560" s="18">
        <v>1.0081999999999999E-3</v>
      </c>
      <c r="H1560" s="11">
        <v>1616044.7881999998</v>
      </c>
      <c r="I1560" s="22" t="str">
        <f>IFERROR(VLOOKUP(D1560,'LEAID Match'!$A$2:$B$184,2,FALSE),"")</f>
        <v/>
      </c>
    </row>
    <row r="1561" spans="1:9" x14ac:dyDescent="0.2">
      <c r="A1561" t="str">
        <f t="shared" si="24"/>
        <v/>
      </c>
      <c r="B1561" s="24">
        <v>2019</v>
      </c>
      <c r="C1561" t="s">
        <v>392</v>
      </c>
      <c r="D1561" t="s">
        <v>753</v>
      </c>
      <c r="E1561" t="s">
        <v>753</v>
      </c>
      <c r="F1561" s="11">
        <v>117068796</v>
      </c>
      <c r="G1561" s="18">
        <v>9.7170000000000004E-4</v>
      </c>
      <c r="H1561" s="11">
        <v>1860947.3682000001</v>
      </c>
      <c r="I1561" s="22" t="str">
        <f>IFERROR(VLOOKUP(D1561,'LEAID Match'!$A$2:$B$184,2,FALSE),"")</f>
        <v/>
      </c>
    </row>
    <row r="1562" spans="1:9" x14ac:dyDescent="0.2">
      <c r="A1562" t="str">
        <f t="shared" si="24"/>
        <v/>
      </c>
      <c r="B1562" s="24">
        <v>2020</v>
      </c>
      <c r="C1562" t="s">
        <v>392</v>
      </c>
      <c r="D1562" t="s">
        <v>753</v>
      </c>
      <c r="E1562" t="s">
        <v>753</v>
      </c>
      <c r="F1562" s="11">
        <v>116601047</v>
      </c>
      <c r="G1562" s="18">
        <v>9.4129999999999995E-4</v>
      </c>
      <c r="H1562" s="11">
        <v>1934442.0974999999</v>
      </c>
      <c r="I1562" s="22" t="str">
        <f>IFERROR(VLOOKUP(D1562,'LEAID Match'!$A$2:$B$184,2,FALSE),"")</f>
        <v/>
      </c>
    </row>
    <row r="1563" spans="1:9" x14ac:dyDescent="0.2">
      <c r="A1563" t="str">
        <f t="shared" si="24"/>
        <v/>
      </c>
      <c r="B1563" s="24">
        <v>2021</v>
      </c>
      <c r="C1563" t="s">
        <v>392</v>
      </c>
      <c r="D1563" t="s">
        <v>753</v>
      </c>
      <c r="E1563" t="s">
        <v>753</v>
      </c>
      <c r="F1563" s="11">
        <v>117128181</v>
      </c>
      <c r="G1563" s="18">
        <v>9.3590000000000003E-4</v>
      </c>
      <c r="H1563" s="11">
        <v>2221126.5468000001</v>
      </c>
      <c r="I1563" s="22" t="str">
        <f>IFERROR(VLOOKUP(D1563,'LEAID Match'!$A$2:$B$184,2,FALSE),"")</f>
        <v/>
      </c>
    </row>
    <row r="1564" spans="1:9" x14ac:dyDescent="0.2">
      <c r="A1564" t="str">
        <f t="shared" si="24"/>
        <v/>
      </c>
      <c r="B1564" s="24">
        <v>2022</v>
      </c>
      <c r="C1564" t="s">
        <v>392</v>
      </c>
      <c r="D1564" t="s">
        <v>753</v>
      </c>
      <c r="E1564" t="s">
        <v>753</v>
      </c>
      <c r="F1564" s="11">
        <v>109033387</v>
      </c>
      <c r="G1564" s="18">
        <v>8.6450000000000003E-4</v>
      </c>
      <c r="H1564" s="11">
        <v>2387702.3170000003</v>
      </c>
      <c r="I1564" s="22" t="str">
        <f>IFERROR(VLOOKUP(D1564,'LEAID Match'!$A$2:$B$184,2,FALSE),"")</f>
        <v/>
      </c>
    </row>
    <row r="1565" spans="1:9" x14ac:dyDescent="0.2">
      <c r="A1565" t="str">
        <f t="shared" si="24"/>
        <v/>
      </c>
      <c r="B1565" s="24">
        <v>2023</v>
      </c>
      <c r="C1565" t="s">
        <v>392</v>
      </c>
      <c r="D1565" t="s">
        <v>753</v>
      </c>
      <c r="E1565" t="s">
        <v>753</v>
      </c>
      <c r="F1565" s="11">
        <v>112159588</v>
      </c>
      <c r="G1565" s="18">
        <v>8.4389999999999997E-4</v>
      </c>
      <c r="H1565" s="11">
        <v>2561149.5782999997</v>
      </c>
      <c r="I1565" s="22" t="str">
        <f>IFERROR(VLOOKUP(D1565,'LEAID Match'!$A$2:$B$184,2,FALSE),"")</f>
        <v/>
      </c>
    </row>
    <row r="1566" spans="1:9" x14ac:dyDescent="0.2">
      <c r="A1566">
        <f t="shared" si="24"/>
        <v>3702680</v>
      </c>
      <c r="B1566" s="24">
        <v>2015</v>
      </c>
      <c r="C1566" t="s">
        <v>393</v>
      </c>
      <c r="D1566" t="s">
        <v>754</v>
      </c>
      <c r="E1566" t="s">
        <v>339</v>
      </c>
      <c r="F1566" s="11">
        <v>497965808</v>
      </c>
      <c r="G1566" s="18">
        <v>4.3539E-3</v>
      </c>
      <c r="H1566" s="11">
        <v>5498923.4532000003</v>
      </c>
      <c r="I1566" s="22">
        <f>IFERROR(VLOOKUP(D1566,'LEAID Match'!$A$2:$B$184,2,FALSE),"")</f>
        <v>3702680</v>
      </c>
    </row>
    <row r="1567" spans="1:9" x14ac:dyDescent="0.2">
      <c r="A1567">
        <f t="shared" si="24"/>
        <v>3702680</v>
      </c>
      <c r="B1567" s="24">
        <v>2016</v>
      </c>
      <c r="C1567" t="s">
        <v>393</v>
      </c>
      <c r="D1567" t="s">
        <v>754</v>
      </c>
      <c r="E1567" t="s">
        <v>754</v>
      </c>
      <c r="F1567" s="11">
        <v>469068294</v>
      </c>
      <c r="G1567" s="18">
        <v>4.3315999999999997E-3</v>
      </c>
      <c r="H1567" s="11">
        <v>5522802.9947999995</v>
      </c>
      <c r="I1567" s="22">
        <f>IFERROR(VLOOKUP(D1567,'LEAID Match'!$A$2:$B$184,2,FALSE),"")</f>
        <v>3702680</v>
      </c>
    </row>
    <row r="1568" spans="1:9" x14ac:dyDescent="0.2">
      <c r="A1568">
        <f t="shared" si="24"/>
        <v>3702680</v>
      </c>
      <c r="B1568" s="24">
        <v>2017</v>
      </c>
      <c r="C1568" t="s">
        <v>393</v>
      </c>
      <c r="D1568" t="s">
        <v>754</v>
      </c>
      <c r="E1568" t="s">
        <v>754</v>
      </c>
      <c r="F1568" s="11">
        <v>458444217</v>
      </c>
      <c r="G1568" s="18">
        <v>4.1085999999999996E-3</v>
      </c>
      <c r="H1568" s="11">
        <v>5921289.6683999998</v>
      </c>
      <c r="I1568" s="22">
        <f>IFERROR(VLOOKUP(D1568,'LEAID Match'!$A$2:$B$184,2,FALSE),"")</f>
        <v>3702680</v>
      </c>
    </row>
    <row r="1569" spans="1:9" x14ac:dyDescent="0.2">
      <c r="A1569">
        <f t="shared" si="24"/>
        <v>3702680</v>
      </c>
      <c r="B1569" s="24">
        <v>2018</v>
      </c>
      <c r="C1569" t="s">
        <v>393</v>
      </c>
      <c r="D1569" t="s">
        <v>754</v>
      </c>
      <c r="E1569" t="s">
        <v>754</v>
      </c>
      <c r="F1569" s="11">
        <v>473755563</v>
      </c>
      <c r="G1569" s="18">
        <v>4.0768000000000002E-3</v>
      </c>
      <c r="H1569" s="11">
        <v>6534706.7968000006</v>
      </c>
      <c r="I1569" s="22">
        <f>IFERROR(VLOOKUP(D1569,'LEAID Match'!$A$2:$B$184,2,FALSE),"")</f>
        <v>3702680</v>
      </c>
    </row>
    <row r="1570" spans="1:9" x14ac:dyDescent="0.2">
      <c r="A1570">
        <f t="shared" si="24"/>
        <v>3702680</v>
      </c>
      <c r="B1570" s="24">
        <v>2019</v>
      </c>
      <c r="C1570" t="s">
        <v>393</v>
      </c>
      <c r="D1570" t="s">
        <v>754</v>
      </c>
      <c r="E1570" t="s">
        <v>754</v>
      </c>
      <c r="F1570" s="11">
        <v>486312042</v>
      </c>
      <c r="G1570" s="18">
        <v>4.0363999999999999E-3</v>
      </c>
      <c r="H1570" s="11">
        <v>7730295.3143999996</v>
      </c>
      <c r="I1570" s="22">
        <f>IFERROR(VLOOKUP(D1570,'LEAID Match'!$A$2:$B$184,2,FALSE),"")</f>
        <v>3702680</v>
      </c>
    </row>
    <row r="1571" spans="1:9" x14ac:dyDescent="0.2">
      <c r="A1571">
        <f t="shared" si="24"/>
        <v>3702680</v>
      </c>
      <c r="B1571" s="24">
        <v>2020</v>
      </c>
      <c r="C1571" t="s">
        <v>393</v>
      </c>
      <c r="D1571" t="s">
        <v>754</v>
      </c>
      <c r="E1571" t="s">
        <v>754</v>
      </c>
      <c r="F1571" s="11">
        <v>497769829</v>
      </c>
      <c r="G1571" s="18">
        <v>4.0184000000000001E-3</v>
      </c>
      <c r="H1571" s="11">
        <v>8258113.3799999999</v>
      </c>
      <c r="I1571" s="22">
        <f>IFERROR(VLOOKUP(D1571,'LEAID Match'!$A$2:$B$184,2,FALSE),"")</f>
        <v>3702680</v>
      </c>
    </row>
    <row r="1572" spans="1:9" x14ac:dyDescent="0.2">
      <c r="A1572">
        <f t="shared" si="24"/>
        <v>3702680</v>
      </c>
      <c r="B1572" s="24">
        <v>2021</v>
      </c>
      <c r="C1572" t="s">
        <v>393</v>
      </c>
      <c r="D1572" t="s">
        <v>754</v>
      </c>
      <c r="E1572" t="s">
        <v>754</v>
      </c>
      <c r="F1572" s="11">
        <v>484480117</v>
      </c>
      <c r="G1572" s="18">
        <v>3.8712E-3</v>
      </c>
      <c r="H1572" s="11">
        <v>9187333.1424000002</v>
      </c>
      <c r="I1572" s="22">
        <f>IFERROR(VLOOKUP(D1572,'LEAID Match'!$A$2:$B$184,2,FALSE),"")</f>
        <v>3702680</v>
      </c>
    </row>
    <row r="1573" spans="1:9" x14ac:dyDescent="0.2">
      <c r="A1573">
        <f t="shared" si="24"/>
        <v>3702680</v>
      </c>
      <c r="B1573" s="24">
        <v>2022</v>
      </c>
      <c r="C1573" t="s">
        <v>393</v>
      </c>
      <c r="D1573" t="s">
        <v>754</v>
      </c>
      <c r="E1573" t="s">
        <v>754</v>
      </c>
      <c r="F1573" s="11">
        <v>521796071</v>
      </c>
      <c r="G1573" s="18">
        <v>4.1373E-3</v>
      </c>
      <c r="H1573" s="11">
        <v>11426999.185799999</v>
      </c>
      <c r="I1573" s="22">
        <f>IFERROR(VLOOKUP(D1573,'LEAID Match'!$A$2:$B$184,2,FALSE),"")</f>
        <v>3702680</v>
      </c>
    </row>
    <row r="1574" spans="1:9" x14ac:dyDescent="0.2">
      <c r="A1574">
        <f t="shared" si="24"/>
        <v>3702680</v>
      </c>
      <c r="B1574" s="24">
        <v>2023</v>
      </c>
      <c r="C1574" t="s">
        <v>393</v>
      </c>
      <c r="D1574" t="s">
        <v>754</v>
      </c>
      <c r="E1574" t="s">
        <v>754</v>
      </c>
      <c r="F1574" s="11">
        <v>547747292</v>
      </c>
      <c r="G1574" s="18">
        <v>4.1213999999999999E-3</v>
      </c>
      <c r="H1574" s="11">
        <v>12508024.4958</v>
      </c>
      <c r="I1574" s="22">
        <f>IFERROR(VLOOKUP(D1574,'LEAID Match'!$A$2:$B$184,2,FALSE),"")</f>
        <v>3702680</v>
      </c>
    </row>
    <row r="1575" spans="1:9" x14ac:dyDescent="0.2">
      <c r="A1575">
        <f t="shared" si="24"/>
        <v>3702760</v>
      </c>
      <c r="B1575" s="24">
        <v>2015</v>
      </c>
      <c r="C1575" t="s">
        <v>394</v>
      </c>
      <c r="D1575" t="s">
        <v>755</v>
      </c>
      <c r="E1575" t="s">
        <v>340</v>
      </c>
      <c r="F1575" s="11">
        <v>193649574</v>
      </c>
      <c r="G1575" s="18">
        <v>1.6930999999999999E-3</v>
      </c>
      <c r="H1575" s="11">
        <v>2138364.9827999999</v>
      </c>
      <c r="I1575" s="22">
        <f>IFERROR(VLOOKUP(D1575,'LEAID Match'!$A$2:$B$184,2,FALSE),"")</f>
        <v>3702760</v>
      </c>
    </row>
    <row r="1576" spans="1:9" x14ac:dyDescent="0.2">
      <c r="A1576">
        <f t="shared" si="24"/>
        <v>3702760</v>
      </c>
      <c r="B1576" s="24">
        <v>2016</v>
      </c>
      <c r="C1576" t="s">
        <v>394</v>
      </c>
      <c r="D1576" t="s">
        <v>755</v>
      </c>
      <c r="E1576" t="s">
        <v>755</v>
      </c>
      <c r="F1576" s="11">
        <v>185880292</v>
      </c>
      <c r="G1576" s="18">
        <v>1.7164999999999999E-3</v>
      </c>
      <c r="H1576" s="11">
        <v>2188542.6494999998</v>
      </c>
      <c r="I1576" s="22">
        <f>IFERROR(VLOOKUP(D1576,'LEAID Match'!$A$2:$B$184,2,FALSE),"")</f>
        <v>3702760</v>
      </c>
    </row>
    <row r="1577" spans="1:9" x14ac:dyDescent="0.2">
      <c r="A1577">
        <f t="shared" si="24"/>
        <v>3702760</v>
      </c>
      <c r="B1577" s="24">
        <v>2017</v>
      </c>
      <c r="C1577" t="s">
        <v>394</v>
      </c>
      <c r="D1577" t="s">
        <v>755</v>
      </c>
      <c r="E1577" t="s">
        <v>755</v>
      </c>
      <c r="F1577" s="11">
        <v>193476151</v>
      </c>
      <c r="G1577" s="18">
        <v>1.7339E-3</v>
      </c>
      <c r="H1577" s="11">
        <v>2498886.2766</v>
      </c>
      <c r="I1577" s="22">
        <f>IFERROR(VLOOKUP(D1577,'LEAID Match'!$A$2:$B$184,2,FALSE),"")</f>
        <v>3702760</v>
      </c>
    </row>
    <row r="1578" spans="1:9" x14ac:dyDescent="0.2">
      <c r="A1578">
        <f t="shared" si="24"/>
        <v>3702760</v>
      </c>
      <c r="B1578" s="24">
        <v>2018</v>
      </c>
      <c r="C1578" t="s">
        <v>394</v>
      </c>
      <c r="D1578" t="s">
        <v>755</v>
      </c>
      <c r="E1578" t="s">
        <v>755</v>
      </c>
      <c r="F1578" s="11">
        <v>203757406</v>
      </c>
      <c r="G1578" s="18">
        <v>1.7534E-3</v>
      </c>
      <c r="H1578" s="11">
        <v>2810526.6134000001</v>
      </c>
      <c r="I1578" s="22">
        <f>IFERROR(VLOOKUP(D1578,'LEAID Match'!$A$2:$B$184,2,FALSE),"")</f>
        <v>3702760</v>
      </c>
    </row>
    <row r="1579" spans="1:9" x14ac:dyDescent="0.2">
      <c r="A1579">
        <f t="shared" si="24"/>
        <v>3702760</v>
      </c>
      <c r="B1579" s="24">
        <v>2019</v>
      </c>
      <c r="C1579" t="s">
        <v>394</v>
      </c>
      <c r="D1579" t="s">
        <v>755</v>
      </c>
      <c r="E1579" t="s">
        <v>755</v>
      </c>
      <c r="F1579" s="11">
        <v>202111083</v>
      </c>
      <c r="G1579" s="18">
        <v>1.6775E-3</v>
      </c>
      <c r="H1579" s="11">
        <v>3212657.415</v>
      </c>
      <c r="I1579" s="22">
        <f>IFERROR(VLOOKUP(D1579,'LEAID Match'!$A$2:$B$184,2,FALSE),"")</f>
        <v>3702760</v>
      </c>
    </row>
    <row r="1580" spans="1:9" x14ac:dyDescent="0.2">
      <c r="A1580">
        <f t="shared" si="24"/>
        <v>3702760</v>
      </c>
      <c r="B1580" s="24">
        <v>2020</v>
      </c>
      <c r="C1580" t="s">
        <v>394</v>
      </c>
      <c r="D1580" t="s">
        <v>755</v>
      </c>
      <c r="E1580" t="s">
        <v>755</v>
      </c>
      <c r="F1580" s="11">
        <v>210472380</v>
      </c>
      <c r="G1580" s="18">
        <v>1.6991E-3</v>
      </c>
      <c r="H1580" s="11">
        <v>3491777.9325000001</v>
      </c>
      <c r="I1580" s="22">
        <f>IFERROR(VLOOKUP(D1580,'LEAID Match'!$A$2:$B$184,2,FALSE),"")</f>
        <v>3702760</v>
      </c>
    </row>
    <row r="1581" spans="1:9" x14ac:dyDescent="0.2">
      <c r="A1581">
        <f t="shared" si="24"/>
        <v>3702760</v>
      </c>
      <c r="B1581" s="24">
        <v>2021</v>
      </c>
      <c r="C1581" t="s">
        <v>394</v>
      </c>
      <c r="D1581" t="s">
        <v>755</v>
      </c>
      <c r="E1581" t="s">
        <v>755</v>
      </c>
      <c r="F1581" s="11">
        <v>208819634</v>
      </c>
      <c r="G1581" s="18">
        <v>1.6685999999999999E-3</v>
      </c>
      <c r="H1581" s="11">
        <v>3960008.2871999997</v>
      </c>
      <c r="I1581" s="22">
        <f>IFERROR(VLOOKUP(D1581,'LEAID Match'!$A$2:$B$184,2,FALSE),"")</f>
        <v>3702760</v>
      </c>
    </row>
    <row r="1582" spans="1:9" x14ac:dyDescent="0.2">
      <c r="A1582">
        <f t="shared" si="24"/>
        <v>3702760</v>
      </c>
      <c r="B1582" s="24">
        <v>2022</v>
      </c>
      <c r="C1582" t="s">
        <v>394</v>
      </c>
      <c r="D1582" t="s">
        <v>755</v>
      </c>
      <c r="E1582" t="s">
        <v>755</v>
      </c>
      <c r="F1582" s="11">
        <v>237440774</v>
      </c>
      <c r="G1582" s="18">
        <v>1.8827E-3</v>
      </c>
      <c r="H1582" s="11">
        <v>5199915.7341999998</v>
      </c>
      <c r="I1582" s="22">
        <f>IFERROR(VLOOKUP(D1582,'LEAID Match'!$A$2:$B$184,2,FALSE),"")</f>
        <v>3702760</v>
      </c>
    </row>
    <row r="1583" spans="1:9" x14ac:dyDescent="0.2">
      <c r="A1583">
        <f t="shared" si="24"/>
        <v>3702760</v>
      </c>
      <c r="B1583" s="24">
        <v>2023</v>
      </c>
      <c r="C1583" t="s">
        <v>394</v>
      </c>
      <c r="D1583" t="s">
        <v>755</v>
      </c>
      <c r="E1583" t="s">
        <v>755</v>
      </c>
      <c r="F1583" s="11">
        <v>245513933</v>
      </c>
      <c r="G1583" s="18">
        <v>1.8473000000000001E-3</v>
      </c>
      <c r="H1583" s="11">
        <v>5606365.2280999999</v>
      </c>
      <c r="I1583" s="22">
        <f>IFERROR(VLOOKUP(D1583,'LEAID Match'!$A$2:$B$184,2,FALSE),"")</f>
        <v>3702760</v>
      </c>
    </row>
    <row r="1584" spans="1:9" x14ac:dyDescent="0.2">
      <c r="A1584">
        <f t="shared" si="24"/>
        <v>3702820</v>
      </c>
      <c r="B1584" s="24">
        <v>2015</v>
      </c>
      <c r="C1584" t="s">
        <v>395</v>
      </c>
      <c r="D1584" t="s">
        <v>756</v>
      </c>
      <c r="E1584" t="s">
        <v>341</v>
      </c>
      <c r="F1584" s="11">
        <v>115870968</v>
      </c>
      <c r="G1584" s="18">
        <v>1.0131000000000001E-3</v>
      </c>
      <c r="H1584" s="11">
        <v>1279533.1428</v>
      </c>
      <c r="I1584" s="22">
        <f>IFERROR(VLOOKUP(D1584,'LEAID Match'!$A$2:$B$184,2,FALSE),"")</f>
        <v>3702820</v>
      </c>
    </row>
    <row r="1585" spans="1:9" x14ac:dyDescent="0.2">
      <c r="A1585">
        <f t="shared" si="24"/>
        <v>3702820</v>
      </c>
      <c r="B1585" s="24">
        <v>2016</v>
      </c>
      <c r="C1585" t="s">
        <v>395</v>
      </c>
      <c r="D1585" t="s">
        <v>756</v>
      </c>
      <c r="E1585" t="s">
        <v>756</v>
      </c>
      <c r="F1585" s="11">
        <v>104575256</v>
      </c>
      <c r="G1585" s="18">
        <v>9.657E-4</v>
      </c>
      <c r="H1585" s="11">
        <v>1231270.3970999999</v>
      </c>
      <c r="I1585" s="22">
        <f>IFERROR(VLOOKUP(D1585,'LEAID Match'!$A$2:$B$184,2,FALSE),"")</f>
        <v>3702820</v>
      </c>
    </row>
    <row r="1586" spans="1:9" x14ac:dyDescent="0.2">
      <c r="A1586">
        <f t="shared" si="24"/>
        <v>3702820</v>
      </c>
      <c r="B1586" s="24">
        <v>2017</v>
      </c>
      <c r="C1586" t="s">
        <v>395</v>
      </c>
      <c r="D1586" t="s">
        <v>756</v>
      </c>
      <c r="E1586" t="s">
        <v>756</v>
      </c>
      <c r="F1586" s="11">
        <v>106598388</v>
      </c>
      <c r="G1586" s="18">
        <v>9.5529999999999996E-4</v>
      </c>
      <c r="H1586" s="11">
        <v>1376772.6281999999</v>
      </c>
      <c r="I1586" s="22">
        <f>IFERROR(VLOOKUP(D1586,'LEAID Match'!$A$2:$B$184,2,FALSE),"")</f>
        <v>3702820</v>
      </c>
    </row>
    <row r="1587" spans="1:9" x14ac:dyDescent="0.2">
      <c r="A1587">
        <f t="shared" si="24"/>
        <v>3702820</v>
      </c>
      <c r="B1587" s="24">
        <v>2018</v>
      </c>
      <c r="C1587" t="s">
        <v>395</v>
      </c>
      <c r="D1587" t="s">
        <v>756</v>
      </c>
      <c r="E1587" t="s">
        <v>756</v>
      </c>
      <c r="F1587" s="11">
        <v>109484786</v>
      </c>
      <c r="G1587" s="18">
        <v>9.4209999999999997E-4</v>
      </c>
      <c r="H1587" s="11">
        <v>1510093.0321</v>
      </c>
      <c r="I1587" s="22">
        <f>IFERROR(VLOOKUP(D1587,'LEAID Match'!$A$2:$B$184,2,FALSE),"")</f>
        <v>3702820</v>
      </c>
    </row>
    <row r="1588" spans="1:9" x14ac:dyDescent="0.2">
      <c r="A1588">
        <f t="shared" si="24"/>
        <v>3702820</v>
      </c>
      <c r="B1588" s="24">
        <v>2019</v>
      </c>
      <c r="C1588" t="s">
        <v>395</v>
      </c>
      <c r="D1588" t="s">
        <v>756</v>
      </c>
      <c r="E1588" t="s">
        <v>756</v>
      </c>
      <c r="F1588" s="11">
        <v>111543180</v>
      </c>
      <c r="G1588" s="18">
        <v>9.2579999999999995E-4</v>
      </c>
      <c r="H1588" s="11">
        <v>1773042.1668</v>
      </c>
      <c r="I1588" s="22">
        <f>IFERROR(VLOOKUP(D1588,'LEAID Match'!$A$2:$B$184,2,FALSE),"")</f>
        <v>3702820</v>
      </c>
    </row>
    <row r="1589" spans="1:9" x14ac:dyDescent="0.2">
      <c r="A1589">
        <f t="shared" si="24"/>
        <v>3702820</v>
      </c>
      <c r="B1589" s="24">
        <v>2020</v>
      </c>
      <c r="C1589" t="s">
        <v>395</v>
      </c>
      <c r="D1589" t="s">
        <v>756</v>
      </c>
      <c r="E1589" t="s">
        <v>756</v>
      </c>
      <c r="F1589" s="11">
        <v>116606749</v>
      </c>
      <c r="G1589" s="18">
        <v>9.4140000000000001E-4</v>
      </c>
      <c r="H1589" s="11">
        <v>1934647.605</v>
      </c>
      <c r="I1589" s="22">
        <f>IFERROR(VLOOKUP(D1589,'LEAID Match'!$A$2:$B$184,2,FALSE),"")</f>
        <v>3702820</v>
      </c>
    </row>
    <row r="1590" spans="1:9" x14ac:dyDescent="0.2">
      <c r="A1590">
        <f t="shared" si="24"/>
        <v>3702820</v>
      </c>
      <c r="B1590" s="24">
        <v>2021</v>
      </c>
      <c r="C1590" t="s">
        <v>395</v>
      </c>
      <c r="D1590" t="s">
        <v>756</v>
      </c>
      <c r="E1590" t="s">
        <v>756</v>
      </c>
      <c r="F1590" s="11">
        <v>112380150</v>
      </c>
      <c r="G1590" s="18">
        <v>8.9800000000000004E-4</v>
      </c>
      <c r="H1590" s="11">
        <v>2131180.2960000001</v>
      </c>
      <c r="I1590" s="22">
        <f>IFERROR(VLOOKUP(D1590,'LEAID Match'!$A$2:$B$184,2,FALSE),"")</f>
        <v>3702820</v>
      </c>
    </row>
    <row r="1591" spans="1:9" x14ac:dyDescent="0.2">
      <c r="A1591">
        <f t="shared" si="24"/>
        <v>3702820</v>
      </c>
      <c r="B1591" s="24">
        <v>2022</v>
      </c>
      <c r="C1591" t="s">
        <v>395</v>
      </c>
      <c r="D1591" t="s">
        <v>756</v>
      </c>
      <c r="E1591" t="s">
        <v>756</v>
      </c>
      <c r="F1591" s="11">
        <v>119403141</v>
      </c>
      <c r="G1591" s="18">
        <v>9.4669999999999997E-4</v>
      </c>
      <c r="H1591" s="11">
        <v>2614734.2782000001</v>
      </c>
      <c r="I1591" s="22">
        <f>IFERROR(VLOOKUP(D1591,'LEAID Match'!$A$2:$B$184,2,FALSE),"")</f>
        <v>3702820</v>
      </c>
    </row>
    <row r="1592" spans="1:9" x14ac:dyDescent="0.2">
      <c r="A1592">
        <f t="shared" si="24"/>
        <v>3702820</v>
      </c>
      <c r="B1592" s="24">
        <v>2023</v>
      </c>
      <c r="C1592" t="s">
        <v>395</v>
      </c>
      <c r="D1592" t="s">
        <v>756</v>
      </c>
      <c r="E1592" t="s">
        <v>756</v>
      </c>
      <c r="F1592" s="11">
        <v>132173221</v>
      </c>
      <c r="G1592" s="18">
        <v>9.9449999999999994E-4</v>
      </c>
      <c r="H1592" s="11">
        <v>3018205.0664999997</v>
      </c>
      <c r="I1592" s="22">
        <f>IFERROR(VLOOKUP(D1592,'LEAID Match'!$A$2:$B$184,2,FALSE),"")</f>
        <v>3702820</v>
      </c>
    </row>
    <row r="1593" spans="1:9" x14ac:dyDescent="0.2">
      <c r="A1593">
        <f t="shared" si="24"/>
        <v>3702880</v>
      </c>
      <c r="B1593" s="24">
        <v>2015</v>
      </c>
      <c r="C1593" t="s">
        <v>396</v>
      </c>
      <c r="D1593" t="s">
        <v>757</v>
      </c>
      <c r="E1593" t="s">
        <v>342</v>
      </c>
      <c r="F1593" s="11">
        <v>165944833</v>
      </c>
      <c r="G1593" s="18">
        <v>1.4509E-3</v>
      </c>
      <c r="H1593" s="11">
        <v>1832469.2892</v>
      </c>
      <c r="I1593" s="22">
        <f>IFERROR(VLOOKUP(D1593,'LEAID Match'!$A$2:$B$184,2,FALSE),"")</f>
        <v>3702880</v>
      </c>
    </row>
    <row r="1594" spans="1:9" x14ac:dyDescent="0.2">
      <c r="A1594">
        <f t="shared" si="24"/>
        <v>3702880</v>
      </c>
      <c r="B1594" s="24">
        <v>2016</v>
      </c>
      <c r="C1594" t="s">
        <v>396</v>
      </c>
      <c r="D1594" t="s">
        <v>757</v>
      </c>
      <c r="E1594" t="s">
        <v>757</v>
      </c>
      <c r="F1594" s="11">
        <v>151261517</v>
      </c>
      <c r="G1594" s="18">
        <v>1.3967999999999999E-3</v>
      </c>
      <c r="H1594" s="11">
        <v>1780924.1904</v>
      </c>
      <c r="I1594" s="22">
        <f>IFERROR(VLOOKUP(D1594,'LEAID Match'!$A$2:$B$184,2,FALSE),"")</f>
        <v>3702880</v>
      </c>
    </row>
    <row r="1595" spans="1:9" x14ac:dyDescent="0.2">
      <c r="A1595">
        <f t="shared" si="24"/>
        <v>3702880</v>
      </c>
      <c r="B1595" s="24">
        <v>2017</v>
      </c>
      <c r="C1595" t="s">
        <v>396</v>
      </c>
      <c r="D1595" t="s">
        <v>757</v>
      </c>
      <c r="E1595" t="s">
        <v>757</v>
      </c>
      <c r="F1595" s="11">
        <v>150494484</v>
      </c>
      <c r="G1595" s="18">
        <v>1.3487E-3</v>
      </c>
      <c r="H1595" s="11">
        <v>1943738.3477999999</v>
      </c>
      <c r="I1595" s="22">
        <f>IFERROR(VLOOKUP(D1595,'LEAID Match'!$A$2:$B$184,2,FALSE),"")</f>
        <v>3702880</v>
      </c>
    </row>
    <row r="1596" spans="1:9" x14ac:dyDescent="0.2">
      <c r="A1596">
        <f t="shared" si="24"/>
        <v>3702880</v>
      </c>
      <c r="B1596" s="24">
        <v>2018</v>
      </c>
      <c r="C1596" t="s">
        <v>396</v>
      </c>
      <c r="D1596" t="s">
        <v>757</v>
      </c>
      <c r="E1596" t="s">
        <v>757</v>
      </c>
      <c r="F1596" s="11">
        <v>148261044</v>
      </c>
      <c r="G1596" s="18">
        <v>1.2757999999999999E-3</v>
      </c>
      <c r="H1596" s="11">
        <v>2044981.0957999998</v>
      </c>
      <c r="I1596" s="22">
        <f>IFERROR(VLOOKUP(D1596,'LEAID Match'!$A$2:$B$184,2,FALSE),"")</f>
        <v>3702880</v>
      </c>
    </row>
    <row r="1597" spans="1:9" x14ac:dyDescent="0.2">
      <c r="A1597">
        <f t="shared" si="24"/>
        <v>3702880</v>
      </c>
      <c r="B1597" s="24">
        <v>2019</v>
      </c>
      <c r="C1597" t="s">
        <v>396</v>
      </c>
      <c r="D1597" t="s">
        <v>757</v>
      </c>
      <c r="E1597" t="s">
        <v>757</v>
      </c>
      <c r="F1597" s="11">
        <v>151355380</v>
      </c>
      <c r="G1597" s="18">
        <v>1.2562999999999999E-3</v>
      </c>
      <c r="H1597" s="11">
        <v>2405997.9197999998</v>
      </c>
      <c r="I1597" s="22">
        <f>IFERROR(VLOOKUP(D1597,'LEAID Match'!$A$2:$B$184,2,FALSE),"")</f>
        <v>3702880</v>
      </c>
    </row>
    <row r="1598" spans="1:9" x14ac:dyDescent="0.2">
      <c r="A1598">
        <f t="shared" si="24"/>
        <v>3702880</v>
      </c>
      <c r="B1598" s="24">
        <v>2020</v>
      </c>
      <c r="C1598" t="s">
        <v>396</v>
      </c>
      <c r="D1598" t="s">
        <v>757</v>
      </c>
      <c r="E1598" t="s">
        <v>757</v>
      </c>
      <c r="F1598" s="11">
        <v>155997806</v>
      </c>
      <c r="G1598" s="18">
        <v>1.2593999999999999E-3</v>
      </c>
      <c r="H1598" s="11">
        <v>2588161.4550000001</v>
      </c>
      <c r="I1598" s="22">
        <f>IFERROR(VLOOKUP(D1598,'LEAID Match'!$A$2:$B$184,2,FALSE),"")</f>
        <v>3702880</v>
      </c>
    </row>
    <row r="1599" spans="1:9" x14ac:dyDescent="0.2">
      <c r="A1599">
        <f t="shared" si="24"/>
        <v>3702880</v>
      </c>
      <c r="B1599" s="24">
        <v>2021</v>
      </c>
      <c r="C1599" t="s">
        <v>396</v>
      </c>
      <c r="D1599" t="s">
        <v>757</v>
      </c>
      <c r="E1599" t="s">
        <v>757</v>
      </c>
      <c r="F1599" s="11">
        <v>144082198</v>
      </c>
      <c r="G1599" s="18">
        <v>1.1513000000000001E-3</v>
      </c>
      <c r="H1599" s="11">
        <v>2732325.0276000001</v>
      </c>
      <c r="I1599" s="22">
        <f>IFERROR(VLOOKUP(D1599,'LEAID Match'!$A$2:$B$184,2,FALSE),"")</f>
        <v>3702880</v>
      </c>
    </row>
    <row r="1600" spans="1:9" x14ac:dyDescent="0.2">
      <c r="A1600">
        <f t="shared" si="24"/>
        <v>3702880</v>
      </c>
      <c r="B1600" s="24">
        <v>2022</v>
      </c>
      <c r="C1600" t="s">
        <v>396</v>
      </c>
      <c r="D1600" t="s">
        <v>757</v>
      </c>
      <c r="E1600" t="s">
        <v>757</v>
      </c>
      <c r="F1600" s="11">
        <v>147032340</v>
      </c>
      <c r="G1600" s="18">
        <v>1.1658E-3</v>
      </c>
      <c r="H1600" s="11">
        <v>3219876.6468000002</v>
      </c>
      <c r="I1600" s="22">
        <f>IFERROR(VLOOKUP(D1600,'LEAID Match'!$A$2:$B$184,2,FALSE),"")</f>
        <v>3702880</v>
      </c>
    </row>
    <row r="1601" spans="1:9" x14ac:dyDescent="0.2">
      <c r="A1601">
        <f t="shared" si="24"/>
        <v>3702880</v>
      </c>
      <c r="B1601" s="24">
        <v>2023</v>
      </c>
      <c r="C1601" t="s">
        <v>396</v>
      </c>
      <c r="D1601" t="s">
        <v>757</v>
      </c>
      <c r="E1601" t="s">
        <v>757</v>
      </c>
      <c r="F1601" s="11">
        <v>149351030</v>
      </c>
      <c r="G1601" s="18">
        <v>1.1238000000000001E-3</v>
      </c>
      <c r="H1601" s="11">
        <v>3410617.2486000005</v>
      </c>
      <c r="I1601" s="22">
        <f>IFERROR(VLOOKUP(D1601,'LEAID Match'!$A$2:$B$184,2,FALSE),"")</f>
        <v>3702880</v>
      </c>
    </row>
    <row r="1602" spans="1:9" x14ac:dyDescent="0.2">
      <c r="A1602" t="str">
        <f t="shared" si="24"/>
        <v/>
      </c>
      <c r="B1602" s="24">
        <v>2015</v>
      </c>
      <c r="C1602" t="s">
        <v>397</v>
      </c>
      <c r="D1602" t="s">
        <v>758</v>
      </c>
      <c r="E1602" t="s">
        <v>343</v>
      </c>
      <c r="F1602" s="11">
        <v>20542656</v>
      </c>
      <c r="G1602" s="18">
        <v>1.796E-4</v>
      </c>
      <c r="H1602" s="11">
        <v>226832.64480000001</v>
      </c>
      <c r="I1602" s="22" t="str">
        <f>IFERROR(VLOOKUP(D1602,'LEAID Match'!$A$2:$B$184,2,FALSE),"")</f>
        <v/>
      </c>
    </row>
    <row r="1603" spans="1:9" x14ac:dyDescent="0.2">
      <c r="A1603" t="str">
        <f t="shared" ref="A1603:A1666" si="25">I1603</f>
        <v/>
      </c>
      <c r="B1603" s="24">
        <v>2016</v>
      </c>
      <c r="C1603" t="s">
        <v>397</v>
      </c>
      <c r="D1603" t="s">
        <v>758</v>
      </c>
      <c r="E1603" t="s">
        <v>758</v>
      </c>
      <c r="F1603" s="11">
        <v>24233089</v>
      </c>
      <c r="G1603" s="18">
        <v>2.2379999999999999E-4</v>
      </c>
      <c r="H1603" s="11">
        <v>285345.67139999999</v>
      </c>
      <c r="I1603" s="22" t="str">
        <f>IFERROR(VLOOKUP(D1603,'LEAID Match'!$A$2:$B$184,2,FALSE),"")</f>
        <v/>
      </c>
    </row>
    <row r="1604" spans="1:9" x14ac:dyDescent="0.2">
      <c r="A1604" t="str">
        <f t="shared" si="25"/>
        <v/>
      </c>
      <c r="B1604" s="24">
        <v>2017</v>
      </c>
      <c r="C1604" t="s">
        <v>397</v>
      </c>
      <c r="D1604" t="s">
        <v>758</v>
      </c>
      <c r="E1604" t="s">
        <v>758</v>
      </c>
      <c r="F1604" s="11">
        <v>26190443</v>
      </c>
      <c r="G1604" s="18">
        <v>2.3470000000000001E-4</v>
      </c>
      <c r="H1604" s="11">
        <v>338248.23180000001</v>
      </c>
      <c r="I1604" s="22" t="str">
        <f>IFERROR(VLOOKUP(D1604,'LEAID Match'!$A$2:$B$184,2,FALSE),"")</f>
        <v/>
      </c>
    </row>
    <row r="1605" spans="1:9" x14ac:dyDescent="0.2">
      <c r="A1605" t="str">
        <f t="shared" si="25"/>
        <v/>
      </c>
      <c r="B1605" s="24">
        <v>2018</v>
      </c>
      <c r="C1605" t="s">
        <v>397</v>
      </c>
      <c r="D1605" t="s">
        <v>758</v>
      </c>
      <c r="E1605" t="s">
        <v>758</v>
      </c>
      <c r="F1605" s="11">
        <v>28270580</v>
      </c>
      <c r="G1605" s="18">
        <v>2.433E-4</v>
      </c>
      <c r="H1605" s="11">
        <v>389985.81329999998</v>
      </c>
      <c r="I1605" s="22" t="str">
        <f>IFERROR(VLOOKUP(D1605,'LEAID Match'!$A$2:$B$184,2,FALSE),"")</f>
        <v/>
      </c>
    </row>
    <row r="1606" spans="1:9" x14ac:dyDescent="0.2">
      <c r="A1606" t="str">
        <f t="shared" si="25"/>
        <v/>
      </c>
      <c r="B1606" s="24">
        <v>2019</v>
      </c>
      <c r="C1606" t="s">
        <v>397</v>
      </c>
      <c r="D1606" t="s">
        <v>758</v>
      </c>
      <c r="E1606" t="s">
        <v>758</v>
      </c>
      <c r="F1606" s="11">
        <v>32098761</v>
      </c>
      <c r="G1606" s="18">
        <v>2.6640000000000002E-4</v>
      </c>
      <c r="H1606" s="11">
        <v>510194.89440000005</v>
      </c>
      <c r="I1606" s="22" t="str">
        <f>IFERROR(VLOOKUP(D1606,'LEAID Match'!$A$2:$B$184,2,FALSE),"")</f>
        <v/>
      </c>
    </row>
    <row r="1607" spans="1:9" x14ac:dyDescent="0.2">
      <c r="A1607" t="str">
        <f t="shared" si="25"/>
        <v/>
      </c>
      <c r="B1607" s="24">
        <v>2020</v>
      </c>
      <c r="C1607" t="s">
        <v>397</v>
      </c>
      <c r="D1607" t="s">
        <v>758</v>
      </c>
      <c r="E1607" t="s">
        <v>758</v>
      </c>
      <c r="F1607" s="11">
        <v>30867223</v>
      </c>
      <c r="G1607" s="18">
        <v>2.4919999999999999E-4</v>
      </c>
      <c r="H1607" s="11">
        <v>512124.68999999994</v>
      </c>
      <c r="I1607" s="22" t="str">
        <f>IFERROR(VLOOKUP(D1607,'LEAID Match'!$A$2:$B$184,2,FALSE),"")</f>
        <v/>
      </c>
    </row>
    <row r="1608" spans="1:9" x14ac:dyDescent="0.2">
      <c r="A1608" t="str">
        <f t="shared" si="25"/>
        <v/>
      </c>
      <c r="B1608" s="24">
        <v>2021</v>
      </c>
      <c r="C1608" t="s">
        <v>397</v>
      </c>
      <c r="D1608" t="s">
        <v>758</v>
      </c>
      <c r="E1608" t="s">
        <v>758</v>
      </c>
      <c r="F1608" s="11">
        <v>31644828</v>
      </c>
      <c r="G1608" s="18">
        <v>2.5290000000000002E-4</v>
      </c>
      <c r="H1608" s="11">
        <v>600195.43080000009</v>
      </c>
      <c r="I1608" s="22" t="str">
        <f>IFERROR(VLOOKUP(D1608,'LEAID Match'!$A$2:$B$184,2,FALSE),"")</f>
        <v/>
      </c>
    </row>
    <row r="1609" spans="1:9" x14ac:dyDescent="0.2">
      <c r="A1609" t="str">
        <f t="shared" si="25"/>
        <v/>
      </c>
      <c r="B1609" s="24">
        <v>2022</v>
      </c>
      <c r="C1609" t="s">
        <v>397</v>
      </c>
      <c r="D1609" t="s">
        <v>758</v>
      </c>
      <c r="E1609" t="s">
        <v>758</v>
      </c>
      <c r="F1609" s="11">
        <v>30251147</v>
      </c>
      <c r="G1609" s="18">
        <v>2.399E-4</v>
      </c>
      <c r="H1609" s="11">
        <v>662590.84539999999</v>
      </c>
      <c r="I1609" s="22" t="str">
        <f>IFERROR(VLOOKUP(D1609,'LEAID Match'!$A$2:$B$184,2,FALSE),"")</f>
        <v/>
      </c>
    </row>
    <row r="1610" spans="1:9" x14ac:dyDescent="0.2">
      <c r="A1610" t="str">
        <f t="shared" si="25"/>
        <v/>
      </c>
      <c r="B1610" s="24">
        <v>2023</v>
      </c>
      <c r="C1610" t="s">
        <v>397</v>
      </c>
      <c r="D1610" t="s">
        <v>758</v>
      </c>
      <c r="E1610" t="s">
        <v>758</v>
      </c>
      <c r="F1610" s="11">
        <v>29984342</v>
      </c>
      <c r="G1610" s="18">
        <v>2.2560000000000001E-4</v>
      </c>
      <c r="H1610" s="11">
        <v>684672.76320000004</v>
      </c>
      <c r="I1610" s="22" t="str">
        <f>IFERROR(VLOOKUP(D1610,'LEAID Match'!$A$2:$B$184,2,FALSE),"")</f>
        <v/>
      </c>
    </row>
    <row r="1611" spans="1:9" x14ac:dyDescent="0.2">
      <c r="A1611">
        <f t="shared" si="25"/>
        <v>3702940</v>
      </c>
      <c r="B1611" s="24">
        <v>2015</v>
      </c>
      <c r="C1611" t="s">
        <v>398</v>
      </c>
      <c r="D1611" t="s">
        <v>759</v>
      </c>
      <c r="E1611" t="s">
        <v>344</v>
      </c>
      <c r="F1611" s="11">
        <v>295444035</v>
      </c>
      <c r="G1611" s="18">
        <v>2.5831999999999999E-3</v>
      </c>
      <c r="H1611" s="11">
        <v>3262550.6015999997</v>
      </c>
      <c r="I1611" s="22">
        <f>IFERROR(VLOOKUP(D1611,'LEAID Match'!$A$2:$B$184,2,FALSE),"")</f>
        <v>3702940</v>
      </c>
    </row>
    <row r="1612" spans="1:9" x14ac:dyDescent="0.2">
      <c r="A1612">
        <f t="shared" si="25"/>
        <v>3702940</v>
      </c>
      <c r="B1612" s="24">
        <v>2016</v>
      </c>
      <c r="C1612" t="s">
        <v>398</v>
      </c>
      <c r="D1612" t="s">
        <v>759</v>
      </c>
      <c r="E1612" t="s">
        <v>759</v>
      </c>
      <c r="F1612" s="11">
        <v>278623763</v>
      </c>
      <c r="G1612" s="18">
        <v>2.5728999999999999E-3</v>
      </c>
      <c r="H1612" s="11">
        <v>3280455.2187000001</v>
      </c>
      <c r="I1612" s="22">
        <f>IFERROR(VLOOKUP(D1612,'LEAID Match'!$A$2:$B$184,2,FALSE),"")</f>
        <v>3702940</v>
      </c>
    </row>
    <row r="1613" spans="1:9" x14ac:dyDescent="0.2">
      <c r="A1613">
        <f t="shared" si="25"/>
        <v>3702940</v>
      </c>
      <c r="B1613" s="24">
        <v>2017</v>
      </c>
      <c r="C1613" t="s">
        <v>398</v>
      </c>
      <c r="D1613" t="s">
        <v>759</v>
      </c>
      <c r="E1613" t="s">
        <v>759</v>
      </c>
      <c r="F1613" s="11">
        <v>278388316</v>
      </c>
      <c r="G1613" s="18">
        <v>2.4949E-3</v>
      </c>
      <c r="H1613" s="11">
        <v>3595634.9106000001</v>
      </c>
      <c r="I1613" s="22">
        <f>IFERROR(VLOOKUP(D1613,'LEAID Match'!$A$2:$B$184,2,FALSE),"")</f>
        <v>3702940</v>
      </c>
    </row>
    <row r="1614" spans="1:9" x14ac:dyDescent="0.2">
      <c r="A1614">
        <f t="shared" si="25"/>
        <v>3702940</v>
      </c>
      <c r="B1614" s="24">
        <v>2018</v>
      </c>
      <c r="C1614" t="s">
        <v>398</v>
      </c>
      <c r="D1614" t="s">
        <v>759</v>
      </c>
      <c r="E1614" t="s">
        <v>759</v>
      </c>
      <c r="F1614" s="11">
        <v>289753330</v>
      </c>
      <c r="G1614" s="18">
        <v>2.4933999999999998E-3</v>
      </c>
      <c r="H1614" s="11">
        <v>3996673.3533999994</v>
      </c>
      <c r="I1614" s="22">
        <f>IFERROR(VLOOKUP(D1614,'LEAID Match'!$A$2:$B$184,2,FALSE),"")</f>
        <v>3702940</v>
      </c>
    </row>
    <row r="1615" spans="1:9" x14ac:dyDescent="0.2">
      <c r="A1615">
        <f t="shared" si="25"/>
        <v>3702940</v>
      </c>
      <c r="B1615" s="24">
        <v>2019</v>
      </c>
      <c r="C1615" t="s">
        <v>398</v>
      </c>
      <c r="D1615" t="s">
        <v>759</v>
      </c>
      <c r="E1615" t="s">
        <v>759</v>
      </c>
      <c r="F1615" s="11">
        <v>293706474</v>
      </c>
      <c r="G1615" s="18">
        <v>2.4377999999999999E-3</v>
      </c>
      <c r="H1615" s="11">
        <v>4668742.9188000001</v>
      </c>
      <c r="I1615" s="22">
        <f>IFERROR(VLOOKUP(D1615,'LEAID Match'!$A$2:$B$184,2,FALSE),"")</f>
        <v>3702940</v>
      </c>
    </row>
    <row r="1616" spans="1:9" x14ac:dyDescent="0.2">
      <c r="A1616">
        <f t="shared" si="25"/>
        <v>3702940</v>
      </c>
      <c r="B1616" s="24">
        <v>2020</v>
      </c>
      <c r="C1616" t="s">
        <v>398</v>
      </c>
      <c r="D1616" t="s">
        <v>759</v>
      </c>
      <c r="E1616" t="s">
        <v>759</v>
      </c>
      <c r="F1616" s="11">
        <v>295528130</v>
      </c>
      <c r="G1616" s="18">
        <v>2.3858E-3</v>
      </c>
      <c r="H1616" s="11">
        <v>4902997.9349999996</v>
      </c>
      <c r="I1616" s="22">
        <f>IFERROR(VLOOKUP(D1616,'LEAID Match'!$A$2:$B$184,2,FALSE),"")</f>
        <v>3702940</v>
      </c>
    </row>
    <row r="1617" spans="1:9" x14ac:dyDescent="0.2">
      <c r="A1617">
        <f t="shared" si="25"/>
        <v>3702940</v>
      </c>
      <c r="B1617" s="24">
        <v>2021</v>
      </c>
      <c r="C1617" t="s">
        <v>398</v>
      </c>
      <c r="D1617" t="s">
        <v>759</v>
      </c>
      <c r="E1617" t="s">
        <v>759</v>
      </c>
      <c r="F1617" s="11">
        <v>286615385</v>
      </c>
      <c r="G1617" s="18">
        <v>2.2902E-3</v>
      </c>
      <c r="H1617" s="11">
        <v>5435221.7303999998</v>
      </c>
      <c r="I1617" s="22">
        <f>IFERROR(VLOOKUP(D1617,'LEAID Match'!$A$2:$B$184,2,FALSE),"")</f>
        <v>3702940</v>
      </c>
    </row>
    <row r="1618" spans="1:9" x14ac:dyDescent="0.2">
      <c r="A1618">
        <f t="shared" si="25"/>
        <v>3702940</v>
      </c>
      <c r="B1618" s="24">
        <v>2022</v>
      </c>
      <c r="C1618" t="s">
        <v>398</v>
      </c>
      <c r="D1618" t="s">
        <v>759</v>
      </c>
      <c r="E1618" t="s">
        <v>759</v>
      </c>
      <c r="F1618" s="11">
        <v>293031701</v>
      </c>
      <c r="G1618" s="18">
        <v>2.3234000000000002E-3</v>
      </c>
      <c r="H1618" s="11">
        <v>6417105.3364000004</v>
      </c>
      <c r="I1618" s="22">
        <f>IFERROR(VLOOKUP(D1618,'LEAID Match'!$A$2:$B$184,2,FALSE),"")</f>
        <v>3702940</v>
      </c>
    </row>
    <row r="1619" spans="1:9" x14ac:dyDescent="0.2">
      <c r="A1619">
        <f t="shared" si="25"/>
        <v>3702940</v>
      </c>
      <c r="B1619" s="24">
        <v>2023</v>
      </c>
      <c r="C1619" t="s">
        <v>398</v>
      </c>
      <c r="D1619" t="s">
        <v>759</v>
      </c>
      <c r="E1619" t="s">
        <v>759</v>
      </c>
      <c r="F1619" s="11">
        <v>298917277</v>
      </c>
      <c r="G1619" s="18">
        <v>2.2491E-3</v>
      </c>
      <c r="H1619" s="11">
        <v>6825786.8426999999</v>
      </c>
      <c r="I1619" s="22">
        <f>IFERROR(VLOOKUP(D1619,'LEAID Match'!$A$2:$B$184,2,FALSE),"")</f>
        <v>3702940</v>
      </c>
    </row>
    <row r="1620" spans="1:9" x14ac:dyDescent="0.2">
      <c r="A1620" t="str">
        <f t="shared" si="25"/>
        <v/>
      </c>
      <c r="B1620" s="24">
        <v>2015</v>
      </c>
      <c r="C1620" t="s">
        <v>399</v>
      </c>
      <c r="D1620" t="s">
        <v>760</v>
      </c>
      <c r="E1620" t="s">
        <v>345</v>
      </c>
      <c r="F1620" s="11">
        <v>41902074</v>
      </c>
      <c r="G1620" s="18">
        <v>3.6640000000000002E-4</v>
      </c>
      <c r="H1620" s="11">
        <v>462758.80320000002</v>
      </c>
      <c r="I1620" s="22" t="str">
        <f>IFERROR(VLOOKUP(D1620,'LEAID Match'!$A$2:$B$184,2,FALSE),"")</f>
        <v/>
      </c>
    </row>
    <row r="1621" spans="1:9" x14ac:dyDescent="0.2">
      <c r="A1621" t="str">
        <f t="shared" si="25"/>
        <v/>
      </c>
      <c r="B1621" s="24">
        <v>2016</v>
      </c>
      <c r="C1621" t="s">
        <v>399</v>
      </c>
      <c r="D1621" t="s">
        <v>760</v>
      </c>
      <c r="E1621" t="s">
        <v>760</v>
      </c>
      <c r="F1621" s="11">
        <v>38372531</v>
      </c>
      <c r="G1621" s="18">
        <v>3.5429999999999999E-4</v>
      </c>
      <c r="H1621" s="11">
        <v>451733.56290000002</v>
      </c>
      <c r="I1621" s="22" t="str">
        <f>IFERROR(VLOOKUP(D1621,'LEAID Match'!$A$2:$B$184,2,FALSE),"")</f>
        <v/>
      </c>
    </row>
    <row r="1622" spans="1:9" x14ac:dyDescent="0.2">
      <c r="A1622" t="str">
        <f t="shared" si="25"/>
        <v/>
      </c>
      <c r="B1622" s="24">
        <v>2017</v>
      </c>
      <c r="C1622" t="s">
        <v>399</v>
      </c>
      <c r="D1622" t="s">
        <v>760</v>
      </c>
      <c r="E1622" t="s">
        <v>760</v>
      </c>
      <c r="F1622" s="11">
        <v>39141545</v>
      </c>
      <c r="G1622" s="18">
        <v>3.5080000000000002E-4</v>
      </c>
      <c r="H1622" s="11">
        <v>505570.85520000005</v>
      </c>
      <c r="I1622" s="22" t="str">
        <f>IFERROR(VLOOKUP(D1622,'LEAID Match'!$A$2:$B$184,2,FALSE),"")</f>
        <v/>
      </c>
    </row>
    <row r="1623" spans="1:9" x14ac:dyDescent="0.2">
      <c r="A1623" t="str">
        <f t="shared" si="25"/>
        <v/>
      </c>
      <c r="B1623" s="24">
        <v>2018</v>
      </c>
      <c r="C1623" t="s">
        <v>399</v>
      </c>
      <c r="D1623" t="s">
        <v>760</v>
      </c>
      <c r="E1623" t="s">
        <v>760</v>
      </c>
      <c r="F1623" s="11">
        <v>36634635</v>
      </c>
      <c r="G1623" s="18">
        <v>3.1530000000000002E-4</v>
      </c>
      <c r="H1623" s="11">
        <v>505394.68530000001</v>
      </c>
      <c r="I1623" s="22" t="str">
        <f>IFERROR(VLOOKUP(D1623,'LEAID Match'!$A$2:$B$184,2,FALSE),"")</f>
        <v/>
      </c>
    </row>
    <row r="1624" spans="1:9" x14ac:dyDescent="0.2">
      <c r="A1624" t="str">
        <f t="shared" si="25"/>
        <v/>
      </c>
      <c r="B1624" s="24">
        <v>2019</v>
      </c>
      <c r="C1624" t="s">
        <v>399</v>
      </c>
      <c r="D1624" t="s">
        <v>760</v>
      </c>
      <c r="E1624" t="s">
        <v>760</v>
      </c>
      <c r="F1624" s="11">
        <v>34351293</v>
      </c>
      <c r="G1624" s="18">
        <v>2.8509999999999999E-4</v>
      </c>
      <c r="H1624" s="11">
        <v>546008.12459999998</v>
      </c>
      <c r="I1624" s="22" t="str">
        <f>IFERROR(VLOOKUP(D1624,'LEAID Match'!$A$2:$B$184,2,FALSE),"")</f>
        <v/>
      </c>
    </row>
    <row r="1625" spans="1:9" x14ac:dyDescent="0.2">
      <c r="A1625" t="str">
        <f t="shared" si="25"/>
        <v/>
      </c>
      <c r="B1625" s="24">
        <v>2020</v>
      </c>
      <c r="C1625" t="s">
        <v>399</v>
      </c>
      <c r="D1625" t="s">
        <v>760</v>
      </c>
      <c r="E1625" t="s">
        <v>760</v>
      </c>
      <c r="F1625" s="11">
        <v>33073862</v>
      </c>
      <c r="G1625" s="18">
        <v>2.6699999999999998E-4</v>
      </c>
      <c r="H1625" s="11">
        <v>548705.02500000002</v>
      </c>
      <c r="I1625" s="22" t="str">
        <f>IFERROR(VLOOKUP(D1625,'LEAID Match'!$A$2:$B$184,2,FALSE),"")</f>
        <v/>
      </c>
    </row>
    <row r="1626" spans="1:9" x14ac:dyDescent="0.2">
      <c r="A1626" t="str">
        <f t="shared" si="25"/>
        <v/>
      </c>
      <c r="B1626" s="24">
        <v>2021</v>
      </c>
      <c r="C1626" t="s">
        <v>399</v>
      </c>
      <c r="D1626" t="s">
        <v>760</v>
      </c>
      <c r="E1626" t="s">
        <v>760</v>
      </c>
      <c r="F1626" s="11">
        <v>33781599</v>
      </c>
      <c r="G1626" s="18">
        <v>2.699E-4</v>
      </c>
      <c r="H1626" s="11">
        <v>640540.71479999996</v>
      </c>
      <c r="I1626" s="22" t="str">
        <f>IFERROR(VLOOKUP(D1626,'LEAID Match'!$A$2:$B$184,2,FALSE),"")</f>
        <v/>
      </c>
    </row>
    <row r="1627" spans="1:9" x14ac:dyDescent="0.2">
      <c r="A1627" t="str">
        <f t="shared" si="25"/>
        <v/>
      </c>
      <c r="B1627" s="24">
        <v>2022</v>
      </c>
      <c r="C1627" t="s">
        <v>399</v>
      </c>
      <c r="D1627" t="s">
        <v>760</v>
      </c>
      <c r="E1627" t="s">
        <v>760</v>
      </c>
      <c r="F1627" s="11">
        <v>36041789</v>
      </c>
      <c r="G1627" s="18">
        <v>2.8580000000000001E-4</v>
      </c>
      <c r="H1627" s="11">
        <v>789364.16680000001</v>
      </c>
      <c r="I1627" s="22" t="str">
        <f>IFERROR(VLOOKUP(D1627,'LEAID Match'!$A$2:$B$184,2,FALSE),"")</f>
        <v/>
      </c>
    </row>
    <row r="1628" spans="1:9" x14ac:dyDescent="0.2">
      <c r="A1628" t="str">
        <f t="shared" si="25"/>
        <v/>
      </c>
      <c r="B1628" s="24">
        <v>2023</v>
      </c>
      <c r="C1628" t="s">
        <v>399</v>
      </c>
      <c r="D1628" t="s">
        <v>760</v>
      </c>
      <c r="E1628" t="s">
        <v>760</v>
      </c>
      <c r="F1628" s="11">
        <v>45292722</v>
      </c>
      <c r="G1628" s="18">
        <v>3.4079999999999999E-4</v>
      </c>
      <c r="H1628" s="11">
        <v>1034292.8976</v>
      </c>
      <c r="I1628" s="22" t="str">
        <f>IFERROR(VLOOKUP(D1628,'LEAID Match'!$A$2:$B$184,2,FALSE),"")</f>
        <v/>
      </c>
    </row>
    <row r="1629" spans="1:9" x14ac:dyDescent="0.2">
      <c r="A1629">
        <f t="shared" si="25"/>
        <v>3702970</v>
      </c>
      <c r="B1629" s="24">
        <v>2015</v>
      </c>
      <c r="C1629" t="s">
        <v>400</v>
      </c>
      <c r="D1629" t="s">
        <v>761</v>
      </c>
      <c r="E1629" t="s">
        <v>346</v>
      </c>
      <c r="F1629" s="11">
        <v>6494916491</v>
      </c>
      <c r="G1629" s="18">
        <v>5.6787200000000003E-2</v>
      </c>
      <c r="H1629" s="11">
        <v>71721552.153600007</v>
      </c>
      <c r="I1629" s="22">
        <f>IFERROR(VLOOKUP(D1629,'LEAID Match'!$A$2:$B$184,2,FALSE),"")</f>
        <v>3702970</v>
      </c>
    </row>
    <row r="1630" spans="1:9" x14ac:dyDescent="0.2">
      <c r="A1630">
        <f t="shared" si="25"/>
        <v>3702970</v>
      </c>
      <c r="B1630" s="24">
        <v>2016</v>
      </c>
      <c r="C1630" t="s">
        <v>400</v>
      </c>
      <c r="D1630" t="s">
        <v>761</v>
      </c>
      <c r="E1630" t="s">
        <v>761</v>
      </c>
      <c r="F1630" s="11">
        <v>6352576014</v>
      </c>
      <c r="G1630" s="18">
        <v>5.8661999999999999E-2</v>
      </c>
      <c r="H1630" s="11">
        <v>74794225.986000001</v>
      </c>
      <c r="I1630" s="22">
        <f>IFERROR(VLOOKUP(D1630,'LEAID Match'!$A$2:$B$184,2,FALSE),"")</f>
        <v>3702970</v>
      </c>
    </row>
    <row r="1631" spans="1:9" x14ac:dyDescent="0.2">
      <c r="A1631">
        <f t="shared" si="25"/>
        <v>3702970</v>
      </c>
      <c r="B1631" s="24">
        <v>2017</v>
      </c>
      <c r="C1631" t="s">
        <v>400</v>
      </c>
      <c r="D1631" t="s">
        <v>761</v>
      </c>
      <c r="E1631" t="s">
        <v>761</v>
      </c>
      <c r="F1631" s="11">
        <v>6670406256</v>
      </c>
      <c r="G1631" s="18">
        <v>5.97805E-2</v>
      </c>
      <c r="H1631" s="11">
        <v>86155297.916999996</v>
      </c>
      <c r="I1631" s="22">
        <f>IFERROR(VLOOKUP(D1631,'LEAID Match'!$A$2:$B$184,2,FALSE),"")</f>
        <v>3702970</v>
      </c>
    </row>
    <row r="1632" spans="1:9" x14ac:dyDescent="0.2">
      <c r="A1632">
        <f t="shared" si="25"/>
        <v>3702970</v>
      </c>
      <c r="B1632" s="24">
        <v>2018</v>
      </c>
      <c r="C1632" t="s">
        <v>400</v>
      </c>
      <c r="D1632" t="s">
        <v>761</v>
      </c>
      <c r="E1632" t="s">
        <v>761</v>
      </c>
      <c r="F1632" s="11">
        <v>7006926479</v>
      </c>
      <c r="G1632" s="18">
        <v>6.0296500000000003E-2</v>
      </c>
      <c r="H1632" s="11">
        <v>96649320.146500006</v>
      </c>
      <c r="I1632" s="22">
        <f>IFERROR(VLOOKUP(D1632,'LEAID Match'!$A$2:$B$184,2,FALSE),"")</f>
        <v>3702970</v>
      </c>
    </row>
    <row r="1633" spans="1:9" x14ac:dyDescent="0.2">
      <c r="A1633">
        <f t="shared" si="25"/>
        <v>3702970</v>
      </c>
      <c r="B1633" s="24">
        <v>2019</v>
      </c>
      <c r="C1633" t="s">
        <v>400</v>
      </c>
      <c r="D1633" t="s">
        <v>761</v>
      </c>
      <c r="E1633" t="s">
        <v>761</v>
      </c>
      <c r="F1633" s="11">
        <v>7233918446</v>
      </c>
      <c r="G1633" s="18">
        <v>6.0041600000000001E-2</v>
      </c>
      <c r="H1633" s="11">
        <v>114988430.07359999</v>
      </c>
      <c r="I1633" s="22">
        <f>IFERROR(VLOOKUP(D1633,'LEAID Match'!$A$2:$B$184,2,FALSE),"")</f>
        <v>3702970</v>
      </c>
    </row>
    <row r="1634" spans="1:9" x14ac:dyDescent="0.2">
      <c r="A1634">
        <f t="shared" si="25"/>
        <v>3702970</v>
      </c>
      <c r="B1634" s="24">
        <v>2020</v>
      </c>
      <c r="C1634" t="s">
        <v>400</v>
      </c>
      <c r="D1634" t="s">
        <v>761</v>
      </c>
      <c r="E1634" t="s">
        <v>761</v>
      </c>
      <c r="F1634" s="11">
        <v>7478824042</v>
      </c>
      <c r="G1634" s="18">
        <v>6.0375600000000001E-2</v>
      </c>
      <c r="H1634" s="11">
        <v>124076386.17</v>
      </c>
      <c r="I1634" s="22">
        <f>IFERROR(VLOOKUP(D1634,'LEAID Match'!$A$2:$B$184,2,FALSE),"")</f>
        <v>3702970</v>
      </c>
    </row>
    <row r="1635" spans="1:9" x14ac:dyDescent="0.2">
      <c r="A1635">
        <f t="shared" si="25"/>
        <v>3702970</v>
      </c>
      <c r="B1635" s="24">
        <v>2021</v>
      </c>
      <c r="C1635" t="s">
        <v>400</v>
      </c>
      <c r="D1635" t="s">
        <v>761</v>
      </c>
      <c r="E1635" t="s">
        <v>761</v>
      </c>
      <c r="F1635" s="11">
        <v>7705989702</v>
      </c>
      <c r="G1635" s="18">
        <v>6.1573900000000001E-2</v>
      </c>
      <c r="H1635" s="11">
        <v>146130381.32280001</v>
      </c>
      <c r="I1635" s="22">
        <f>IFERROR(VLOOKUP(D1635,'LEAID Match'!$A$2:$B$184,2,FALSE),"")</f>
        <v>3702970</v>
      </c>
    </row>
    <row r="1636" spans="1:9" x14ac:dyDescent="0.2">
      <c r="A1636">
        <f t="shared" si="25"/>
        <v>3702970</v>
      </c>
      <c r="B1636" s="24">
        <v>2022</v>
      </c>
      <c r="C1636" t="s">
        <v>400</v>
      </c>
      <c r="D1636" t="s">
        <v>761</v>
      </c>
      <c r="E1636" t="s">
        <v>761</v>
      </c>
      <c r="F1636" s="11">
        <v>7841693950</v>
      </c>
      <c r="G1636" s="18">
        <v>6.2176599999999999E-2</v>
      </c>
      <c r="H1636" s="11">
        <v>171728411.6636</v>
      </c>
      <c r="I1636" s="22">
        <f>IFERROR(VLOOKUP(D1636,'LEAID Match'!$A$2:$B$184,2,FALSE),"")</f>
        <v>3702970</v>
      </c>
    </row>
    <row r="1637" spans="1:9" x14ac:dyDescent="0.2">
      <c r="A1637">
        <f t="shared" si="25"/>
        <v>3702970</v>
      </c>
      <c r="B1637" s="24">
        <v>2023</v>
      </c>
      <c r="C1637" t="s">
        <v>400</v>
      </c>
      <c r="D1637" t="s">
        <v>761</v>
      </c>
      <c r="E1637" t="s">
        <v>761</v>
      </c>
      <c r="F1637" s="11">
        <v>7762141818</v>
      </c>
      <c r="G1637" s="18">
        <v>5.8404200000000003E-2</v>
      </c>
      <c r="H1637" s="11">
        <v>177250731.36740002</v>
      </c>
      <c r="I1637" s="22">
        <f>IFERROR(VLOOKUP(D1637,'LEAID Match'!$A$2:$B$184,2,FALSE),"")</f>
        <v>3702970</v>
      </c>
    </row>
    <row r="1638" spans="1:9" x14ac:dyDescent="0.2">
      <c r="A1638">
        <f t="shared" si="25"/>
        <v>3700032</v>
      </c>
      <c r="B1638" s="24">
        <v>2015</v>
      </c>
      <c r="C1638" t="s">
        <v>401</v>
      </c>
      <c r="D1638" t="s">
        <v>762</v>
      </c>
      <c r="E1638" t="s">
        <v>347</v>
      </c>
      <c r="F1638" s="11">
        <v>3952907</v>
      </c>
      <c r="G1638" s="18">
        <v>3.4600000000000001E-5</v>
      </c>
      <c r="H1638" s="11">
        <v>43699.3848</v>
      </c>
      <c r="I1638" s="22">
        <f>IFERROR(VLOOKUP(D1638,'LEAID Match'!$A$2:$B$184,2,FALSE),"")</f>
        <v>3700032</v>
      </c>
    </row>
    <row r="1639" spans="1:9" x14ac:dyDescent="0.2">
      <c r="A1639">
        <f t="shared" si="25"/>
        <v>3700032</v>
      </c>
      <c r="B1639" s="24">
        <v>2016</v>
      </c>
      <c r="C1639" t="s">
        <v>401</v>
      </c>
      <c r="D1639" t="s">
        <v>762</v>
      </c>
      <c r="E1639" t="s">
        <v>762</v>
      </c>
      <c r="F1639" s="11">
        <v>3548038</v>
      </c>
      <c r="G1639" s="18">
        <v>3.2799999999999998E-5</v>
      </c>
      <c r="H1639" s="11">
        <v>41820.098399999995</v>
      </c>
      <c r="I1639" s="22">
        <f>IFERROR(VLOOKUP(D1639,'LEAID Match'!$A$2:$B$184,2,FALSE),"")</f>
        <v>3700032</v>
      </c>
    </row>
    <row r="1640" spans="1:9" x14ac:dyDescent="0.2">
      <c r="A1640">
        <f t="shared" si="25"/>
        <v>3700032</v>
      </c>
      <c r="B1640" s="24">
        <v>2017</v>
      </c>
      <c r="C1640" t="s">
        <v>401</v>
      </c>
      <c r="D1640" t="s">
        <v>762</v>
      </c>
      <c r="E1640" t="s">
        <v>762</v>
      </c>
      <c r="F1640" s="11">
        <v>3218431</v>
      </c>
      <c r="G1640" s="18">
        <v>2.8799999999999999E-5</v>
      </c>
      <c r="H1640" s="11">
        <v>41506.387199999997</v>
      </c>
      <c r="I1640" s="22">
        <f>IFERROR(VLOOKUP(D1640,'LEAID Match'!$A$2:$B$184,2,FALSE),"")</f>
        <v>3700032</v>
      </c>
    </row>
    <row r="1641" spans="1:9" x14ac:dyDescent="0.2">
      <c r="A1641">
        <f t="shared" si="25"/>
        <v>3700063</v>
      </c>
      <c r="B1641" s="24">
        <v>2015</v>
      </c>
      <c r="C1641" t="s">
        <v>402</v>
      </c>
      <c r="D1641" t="s">
        <v>763</v>
      </c>
      <c r="E1641" t="s">
        <v>348</v>
      </c>
      <c r="F1641" s="11">
        <v>23097322</v>
      </c>
      <c r="G1641" s="18">
        <v>2.019E-4</v>
      </c>
      <c r="H1641" s="11">
        <v>254997.27720000001</v>
      </c>
      <c r="I1641" s="22">
        <f>IFERROR(VLOOKUP(D1641,'LEAID Match'!$A$2:$B$184,2,FALSE),"")</f>
        <v>3700063</v>
      </c>
    </row>
    <row r="1642" spans="1:9" x14ac:dyDescent="0.2">
      <c r="A1642">
        <f t="shared" si="25"/>
        <v>3700063</v>
      </c>
      <c r="B1642" s="24">
        <v>2016</v>
      </c>
      <c r="C1642" t="s">
        <v>402</v>
      </c>
      <c r="D1642" t="s">
        <v>763</v>
      </c>
      <c r="E1642" t="s">
        <v>763</v>
      </c>
      <c r="F1642" s="11">
        <v>15415735</v>
      </c>
      <c r="G1642" s="18">
        <v>1.4239999999999999E-4</v>
      </c>
      <c r="H1642" s="11">
        <v>181560.42719999998</v>
      </c>
      <c r="I1642" s="22">
        <f>IFERROR(VLOOKUP(D1642,'LEAID Match'!$A$2:$B$184,2,FALSE),"")</f>
        <v>3700063</v>
      </c>
    </row>
    <row r="1643" spans="1:9" x14ac:dyDescent="0.2">
      <c r="A1643">
        <f t="shared" si="25"/>
        <v>3700135</v>
      </c>
      <c r="B1643" s="24">
        <v>2015</v>
      </c>
      <c r="C1643" t="s">
        <v>403</v>
      </c>
      <c r="D1643" t="s">
        <v>764</v>
      </c>
      <c r="E1643" t="s">
        <v>349</v>
      </c>
      <c r="F1643" s="11">
        <v>50866454</v>
      </c>
      <c r="G1643" s="18">
        <v>4.4470000000000002E-4</v>
      </c>
      <c r="H1643" s="11">
        <v>561650.76360000006</v>
      </c>
      <c r="I1643" s="22">
        <f>IFERROR(VLOOKUP(D1643,'LEAID Match'!$A$2:$B$184,2,FALSE),"")</f>
        <v>3700135</v>
      </c>
    </row>
    <row r="1644" spans="1:9" x14ac:dyDescent="0.2">
      <c r="A1644">
        <f t="shared" si="25"/>
        <v>3700135</v>
      </c>
      <c r="B1644" s="24">
        <v>2016</v>
      </c>
      <c r="C1644" t="s">
        <v>403</v>
      </c>
      <c r="D1644" t="s">
        <v>764</v>
      </c>
      <c r="E1644" t="s">
        <v>764</v>
      </c>
      <c r="F1644" s="11">
        <v>48521817</v>
      </c>
      <c r="G1644" s="18">
        <v>4.481E-4</v>
      </c>
      <c r="H1644" s="11">
        <v>571328.8443</v>
      </c>
      <c r="I1644" s="22">
        <f>IFERROR(VLOOKUP(D1644,'LEAID Match'!$A$2:$B$184,2,FALSE),"")</f>
        <v>3700135</v>
      </c>
    </row>
    <row r="1645" spans="1:9" x14ac:dyDescent="0.2">
      <c r="A1645">
        <f t="shared" si="25"/>
        <v>3700135</v>
      </c>
      <c r="B1645" s="24">
        <v>2017</v>
      </c>
      <c r="C1645" t="s">
        <v>403</v>
      </c>
      <c r="D1645" t="s">
        <v>764</v>
      </c>
      <c r="E1645" t="s">
        <v>764</v>
      </c>
      <c r="F1645" s="11">
        <v>49079120</v>
      </c>
      <c r="G1645" s="18">
        <v>4.3980000000000001E-4</v>
      </c>
      <c r="H1645" s="11">
        <v>633837.12120000005</v>
      </c>
      <c r="I1645" s="22">
        <f>IFERROR(VLOOKUP(D1645,'LEAID Match'!$A$2:$B$184,2,FALSE),"")</f>
        <v>3700135</v>
      </c>
    </row>
    <row r="1646" spans="1:9" x14ac:dyDescent="0.2">
      <c r="A1646">
        <f t="shared" si="25"/>
        <v>3700135</v>
      </c>
      <c r="B1646" s="24">
        <v>2018</v>
      </c>
      <c r="C1646" t="s">
        <v>403</v>
      </c>
      <c r="D1646" t="s">
        <v>764</v>
      </c>
      <c r="E1646" t="s">
        <v>764</v>
      </c>
      <c r="F1646" s="11">
        <v>49744822</v>
      </c>
      <c r="G1646" s="18">
        <v>4.281E-4</v>
      </c>
      <c r="H1646" s="11">
        <v>686201.91810000001</v>
      </c>
      <c r="I1646" s="22">
        <f>IFERROR(VLOOKUP(D1646,'LEAID Match'!$A$2:$B$184,2,FALSE),"")</f>
        <v>3700135</v>
      </c>
    </row>
    <row r="1647" spans="1:9" x14ac:dyDescent="0.2">
      <c r="A1647">
        <f t="shared" si="25"/>
        <v>3700135</v>
      </c>
      <c r="B1647" s="24">
        <v>2019</v>
      </c>
      <c r="C1647" t="s">
        <v>403</v>
      </c>
      <c r="D1647" t="s">
        <v>764</v>
      </c>
      <c r="E1647" t="s">
        <v>764</v>
      </c>
      <c r="F1647" s="11">
        <v>50611489</v>
      </c>
      <c r="G1647" s="18">
        <v>4.2010000000000002E-4</v>
      </c>
      <c r="H1647" s="11">
        <v>804552.83460000006</v>
      </c>
      <c r="I1647" s="22">
        <f>IFERROR(VLOOKUP(D1647,'LEAID Match'!$A$2:$B$184,2,FALSE),"")</f>
        <v>3700135</v>
      </c>
    </row>
    <row r="1648" spans="1:9" x14ac:dyDescent="0.2">
      <c r="A1648">
        <f t="shared" si="25"/>
        <v>3700135</v>
      </c>
      <c r="B1648" s="24">
        <v>2020</v>
      </c>
      <c r="C1648" t="s">
        <v>403</v>
      </c>
      <c r="D1648" t="s">
        <v>764</v>
      </c>
      <c r="E1648" t="s">
        <v>764</v>
      </c>
      <c r="F1648" s="11">
        <v>50378796</v>
      </c>
      <c r="G1648" s="18">
        <v>4.0670000000000002E-4</v>
      </c>
      <c r="H1648" s="11">
        <v>835799.00250000006</v>
      </c>
      <c r="I1648" s="22">
        <f>IFERROR(VLOOKUP(D1648,'LEAID Match'!$A$2:$B$184,2,FALSE),"")</f>
        <v>3700135</v>
      </c>
    </row>
    <row r="1649" spans="1:9" x14ac:dyDescent="0.2">
      <c r="A1649">
        <f t="shared" si="25"/>
        <v>3700135</v>
      </c>
      <c r="B1649" s="24">
        <v>2021</v>
      </c>
      <c r="C1649" t="s">
        <v>403</v>
      </c>
      <c r="D1649" t="s">
        <v>764</v>
      </c>
      <c r="E1649" t="s">
        <v>764</v>
      </c>
      <c r="F1649" s="11">
        <v>48275323</v>
      </c>
      <c r="G1649" s="18">
        <v>3.857E-4</v>
      </c>
      <c r="H1649" s="11">
        <v>915363.29639999999</v>
      </c>
      <c r="I1649" s="22">
        <f>IFERROR(VLOOKUP(D1649,'LEAID Match'!$A$2:$B$184,2,FALSE),"")</f>
        <v>3700135</v>
      </c>
    </row>
    <row r="1650" spans="1:9" x14ac:dyDescent="0.2">
      <c r="A1650">
        <f t="shared" si="25"/>
        <v>3700135</v>
      </c>
      <c r="B1650" s="24">
        <v>2022</v>
      </c>
      <c r="C1650" t="s">
        <v>403</v>
      </c>
      <c r="D1650" t="s">
        <v>764</v>
      </c>
      <c r="E1650" t="s">
        <v>764</v>
      </c>
      <c r="F1650" s="11">
        <v>56642100</v>
      </c>
      <c r="G1650" s="18">
        <v>4.4910000000000002E-4</v>
      </c>
      <c r="H1650" s="11">
        <v>1240389.9486</v>
      </c>
      <c r="I1650" s="22">
        <f>IFERROR(VLOOKUP(D1650,'LEAID Match'!$A$2:$B$184,2,FALSE),"")</f>
        <v>3700135</v>
      </c>
    </row>
    <row r="1651" spans="1:9" x14ac:dyDescent="0.2">
      <c r="A1651">
        <f t="shared" si="25"/>
        <v>3700135</v>
      </c>
      <c r="B1651" s="24">
        <v>2023</v>
      </c>
      <c r="C1651" t="s">
        <v>403</v>
      </c>
      <c r="D1651" t="s">
        <v>764</v>
      </c>
      <c r="E1651" t="s">
        <v>764</v>
      </c>
      <c r="F1651" s="11">
        <v>57681338</v>
      </c>
      <c r="G1651" s="18">
        <v>4.3399999999999998E-4</v>
      </c>
      <c r="H1651" s="11">
        <v>1317145.298</v>
      </c>
      <c r="I1651" s="22">
        <f>IFERROR(VLOOKUP(D1651,'LEAID Match'!$A$2:$B$184,2,FALSE),"")</f>
        <v>3700135</v>
      </c>
    </row>
    <row r="1652" spans="1:9" x14ac:dyDescent="0.2">
      <c r="A1652">
        <f t="shared" si="25"/>
        <v>3700327</v>
      </c>
      <c r="B1652" s="24">
        <v>2015</v>
      </c>
      <c r="C1652" t="s">
        <v>404</v>
      </c>
      <c r="D1652" t="s">
        <v>765</v>
      </c>
      <c r="E1652" t="s">
        <v>350</v>
      </c>
      <c r="F1652" s="11">
        <v>19003514</v>
      </c>
      <c r="G1652" s="18">
        <v>1.662E-4</v>
      </c>
      <c r="H1652" s="11">
        <v>209908.60560000001</v>
      </c>
      <c r="I1652" s="22">
        <f>IFERROR(VLOOKUP(D1652,'LEAID Match'!$A$2:$B$184,2,FALSE),"")</f>
        <v>3700327</v>
      </c>
    </row>
    <row r="1653" spans="1:9" x14ac:dyDescent="0.2">
      <c r="A1653">
        <f t="shared" si="25"/>
        <v>3700327</v>
      </c>
      <c r="B1653" s="24">
        <v>2016</v>
      </c>
      <c r="C1653" t="s">
        <v>404</v>
      </c>
      <c r="D1653" t="s">
        <v>765</v>
      </c>
      <c r="E1653" t="s">
        <v>765</v>
      </c>
      <c r="F1653" s="11">
        <v>22985386</v>
      </c>
      <c r="G1653" s="18">
        <v>2.1230000000000001E-4</v>
      </c>
      <c r="H1653" s="11">
        <v>270683.13690000004</v>
      </c>
      <c r="I1653" s="22">
        <f>IFERROR(VLOOKUP(D1653,'LEAID Match'!$A$2:$B$184,2,FALSE),"")</f>
        <v>3700327</v>
      </c>
    </row>
    <row r="1654" spans="1:9" x14ac:dyDescent="0.2">
      <c r="A1654">
        <f t="shared" si="25"/>
        <v>3700327</v>
      </c>
      <c r="B1654" s="24">
        <v>2017</v>
      </c>
      <c r="C1654" t="s">
        <v>404</v>
      </c>
      <c r="D1654" t="s">
        <v>765</v>
      </c>
      <c r="E1654" t="s">
        <v>908</v>
      </c>
      <c r="F1654" s="11">
        <v>26743037</v>
      </c>
      <c r="G1654" s="18">
        <v>2.397E-4</v>
      </c>
      <c r="H1654" s="11">
        <v>345454.20179999998</v>
      </c>
      <c r="I1654" s="22">
        <f>IFERROR(VLOOKUP(D1654,'LEAID Match'!$A$2:$B$184,2,FALSE),"")</f>
        <v>3700327</v>
      </c>
    </row>
    <row r="1655" spans="1:9" x14ac:dyDescent="0.2">
      <c r="A1655">
        <f t="shared" si="25"/>
        <v>3700327</v>
      </c>
      <c r="B1655" s="24">
        <v>2018</v>
      </c>
      <c r="C1655" t="s">
        <v>404</v>
      </c>
      <c r="D1655" t="s">
        <v>765</v>
      </c>
      <c r="E1655" t="s">
        <v>908</v>
      </c>
      <c r="F1655" s="11">
        <v>29527563</v>
      </c>
      <c r="G1655" s="18">
        <v>2.541E-4</v>
      </c>
      <c r="H1655" s="11">
        <v>407297.14409999998</v>
      </c>
      <c r="I1655" s="22">
        <f>IFERROR(VLOOKUP(D1655,'LEAID Match'!$A$2:$B$184,2,FALSE),"")</f>
        <v>3700327</v>
      </c>
    </row>
    <row r="1656" spans="1:9" x14ac:dyDescent="0.2">
      <c r="A1656">
        <f t="shared" si="25"/>
        <v>3700327</v>
      </c>
      <c r="B1656" s="24">
        <v>2019</v>
      </c>
      <c r="C1656" t="s">
        <v>404</v>
      </c>
      <c r="D1656" t="s">
        <v>765</v>
      </c>
      <c r="E1656" t="s">
        <v>908</v>
      </c>
      <c r="F1656" s="11">
        <v>33188187</v>
      </c>
      <c r="G1656" s="18">
        <v>2.7549999999999997E-4</v>
      </c>
      <c r="H1656" s="11">
        <v>527622.723</v>
      </c>
      <c r="I1656" s="22">
        <f>IFERROR(VLOOKUP(D1656,'LEAID Match'!$A$2:$B$184,2,FALSE),"")</f>
        <v>3700327</v>
      </c>
    </row>
    <row r="1657" spans="1:9" x14ac:dyDescent="0.2">
      <c r="A1657">
        <f t="shared" si="25"/>
        <v>3700327</v>
      </c>
      <c r="B1657" s="24">
        <v>2020</v>
      </c>
      <c r="C1657" t="s">
        <v>404</v>
      </c>
      <c r="D1657" t="s">
        <v>765</v>
      </c>
      <c r="E1657" t="s">
        <v>765</v>
      </c>
      <c r="F1657" s="11">
        <v>37618733</v>
      </c>
      <c r="G1657" s="18">
        <v>3.0370000000000001E-4</v>
      </c>
      <c r="H1657" s="11">
        <v>624126.27749999997</v>
      </c>
      <c r="I1657" s="22">
        <f>IFERROR(VLOOKUP(D1657,'LEAID Match'!$A$2:$B$184,2,FALSE),"")</f>
        <v>3700327</v>
      </c>
    </row>
    <row r="1658" spans="1:9" x14ac:dyDescent="0.2">
      <c r="A1658">
        <f t="shared" si="25"/>
        <v>3700327</v>
      </c>
      <c r="B1658" s="24">
        <v>2021</v>
      </c>
      <c r="C1658" t="s">
        <v>404</v>
      </c>
      <c r="D1658" t="s">
        <v>765</v>
      </c>
      <c r="E1658" t="s">
        <v>765</v>
      </c>
      <c r="F1658" s="11">
        <v>42758247</v>
      </c>
      <c r="G1658" s="18">
        <v>3.4170000000000001E-4</v>
      </c>
      <c r="H1658" s="11">
        <v>810940.2084</v>
      </c>
      <c r="I1658" s="22">
        <f>IFERROR(VLOOKUP(D1658,'LEAID Match'!$A$2:$B$184,2,FALSE),"")</f>
        <v>3700327</v>
      </c>
    </row>
    <row r="1659" spans="1:9" x14ac:dyDescent="0.2">
      <c r="A1659">
        <f t="shared" si="25"/>
        <v>3700327</v>
      </c>
      <c r="B1659" s="24">
        <v>2022</v>
      </c>
      <c r="C1659" t="s">
        <v>404</v>
      </c>
      <c r="D1659" t="s">
        <v>765</v>
      </c>
      <c r="E1659" t="s">
        <v>765</v>
      </c>
      <c r="F1659" s="11">
        <v>44542154</v>
      </c>
      <c r="G1659" s="18">
        <v>3.5320000000000002E-4</v>
      </c>
      <c r="H1659" s="11">
        <v>975519.32720000006</v>
      </c>
      <c r="I1659" s="22">
        <f>IFERROR(VLOOKUP(D1659,'LEAID Match'!$A$2:$B$184,2,FALSE),"")</f>
        <v>3700327</v>
      </c>
    </row>
    <row r="1660" spans="1:9" x14ac:dyDescent="0.2">
      <c r="A1660">
        <f t="shared" si="25"/>
        <v>3700327</v>
      </c>
      <c r="B1660" s="24">
        <v>2023</v>
      </c>
      <c r="C1660" t="s">
        <v>404</v>
      </c>
      <c r="D1660" t="s">
        <v>765</v>
      </c>
      <c r="E1660" t="s">
        <v>765</v>
      </c>
      <c r="F1660" s="11">
        <v>48910884</v>
      </c>
      <c r="G1660" s="18">
        <v>3.68E-4</v>
      </c>
      <c r="H1660" s="11">
        <v>1116842.0959999999</v>
      </c>
      <c r="I1660" s="22">
        <f>IFERROR(VLOOKUP(D1660,'LEAID Match'!$A$2:$B$184,2,FALSE),"")</f>
        <v>3700327</v>
      </c>
    </row>
    <row r="1661" spans="1:9" x14ac:dyDescent="0.2">
      <c r="A1661" t="str">
        <f t="shared" si="25"/>
        <v/>
      </c>
      <c r="B1661" s="24">
        <v>2015</v>
      </c>
      <c r="C1661" t="s">
        <v>405</v>
      </c>
      <c r="D1661" t="s">
        <v>766</v>
      </c>
      <c r="E1661" t="s">
        <v>351</v>
      </c>
      <c r="F1661" s="11">
        <v>555541804</v>
      </c>
      <c r="G1661" s="18">
        <v>4.8573000000000002E-3</v>
      </c>
      <c r="H1661" s="11">
        <v>6134711.6124</v>
      </c>
      <c r="I1661" s="22" t="str">
        <f>IFERROR(VLOOKUP(D1661,'LEAID Match'!$A$2:$B$184,2,FALSE),"")</f>
        <v/>
      </c>
    </row>
    <row r="1662" spans="1:9" x14ac:dyDescent="0.2">
      <c r="A1662" t="str">
        <f t="shared" si="25"/>
        <v/>
      </c>
      <c r="B1662" s="24">
        <v>2016</v>
      </c>
      <c r="C1662" t="s">
        <v>405</v>
      </c>
      <c r="D1662" t="s">
        <v>766</v>
      </c>
      <c r="E1662" t="s">
        <v>766</v>
      </c>
      <c r="F1662" s="11">
        <v>550496143</v>
      </c>
      <c r="G1662" s="18">
        <v>5.0835000000000003E-3</v>
      </c>
      <c r="H1662" s="11">
        <v>6481477.7505000001</v>
      </c>
      <c r="I1662" s="22" t="str">
        <f>IFERROR(VLOOKUP(D1662,'LEAID Match'!$A$2:$B$184,2,FALSE),"")</f>
        <v/>
      </c>
    </row>
    <row r="1663" spans="1:9" x14ac:dyDescent="0.2">
      <c r="A1663" t="str">
        <f t="shared" si="25"/>
        <v/>
      </c>
      <c r="B1663" s="24">
        <v>2017</v>
      </c>
      <c r="C1663" t="s">
        <v>405</v>
      </c>
      <c r="D1663" t="s">
        <v>766</v>
      </c>
      <c r="E1663" t="s">
        <v>766</v>
      </c>
      <c r="F1663" s="11">
        <v>568667604</v>
      </c>
      <c r="G1663" s="18">
        <v>5.0964000000000001E-3</v>
      </c>
      <c r="H1663" s="11">
        <v>7344901.1015999997</v>
      </c>
      <c r="I1663" s="22" t="str">
        <f>IFERROR(VLOOKUP(D1663,'LEAID Match'!$A$2:$B$184,2,FALSE),"")</f>
        <v/>
      </c>
    </row>
    <row r="1664" spans="1:9" x14ac:dyDescent="0.2">
      <c r="A1664" t="str">
        <f t="shared" si="25"/>
        <v/>
      </c>
      <c r="B1664" s="24">
        <v>2018</v>
      </c>
      <c r="C1664" t="s">
        <v>405</v>
      </c>
      <c r="D1664" t="s">
        <v>766</v>
      </c>
      <c r="E1664" t="s">
        <v>766</v>
      </c>
      <c r="F1664" s="11">
        <v>584274412</v>
      </c>
      <c r="G1664" s="18">
        <v>5.0277999999999998E-3</v>
      </c>
      <c r="H1664" s="11">
        <v>8059065.6477999995</v>
      </c>
      <c r="I1664" s="22" t="str">
        <f>IFERROR(VLOOKUP(D1664,'LEAID Match'!$A$2:$B$184,2,FALSE),"")</f>
        <v/>
      </c>
    </row>
    <row r="1665" spans="1:9" x14ac:dyDescent="0.2">
      <c r="A1665" t="str">
        <f t="shared" si="25"/>
        <v/>
      </c>
      <c r="B1665" s="24">
        <v>2019</v>
      </c>
      <c r="C1665" t="s">
        <v>405</v>
      </c>
      <c r="D1665" t="s">
        <v>766</v>
      </c>
      <c r="E1665" t="s">
        <v>766</v>
      </c>
      <c r="F1665" s="11">
        <v>579349116</v>
      </c>
      <c r="G1665" s="18">
        <v>4.8085999999999997E-3</v>
      </c>
      <c r="H1665" s="11">
        <v>9209171.0555999987</v>
      </c>
      <c r="I1665" s="22" t="str">
        <f>IFERROR(VLOOKUP(D1665,'LEAID Match'!$A$2:$B$184,2,FALSE),"")</f>
        <v/>
      </c>
    </row>
    <row r="1666" spans="1:9" x14ac:dyDescent="0.2">
      <c r="A1666" t="str">
        <f t="shared" si="25"/>
        <v/>
      </c>
      <c r="B1666" s="24">
        <v>2020</v>
      </c>
      <c r="C1666" t="s">
        <v>405</v>
      </c>
      <c r="D1666" t="s">
        <v>766</v>
      </c>
      <c r="E1666" t="s">
        <v>766</v>
      </c>
      <c r="F1666" s="11">
        <v>577655641</v>
      </c>
      <c r="G1666" s="18">
        <v>4.6633000000000004E-3</v>
      </c>
      <c r="H1666" s="11">
        <v>9583431.2475000005</v>
      </c>
      <c r="I1666" s="22" t="str">
        <f>IFERROR(VLOOKUP(D1666,'LEAID Match'!$A$2:$B$184,2,FALSE),"")</f>
        <v/>
      </c>
    </row>
    <row r="1667" spans="1:9" x14ac:dyDescent="0.2">
      <c r="A1667" t="str">
        <f t="shared" ref="A1667:A1730" si="26">I1667</f>
        <v/>
      </c>
      <c r="B1667" s="24">
        <v>2021</v>
      </c>
      <c r="C1667" t="s">
        <v>405</v>
      </c>
      <c r="D1667" t="s">
        <v>766</v>
      </c>
      <c r="E1667" t="s">
        <v>766</v>
      </c>
      <c r="F1667" s="11">
        <v>561461326</v>
      </c>
      <c r="G1667" s="18">
        <v>4.4863000000000004E-3</v>
      </c>
      <c r="H1667" s="11">
        <v>10647120.447600001</v>
      </c>
      <c r="I1667" s="22" t="str">
        <f>IFERROR(VLOOKUP(D1667,'LEAID Match'!$A$2:$B$184,2,FALSE),"")</f>
        <v/>
      </c>
    </row>
    <row r="1668" spans="1:9" x14ac:dyDescent="0.2">
      <c r="A1668" t="str">
        <f t="shared" si="26"/>
        <v/>
      </c>
      <c r="B1668" s="24">
        <v>2022</v>
      </c>
      <c r="C1668" t="s">
        <v>405</v>
      </c>
      <c r="D1668" t="s">
        <v>766</v>
      </c>
      <c r="E1668" t="s">
        <v>766</v>
      </c>
      <c r="F1668" s="11">
        <v>529634934</v>
      </c>
      <c r="G1668" s="18">
        <v>4.1995000000000001E-3</v>
      </c>
      <c r="H1668" s="11">
        <v>11598792.227</v>
      </c>
      <c r="I1668" s="22" t="str">
        <f>IFERROR(VLOOKUP(D1668,'LEAID Match'!$A$2:$B$184,2,FALSE),"")</f>
        <v/>
      </c>
    </row>
    <row r="1669" spans="1:9" x14ac:dyDescent="0.2">
      <c r="A1669" t="str">
        <f t="shared" si="26"/>
        <v/>
      </c>
      <c r="B1669" s="24">
        <v>2023</v>
      </c>
      <c r="C1669" t="s">
        <v>405</v>
      </c>
      <c r="D1669" t="s">
        <v>766</v>
      </c>
      <c r="E1669" t="s">
        <v>766</v>
      </c>
      <c r="F1669" s="11">
        <v>549755650</v>
      </c>
      <c r="G1669" s="18">
        <v>4.1365000000000004E-3</v>
      </c>
      <c r="H1669" s="11">
        <v>12553851.4405</v>
      </c>
      <c r="I1669" s="22" t="str">
        <f>IFERROR(VLOOKUP(D1669,'LEAID Match'!$A$2:$B$184,2,FALSE),"")</f>
        <v/>
      </c>
    </row>
    <row r="1670" spans="1:9" x14ac:dyDescent="0.2">
      <c r="A1670">
        <f t="shared" si="26"/>
        <v>3700064</v>
      </c>
      <c r="B1670" s="24">
        <v>2015</v>
      </c>
      <c r="C1670" t="s">
        <v>406</v>
      </c>
      <c r="D1670" t="s">
        <v>767</v>
      </c>
      <c r="E1670" t="s">
        <v>352</v>
      </c>
      <c r="F1670" s="11">
        <v>61974767</v>
      </c>
      <c r="G1670" s="18">
        <v>5.419E-4</v>
      </c>
      <c r="H1670" s="11">
        <v>684413.19720000005</v>
      </c>
      <c r="I1670" s="22">
        <f>IFERROR(VLOOKUP(D1670,'LEAID Match'!$A$2:$B$184,2,FALSE),"")</f>
        <v>3700064</v>
      </c>
    </row>
    <row r="1671" spans="1:9" x14ac:dyDescent="0.2">
      <c r="A1671">
        <f t="shared" si="26"/>
        <v>3700064</v>
      </c>
      <c r="B1671" s="24">
        <v>2016</v>
      </c>
      <c r="C1671" t="s">
        <v>406</v>
      </c>
      <c r="D1671" t="s">
        <v>767</v>
      </c>
      <c r="E1671" t="s">
        <v>767</v>
      </c>
      <c r="F1671" s="11">
        <v>57817675</v>
      </c>
      <c r="G1671" s="18">
        <v>5.3390000000000002E-4</v>
      </c>
      <c r="H1671" s="11">
        <v>680724.1017</v>
      </c>
      <c r="I1671" s="22">
        <f>IFERROR(VLOOKUP(D1671,'LEAID Match'!$A$2:$B$184,2,FALSE),"")</f>
        <v>3700064</v>
      </c>
    </row>
    <row r="1672" spans="1:9" x14ac:dyDescent="0.2">
      <c r="A1672">
        <f t="shared" si="26"/>
        <v>3700064</v>
      </c>
      <c r="B1672" s="24">
        <v>2017</v>
      </c>
      <c r="C1672" t="s">
        <v>406</v>
      </c>
      <c r="D1672" t="s">
        <v>767</v>
      </c>
      <c r="E1672" t="s">
        <v>767</v>
      </c>
      <c r="F1672" s="11">
        <v>61440037</v>
      </c>
      <c r="G1672" s="18">
        <v>5.5060000000000005E-4</v>
      </c>
      <c r="H1672" s="11">
        <v>793521.4164000001</v>
      </c>
      <c r="I1672" s="22">
        <f>IFERROR(VLOOKUP(D1672,'LEAID Match'!$A$2:$B$184,2,FALSE),"")</f>
        <v>3700064</v>
      </c>
    </row>
    <row r="1673" spans="1:9" x14ac:dyDescent="0.2">
      <c r="A1673">
        <f t="shared" si="26"/>
        <v>3700064</v>
      </c>
      <c r="B1673" s="24">
        <v>2018</v>
      </c>
      <c r="C1673" t="s">
        <v>406</v>
      </c>
      <c r="D1673" t="s">
        <v>767</v>
      </c>
      <c r="E1673" t="s">
        <v>767</v>
      </c>
      <c r="F1673" s="11">
        <v>75078123</v>
      </c>
      <c r="G1673" s="18">
        <v>6.4610000000000004E-4</v>
      </c>
      <c r="H1673" s="11">
        <v>1035634.3361000001</v>
      </c>
      <c r="I1673" s="22">
        <f>IFERROR(VLOOKUP(D1673,'LEAID Match'!$A$2:$B$184,2,FALSE),"")</f>
        <v>3700064</v>
      </c>
    </row>
    <row r="1674" spans="1:9" x14ac:dyDescent="0.2">
      <c r="A1674">
        <f t="shared" si="26"/>
        <v>3700064</v>
      </c>
      <c r="B1674" s="24">
        <v>2019</v>
      </c>
      <c r="C1674" t="s">
        <v>406</v>
      </c>
      <c r="D1674" t="s">
        <v>767</v>
      </c>
      <c r="E1674" t="s">
        <v>767</v>
      </c>
      <c r="F1674" s="11">
        <v>84324303</v>
      </c>
      <c r="G1674" s="18">
        <v>6.9990000000000004E-4</v>
      </c>
      <c r="H1674" s="11">
        <v>1340410.6854000001</v>
      </c>
      <c r="I1674" s="22">
        <f>IFERROR(VLOOKUP(D1674,'LEAID Match'!$A$2:$B$184,2,FALSE),"")</f>
        <v>3700064</v>
      </c>
    </row>
    <row r="1675" spans="1:9" x14ac:dyDescent="0.2">
      <c r="A1675">
        <f t="shared" si="26"/>
        <v>3700064</v>
      </c>
      <c r="B1675" s="24">
        <v>2020</v>
      </c>
      <c r="C1675" t="s">
        <v>406</v>
      </c>
      <c r="D1675" t="s">
        <v>767</v>
      </c>
      <c r="E1675" t="s">
        <v>767</v>
      </c>
      <c r="F1675" s="11">
        <v>86396262</v>
      </c>
      <c r="G1675" s="18">
        <v>6.9749999999999999E-4</v>
      </c>
      <c r="H1675" s="11">
        <v>1433414.8125</v>
      </c>
      <c r="I1675" s="22">
        <f>IFERROR(VLOOKUP(D1675,'LEAID Match'!$A$2:$B$184,2,FALSE),"")</f>
        <v>3700064</v>
      </c>
    </row>
    <row r="1676" spans="1:9" x14ac:dyDescent="0.2">
      <c r="A1676">
        <f t="shared" si="26"/>
        <v>3700064</v>
      </c>
      <c r="B1676" s="24">
        <v>2021</v>
      </c>
      <c r="C1676" t="s">
        <v>406</v>
      </c>
      <c r="D1676" t="s">
        <v>767</v>
      </c>
      <c r="E1676" t="s">
        <v>767</v>
      </c>
      <c r="F1676" s="11">
        <v>89071891</v>
      </c>
      <c r="G1676" s="18">
        <v>7.1170000000000001E-4</v>
      </c>
      <c r="H1676" s="11">
        <v>1689043.4484000001</v>
      </c>
      <c r="I1676" s="22">
        <f>IFERROR(VLOOKUP(D1676,'LEAID Match'!$A$2:$B$184,2,FALSE),"")</f>
        <v>3700064</v>
      </c>
    </row>
    <row r="1677" spans="1:9" x14ac:dyDescent="0.2">
      <c r="A1677">
        <f t="shared" si="26"/>
        <v>3700064</v>
      </c>
      <c r="B1677" s="24">
        <v>2022</v>
      </c>
      <c r="C1677" t="s">
        <v>406</v>
      </c>
      <c r="D1677" t="s">
        <v>767</v>
      </c>
      <c r="E1677" t="s">
        <v>767</v>
      </c>
      <c r="F1677" s="11">
        <v>87650672</v>
      </c>
      <c r="G1677" s="18">
        <v>6.9499999999999998E-4</v>
      </c>
      <c r="H1677" s="11">
        <v>1919552.47</v>
      </c>
      <c r="I1677" s="22">
        <f>IFERROR(VLOOKUP(D1677,'LEAID Match'!$A$2:$B$184,2,FALSE),"")</f>
        <v>3700064</v>
      </c>
    </row>
    <row r="1678" spans="1:9" x14ac:dyDescent="0.2">
      <c r="A1678">
        <f t="shared" si="26"/>
        <v>3700064</v>
      </c>
      <c r="B1678" s="24">
        <v>2023</v>
      </c>
      <c r="C1678" t="s">
        <v>406</v>
      </c>
      <c r="D1678" t="s">
        <v>767</v>
      </c>
      <c r="E1678" t="s">
        <v>767</v>
      </c>
      <c r="F1678" s="11">
        <v>92969774</v>
      </c>
      <c r="G1678" s="18">
        <v>6.9950000000000003E-4</v>
      </c>
      <c r="H1678" s="11">
        <v>2122910.4515</v>
      </c>
      <c r="I1678" s="22">
        <f>IFERROR(VLOOKUP(D1678,'LEAID Match'!$A$2:$B$184,2,FALSE),"")</f>
        <v>3700064</v>
      </c>
    </row>
    <row r="1679" spans="1:9" x14ac:dyDescent="0.2">
      <c r="A1679">
        <f t="shared" si="26"/>
        <v>3700137</v>
      </c>
      <c r="B1679" s="24">
        <v>2015</v>
      </c>
      <c r="C1679" t="s">
        <v>407</v>
      </c>
      <c r="D1679" t="s">
        <v>768</v>
      </c>
      <c r="E1679" t="s">
        <v>353</v>
      </c>
      <c r="F1679" s="11">
        <v>21454804</v>
      </c>
      <c r="G1679" s="18">
        <v>1.8760000000000001E-4</v>
      </c>
      <c r="H1679" s="11">
        <v>236936.54880000002</v>
      </c>
      <c r="I1679" s="22">
        <f>IFERROR(VLOOKUP(D1679,'LEAID Match'!$A$2:$B$184,2,FALSE),"")</f>
        <v>3700137</v>
      </c>
    </row>
    <row r="1680" spans="1:9" x14ac:dyDescent="0.2">
      <c r="A1680">
        <f t="shared" si="26"/>
        <v>3700137</v>
      </c>
      <c r="B1680" s="24">
        <v>2016</v>
      </c>
      <c r="C1680" t="s">
        <v>407</v>
      </c>
      <c r="D1680" t="s">
        <v>768</v>
      </c>
      <c r="E1680" t="s">
        <v>768</v>
      </c>
      <c r="F1680" s="11">
        <v>19044110</v>
      </c>
      <c r="G1680" s="18">
        <v>1.7589999999999999E-4</v>
      </c>
      <c r="H1680" s="11">
        <v>224273.02769999998</v>
      </c>
      <c r="I1680" s="22">
        <f>IFERROR(VLOOKUP(D1680,'LEAID Match'!$A$2:$B$184,2,FALSE),"")</f>
        <v>3700137</v>
      </c>
    </row>
    <row r="1681" spans="1:9" x14ac:dyDescent="0.2">
      <c r="A1681">
        <f t="shared" si="26"/>
        <v>3700137</v>
      </c>
      <c r="B1681" s="24">
        <v>2017</v>
      </c>
      <c r="C1681" t="s">
        <v>407</v>
      </c>
      <c r="D1681" t="s">
        <v>768</v>
      </c>
      <c r="E1681" t="s">
        <v>768</v>
      </c>
      <c r="F1681" s="11">
        <v>21645876</v>
      </c>
      <c r="G1681" s="18">
        <v>1.94E-4</v>
      </c>
      <c r="H1681" s="11">
        <v>279591.636</v>
      </c>
      <c r="I1681" s="22">
        <f>IFERROR(VLOOKUP(D1681,'LEAID Match'!$A$2:$B$184,2,FALSE),"")</f>
        <v>3700137</v>
      </c>
    </row>
    <row r="1682" spans="1:9" x14ac:dyDescent="0.2">
      <c r="A1682">
        <f t="shared" si="26"/>
        <v>3700137</v>
      </c>
      <c r="B1682" s="24">
        <v>2018</v>
      </c>
      <c r="C1682" t="s">
        <v>407</v>
      </c>
      <c r="D1682" t="s">
        <v>768</v>
      </c>
      <c r="E1682" t="s">
        <v>768</v>
      </c>
      <c r="F1682" s="11">
        <v>23562256</v>
      </c>
      <c r="G1682" s="18">
        <v>2.028E-4</v>
      </c>
      <c r="H1682" s="11">
        <v>325068.32279999997</v>
      </c>
      <c r="I1682" s="22">
        <f>IFERROR(VLOOKUP(D1682,'LEAID Match'!$A$2:$B$184,2,FALSE),"")</f>
        <v>3700137</v>
      </c>
    </row>
    <row r="1683" spans="1:9" x14ac:dyDescent="0.2">
      <c r="A1683">
        <f t="shared" si="26"/>
        <v>3700137</v>
      </c>
      <c r="B1683" s="24">
        <v>2019</v>
      </c>
      <c r="C1683" t="s">
        <v>407</v>
      </c>
      <c r="D1683" t="s">
        <v>768</v>
      </c>
      <c r="E1683" t="s">
        <v>768</v>
      </c>
      <c r="F1683" s="11">
        <v>26186281</v>
      </c>
      <c r="G1683" s="18">
        <v>2.173E-4</v>
      </c>
      <c r="H1683" s="11">
        <v>416161.22580000001</v>
      </c>
      <c r="I1683" s="22">
        <f>IFERROR(VLOOKUP(D1683,'LEAID Match'!$A$2:$B$184,2,FALSE),"")</f>
        <v>3700137</v>
      </c>
    </row>
    <row r="1684" spans="1:9" x14ac:dyDescent="0.2">
      <c r="A1684">
        <f t="shared" si="26"/>
        <v>3700137</v>
      </c>
      <c r="B1684" s="24">
        <v>2020</v>
      </c>
      <c r="C1684" t="s">
        <v>407</v>
      </c>
      <c r="D1684" t="s">
        <v>768</v>
      </c>
      <c r="E1684" t="s">
        <v>768</v>
      </c>
      <c r="F1684" s="11">
        <v>27589671</v>
      </c>
      <c r="G1684" s="18">
        <v>2.2269999999999999E-4</v>
      </c>
      <c r="H1684" s="11">
        <v>457665.20249999996</v>
      </c>
      <c r="I1684" s="22">
        <f>IFERROR(VLOOKUP(D1684,'LEAID Match'!$A$2:$B$184,2,FALSE),"")</f>
        <v>3700137</v>
      </c>
    </row>
    <row r="1685" spans="1:9" x14ac:dyDescent="0.2">
      <c r="A1685">
        <f t="shared" si="26"/>
        <v>3700137</v>
      </c>
      <c r="B1685" s="24">
        <v>2021</v>
      </c>
      <c r="C1685" t="s">
        <v>407</v>
      </c>
      <c r="D1685" t="s">
        <v>768</v>
      </c>
      <c r="E1685" t="s">
        <v>768</v>
      </c>
      <c r="F1685" s="11">
        <v>27645603</v>
      </c>
      <c r="G1685" s="18">
        <v>2.209E-4</v>
      </c>
      <c r="H1685" s="11">
        <v>524251.36680000002</v>
      </c>
      <c r="I1685" s="22">
        <f>IFERROR(VLOOKUP(D1685,'LEAID Match'!$A$2:$B$184,2,FALSE),"")</f>
        <v>3700137</v>
      </c>
    </row>
    <row r="1686" spans="1:9" x14ac:dyDescent="0.2">
      <c r="A1686">
        <f t="shared" si="26"/>
        <v>3700137</v>
      </c>
      <c r="B1686" s="24">
        <v>2022</v>
      </c>
      <c r="C1686" t="s">
        <v>407</v>
      </c>
      <c r="D1686" t="s">
        <v>768</v>
      </c>
      <c r="E1686" t="s">
        <v>768</v>
      </c>
      <c r="F1686" s="11">
        <v>35119240</v>
      </c>
      <c r="G1686" s="18">
        <v>2.7849999999999999E-4</v>
      </c>
      <c r="H1686" s="11">
        <v>769201.96100000001</v>
      </c>
      <c r="I1686" s="22">
        <f>IFERROR(VLOOKUP(D1686,'LEAID Match'!$A$2:$B$184,2,FALSE),"")</f>
        <v>3700137</v>
      </c>
    </row>
    <row r="1687" spans="1:9" x14ac:dyDescent="0.2">
      <c r="A1687">
        <f t="shared" si="26"/>
        <v>3700137</v>
      </c>
      <c r="B1687" s="24">
        <v>2023</v>
      </c>
      <c r="C1687" t="s">
        <v>407</v>
      </c>
      <c r="D1687" t="s">
        <v>768</v>
      </c>
      <c r="E1687" t="s">
        <v>768</v>
      </c>
      <c r="F1687" s="11">
        <v>38134447</v>
      </c>
      <c r="G1687" s="18">
        <v>2.8689999999999998E-4</v>
      </c>
      <c r="H1687" s="11">
        <v>870711.94929999998</v>
      </c>
      <c r="I1687" s="22">
        <f>IFERROR(VLOOKUP(D1687,'LEAID Match'!$A$2:$B$184,2,FALSE),"")</f>
        <v>3700137</v>
      </c>
    </row>
    <row r="1688" spans="1:9" x14ac:dyDescent="0.2">
      <c r="A1688">
        <f t="shared" si="26"/>
        <v>3700145</v>
      </c>
      <c r="B1688" s="24">
        <v>2015</v>
      </c>
      <c r="C1688" t="s">
        <v>408</v>
      </c>
      <c r="D1688" t="s">
        <v>769</v>
      </c>
      <c r="E1688" t="s">
        <v>354</v>
      </c>
      <c r="F1688" s="11">
        <v>62557497</v>
      </c>
      <c r="G1688" s="18">
        <v>5.4699999999999996E-4</v>
      </c>
      <c r="H1688" s="11">
        <v>690854.43599999999</v>
      </c>
      <c r="I1688" s="22">
        <f>IFERROR(VLOOKUP(D1688,'LEAID Match'!$A$2:$B$184,2,FALSE),"")</f>
        <v>3700145</v>
      </c>
    </row>
    <row r="1689" spans="1:9" x14ac:dyDescent="0.2">
      <c r="A1689">
        <f t="shared" si="26"/>
        <v>3700145</v>
      </c>
      <c r="B1689" s="24">
        <v>2016</v>
      </c>
      <c r="C1689" t="s">
        <v>408</v>
      </c>
      <c r="D1689" t="s">
        <v>769</v>
      </c>
      <c r="E1689" t="s">
        <v>769</v>
      </c>
      <c r="F1689" s="11">
        <v>58897004</v>
      </c>
      <c r="G1689" s="18">
        <v>5.4390000000000005E-4</v>
      </c>
      <c r="H1689" s="11">
        <v>693474.13170000003</v>
      </c>
      <c r="I1689" s="22">
        <f>IFERROR(VLOOKUP(D1689,'LEAID Match'!$A$2:$B$184,2,FALSE),"")</f>
        <v>3700145</v>
      </c>
    </row>
    <row r="1690" spans="1:9" x14ac:dyDescent="0.2">
      <c r="A1690">
        <f t="shared" si="26"/>
        <v>3700145</v>
      </c>
      <c r="B1690" s="24">
        <v>2017</v>
      </c>
      <c r="C1690" t="s">
        <v>408</v>
      </c>
      <c r="D1690" t="s">
        <v>769</v>
      </c>
      <c r="E1690" t="s">
        <v>769</v>
      </c>
      <c r="F1690" s="11">
        <v>68307617</v>
      </c>
      <c r="G1690" s="18">
        <v>6.1220000000000003E-4</v>
      </c>
      <c r="H1690" s="11">
        <v>882298.96680000005</v>
      </c>
      <c r="I1690" s="22">
        <f>IFERROR(VLOOKUP(D1690,'LEAID Match'!$A$2:$B$184,2,FALSE),"")</f>
        <v>3700145</v>
      </c>
    </row>
    <row r="1691" spans="1:9" x14ac:dyDescent="0.2">
      <c r="A1691">
        <f t="shared" si="26"/>
        <v>3700145</v>
      </c>
      <c r="B1691" s="24">
        <v>2018</v>
      </c>
      <c r="C1691" t="s">
        <v>408</v>
      </c>
      <c r="D1691" t="s">
        <v>769</v>
      </c>
      <c r="E1691" t="s">
        <v>769</v>
      </c>
      <c r="F1691" s="11">
        <v>67016595</v>
      </c>
      <c r="G1691" s="18">
        <v>5.7669999999999998E-4</v>
      </c>
      <c r="H1691" s="11">
        <v>924393.00669999991</v>
      </c>
      <c r="I1691" s="22">
        <f>IFERROR(VLOOKUP(D1691,'LEAID Match'!$A$2:$B$184,2,FALSE),"")</f>
        <v>3700145</v>
      </c>
    </row>
    <row r="1692" spans="1:9" x14ac:dyDescent="0.2">
      <c r="A1692">
        <f t="shared" si="26"/>
        <v>3700145</v>
      </c>
      <c r="B1692" s="24">
        <v>2019</v>
      </c>
      <c r="C1692" t="s">
        <v>408</v>
      </c>
      <c r="D1692" t="s">
        <v>769</v>
      </c>
      <c r="E1692" t="s">
        <v>769</v>
      </c>
      <c r="F1692" s="11">
        <v>72680333</v>
      </c>
      <c r="G1692" s="18">
        <v>6.0320000000000003E-4</v>
      </c>
      <c r="H1692" s="11">
        <v>1155216.0671999999</v>
      </c>
      <c r="I1692" s="22">
        <f>IFERROR(VLOOKUP(D1692,'LEAID Match'!$A$2:$B$184,2,FALSE),"")</f>
        <v>3700145</v>
      </c>
    </row>
    <row r="1693" spans="1:9" x14ac:dyDescent="0.2">
      <c r="A1693">
        <f t="shared" si="26"/>
        <v>3700145</v>
      </c>
      <c r="B1693" s="24">
        <v>2020</v>
      </c>
      <c r="C1693" t="s">
        <v>408</v>
      </c>
      <c r="D1693" t="s">
        <v>769</v>
      </c>
      <c r="E1693" t="s">
        <v>769</v>
      </c>
      <c r="F1693" s="11">
        <v>74340677</v>
      </c>
      <c r="G1693" s="18">
        <v>6.001E-4</v>
      </c>
      <c r="H1693" s="11">
        <v>1233250.5075000001</v>
      </c>
      <c r="I1693" s="22">
        <f>IFERROR(VLOOKUP(D1693,'LEAID Match'!$A$2:$B$184,2,FALSE),"")</f>
        <v>3700145</v>
      </c>
    </row>
    <row r="1694" spans="1:9" x14ac:dyDescent="0.2">
      <c r="A1694">
        <f t="shared" si="26"/>
        <v>3700145</v>
      </c>
      <c r="B1694" s="24">
        <v>2021</v>
      </c>
      <c r="C1694" t="s">
        <v>408</v>
      </c>
      <c r="D1694" t="s">
        <v>769</v>
      </c>
      <c r="E1694" t="s">
        <v>769</v>
      </c>
      <c r="F1694" s="11">
        <v>78256522</v>
      </c>
      <c r="G1694" s="18">
        <v>6.2529999999999997E-4</v>
      </c>
      <c r="H1694" s="11">
        <v>1483994.4756</v>
      </c>
      <c r="I1694" s="22">
        <f>IFERROR(VLOOKUP(D1694,'LEAID Match'!$A$2:$B$184,2,FALSE),"")</f>
        <v>3700145</v>
      </c>
    </row>
    <row r="1695" spans="1:9" x14ac:dyDescent="0.2">
      <c r="A1695">
        <f t="shared" si="26"/>
        <v>3700145</v>
      </c>
      <c r="B1695" s="24">
        <v>2022</v>
      </c>
      <c r="C1695" t="s">
        <v>408</v>
      </c>
      <c r="D1695" t="s">
        <v>769</v>
      </c>
      <c r="E1695" t="s">
        <v>769</v>
      </c>
      <c r="F1695" s="11">
        <v>80969405</v>
      </c>
      <c r="G1695" s="18">
        <v>6.4199999999999999E-4</v>
      </c>
      <c r="H1695" s="11">
        <v>1773169.3319999999</v>
      </c>
      <c r="I1695" s="22">
        <f>IFERROR(VLOOKUP(D1695,'LEAID Match'!$A$2:$B$184,2,FALSE),"")</f>
        <v>3700145</v>
      </c>
    </row>
    <row r="1696" spans="1:9" x14ac:dyDescent="0.2">
      <c r="A1696">
        <f t="shared" si="26"/>
        <v>3700145</v>
      </c>
      <c r="B1696" s="24">
        <v>2023</v>
      </c>
      <c r="C1696" t="s">
        <v>408</v>
      </c>
      <c r="D1696" t="s">
        <v>769</v>
      </c>
      <c r="E1696" t="s">
        <v>769</v>
      </c>
      <c r="F1696" s="11">
        <v>86299545</v>
      </c>
      <c r="G1696" s="18">
        <v>6.4930000000000001E-4</v>
      </c>
      <c r="H1696" s="11">
        <v>1970558.6221</v>
      </c>
      <c r="I1696" s="22">
        <f>IFERROR(VLOOKUP(D1696,'LEAID Match'!$A$2:$B$184,2,FALSE),"")</f>
        <v>3700145</v>
      </c>
    </row>
    <row r="1697" spans="1:9" x14ac:dyDescent="0.2">
      <c r="A1697">
        <f t="shared" si="26"/>
        <v>3700143</v>
      </c>
      <c r="B1697" s="24">
        <v>2015</v>
      </c>
      <c r="C1697" t="s">
        <v>409</v>
      </c>
      <c r="D1697" t="s">
        <v>770</v>
      </c>
      <c r="E1697" t="s">
        <v>355</v>
      </c>
      <c r="F1697" s="11">
        <v>17735651</v>
      </c>
      <c r="G1697" s="18">
        <v>1.551E-4</v>
      </c>
      <c r="H1697" s="11">
        <v>195889.4388</v>
      </c>
      <c r="I1697" s="22">
        <f>IFERROR(VLOOKUP(D1697,'LEAID Match'!$A$2:$B$184,2,FALSE),"")</f>
        <v>3700143</v>
      </c>
    </row>
    <row r="1698" spans="1:9" x14ac:dyDescent="0.2">
      <c r="A1698">
        <f t="shared" si="26"/>
        <v>3700143</v>
      </c>
      <c r="B1698" s="24">
        <v>2016</v>
      </c>
      <c r="C1698" t="s">
        <v>409</v>
      </c>
      <c r="D1698" t="s">
        <v>770</v>
      </c>
      <c r="E1698" t="s">
        <v>770</v>
      </c>
      <c r="F1698" s="11">
        <v>19386975</v>
      </c>
      <c r="G1698" s="18">
        <v>1.7899999999999999E-4</v>
      </c>
      <c r="H1698" s="11">
        <v>228225.53699999998</v>
      </c>
      <c r="I1698" s="22">
        <f>IFERROR(VLOOKUP(D1698,'LEAID Match'!$A$2:$B$184,2,FALSE),"")</f>
        <v>3700143</v>
      </c>
    </row>
    <row r="1699" spans="1:9" x14ac:dyDescent="0.2">
      <c r="A1699">
        <f t="shared" si="26"/>
        <v>3700143</v>
      </c>
      <c r="B1699" s="24">
        <v>2017</v>
      </c>
      <c r="C1699" t="s">
        <v>409</v>
      </c>
      <c r="D1699" t="s">
        <v>770</v>
      </c>
      <c r="E1699" t="s">
        <v>770</v>
      </c>
      <c r="F1699" s="11">
        <v>15805487</v>
      </c>
      <c r="G1699" s="18">
        <v>1.416E-4</v>
      </c>
      <c r="H1699" s="11">
        <v>204073.0704</v>
      </c>
      <c r="I1699" s="22">
        <f>IFERROR(VLOOKUP(D1699,'LEAID Match'!$A$2:$B$184,2,FALSE),"")</f>
        <v>3700143</v>
      </c>
    </row>
    <row r="1700" spans="1:9" x14ac:dyDescent="0.2">
      <c r="A1700">
        <f t="shared" si="26"/>
        <v>3700143</v>
      </c>
      <c r="B1700" s="24">
        <v>2018</v>
      </c>
      <c r="C1700" t="s">
        <v>409</v>
      </c>
      <c r="D1700" t="s">
        <v>770</v>
      </c>
      <c r="E1700" t="s">
        <v>770</v>
      </c>
      <c r="F1700" s="11">
        <v>15013124</v>
      </c>
      <c r="G1700" s="18">
        <v>1.292E-4</v>
      </c>
      <c r="H1700" s="11">
        <v>207094.80919999999</v>
      </c>
      <c r="I1700" s="22">
        <f>IFERROR(VLOOKUP(D1700,'LEAID Match'!$A$2:$B$184,2,FALSE),"")</f>
        <v>3700143</v>
      </c>
    </row>
    <row r="1701" spans="1:9" x14ac:dyDescent="0.2">
      <c r="A1701">
        <f t="shared" si="26"/>
        <v>3700143</v>
      </c>
      <c r="B1701" s="24">
        <v>2019</v>
      </c>
      <c r="C1701" t="s">
        <v>409</v>
      </c>
      <c r="D1701" t="s">
        <v>770</v>
      </c>
      <c r="E1701" t="s">
        <v>770</v>
      </c>
      <c r="F1701" s="11">
        <v>13012232</v>
      </c>
      <c r="G1701" s="18">
        <v>1.08E-4</v>
      </c>
      <c r="H1701" s="11">
        <v>206835.76799999998</v>
      </c>
      <c r="I1701" s="22">
        <f>IFERROR(VLOOKUP(D1701,'LEAID Match'!$A$2:$B$184,2,FALSE),"")</f>
        <v>3700143</v>
      </c>
    </row>
    <row r="1702" spans="1:9" x14ac:dyDescent="0.2">
      <c r="A1702">
        <f t="shared" si="26"/>
        <v>3700143</v>
      </c>
      <c r="B1702" s="24">
        <v>2020</v>
      </c>
      <c r="C1702" t="s">
        <v>409</v>
      </c>
      <c r="D1702" t="s">
        <v>770</v>
      </c>
      <c r="E1702" t="s">
        <v>770</v>
      </c>
      <c r="F1702" s="11">
        <v>12598455</v>
      </c>
      <c r="G1702" s="18">
        <v>1.0170000000000001E-4</v>
      </c>
      <c r="H1702" s="11">
        <v>209001.1275</v>
      </c>
      <c r="I1702" s="22">
        <f>IFERROR(VLOOKUP(D1702,'LEAID Match'!$A$2:$B$184,2,FALSE),"")</f>
        <v>3700143</v>
      </c>
    </row>
    <row r="1703" spans="1:9" x14ac:dyDescent="0.2">
      <c r="A1703">
        <f t="shared" si="26"/>
        <v>3700143</v>
      </c>
      <c r="B1703" s="24">
        <v>2021</v>
      </c>
      <c r="C1703" t="s">
        <v>409</v>
      </c>
      <c r="D1703" t="s">
        <v>770</v>
      </c>
      <c r="E1703" t="s">
        <v>770</v>
      </c>
      <c r="F1703" s="11">
        <v>9552359</v>
      </c>
      <c r="G1703" s="18">
        <v>7.6299999999999998E-5</v>
      </c>
      <c r="H1703" s="11">
        <v>181079.12760000001</v>
      </c>
      <c r="I1703" s="22">
        <f>IFERROR(VLOOKUP(D1703,'LEAID Match'!$A$2:$B$184,2,FALSE),"")</f>
        <v>3700143</v>
      </c>
    </row>
    <row r="1704" spans="1:9" x14ac:dyDescent="0.2">
      <c r="A1704">
        <f t="shared" si="26"/>
        <v>3700143</v>
      </c>
      <c r="B1704" s="24">
        <v>2022</v>
      </c>
      <c r="C1704" t="s">
        <v>409</v>
      </c>
      <c r="D1704" t="s">
        <v>770</v>
      </c>
      <c r="E1704" t="s">
        <v>770</v>
      </c>
      <c r="F1704" s="11">
        <v>12101167</v>
      </c>
      <c r="G1704" s="18">
        <v>9.59E-5</v>
      </c>
      <c r="H1704" s="11">
        <v>264870.6214</v>
      </c>
      <c r="I1704" s="22">
        <f>IFERROR(VLOOKUP(D1704,'LEAID Match'!$A$2:$B$184,2,FALSE),"")</f>
        <v>3700143</v>
      </c>
    </row>
    <row r="1705" spans="1:9" x14ac:dyDescent="0.2">
      <c r="A1705">
        <f t="shared" si="26"/>
        <v>3700143</v>
      </c>
      <c r="B1705" s="24">
        <v>2023</v>
      </c>
      <c r="C1705" t="s">
        <v>409</v>
      </c>
      <c r="D1705" t="s">
        <v>770</v>
      </c>
      <c r="E1705" t="s">
        <v>770</v>
      </c>
      <c r="F1705" s="11">
        <v>9365377</v>
      </c>
      <c r="G1705" s="18">
        <v>7.0500000000000006E-5</v>
      </c>
      <c r="H1705" s="11">
        <v>213960.23850000001</v>
      </c>
      <c r="I1705" s="22">
        <f>IFERROR(VLOOKUP(D1705,'LEAID Match'!$A$2:$B$184,2,FALSE),"")</f>
        <v>3700143</v>
      </c>
    </row>
    <row r="1706" spans="1:9" x14ac:dyDescent="0.2">
      <c r="A1706">
        <f t="shared" si="26"/>
        <v>3703000</v>
      </c>
      <c r="B1706" s="24">
        <v>2015</v>
      </c>
      <c r="C1706" t="s">
        <v>410</v>
      </c>
      <c r="D1706" t="s">
        <v>771</v>
      </c>
      <c r="E1706" t="s">
        <v>356</v>
      </c>
      <c r="F1706" s="11">
        <v>89751582</v>
      </c>
      <c r="G1706" s="18">
        <v>7.8470000000000005E-4</v>
      </c>
      <c r="H1706" s="11">
        <v>991066.68360000011</v>
      </c>
      <c r="I1706" s="22">
        <f>IFERROR(VLOOKUP(D1706,'LEAID Match'!$A$2:$B$184,2,FALSE),"")</f>
        <v>3703000</v>
      </c>
    </row>
    <row r="1707" spans="1:9" x14ac:dyDescent="0.2">
      <c r="A1707">
        <f t="shared" si="26"/>
        <v>3703000</v>
      </c>
      <c r="B1707" s="24">
        <v>2016</v>
      </c>
      <c r="C1707" t="s">
        <v>410</v>
      </c>
      <c r="D1707" t="s">
        <v>771</v>
      </c>
      <c r="E1707" t="s">
        <v>771</v>
      </c>
      <c r="F1707" s="11">
        <v>83658842</v>
      </c>
      <c r="G1707" s="18">
        <v>7.7249999999999997E-4</v>
      </c>
      <c r="H1707" s="11">
        <v>984939.8175</v>
      </c>
      <c r="I1707" s="22">
        <f>IFERROR(VLOOKUP(D1707,'LEAID Match'!$A$2:$B$184,2,FALSE),"")</f>
        <v>3703000</v>
      </c>
    </row>
    <row r="1708" spans="1:9" x14ac:dyDescent="0.2">
      <c r="A1708">
        <f t="shared" si="26"/>
        <v>3703000</v>
      </c>
      <c r="B1708" s="24">
        <v>2017</v>
      </c>
      <c r="C1708" t="s">
        <v>410</v>
      </c>
      <c r="D1708" t="s">
        <v>771</v>
      </c>
      <c r="E1708" t="s">
        <v>771</v>
      </c>
      <c r="F1708" s="11">
        <v>83637435</v>
      </c>
      <c r="G1708" s="18">
        <v>7.4960000000000001E-4</v>
      </c>
      <c r="H1708" s="11">
        <v>1080319.0223999999</v>
      </c>
      <c r="I1708" s="22">
        <f>IFERROR(VLOOKUP(D1708,'LEAID Match'!$A$2:$B$184,2,FALSE),"")</f>
        <v>3703000</v>
      </c>
    </row>
    <row r="1709" spans="1:9" x14ac:dyDescent="0.2">
      <c r="A1709">
        <f t="shared" si="26"/>
        <v>3703000</v>
      </c>
      <c r="B1709" s="24">
        <v>2018</v>
      </c>
      <c r="C1709" t="s">
        <v>410</v>
      </c>
      <c r="D1709" t="s">
        <v>771</v>
      </c>
      <c r="E1709" t="s">
        <v>771</v>
      </c>
      <c r="F1709" s="11">
        <v>84841557</v>
      </c>
      <c r="G1709" s="18">
        <v>7.3010000000000002E-4</v>
      </c>
      <c r="H1709" s="11">
        <v>1170278.0201000001</v>
      </c>
      <c r="I1709" s="22">
        <f>IFERROR(VLOOKUP(D1709,'LEAID Match'!$A$2:$B$184,2,FALSE),"")</f>
        <v>3703000</v>
      </c>
    </row>
    <row r="1710" spans="1:9" x14ac:dyDescent="0.2">
      <c r="A1710">
        <f t="shared" si="26"/>
        <v>3703000</v>
      </c>
      <c r="B1710" s="24">
        <v>2019</v>
      </c>
      <c r="C1710" t="s">
        <v>410</v>
      </c>
      <c r="D1710" t="s">
        <v>771</v>
      </c>
      <c r="E1710" t="s">
        <v>771</v>
      </c>
      <c r="F1710" s="11">
        <v>87657463</v>
      </c>
      <c r="G1710" s="18">
        <v>7.2760000000000001E-4</v>
      </c>
      <c r="H1710" s="11">
        <v>1393460.2296</v>
      </c>
      <c r="I1710" s="22">
        <f>IFERROR(VLOOKUP(D1710,'LEAID Match'!$A$2:$B$184,2,FALSE),"")</f>
        <v>3703000</v>
      </c>
    </row>
    <row r="1711" spans="1:9" x14ac:dyDescent="0.2">
      <c r="A1711">
        <f t="shared" si="26"/>
        <v>3703000</v>
      </c>
      <c r="B1711" s="24">
        <v>2020</v>
      </c>
      <c r="C1711" t="s">
        <v>410</v>
      </c>
      <c r="D1711" t="s">
        <v>771</v>
      </c>
      <c r="E1711" t="s">
        <v>771</v>
      </c>
      <c r="F1711" s="11">
        <v>88837572</v>
      </c>
      <c r="G1711" s="18">
        <v>7.1719999999999998E-4</v>
      </c>
      <c r="H1711" s="11">
        <v>1473899.79</v>
      </c>
      <c r="I1711" s="22">
        <f>IFERROR(VLOOKUP(D1711,'LEAID Match'!$A$2:$B$184,2,FALSE),"")</f>
        <v>3703000</v>
      </c>
    </row>
    <row r="1712" spans="1:9" x14ac:dyDescent="0.2">
      <c r="A1712">
        <f t="shared" si="26"/>
        <v>3703000</v>
      </c>
      <c r="B1712" s="24">
        <v>2021</v>
      </c>
      <c r="C1712" t="s">
        <v>410</v>
      </c>
      <c r="D1712" t="s">
        <v>771</v>
      </c>
      <c r="E1712" t="s">
        <v>771</v>
      </c>
      <c r="F1712" s="11">
        <v>83620848</v>
      </c>
      <c r="G1712" s="18">
        <v>6.6819999999999998E-4</v>
      </c>
      <c r="H1712" s="11">
        <v>1585806.9864000001</v>
      </c>
      <c r="I1712" s="22">
        <f>IFERROR(VLOOKUP(D1712,'LEAID Match'!$A$2:$B$184,2,FALSE),"")</f>
        <v>3703000</v>
      </c>
    </row>
    <row r="1713" spans="1:9" x14ac:dyDescent="0.2">
      <c r="A1713">
        <f t="shared" si="26"/>
        <v>3703000</v>
      </c>
      <c r="B1713" s="24">
        <v>2022</v>
      </c>
      <c r="C1713" t="s">
        <v>410</v>
      </c>
      <c r="D1713" t="s">
        <v>771</v>
      </c>
      <c r="E1713" t="s">
        <v>771</v>
      </c>
      <c r="F1713" s="11">
        <v>85916095</v>
      </c>
      <c r="G1713" s="18">
        <v>6.8119999999999997E-4</v>
      </c>
      <c r="H1713" s="11">
        <v>1881437.6151999999</v>
      </c>
      <c r="I1713" s="22">
        <f>IFERROR(VLOOKUP(D1713,'LEAID Match'!$A$2:$B$184,2,FALSE),"")</f>
        <v>3703000</v>
      </c>
    </row>
    <row r="1714" spans="1:9" x14ac:dyDescent="0.2">
      <c r="A1714">
        <f t="shared" si="26"/>
        <v>3703000</v>
      </c>
      <c r="B1714" s="24">
        <v>2023</v>
      </c>
      <c r="C1714" t="s">
        <v>410</v>
      </c>
      <c r="D1714" t="s">
        <v>771</v>
      </c>
      <c r="E1714" t="s">
        <v>771</v>
      </c>
      <c r="F1714" s="11">
        <v>95039077</v>
      </c>
      <c r="G1714" s="18">
        <v>7.1509999999999998E-4</v>
      </c>
      <c r="H1714" s="11">
        <v>2170254.8446999998</v>
      </c>
      <c r="I1714" s="22">
        <f>IFERROR(VLOOKUP(D1714,'LEAID Match'!$A$2:$B$184,2,FALSE),"")</f>
        <v>3703000</v>
      </c>
    </row>
    <row r="1715" spans="1:9" x14ac:dyDescent="0.2">
      <c r="A1715">
        <f t="shared" si="26"/>
        <v>3700142</v>
      </c>
      <c r="B1715" s="24">
        <v>2015</v>
      </c>
      <c r="C1715" t="s">
        <v>411</v>
      </c>
      <c r="D1715" t="s">
        <v>772</v>
      </c>
      <c r="E1715" t="s">
        <v>357</v>
      </c>
      <c r="F1715" s="11">
        <v>13837346</v>
      </c>
      <c r="G1715" s="18">
        <v>1.21E-4</v>
      </c>
      <c r="H1715" s="11">
        <v>152821.54800000001</v>
      </c>
      <c r="I1715" s="22">
        <f>IFERROR(VLOOKUP(D1715,'LEAID Match'!$A$2:$B$184,2,FALSE),"")</f>
        <v>3700142</v>
      </c>
    </row>
    <row r="1716" spans="1:9" x14ac:dyDescent="0.2">
      <c r="A1716">
        <f t="shared" si="26"/>
        <v>3700142</v>
      </c>
      <c r="B1716" s="24">
        <v>2016</v>
      </c>
      <c r="C1716" t="s">
        <v>411</v>
      </c>
      <c r="D1716" t="s">
        <v>772</v>
      </c>
      <c r="E1716" t="s">
        <v>772</v>
      </c>
      <c r="F1716" s="11">
        <v>17492083</v>
      </c>
      <c r="G1716" s="18">
        <v>1.615E-4</v>
      </c>
      <c r="H1716" s="11">
        <v>205912.98449999999</v>
      </c>
      <c r="I1716" s="22">
        <f>IFERROR(VLOOKUP(D1716,'LEAID Match'!$A$2:$B$184,2,FALSE),"")</f>
        <v>3700142</v>
      </c>
    </row>
    <row r="1717" spans="1:9" x14ac:dyDescent="0.2">
      <c r="A1717">
        <f t="shared" si="26"/>
        <v>3700142</v>
      </c>
      <c r="B1717" s="24">
        <v>2017</v>
      </c>
      <c r="C1717" t="s">
        <v>411</v>
      </c>
      <c r="D1717" t="s">
        <v>772</v>
      </c>
      <c r="E1717" t="s">
        <v>772</v>
      </c>
      <c r="F1717" s="11">
        <v>24180698</v>
      </c>
      <c r="G1717" s="18">
        <v>2.1670000000000001E-4</v>
      </c>
      <c r="H1717" s="11">
        <v>312306.73980000004</v>
      </c>
      <c r="I1717" s="22">
        <f>IFERROR(VLOOKUP(D1717,'LEAID Match'!$A$2:$B$184,2,FALSE),"")</f>
        <v>3700142</v>
      </c>
    </row>
    <row r="1718" spans="1:9" x14ac:dyDescent="0.2">
      <c r="A1718">
        <f t="shared" si="26"/>
        <v>3700142</v>
      </c>
      <c r="B1718" s="24">
        <v>2018</v>
      </c>
      <c r="C1718" t="s">
        <v>411</v>
      </c>
      <c r="D1718" t="s">
        <v>772</v>
      </c>
      <c r="E1718" t="s">
        <v>772</v>
      </c>
      <c r="F1718" s="11">
        <v>30638899</v>
      </c>
      <c r="G1718" s="18">
        <v>2.6370000000000001E-4</v>
      </c>
      <c r="H1718" s="11">
        <v>422684.99369999999</v>
      </c>
      <c r="I1718" s="22">
        <f>IFERROR(VLOOKUP(D1718,'LEAID Match'!$A$2:$B$184,2,FALSE),"")</f>
        <v>3700142</v>
      </c>
    </row>
    <row r="1719" spans="1:9" x14ac:dyDescent="0.2">
      <c r="A1719">
        <f t="shared" si="26"/>
        <v>3700142</v>
      </c>
      <c r="B1719" s="24">
        <v>2019</v>
      </c>
      <c r="C1719" t="s">
        <v>411</v>
      </c>
      <c r="D1719" t="s">
        <v>772</v>
      </c>
      <c r="E1719" t="s">
        <v>772</v>
      </c>
      <c r="F1719" s="11">
        <v>31974018</v>
      </c>
      <c r="G1719" s="18">
        <v>2.654E-4</v>
      </c>
      <c r="H1719" s="11">
        <v>508279.74839999998</v>
      </c>
      <c r="I1719" s="22">
        <f>IFERROR(VLOOKUP(D1719,'LEAID Match'!$A$2:$B$184,2,FALSE),"")</f>
        <v>3700142</v>
      </c>
    </row>
    <row r="1720" spans="1:9" x14ac:dyDescent="0.2">
      <c r="A1720">
        <f t="shared" si="26"/>
        <v>3700142</v>
      </c>
      <c r="B1720" s="24">
        <v>2020</v>
      </c>
      <c r="C1720" t="s">
        <v>411</v>
      </c>
      <c r="D1720" t="s">
        <v>772</v>
      </c>
      <c r="E1720" t="s">
        <v>772</v>
      </c>
      <c r="F1720" s="11">
        <v>37115335</v>
      </c>
      <c r="G1720" s="18">
        <v>2.9960000000000002E-4</v>
      </c>
      <c r="H1720" s="11">
        <v>615700.47000000009</v>
      </c>
      <c r="I1720" s="22">
        <f>IFERROR(VLOOKUP(D1720,'LEAID Match'!$A$2:$B$184,2,FALSE),"")</f>
        <v>3700142</v>
      </c>
    </row>
    <row r="1721" spans="1:9" x14ac:dyDescent="0.2">
      <c r="A1721" t="str">
        <f t="shared" si="26"/>
        <v/>
      </c>
      <c r="B1721" s="24">
        <v>2015</v>
      </c>
      <c r="C1721" t="s">
        <v>412</v>
      </c>
      <c r="D1721" t="s">
        <v>773</v>
      </c>
      <c r="E1721" t="s">
        <v>358</v>
      </c>
      <c r="F1721" s="11">
        <v>46790573</v>
      </c>
      <c r="G1721" s="18">
        <v>4.0910000000000002E-4</v>
      </c>
      <c r="H1721" s="11">
        <v>516688.39080000005</v>
      </c>
      <c r="I1721" s="22" t="str">
        <f>IFERROR(VLOOKUP(D1721,'LEAID Match'!$A$2:$B$184,2,FALSE),"")</f>
        <v/>
      </c>
    </row>
    <row r="1722" spans="1:9" x14ac:dyDescent="0.2">
      <c r="A1722" t="str">
        <f t="shared" si="26"/>
        <v/>
      </c>
      <c r="B1722" s="24">
        <v>2016</v>
      </c>
      <c r="C1722" t="s">
        <v>412</v>
      </c>
      <c r="D1722" t="s">
        <v>773</v>
      </c>
      <c r="E1722" t="s">
        <v>773</v>
      </c>
      <c r="F1722" s="11">
        <v>44569331</v>
      </c>
      <c r="G1722" s="18">
        <v>4.1159999999999998E-4</v>
      </c>
      <c r="H1722" s="11">
        <v>524791.23479999998</v>
      </c>
      <c r="I1722" s="22" t="str">
        <f>IFERROR(VLOOKUP(D1722,'LEAID Match'!$A$2:$B$184,2,FALSE),"")</f>
        <v/>
      </c>
    </row>
    <row r="1723" spans="1:9" x14ac:dyDescent="0.2">
      <c r="A1723" t="str">
        <f t="shared" si="26"/>
        <v/>
      </c>
      <c r="B1723" s="24">
        <v>2017</v>
      </c>
      <c r="C1723" t="s">
        <v>412</v>
      </c>
      <c r="D1723" t="s">
        <v>773</v>
      </c>
      <c r="E1723" t="s">
        <v>773</v>
      </c>
      <c r="F1723" s="11">
        <v>46289444</v>
      </c>
      <c r="G1723" s="18">
        <v>4.148E-4</v>
      </c>
      <c r="H1723" s="11">
        <v>597807.27119999996</v>
      </c>
      <c r="I1723" s="22" t="str">
        <f>IFERROR(VLOOKUP(D1723,'LEAID Match'!$A$2:$B$184,2,FALSE),"")</f>
        <v/>
      </c>
    </row>
    <row r="1724" spans="1:9" x14ac:dyDescent="0.2">
      <c r="A1724" t="str">
        <f t="shared" si="26"/>
        <v/>
      </c>
      <c r="B1724" s="24">
        <v>2018</v>
      </c>
      <c r="C1724" t="s">
        <v>412</v>
      </c>
      <c r="D1724" t="s">
        <v>773</v>
      </c>
      <c r="E1724" t="s">
        <v>773</v>
      </c>
      <c r="F1724" s="11">
        <v>46112621</v>
      </c>
      <c r="G1724" s="18">
        <v>3.968E-4</v>
      </c>
      <c r="H1724" s="11">
        <v>636031.11679999996</v>
      </c>
      <c r="I1724" s="22" t="str">
        <f>IFERROR(VLOOKUP(D1724,'LEAID Match'!$A$2:$B$184,2,FALSE),"")</f>
        <v/>
      </c>
    </row>
    <row r="1725" spans="1:9" x14ac:dyDescent="0.2">
      <c r="A1725" t="str">
        <f t="shared" si="26"/>
        <v/>
      </c>
      <c r="B1725" s="24">
        <v>2019</v>
      </c>
      <c r="C1725" t="s">
        <v>412</v>
      </c>
      <c r="D1725" t="s">
        <v>773</v>
      </c>
      <c r="E1725" t="s">
        <v>773</v>
      </c>
      <c r="F1725" s="11">
        <v>44167321</v>
      </c>
      <c r="G1725" s="18">
        <v>3.6660000000000002E-4</v>
      </c>
      <c r="H1725" s="11">
        <v>702092.52360000007</v>
      </c>
      <c r="I1725" s="22" t="str">
        <f>IFERROR(VLOOKUP(D1725,'LEAID Match'!$A$2:$B$184,2,FALSE),"")</f>
        <v/>
      </c>
    </row>
    <row r="1726" spans="1:9" x14ac:dyDescent="0.2">
      <c r="A1726" t="str">
        <f t="shared" si="26"/>
        <v/>
      </c>
      <c r="B1726" s="24">
        <v>2020</v>
      </c>
      <c r="C1726" t="s">
        <v>412</v>
      </c>
      <c r="D1726" t="s">
        <v>773</v>
      </c>
      <c r="E1726" t="s">
        <v>773</v>
      </c>
      <c r="F1726" s="11">
        <v>46141058</v>
      </c>
      <c r="G1726" s="18">
        <v>3.725E-4</v>
      </c>
      <c r="H1726" s="11">
        <v>765515.4375</v>
      </c>
      <c r="I1726" s="22" t="str">
        <f>IFERROR(VLOOKUP(D1726,'LEAID Match'!$A$2:$B$184,2,FALSE),"")</f>
        <v/>
      </c>
    </row>
    <row r="1727" spans="1:9" x14ac:dyDescent="0.2">
      <c r="A1727" t="str">
        <f t="shared" si="26"/>
        <v/>
      </c>
      <c r="B1727" s="24">
        <v>2021</v>
      </c>
      <c r="C1727" t="s">
        <v>412</v>
      </c>
      <c r="D1727" t="s">
        <v>773</v>
      </c>
      <c r="E1727" t="s">
        <v>773</v>
      </c>
      <c r="F1727" s="11">
        <v>43408163</v>
      </c>
      <c r="G1727" s="18">
        <v>3.4680000000000003E-4</v>
      </c>
      <c r="H1727" s="11">
        <v>823043.79360000009</v>
      </c>
      <c r="I1727" s="22" t="str">
        <f>IFERROR(VLOOKUP(D1727,'LEAID Match'!$A$2:$B$184,2,FALSE),"")</f>
        <v/>
      </c>
    </row>
    <row r="1728" spans="1:9" x14ac:dyDescent="0.2">
      <c r="A1728" t="str">
        <f t="shared" si="26"/>
        <v/>
      </c>
      <c r="B1728" s="24">
        <v>2022</v>
      </c>
      <c r="C1728" t="s">
        <v>412</v>
      </c>
      <c r="D1728" t="s">
        <v>773</v>
      </c>
      <c r="E1728" t="s">
        <v>773</v>
      </c>
      <c r="F1728" s="11">
        <v>39954704</v>
      </c>
      <c r="G1728" s="18">
        <v>3.168E-4</v>
      </c>
      <c r="H1728" s="11">
        <v>874984.49280000001</v>
      </c>
      <c r="I1728" s="22" t="str">
        <f>IFERROR(VLOOKUP(D1728,'LEAID Match'!$A$2:$B$184,2,FALSE),"")</f>
        <v/>
      </c>
    </row>
    <row r="1729" spans="1:9" x14ac:dyDescent="0.2">
      <c r="A1729" t="str">
        <f t="shared" si="26"/>
        <v/>
      </c>
      <c r="B1729" s="24">
        <v>2023</v>
      </c>
      <c r="C1729" t="s">
        <v>412</v>
      </c>
      <c r="D1729" t="s">
        <v>773</v>
      </c>
      <c r="E1729" t="s">
        <v>773</v>
      </c>
      <c r="F1729" s="11">
        <v>43033634</v>
      </c>
      <c r="G1729" s="18">
        <v>3.2380000000000001E-4</v>
      </c>
      <c r="H1729" s="11">
        <v>982699.64860000007</v>
      </c>
      <c r="I1729" s="22" t="str">
        <f>IFERROR(VLOOKUP(D1729,'LEAID Match'!$A$2:$B$184,2,FALSE),"")</f>
        <v/>
      </c>
    </row>
    <row r="1730" spans="1:9" x14ac:dyDescent="0.2">
      <c r="A1730">
        <f t="shared" si="26"/>
        <v>3703060</v>
      </c>
      <c r="B1730" s="24">
        <v>2015</v>
      </c>
      <c r="C1730" t="s">
        <v>413</v>
      </c>
      <c r="D1730" t="s">
        <v>774</v>
      </c>
      <c r="E1730" t="s">
        <v>359</v>
      </c>
      <c r="F1730" s="11">
        <v>181495056</v>
      </c>
      <c r="G1730" s="18">
        <v>1.5869E-3</v>
      </c>
      <c r="H1730" s="11">
        <v>2004235.6572</v>
      </c>
      <c r="I1730" s="22">
        <f>IFERROR(VLOOKUP(D1730,'LEAID Match'!$A$2:$B$184,2,FALSE),"")</f>
        <v>3703060</v>
      </c>
    </row>
    <row r="1731" spans="1:9" x14ac:dyDescent="0.2">
      <c r="A1731">
        <f t="shared" ref="A1731:A1794" si="27">I1731</f>
        <v>3703060</v>
      </c>
      <c r="B1731" s="24">
        <v>2016</v>
      </c>
      <c r="C1731" t="s">
        <v>413</v>
      </c>
      <c r="D1731" t="s">
        <v>774</v>
      </c>
      <c r="E1731" t="s">
        <v>774</v>
      </c>
      <c r="F1731" s="11">
        <v>176728889</v>
      </c>
      <c r="G1731" s="18">
        <v>1.632E-3</v>
      </c>
      <c r="H1731" s="11">
        <v>2080804.8959999999</v>
      </c>
      <c r="I1731" s="22">
        <f>IFERROR(VLOOKUP(D1731,'LEAID Match'!$A$2:$B$184,2,FALSE),"")</f>
        <v>3703060</v>
      </c>
    </row>
    <row r="1732" spans="1:9" x14ac:dyDescent="0.2">
      <c r="A1732">
        <f t="shared" si="27"/>
        <v>3703060</v>
      </c>
      <c r="B1732" s="24">
        <v>2017</v>
      </c>
      <c r="C1732" t="s">
        <v>413</v>
      </c>
      <c r="D1732" t="s">
        <v>774</v>
      </c>
      <c r="E1732" t="s">
        <v>774</v>
      </c>
      <c r="F1732" s="11">
        <v>177747489</v>
      </c>
      <c r="G1732" s="18">
        <v>1.593E-3</v>
      </c>
      <c r="H1732" s="11">
        <v>2295822.0419999999</v>
      </c>
      <c r="I1732" s="22">
        <f>IFERROR(VLOOKUP(D1732,'LEAID Match'!$A$2:$B$184,2,FALSE),"")</f>
        <v>3703060</v>
      </c>
    </row>
    <row r="1733" spans="1:9" x14ac:dyDescent="0.2">
      <c r="A1733">
        <f t="shared" si="27"/>
        <v>3703060</v>
      </c>
      <c r="B1733" s="24">
        <v>2018</v>
      </c>
      <c r="C1733" t="s">
        <v>413</v>
      </c>
      <c r="D1733" t="s">
        <v>774</v>
      </c>
      <c r="E1733" t="s">
        <v>774</v>
      </c>
      <c r="F1733" s="11">
        <v>184389703</v>
      </c>
      <c r="G1733" s="18">
        <v>1.5866999999999999E-3</v>
      </c>
      <c r="H1733" s="11">
        <v>2543323.0167</v>
      </c>
      <c r="I1733" s="22">
        <f>IFERROR(VLOOKUP(D1733,'LEAID Match'!$A$2:$B$184,2,FALSE),"")</f>
        <v>3703060</v>
      </c>
    </row>
    <row r="1734" spans="1:9" x14ac:dyDescent="0.2">
      <c r="A1734">
        <f t="shared" si="27"/>
        <v>3703060</v>
      </c>
      <c r="B1734" s="24">
        <v>2019</v>
      </c>
      <c r="C1734" t="s">
        <v>413</v>
      </c>
      <c r="D1734" t="s">
        <v>774</v>
      </c>
      <c r="E1734" t="s">
        <v>774</v>
      </c>
      <c r="F1734" s="11">
        <v>177135527</v>
      </c>
      <c r="G1734" s="18">
        <v>1.4702000000000001E-3</v>
      </c>
      <c r="H1734" s="11">
        <v>2815647.6492000003</v>
      </c>
      <c r="I1734" s="22">
        <f>IFERROR(VLOOKUP(D1734,'LEAID Match'!$A$2:$B$184,2,FALSE),"")</f>
        <v>3703060</v>
      </c>
    </row>
    <row r="1735" spans="1:9" x14ac:dyDescent="0.2">
      <c r="A1735">
        <f t="shared" si="27"/>
        <v>3703060</v>
      </c>
      <c r="B1735" s="24">
        <v>2020</v>
      </c>
      <c r="C1735" t="s">
        <v>413</v>
      </c>
      <c r="D1735" t="s">
        <v>774</v>
      </c>
      <c r="E1735" t="s">
        <v>774</v>
      </c>
      <c r="F1735" s="11">
        <v>178523766</v>
      </c>
      <c r="G1735" s="18">
        <v>1.4411999999999999E-3</v>
      </c>
      <c r="H1735" s="11">
        <v>2961774.09</v>
      </c>
      <c r="I1735" s="22">
        <f>IFERROR(VLOOKUP(D1735,'LEAID Match'!$A$2:$B$184,2,FALSE),"")</f>
        <v>3703060</v>
      </c>
    </row>
    <row r="1736" spans="1:9" x14ac:dyDescent="0.2">
      <c r="A1736">
        <f t="shared" si="27"/>
        <v>3703060</v>
      </c>
      <c r="B1736" s="24">
        <v>2021</v>
      </c>
      <c r="C1736" t="s">
        <v>413</v>
      </c>
      <c r="D1736" t="s">
        <v>774</v>
      </c>
      <c r="E1736" t="s">
        <v>774</v>
      </c>
      <c r="F1736" s="11">
        <v>163159000</v>
      </c>
      <c r="G1736" s="18">
        <v>1.3037000000000001E-3</v>
      </c>
      <c r="H1736" s="11">
        <v>3094008.6324</v>
      </c>
      <c r="I1736" s="22">
        <f>IFERROR(VLOOKUP(D1736,'LEAID Match'!$A$2:$B$184,2,FALSE),"")</f>
        <v>3703060</v>
      </c>
    </row>
    <row r="1737" spans="1:9" x14ac:dyDescent="0.2">
      <c r="A1737">
        <f t="shared" si="27"/>
        <v>3703060</v>
      </c>
      <c r="B1737" s="24">
        <v>2022</v>
      </c>
      <c r="C1737" t="s">
        <v>413</v>
      </c>
      <c r="D1737" t="s">
        <v>774</v>
      </c>
      <c r="E1737" t="s">
        <v>774</v>
      </c>
      <c r="F1737" s="11">
        <v>167451948</v>
      </c>
      <c r="G1737" s="18">
        <v>1.3277E-3</v>
      </c>
      <c r="H1737" s="11">
        <v>3667035.7042</v>
      </c>
      <c r="I1737" s="22">
        <f>IFERROR(VLOOKUP(D1737,'LEAID Match'!$A$2:$B$184,2,FALSE),"")</f>
        <v>3703060</v>
      </c>
    </row>
    <row r="1738" spans="1:9" x14ac:dyDescent="0.2">
      <c r="A1738">
        <f t="shared" si="27"/>
        <v>3703060</v>
      </c>
      <c r="B1738" s="24">
        <v>2023</v>
      </c>
      <c r="C1738" t="s">
        <v>413</v>
      </c>
      <c r="D1738" t="s">
        <v>774</v>
      </c>
      <c r="E1738" t="s">
        <v>774</v>
      </c>
      <c r="F1738" s="11">
        <v>178155956</v>
      </c>
      <c r="G1738" s="18">
        <v>1.3404999999999999E-3</v>
      </c>
      <c r="H1738" s="11">
        <v>4068279.4284999995</v>
      </c>
      <c r="I1738" s="22">
        <f>IFERROR(VLOOKUP(D1738,'LEAID Match'!$A$2:$B$184,2,FALSE),"")</f>
        <v>3703060</v>
      </c>
    </row>
    <row r="1739" spans="1:9" x14ac:dyDescent="0.2">
      <c r="A1739" t="str">
        <f t="shared" si="27"/>
        <v/>
      </c>
      <c r="B1739" s="24">
        <v>2015</v>
      </c>
      <c r="C1739" t="s">
        <v>414</v>
      </c>
      <c r="D1739" t="s">
        <v>775</v>
      </c>
      <c r="E1739" t="s">
        <v>360</v>
      </c>
      <c r="F1739" s="11">
        <v>29864569</v>
      </c>
      <c r="G1739" s="18">
        <v>2.611E-4</v>
      </c>
      <c r="H1739" s="11">
        <v>329766.16680000001</v>
      </c>
      <c r="I1739" s="22" t="str">
        <f>IFERROR(VLOOKUP(D1739,'LEAID Match'!$A$2:$B$184,2,FALSE),"")</f>
        <v/>
      </c>
    </row>
    <row r="1740" spans="1:9" x14ac:dyDescent="0.2">
      <c r="A1740" t="str">
        <f t="shared" si="27"/>
        <v/>
      </c>
      <c r="B1740" s="24">
        <v>2016</v>
      </c>
      <c r="C1740" t="s">
        <v>414</v>
      </c>
      <c r="D1740" t="s">
        <v>775</v>
      </c>
      <c r="E1740" t="s">
        <v>775</v>
      </c>
      <c r="F1740" s="11">
        <v>30450613</v>
      </c>
      <c r="G1740" s="18">
        <v>2.812E-4</v>
      </c>
      <c r="H1740" s="11">
        <v>358530.84360000002</v>
      </c>
      <c r="I1740" s="22" t="str">
        <f>IFERROR(VLOOKUP(D1740,'LEAID Match'!$A$2:$B$184,2,FALSE),"")</f>
        <v/>
      </c>
    </row>
    <row r="1741" spans="1:9" x14ac:dyDescent="0.2">
      <c r="A1741" t="str">
        <f t="shared" si="27"/>
        <v/>
      </c>
      <c r="B1741" s="24">
        <v>2017</v>
      </c>
      <c r="C1741" t="s">
        <v>414</v>
      </c>
      <c r="D1741" t="s">
        <v>775</v>
      </c>
      <c r="E1741" t="s">
        <v>775</v>
      </c>
      <c r="F1741" s="11">
        <v>32074475</v>
      </c>
      <c r="G1741" s="18">
        <v>2.875E-4</v>
      </c>
      <c r="H1741" s="11">
        <v>414343.27499999997</v>
      </c>
      <c r="I1741" s="22" t="str">
        <f>IFERROR(VLOOKUP(D1741,'LEAID Match'!$A$2:$B$184,2,FALSE),"")</f>
        <v/>
      </c>
    </row>
    <row r="1742" spans="1:9" x14ac:dyDescent="0.2">
      <c r="A1742" t="str">
        <f t="shared" si="27"/>
        <v/>
      </c>
      <c r="B1742" s="24">
        <v>2018</v>
      </c>
      <c r="C1742" t="s">
        <v>414</v>
      </c>
      <c r="D1742" t="s">
        <v>775</v>
      </c>
      <c r="E1742" t="s">
        <v>775</v>
      </c>
      <c r="F1742" s="11">
        <v>34008475</v>
      </c>
      <c r="G1742" s="18">
        <v>2.9270000000000001E-4</v>
      </c>
      <c r="H1742" s="11">
        <v>469169.12270000001</v>
      </c>
      <c r="I1742" s="22" t="str">
        <f>IFERROR(VLOOKUP(D1742,'LEAID Match'!$A$2:$B$184,2,FALSE),"")</f>
        <v/>
      </c>
    </row>
    <row r="1743" spans="1:9" x14ac:dyDescent="0.2">
      <c r="A1743" t="str">
        <f t="shared" si="27"/>
        <v/>
      </c>
      <c r="B1743" s="24">
        <v>2019</v>
      </c>
      <c r="C1743" t="s">
        <v>414</v>
      </c>
      <c r="D1743" t="s">
        <v>775</v>
      </c>
      <c r="E1743" t="s">
        <v>775</v>
      </c>
      <c r="F1743" s="11">
        <v>36335330</v>
      </c>
      <c r="G1743" s="18">
        <v>3.0160000000000001E-4</v>
      </c>
      <c r="H1743" s="11">
        <v>577608.03359999997</v>
      </c>
      <c r="I1743" s="22" t="str">
        <f>IFERROR(VLOOKUP(D1743,'LEAID Match'!$A$2:$B$184,2,FALSE),"")</f>
        <v/>
      </c>
    </row>
    <row r="1744" spans="1:9" x14ac:dyDescent="0.2">
      <c r="A1744" t="str">
        <f t="shared" si="27"/>
        <v/>
      </c>
      <c r="B1744" s="24">
        <v>2020</v>
      </c>
      <c r="C1744" t="s">
        <v>414</v>
      </c>
      <c r="D1744" t="s">
        <v>775</v>
      </c>
      <c r="E1744" t="s">
        <v>775</v>
      </c>
      <c r="F1744" s="11">
        <v>38250257</v>
      </c>
      <c r="G1744" s="18">
        <v>3.0880000000000002E-4</v>
      </c>
      <c r="H1744" s="11">
        <v>634607.16</v>
      </c>
      <c r="I1744" s="22" t="str">
        <f>IFERROR(VLOOKUP(D1744,'LEAID Match'!$A$2:$B$184,2,FALSE),"")</f>
        <v/>
      </c>
    </row>
    <row r="1745" spans="1:9" x14ac:dyDescent="0.2">
      <c r="A1745" t="str">
        <f t="shared" si="27"/>
        <v/>
      </c>
      <c r="B1745" s="24">
        <v>2021</v>
      </c>
      <c r="C1745" t="s">
        <v>414</v>
      </c>
      <c r="D1745" t="s">
        <v>775</v>
      </c>
      <c r="E1745" t="s">
        <v>775</v>
      </c>
      <c r="F1745" s="11">
        <v>36890730</v>
      </c>
      <c r="G1745" s="18">
        <v>2.9480000000000001E-4</v>
      </c>
      <c r="H1745" s="11">
        <v>699634.68960000004</v>
      </c>
      <c r="I1745" s="22" t="str">
        <f>IFERROR(VLOOKUP(D1745,'LEAID Match'!$A$2:$B$184,2,FALSE),"")</f>
        <v/>
      </c>
    </row>
    <row r="1746" spans="1:9" x14ac:dyDescent="0.2">
      <c r="A1746" t="str">
        <f t="shared" si="27"/>
        <v/>
      </c>
      <c r="B1746" s="24">
        <v>2022</v>
      </c>
      <c r="C1746" t="s">
        <v>414</v>
      </c>
      <c r="D1746" t="s">
        <v>775</v>
      </c>
      <c r="E1746" t="s">
        <v>775</v>
      </c>
      <c r="F1746" s="11">
        <v>37307069</v>
      </c>
      <c r="G1746" s="18">
        <v>2.9579999999999998E-4</v>
      </c>
      <c r="H1746" s="11">
        <v>816983.62679999997</v>
      </c>
      <c r="I1746" s="22" t="str">
        <f>IFERROR(VLOOKUP(D1746,'LEAID Match'!$A$2:$B$184,2,FALSE),"")</f>
        <v/>
      </c>
    </row>
    <row r="1747" spans="1:9" x14ac:dyDescent="0.2">
      <c r="A1747" t="str">
        <f t="shared" si="27"/>
        <v/>
      </c>
      <c r="B1747" s="24">
        <v>2023</v>
      </c>
      <c r="C1747" t="s">
        <v>414</v>
      </c>
      <c r="D1747" t="s">
        <v>775</v>
      </c>
      <c r="E1747" t="s">
        <v>775</v>
      </c>
      <c r="F1747" s="11">
        <v>37960603</v>
      </c>
      <c r="G1747" s="18">
        <v>2.856E-4</v>
      </c>
      <c r="H1747" s="11">
        <v>866766.58319999999</v>
      </c>
      <c r="I1747" s="22" t="str">
        <f>IFERROR(VLOOKUP(D1747,'LEAID Match'!$A$2:$B$184,2,FALSE),"")</f>
        <v/>
      </c>
    </row>
    <row r="1748" spans="1:9" x14ac:dyDescent="0.2">
      <c r="A1748">
        <f t="shared" si="27"/>
        <v>3703090</v>
      </c>
      <c r="B1748" s="24">
        <v>2015</v>
      </c>
      <c r="C1748" t="s">
        <v>415</v>
      </c>
      <c r="D1748" t="s">
        <v>776</v>
      </c>
      <c r="E1748" t="s">
        <v>361</v>
      </c>
      <c r="F1748" s="11">
        <v>557068002</v>
      </c>
      <c r="G1748" s="18">
        <v>4.8706000000000001E-3</v>
      </c>
      <c r="H1748" s="11">
        <v>6151509.3528000005</v>
      </c>
      <c r="I1748" s="22">
        <f>IFERROR(VLOOKUP(D1748,'LEAID Match'!$A$2:$B$184,2,FALSE),"")</f>
        <v>3703090</v>
      </c>
    </row>
    <row r="1749" spans="1:9" x14ac:dyDescent="0.2">
      <c r="A1749">
        <f t="shared" si="27"/>
        <v>3703090</v>
      </c>
      <c r="B1749" s="24">
        <v>2016</v>
      </c>
      <c r="C1749" t="s">
        <v>415</v>
      </c>
      <c r="D1749" t="s">
        <v>776</v>
      </c>
      <c r="E1749" t="s">
        <v>776</v>
      </c>
      <c r="F1749" s="11">
        <v>548909404</v>
      </c>
      <c r="G1749" s="18">
        <v>5.0688E-3</v>
      </c>
      <c r="H1749" s="11">
        <v>6462735.2064000005</v>
      </c>
      <c r="I1749" s="22">
        <f>IFERROR(VLOOKUP(D1749,'LEAID Match'!$A$2:$B$184,2,FALSE),"")</f>
        <v>3703090</v>
      </c>
    </row>
    <row r="1750" spans="1:9" x14ac:dyDescent="0.2">
      <c r="A1750">
        <f t="shared" si="27"/>
        <v>3703090</v>
      </c>
      <c r="B1750" s="24">
        <v>2017</v>
      </c>
      <c r="C1750" t="s">
        <v>415</v>
      </c>
      <c r="D1750" t="s">
        <v>776</v>
      </c>
      <c r="E1750" t="s">
        <v>776</v>
      </c>
      <c r="F1750" s="11">
        <v>566147642</v>
      </c>
      <c r="G1750" s="18">
        <v>5.0737999999999998E-3</v>
      </c>
      <c r="H1750" s="11">
        <v>7312330.1172000002</v>
      </c>
      <c r="I1750" s="22">
        <f>IFERROR(VLOOKUP(D1750,'LEAID Match'!$A$2:$B$184,2,FALSE),"")</f>
        <v>3703090</v>
      </c>
    </row>
    <row r="1751" spans="1:9" x14ac:dyDescent="0.2">
      <c r="A1751">
        <f t="shared" si="27"/>
        <v>3703090</v>
      </c>
      <c r="B1751" s="24">
        <v>2018</v>
      </c>
      <c r="C1751" t="s">
        <v>415</v>
      </c>
      <c r="D1751" t="s">
        <v>776</v>
      </c>
      <c r="E1751" t="s">
        <v>776</v>
      </c>
      <c r="F1751" s="11">
        <v>576293587</v>
      </c>
      <c r="G1751" s="18">
        <v>4.9592000000000004E-3</v>
      </c>
      <c r="H1751" s="11">
        <v>7949106.639200001</v>
      </c>
      <c r="I1751" s="22">
        <f>IFERROR(VLOOKUP(D1751,'LEAID Match'!$A$2:$B$184,2,FALSE),"")</f>
        <v>3703090</v>
      </c>
    </row>
    <row r="1752" spans="1:9" x14ac:dyDescent="0.2">
      <c r="A1752">
        <f t="shared" si="27"/>
        <v>3703090</v>
      </c>
      <c r="B1752" s="24">
        <v>2019</v>
      </c>
      <c r="C1752" t="s">
        <v>415</v>
      </c>
      <c r="D1752" t="s">
        <v>776</v>
      </c>
      <c r="E1752" t="s">
        <v>776</v>
      </c>
      <c r="F1752" s="11">
        <v>603879340</v>
      </c>
      <c r="G1752" s="18">
        <v>5.0121999999999996E-3</v>
      </c>
      <c r="H1752" s="11">
        <v>9599094.7811999992</v>
      </c>
      <c r="I1752" s="22">
        <f>IFERROR(VLOOKUP(D1752,'LEAID Match'!$A$2:$B$184,2,FALSE),"")</f>
        <v>3703090</v>
      </c>
    </row>
    <row r="1753" spans="1:9" x14ac:dyDescent="0.2">
      <c r="A1753">
        <f t="shared" si="27"/>
        <v>3703090</v>
      </c>
      <c r="B1753" s="24">
        <v>2020</v>
      </c>
      <c r="C1753" t="s">
        <v>415</v>
      </c>
      <c r="D1753" t="s">
        <v>776</v>
      </c>
      <c r="E1753" t="s">
        <v>776</v>
      </c>
      <c r="F1753" s="11">
        <v>616449593</v>
      </c>
      <c r="G1753" s="18">
        <v>4.9765E-3</v>
      </c>
      <c r="H1753" s="11">
        <v>10227080.737500001</v>
      </c>
      <c r="I1753" s="22">
        <f>IFERROR(VLOOKUP(D1753,'LEAID Match'!$A$2:$B$184,2,FALSE),"")</f>
        <v>3703090</v>
      </c>
    </row>
    <row r="1754" spans="1:9" x14ac:dyDescent="0.2">
      <c r="A1754">
        <f t="shared" si="27"/>
        <v>3703090</v>
      </c>
      <c r="B1754" s="24">
        <v>2021</v>
      </c>
      <c r="C1754" t="s">
        <v>415</v>
      </c>
      <c r="D1754" t="s">
        <v>776</v>
      </c>
      <c r="E1754" t="s">
        <v>776</v>
      </c>
      <c r="F1754" s="11">
        <v>600297149</v>
      </c>
      <c r="G1754" s="18">
        <v>4.7965999999999998E-3</v>
      </c>
      <c r="H1754" s="11">
        <v>11383540.543199999</v>
      </c>
      <c r="I1754" s="22">
        <f>IFERROR(VLOOKUP(D1754,'LEAID Match'!$A$2:$B$184,2,FALSE),"")</f>
        <v>3703090</v>
      </c>
    </row>
    <row r="1755" spans="1:9" x14ac:dyDescent="0.2">
      <c r="A1755">
        <f t="shared" si="27"/>
        <v>3703090</v>
      </c>
      <c r="B1755" s="24">
        <v>2022</v>
      </c>
      <c r="C1755" t="s">
        <v>415</v>
      </c>
      <c r="D1755" t="s">
        <v>776</v>
      </c>
      <c r="E1755" t="s">
        <v>776</v>
      </c>
      <c r="F1755" s="11">
        <v>604324181</v>
      </c>
      <c r="G1755" s="18">
        <v>4.7917000000000003E-3</v>
      </c>
      <c r="H1755" s="11">
        <v>13234416.648200002</v>
      </c>
      <c r="I1755" s="22">
        <f>IFERROR(VLOOKUP(D1755,'LEAID Match'!$A$2:$B$184,2,FALSE),"")</f>
        <v>3703090</v>
      </c>
    </row>
    <row r="1756" spans="1:9" x14ac:dyDescent="0.2">
      <c r="A1756">
        <f t="shared" si="27"/>
        <v>3703090</v>
      </c>
      <c r="B1756" s="24">
        <v>2023</v>
      </c>
      <c r="C1756" t="s">
        <v>415</v>
      </c>
      <c r="D1756" t="s">
        <v>776</v>
      </c>
      <c r="E1756" t="s">
        <v>776</v>
      </c>
      <c r="F1756" s="11">
        <v>646006420</v>
      </c>
      <c r="G1756" s="18">
        <v>4.8606999999999999E-3</v>
      </c>
      <c r="H1756" s="11">
        <v>14751723.847899999</v>
      </c>
      <c r="I1756" s="22">
        <f>IFERROR(VLOOKUP(D1756,'LEAID Match'!$A$2:$B$184,2,FALSE),"")</f>
        <v>3703090</v>
      </c>
    </row>
    <row r="1757" spans="1:9" x14ac:dyDescent="0.2">
      <c r="A1757">
        <f t="shared" si="27"/>
        <v>3700033</v>
      </c>
      <c r="B1757" s="24">
        <v>2015</v>
      </c>
      <c r="C1757" t="s">
        <v>416</v>
      </c>
      <c r="D1757" t="s">
        <v>777</v>
      </c>
      <c r="E1757" t="s">
        <v>362</v>
      </c>
      <c r="F1757" s="11">
        <v>5799943</v>
      </c>
      <c r="G1757" s="18">
        <v>5.0699999999999999E-5</v>
      </c>
      <c r="H1757" s="11">
        <v>64033.491600000001</v>
      </c>
      <c r="I1757" s="22">
        <f>IFERROR(VLOOKUP(D1757,'LEAID Match'!$A$2:$B$184,2,FALSE),"")</f>
        <v>3700033</v>
      </c>
    </row>
    <row r="1758" spans="1:9" x14ac:dyDescent="0.2">
      <c r="A1758">
        <f t="shared" si="27"/>
        <v>3700033</v>
      </c>
      <c r="B1758" s="24">
        <v>2016</v>
      </c>
      <c r="C1758" t="s">
        <v>416</v>
      </c>
      <c r="D1758" t="s">
        <v>777</v>
      </c>
      <c r="E1758" t="s">
        <v>777</v>
      </c>
      <c r="F1758" s="11">
        <v>6879203</v>
      </c>
      <c r="G1758" s="18">
        <v>6.3499999999999999E-5</v>
      </c>
      <c r="H1758" s="11">
        <v>80962.690499999997</v>
      </c>
      <c r="I1758" s="22">
        <f>IFERROR(VLOOKUP(D1758,'LEAID Match'!$A$2:$B$184,2,FALSE),"")</f>
        <v>3700033</v>
      </c>
    </row>
    <row r="1759" spans="1:9" x14ac:dyDescent="0.2">
      <c r="A1759">
        <f t="shared" si="27"/>
        <v>3700033</v>
      </c>
      <c r="B1759" s="24">
        <v>2017</v>
      </c>
      <c r="C1759" t="s">
        <v>416</v>
      </c>
      <c r="D1759" t="s">
        <v>777</v>
      </c>
      <c r="E1759" t="s">
        <v>777</v>
      </c>
      <c r="F1759" s="11">
        <v>8718927</v>
      </c>
      <c r="G1759" s="18">
        <v>7.8100000000000001E-5</v>
      </c>
      <c r="H1759" s="11">
        <v>112557.25140000001</v>
      </c>
      <c r="I1759" s="22">
        <f>IFERROR(VLOOKUP(D1759,'LEAID Match'!$A$2:$B$184,2,FALSE),"")</f>
        <v>3700033</v>
      </c>
    </row>
    <row r="1760" spans="1:9" x14ac:dyDescent="0.2">
      <c r="A1760">
        <f t="shared" si="27"/>
        <v>3700033</v>
      </c>
      <c r="B1760" s="24">
        <v>2018</v>
      </c>
      <c r="C1760" t="s">
        <v>416</v>
      </c>
      <c r="D1760" t="s">
        <v>777</v>
      </c>
      <c r="E1760" t="s">
        <v>777</v>
      </c>
      <c r="F1760" s="11">
        <v>9749829</v>
      </c>
      <c r="G1760" s="18">
        <v>8.3900000000000006E-5</v>
      </c>
      <c r="H1760" s="11">
        <v>134483.39390000002</v>
      </c>
      <c r="I1760" s="22">
        <f>IFERROR(VLOOKUP(D1760,'LEAID Match'!$A$2:$B$184,2,FALSE),"")</f>
        <v>3700033</v>
      </c>
    </row>
    <row r="1761" spans="1:9" x14ac:dyDescent="0.2">
      <c r="A1761">
        <f t="shared" si="27"/>
        <v>3700033</v>
      </c>
      <c r="B1761" s="24">
        <v>2019</v>
      </c>
      <c r="C1761" t="s">
        <v>416</v>
      </c>
      <c r="D1761" t="s">
        <v>777</v>
      </c>
      <c r="E1761" t="s">
        <v>777</v>
      </c>
      <c r="F1761" s="11">
        <v>12619535</v>
      </c>
      <c r="G1761" s="18">
        <v>1.047E-4</v>
      </c>
      <c r="H1761" s="11">
        <v>200515.7862</v>
      </c>
      <c r="I1761" s="22">
        <f>IFERROR(VLOOKUP(D1761,'LEAID Match'!$A$2:$B$184,2,FALSE),"")</f>
        <v>3700033</v>
      </c>
    </row>
    <row r="1762" spans="1:9" x14ac:dyDescent="0.2">
      <c r="A1762">
        <f t="shared" si="27"/>
        <v>3700033</v>
      </c>
      <c r="B1762" s="24">
        <v>2020</v>
      </c>
      <c r="C1762" t="s">
        <v>416</v>
      </c>
      <c r="D1762" t="s">
        <v>777</v>
      </c>
      <c r="E1762" t="s">
        <v>777</v>
      </c>
      <c r="F1762" s="11">
        <v>13677517</v>
      </c>
      <c r="G1762" s="18">
        <v>1.104E-4</v>
      </c>
      <c r="H1762" s="11">
        <v>226880.28</v>
      </c>
      <c r="I1762" s="22">
        <f>IFERROR(VLOOKUP(D1762,'LEAID Match'!$A$2:$B$184,2,FALSE),"")</f>
        <v>3700033</v>
      </c>
    </row>
    <row r="1763" spans="1:9" x14ac:dyDescent="0.2">
      <c r="A1763">
        <f t="shared" si="27"/>
        <v>3700033</v>
      </c>
      <c r="B1763" s="24">
        <v>2021</v>
      </c>
      <c r="C1763" t="s">
        <v>416</v>
      </c>
      <c r="D1763" t="s">
        <v>777</v>
      </c>
      <c r="E1763" t="s">
        <v>777</v>
      </c>
      <c r="F1763" s="11">
        <v>16658466</v>
      </c>
      <c r="G1763" s="18">
        <v>1.3310000000000001E-4</v>
      </c>
      <c r="H1763" s="11">
        <v>315879.84120000002</v>
      </c>
      <c r="I1763" s="22">
        <f>IFERROR(VLOOKUP(D1763,'LEAID Match'!$A$2:$B$184,2,FALSE),"")</f>
        <v>3700033</v>
      </c>
    </row>
    <row r="1764" spans="1:9" x14ac:dyDescent="0.2">
      <c r="A1764">
        <f t="shared" si="27"/>
        <v>3700033</v>
      </c>
      <c r="B1764" s="24">
        <v>2022</v>
      </c>
      <c r="C1764" t="s">
        <v>416</v>
      </c>
      <c r="D1764" t="s">
        <v>777</v>
      </c>
      <c r="E1764" t="s">
        <v>777</v>
      </c>
      <c r="F1764" s="11">
        <v>16204236</v>
      </c>
      <c r="G1764" s="18">
        <v>1.2850000000000001E-4</v>
      </c>
      <c r="H1764" s="11">
        <v>354910.06100000005</v>
      </c>
      <c r="I1764" s="22">
        <f>IFERROR(VLOOKUP(D1764,'LEAID Match'!$A$2:$B$184,2,FALSE),"")</f>
        <v>3700033</v>
      </c>
    </row>
    <row r="1765" spans="1:9" x14ac:dyDescent="0.2">
      <c r="A1765">
        <f t="shared" si="27"/>
        <v>3700033</v>
      </c>
      <c r="B1765" s="24">
        <v>2023</v>
      </c>
      <c r="C1765" t="s">
        <v>416</v>
      </c>
      <c r="D1765" t="s">
        <v>777</v>
      </c>
      <c r="E1765" t="s">
        <v>777</v>
      </c>
      <c r="F1765" s="11">
        <v>16210471</v>
      </c>
      <c r="G1765" s="18">
        <v>1.22E-4</v>
      </c>
      <c r="H1765" s="11">
        <v>370257.43400000001</v>
      </c>
      <c r="I1765" s="22">
        <f>IFERROR(VLOOKUP(D1765,'LEAID Match'!$A$2:$B$184,2,FALSE),"")</f>
        <v>3700033</v>
      </c>
    </row>
    <row r="1766" spans="1:9" x14ac:dyDescent="0.2">
      <c r="A1766" t="str">
        <f t="shared" si="27"/>
        <v/>
      </c>
      <c r="B1766" s="24">
        <v>2015</v>
      </c>
      <c r="C1766" t="s">
        <v>417</v>
      </c>
      <c r="D1766" t="s">
        <v>778</v>
      </c>
      <c r="E1766" t="s">
        <v>363</v>
      </c>
      <c r="F1766" s="11">
        <v>14495909</v>
      </c>
      <c r="G1766" s="18">
        <v>1.2669999999999999E-4</v>
      </c>
      <c r="H1766" s="11">
        <v>160020.5796</v>
      </c>
      <c r="I1766" s="22" t="str">
        <f>IFERROR(VLOOKUP(D1766,'LEAID Match'!$A$2:$B$184,2,FALSE),"")</f>
        <v/>
      </c>
    </row>
    <row r="1767" spans="1:9" x14ac:dyDescent="0.2">
      <c r="A1767" t="str">
        <f t="shared" si="27"/>
        <v/>
      </c>
      <c r="B1767" s="24">
        <v>2016</v>
      </c>
      <c r="C1767" t="s">
        <v>417</v>
      </c>
      <c r="D1767" t="s">
        <v>778</v>
      </c>
      <c r="E1767" t="s">
        <v>778</v>
      </c>
      <c r="F1767" s="11">
        <v>13452788</v>
      </c>
      <c r="G1767" s="18">
        <v>1.2420000000000001E-4</v>
      </c>
      <c r="H1767" s="11">
        <v>158355.3726</v>
      </c>
      <c r="I1767" s="22" t="str">
        <f>IFERROR(VLOOKUP(D1767,'LEAID Match'!$A$2:$B$184,2,FALSE),"")</f>
        <v/>
      </c>
    </row>
    <row r="1768" spans="1:9" x14ac:dyDescent="0.2">
      <c r="A1768" t="str">
        <f t="shared" si="27"/>
        <v/>
      </c>
      <c r="B1768" s="24">
        <v>2017</v>
      </c>
      <c r="C1768" t="s">
        <v>417</v>
      </c>
      <c r="D1768" t="s">
        <v>778</v>
      </c>
      <c r="E1768" t="s">
        <v>778</v>
      </c>
      <c r="F1768" s="11">
        <v>13318400</v>
      </c>
      <c r="G1768" s="18">
        <v>1.194E-4</v>
      </c>
      <c r="H1768" s="11">
        <v>172078.56359999999</v>
      </c>
      <c r="I1768" s="22" t="str">
        <f>IFERROR(VLOOKUP(D1768,'LEAID Match'!$A$2:$B$184,2,FALSE),"")</f>
        <v/>
      </c>
    </row>
    <row r="1769" spans="1:9" x14ac:dyDescent="0.2">
      <c r="A1769" t="str">
        <f t="shared" si="27"/>
        <v/>
      </c>
      <c r="B1769" s="24">
        <v>2018</v>
      </c>
      <c r="C1769" t="s">
        <v>417</v>
      </c>
      <c r="D1769" t="s">
        <v>778</v>
      </c>
      <c r="E1769" t="s">
        <v>778</v>
      </c>
      <c r="F1769" s="11">
        <v>14690358</v>
      </c>
      <c r="G1769" s="18">
        <v>1.2640000000000001E-4</v>
      </c>
      <c r="H1769" s="11">
        <v>202606.68640000001</v>
      </c>
      <c r="I1769" s="22" t="str">
        <f>IFERROR(VLOOKUP(D1769,'LEAID Match'!$A$2:$B$184,2,FALSE),"")</f>
        <v/>
      </c>
    </row>
    <row r="1770" spans="1:9" x14ac:dyDescent="0.2">
      <c r="A1770" t="str">
        <f t="shared" si="27"/>
        <v/>
      </c>
      <c r="B1770" s="24">
        <v>2019</v>
      </c>
      <c r="C1770" t="s">
        <v>417</v>
      </c>
      <c r="D1770" t="s">
        <v>778</v>
      </c>
      <c r="E1770" t="s">
        <v>778</v>
      </c>
      <c r="F1770" s="11">
        <v>18321055</v>
      </c>
      <c r="G1770" s="18">
        <v>1.5210000000000001E-4</v>
      </c>
      <c r="H1770" s="11">
        <v>291293.70660000003</v>
      </c>
      <c r="I1770" s="22" t="str">
        <f>IFERROR(VLOOKUP(D1770,'LEAID Match'!$A$2:$B$184,2,FALSE),"")</f>
        <v/>
      </c>
    </row>
    <row r="1771" spans="1:9" x14ac:dyDescent="0.2">
      <c r="A1771" t="str">
        <f t="shared" si="27"/>
        <v/>
      </c>
      <c r="B1771" s="24">
        <v>2020</v>
      </c>
      <c r="C1771" t="s">
        <v>417</v>
      </c>
      <c r="D1771" t="s">
        <v>778</v>
      </c>
      <c r="E1771" t="s">
        <v>778</v>
      </c>
      <c r="F1771" s="11">
        <v>18747355</v>
      </c>
      <c r="G1771" s="18">
        <v>1.5129999999999999E-4</v>
      </c>
      <c r="H1771" s="11">
        <v>310932.84749999997</v>
      </c>
      <c r="I1771" s="22" t="str">
        <f>IFERROR(VLOOKUP(D1771,'LEAID Match'!$A$2:$B$184,2,FALSE),"")</f>
        <v/>
      </c>
    </row>
    <row r="1772" spans="1:9" x14ac:dyDescent="0.2">
      <c r="A1772" t="str">
        <f t="shared" si="27"/>
        <v/>
      </c>
      <c r="B1772" s="24">
        <v>2021</v>
      </c>
      <c r="C1772" t="s">
        <v>417</v>
      </c>
      <c r="D1772" t="s">
        <v>778</v>
      </c>
      <c r="E1772" t="s">
        <v>778</v>
      </c>
      <c r="F1772" s="11">
        <v>22946528</v>
      </c>
      <c r="G1772" s="18">
        <v>1.8340000000000001E-4</v>
      </c>
      <c r="H1772" s="11">
        <v>435254.41680000001</v>
      </c>
      <c r="I1772" s="22" t="str">
        <f>IFERROR(VLOOKUP(D1772,'LEAID Match'!$A$2:$B$184,2,FALSE),"")</f>
        <v/>
      </c>
    </row>
    <row r="1773" spans="1:9" x14ac:dyDescent="0.2">
      <c r="A1773" t="str">
        <f t="shared" si="27"/>
        <v/>
      </c>
      <c r="B1773" s="24">
        <v>2022</v>
      </c>
      <c r="C1773" t="s">
        <v>417</v>
      </c>
      <c r="D1773" t="s">
        <v>778</v>
      </c>
      <c r="E1773" t="s">
        <v>778</v>
      </c>
      <c r="F1773" s="11">
        <v>25043521</v>
      </c>
      <c r="G1773" s="18">
        <v>1.986E-4</v>
      </c>
      <c r="H1773" s="11">
        <v>548522.47560000001</v>
      </c>
      <c r="I1773" s="22" t="str">
        <f>IFERROR(VLOOKUP(D1773,'LEAID Match'!$A$2:$B$184,2,FALSE),"")</f>
        <v/>
      </c>
    </row>
    <row r="1774" spans="1:9" x14ac:dyDescent="0.2">
      <c r="A1774" t="str">
        <f t="shared" si="27"/>
        <v/>
      </c>
      <c r="B1774" s="24">
        <v>2023</v>
      </c>
      <c r="C1774" t="s">
        <v>417</v>
      </c>
      <c r="D1774" t="s">
        <v>778</v>
      </c>
      <c r="E1774" t="s">
        <v>778</v>
      </c>
      <c r="F1774" s="11">
        <v>28365537</v>
      </c>
      <c r="G1774" s="18">
        <v>2.1340000000000001E-4</v>
      </c>
      <c r="H1774" s="11">
        <v>647647.01980000001</v>
      </c>
      <c r="I1774" s="22" t="str">
        <f>IFERROR(VLOOKUP(D1774,'LEAID Match'!$A$2:$B$184,2,FALSE),"")</f>
        <v/>
      </c>
    </row>
    <row r="1775" spans="1:9" x14ac:dyDescent="0.2">
      <c r="A1775">
        <f t="shared" si="27"/>
        <v>3700343</v>
      </c>
      <c r="B1775" s="24">
        <v>2018</v>
      </c>
      <c r="C1775" t="s">
        <v>927</v>
      </c>
      <c r="D1775" t="s">
        <v>926</v>
      </c>
      <c r="E1775" t="s">
        <v>926</v>
      </c>
      <c r="F1775" s="11">
        <v>20344274</v>
      </c>
      <c r="G1775" s="18">
        <v>1.751E-4</v>
      </c>
      <c r="H1775" s="11">
        <v>280667.96509999997</v>
      </c>
      <c r="I1775" s="22">
        <f>IFERROR(VLOOKUP(D1775,'LEAID Match'!$A$2:$B$184,2,FALSE),"")</f>
        <v>3700343</v>
      </c>
    </row>
    <row r="1776" spans="1:9" x14ac:dyDescent="0.2">
      <c r="A1776">
        <f t="shared" si="27"/>
        <v>3700343</v>
      </c>
      <c r="B1776" s="24">
        <v>2019</v>
      </c>
      <c r="C1776" t="s">
        <v>927</v>
      </c>
      <c r="D1776" t="s">
        <v>926</v>
      </c>
      <c r="E1776" t="s">
        <v>926</v>
      </c>
      <c r="F1776" s="11">
        <v>23840065</v>
      </c>
      <c r="G1776" s="18">
        <v>1.9790000000000001E-4</v>
      </c>
      <c r="H1776" s="11">
        <v>379007.3934</v>
      </c>
      <c r="I1776" s="22">
        <f>IFERROR(VLOOKUP(D1776,'LEAID Match'!$A$2:$B$184,2,FALSE),"")</f>
        <v>3700343</v>
      </c>
    </row>
    <row r="1777" spans="1:9" x14ac:dyDescent="0.2">
      <c r="A1777">
        <f t="shared" si="27"/>
        <v>3700343</v>
      </c>
      <c r="B1777" s="24">
        <v>2020</v>
      </c>
      <c r="C1777" t="s">
        <v>927</v>
      </c>
      <c r="D1777" t="s">
        <v>926</v>
      </c>
      <c r="E1777" t="s">
        <v>926</v>
      </c>
      <c r="F1777" s="11">
        <v>28092131</v>
      </c>
      <c r="G1777" s="18">
        <v>2.2680000000000001E-4</v>
      </c>
      <c r="H1777" s="11">
        <v>466091.01</v>
      </c>
      <c r="I1777" s="22">
        <f>IFERROR(VLOOKUP(D1777,'LEAID Match'!$A$2:$B$184,2,FALSE),"")</f>
        <v>3700343</v>
      </c>
    </row>
    <row r="1778" spans="1:9" x14ac:dyDescent="0.2">
      <c r="A1778">
        <f t="shared" si="27"/>
        <v>3700343</v>
      </c>
      <c r="B1778" s="24">
        <v>2021</v>
      </c>
      <c r="C1778" t="s">
        <v>927</v>
      </c>
      <c r="D1778" t="s">
        <v>926</v>
      </c>
      <c r="E1778" t="s">
        <v>926</v>
      </c>
      <c r="F1778" s="11">
        <v>30583729</v>
      </c>
      <c r="G1778" s="18">
        <v>2.4439999999999998E-4</v>
      </c>
      <c r="H1778" s="11">
        <v>580022.78879999998</v>
      </c>
      <c r="I1778" s="22">
        <f>IFERROR(VLOOKUP(D1778,'LEAID Match'!$A$2:$B$184,2,FALSE),"")</f>
        <v>3700343</v>
      </c>
    </row>
    <row r="1779" spans="1:9" x14ac:dyDescent="0.2">
      <c r="A1779">
        <f t="shared" si="27"/>
        <v>3700343</v>
      </c>
      <c r="B1779" s="24">
        <v>2022</v>
      </c>
      <c r="C1779" t="s">
        <v>927</v>
      </c>
      <c r="D1779" t="s">
        <v>926</v>
      </c>
      <c r="E1779" t="s">
        <v>926</v>
      </c>
      <c r="F1779" s="11">
        <v>33982202</v>
      </c>
      <c r="G1779" s="18">
        <v>2.6939999999999999E-4</v>
      </c>
      <c r="H1779" s="11">
        <v>744068.2524</v>
      </c>
      <c r="I1779" s="22">
        <f>IFERROR(VLOOKUP(D1779,'LEAID Match'!$A$2:$B$184,2,FALSE),"")</f>
        <v>3700343</v>
      </c>
    </row>
    <row r="1780" spans="1:9" x14ac:dyDescent="0.2">
      <c r="A1780">
        <f t="shared" si="27"/>
        <v>3700343</v>
      </c>
      <c r="B1780" s="24">
        <v>2023</v>
      </c>
      <c r="C1780" t="s">
        <v>927</v>
      </c>
      <c r="D1780" t="s">
        <v>926</v>
      </c>
      <c r="E1780" t="s">
        <v>926</v>
      </c>
      <c r="F1780" s="11">
        <v>37039703</v>
      </c>
      <c r="G1780" s="18">
        <v>2.787E-4</v>
      </c>
      <c r="H1780" s="11">
        <v>845825.79390000005</v>
      </c>
      <c r="I1780" s="22">
        <f>IFERROR(VLOOKUP(D1780,'LEAID Match'!$A$2:$B$184,2,FALSE),"")</f>
        <v>3700343</v>
      </c>
    </row>
    <row r="1781" spans="1:9" x14ac:dyDescent="0.2">
      <c r="A1781" t="str">
        <f t="shared" si="27"/>
        <v/>
      </c>
      <c r="B1781" s="24">
        <v>2015</v>
      </c>
      <c r="C1781" t="s">
        <v>418</v>
      </c>
      <c r="D1781" t="s">
        <v>779</v>
      </c>
      <c r="E1781" t="s">
        <v>364</v>
      </c>
      <c r="F1781" s="11">
        <v>111281340</v>
      </c>
      <c r="G1781" s="18">
        <v>9.7300000000000002E-4</v>
      </c>
      <c r="H1781" s="11">
        <v>1228887.324</v>
      </c>
      <c r="I1781" s="22" t="str">
        <f>IFERROR(VLOOKUP(D1781,'LEAID Match'!$A$2:$B$184,2,FALSE),"")</f>
        <v/>
      </c>
    </row>
    <row r="1782" spans="1:9" x14ac:dyDescent="0.2">
      <c r="A1782" t="str">
        <f t="shared" si="27"/>
        <v/>
      </c>
      <c r="B1782" s="24">
        <v>2016</v>
      </c>
      <c r="C1782" t="s">
        <v>418</v>
      </c>
      <c r="D1782" t="s">
        <v>779</v>
      </c>
      <c r="E1782" t="s">
        <v>779</v>
      </c>
      <c r="F1782" s="11">
        <v>107889340</v>
      </c>
      <c r="G1782" s="18">
        <v>9.9630000000000009E-4</v>
      </c>
      <c r="H1782" s="11">
        <v>1270285.4889000002</v>
      </c>
      <c r="I1782" s="22" t="str">
        <f>IFERROR(VLOOKUP(D1782,'LEAID Match'!$A$2:$B$184,2,FALSE),"")</f>
        <v/>
      </c>
    </row>
    <row r="1783" spans="1:9" x14ac:dyDescent="0.2">
      <c r="A1783" t="str">
        <f t="shared" si="27"/>
        <v/>
      </c>
      <c r="B1783" s="24">
        <v>2017</v>
      </c>
      <c r="C1783" t="s">
        <v>418</v>
      </c>
      <c r="D1783" t="s">
        <v>779</v>
      </c>
      <c r="E1783" t="s">
        <v>779</v>
      </c>
      <c r="F1783" s="11">
        <v>106134738</v>
      </c>
      <c r="G1783" s="18">
        <v>9.5120000000000003E-4</v>
      </c>
      <c r="H1783" s="11">
        <v>1370863.7328000001</v>
      </c>
      <c r="I1783" s="22" t="str">
        <f>IFERROR(VLOOKUP(D1783,'LEAID Match'!$A$2:$B$184,2,FALSE),"")</f>
        <v/>
      </c>
    </row>
    <row r="1784" spans="1:9" x14ac:dyDescent="0.2">
      <c r="A1784" t="str">
        <f t="shared" si="27"/>
        <v/>
      </c>
      <c r="B1784" s="24">
        <v>2018</v>
      </c>
      <c r="C1784" t="s">
        <v>418</v>
      </c>
      <c r="D1784" t="s">
        <v>779</v>
      </c>
      <c r="E1784" t="s">
        <v>779</v>
      </c>
      <c r="F1784" s="11">
        <v>110416183</v>
      </c>
      <c r="G1784" s="18">
        <v>9.502E-4</v>
      </c>
      <c r="H1784" s="11">
        <v>1523076.5301999999</v>
      </c>
      <c r="I1784" s="22" t="str">
        <f>IFERROR(VLOOKUP(D1784,'LEAID Match'!$A$2:$B$184,2,FALSE),"")</f>
        <v/>
      </c>
    </row>
    <row r="1785" spans="1:9" x14ac:dyDescent="0.2">
      <c r="A1785" t="str">
        <f t="shared" si="27"/>
        <v/>
      </c>
      <c r="B1785" s="24">
        <v>2019</v>
      </c>
      <c r="C1785" t="s">
        <v>418</v>
      </c>
      <c r="D1785" t="s">
        <v>779</v>
      </c>
      <c r="E1785" t="s">
        <v>779</v>
      </c>
      <c r="F1785" s="11">
        <v>113534855</v>
      </c>
      <c r="G1785" s="18">
        <v>9.4229999999999997E-4</v>
      </c>
      <c r="H1785" s="11">
        <v>1804642.0758</v>
      </c>
      <c r="I1785" s="22" t="str">
        <f>IFERROR(VLOOKUP(D1785,'LEAID Match'!$A$2:$B$184,2,FALSE),"")</f>
        <v/>
      </c>
    </row>
    <row r="1786" spans="1:9" x14ac:dyDescent="0.2">
      <c r="A1786" t="str">
        <f t="shared" si="27"/>
        <v/>
      </c>
      <c r="B1786" s="24">
        <v>2020</v>
      </c>
      <c r="C1786" t="s">
        <v>418</v>
      </c>
      <c r="D1786" t="s">
        <v>779</v>
      </c>
      <c r="E1786" t="s">
        <v>779</v>
      </c>
      <c r="F1786" s="11">
        <v>116333491</v>
      </c>
      <c r="G1786" s="18">
        <v>9.391E-4</v>
      </c>
      <c r="H1786" s="11">
        <v>1929920.9325000001</v>
      </c>
      <c r="I1786" s="22" t="str">
        <f>IFERROR(VLOOKUP(D1786,'LEAID Match'!$A$2:$B$184,2,FALSE),"")</f>
        <v/>
      </c>
    </row>
    <row r="1787" spans="1:9" x14ac:dyDescent="0.2">
      <c r="A1787" t="str">
        <f t="shared" si="27"/>
        <v/>
      </c>
      <c r="B1787" s="24">
        <v>2021</v>
      </c>
      <c r="C1787" t="s">
        <v>418</v>
      </c>
      <c r="D1787" t="s">
        <v>779</v>
      </c>
      <c r="E1787" t="s">
        <v>779</v>
      </c>
      <c r="F1787" s="11">
        <v>119593599</v>
      </c>
      <c r="G1787" s="18">
        <v>9.5560000000000003E-4</v>
      </c>
      <c r="H1787" s="11">
        <v>2267879.6112000002</v>
      </c>
      <c r="I1787" s="22" t="str">
        <f>IFERROR(VLOOKUP(D1787,'LEAID Match'!$A$2:$B$184,2,FALSE),"")</f>
        <v/>
      </c>
    </row>
    <row r="1788" spans="1:9" x14ac:dyDescent="0.2">
      <c r="A1788" t="str">
        <f t="shared" si="27"/>
        <v/>
      </c>
      <c r="B1788" s="24">
        <v>2022</v>
      </c>
      <c r="C1788" t="s">
        <v>418</v>
      </c>
      <c r="D1788" t="s">
        <v>779</v>
      </c>
      <c r="E1788" t="s">
        <v>779</v>
      </c>
      <c r="F1788" s="11">
        <v>122857699</v>
      </c>
      <c r="G1788" s="18">
        <v>9.7409999999999999E-4</v>
      </c>
      <c r="H1788" s="11">
        <v>2690411.5986000001</v>
      </c>
      <c r="I1788" s="22" t="str">
        <f>IFERROR(VLOOKUP(D1788,'LEAID Match'!$A$2:$B$184,2,FALSE),"")</f>
        <v/>
      </c>
    </row>
    <row r="1789" spans="1:9" x14ac:dyDescent="0.2">
      <c r="A1789" t="str">
        <f t="shared" si="27"/>
        <v/>
      </c>
      <c r="B1789" s="24">
        <v>2023</v>
      </c>
      <c r="C1789" t="s">
        <v>418</v>
      </c>
      <c r="D1789" t="s">
        <v>779</v>
      </c>
      <c r="E1789" t="s">
        <v>779</v>
      </c>
      <c r="F1789" s="11">
        <v>137067055</v>
      </c>
      <c r="G1789" s="18">
        <v>1.0313E-3</v>
      </c>
      <c r="H1789" s="11">
        <v>3129889.2760999999</v>
      </c>
      <c r="I1789" s="22" t="str">
        <f>IFERROR(VLOOKUP(D1789,'LEAID Match'!$A$2:$B$184,2,FALSE),"")</f>
        <v/>
      </c>
    </row>
    <row r="1790" spans="1:9" x14ac:dyDescent="0.2">
      <c r="A1790">
        <f t="shared" si="27"/>
        <v>3700404</v>
      </c>
      <c r="B1790" s="24">
        <v>2017</v>
      </c>
      <c r="C1790" t="s">
        <v>912</v>
      </c>
      <c r="D1790" t="s">
        <v>909</v>
      </c>
      <c r="E1790" t="s">
        <v>909</v>
      </c>
      <c r="F1790" s="11">
        <v>4236867</v>
      </c>
      <c r="G1790" s="18">
        <v>3.8000000000000002E-5</v>
      </c>
      <c r="H1790" s="11">
        <v>54765.372000000003</v>
      </c>
      <c r="I1790" s="22">
        <f>IFERROR(VLOOKUP(D1790,'LEAID Match'!$A$2:$B$184,2,FALSE),"")</f>
        <v>3700404</v>
      </c>
    </row>
    <row r="1791" spans="1:9" x14ac:dyDescent="0.2">
      <c r="A1791">
        <f t="shared" si="27"/>
        <v>3703270</v>
      </c>
      <c r="B1791" s="24">
        <v>2015</v>
      </c>
      <c r="C1791" t="s">
        <v>419</v>
      </c>
      <c r="D1791" t="s">
        <v>780</v>
      </c>
      <c r="E1791" t="s">
        <v>365</v>
      </c>
      <c r="F1791" s="11">
        <v>622278590</v>
      </c>
      <c r="G1791" s="18">
        <v>5.4408E-3</v>
      </c>
      <c r="H1791" s="11">
        <v>6871665.1103999997</v>
      </c>
      <c r="I1791" s="22">
        <f>IFERROR(VLOOKUP(D1791,'LEAID Match'!$A$2:$B$184,2,FALSE),"")</f>
        <v>3703270</v>
      </c>
    </row>
    <row r="1792" spans="1:9" x14ac:dyDescent="0.2">
      <c r="A1792">
        <f t="shared" si="27"/>
        <v>3703270</v>
      </c>
      <c r="B1792" s="24">
        <v>2016</v>
      </c>
      <c r="C1792" t="s">
        <v>419</v>
      </c>
      <c r="D1792" t="s">
        <v>780</v>
      </c>
      <c r="E1792" t="s">
        <v>780</v>
      </c>
      <c r="F1792" s="11">
        <v>594903354</v>
      </c>
      <c r="G1792" s="18">
        <v>5.4936000000000004E-3</v>
      </c>
      <c r="H1792" s="11">
        <v>7004356.480800001</v>
      </c>
      <c r="I1792" s="22">
        <f>IFERROR(VLOOKUP(D1792,'LEAID Match'!$A$2:$B$184,2,FALSE),"")</f>
        <v>3703270</v>
      </c>
    </row>
    <row r="1793" spans="1:9" x14ac:dyDescent="0.2">
      <c r="A1793">
        <f t="shared" si="27"/>
        <v>3703270</v>
      </c>
      <c r="B1793" s="24">
        <v>2017</v>
      </c>
      <c r="C1793" t="s">
        <v>419</v>
      </c>
      <c r="D1793" t="s">
        <v>780</v>
      </c>
      <c r="E1793" t="s">
        <v>780</v>
      </c>
      <c r="F1793" s="11">
        <v>629253756</v>
      </c>
      <c r="G1793" s="18">
        <v>5.6394000000000001E-3</v>
      </c>
      <c r="H1793" s="11">
        <v>8127469.4435999999</v>
      </c>
      <c r="I1793" s="22">
        <f>IFERROR(VLOOKUP(D1793,'LEAID Match'!$A$2:$B$184,2,FALSE),"")</f>
        <v>3703270</v>
      </c>
    </row>
    <row r="1794" spans="1:9" x14ac:dyDescent="0.2">
      <c r="A1794">
        <f t="shared" si="27"/>
        <v>3703270</v>
      </c>
      <c r="B1794" s="24">
        <v>2018</v>
      </c>
      <c r="C1794" t="s">
        <v>419</v>
      </c>
      <c r="D1794" t="s">
        <v>780</v>
      </c>
      <c r="E1794" t="s">
        <v>780</v>
      </c>
      <c r="F1794" s="11">
        <v>639197025</v>
      </c>
      <c r="G1794" s="18">
        <v>5.5005000000000002E-3</v>
      </c>
      <c r="H1794" s="11">
        <v>8816756.9505000003</v>
      </c>
      <c r="I1794" s="22">
        <f>IFERROR(VLOOKUP(D1794,'LEAID Match'!$A$2:$B$184,2,FALSE),"")</f>
        <v>3703270</v>
      </c>
    </row>
    <row r="1795" spans="1:9" x14ac:dyDescent="0.2">
      <c r="A1795">
        <f t="shared" ref="A1795:A1858" si="28">I1795</f>
        <v>3703270</v>
      </c>
      <c r="B1795" s="24">
        <v>2019</v>
      </c>
      <c r="C1795" t="s">
        <v>419</v>
      </c>
      <c r="D1795" t="s">
        <v>780</v>
      </c>
      <c r="E1795" t="s">
        <v>780</v>
      </c>
      <c r="F1795" s="11">
        <v>629351285</v>
      </c>
      <c r="G1795" s="18">
        <v>5.2236000000000001E-3</v>
      </c>
      <c r="H1795" s="11">
        <v>10003956.6456</v>
      </c>
      <c r="I1795" s="22">
        <f>IFERROR(VLOOKUP(D1795,'LEAID Match'!$A$2:$B$184,2,FALSE),"")</f>
        <v>3703270</v>
      </c>
    </row>
    <row r="1796" spans="1:9" x14ac:dyDescent="0.2">
      <c r="A1796">
        <f t="shared" si="28"/>
        <v>3703270</v>
      </c>
      <c r="B1796" s="24">
        <v>2020</v>
      </c>
      <c r="C1796" t="s">
        <v>419</v>
      </c>
      <c r="D1796" t="s">
        <v>780</v>
      </c>
      <c r="E1796" t="s">
        <v>780</v>
      </c>
      <c r="F1796" s="11">
        <v>636360569</v>
      </c>
      <c r="G1796" s="18">
        <v>5.1373E-3</v>
      </c>
      <c r="H1796" s="11">
        <v>10557536.797499999</v>
      </c>
      <c r="I1796" s="22">
        <f>IFERROR(VLOOKUP(D1796,'LEAID Match'!$A$2:$B$184,2,FALSE),"")</f>
        <v>3703270</v>
      </c>
    </row>
    <row r="1797" spans="1:9" x14ac:dyDescent="0.2">
      <c r="A1797">
        <f t="shared" si="28"/>
        <v>3703270</v>
      </c>
      <c r="B1797" s="24">
        <v>2021</v>
      </c>
      <c r="C1797" t="s">
        <v>419</v>
      </c>
      <c r="D1797" t="s">
        <v>780</v>
      </c>
      <c r="E1797" t="s">
        <v>780</v>
      </c>
      <c r="F1797" s="11">
        <v>611670139</v>
      </c>
      <c r="G1797" s="18">
        <v>4.8875000000000004E-3</v>
      </c>
      <c r="H1797" s="11">
        <v>11599269.15</v>
      </c>
      <c r="I1797" s="22">
        <f>IFERROR(VLOOKUP(D1797,'LEAID Match'!$A$2:$B$184,2,FALSE),"")</f>
        <v>3703270</v>
      </c>
    </row>
    <row r="1798" spans="1:9" x14ac:dyDescent="0.2">
      <c r="A1798">
        <f t="shared" si="28"/>
        <v>3703270</v>
      </c>
      <c r="B1798" s="24">
        <v>2022</v>
      </c>
      <c r="C1798" t="s">
        <v>419</v>
      </c>
      <c r="D1798" t="s">
        <v>780</v>
      </c>
      <c r="E1798" t="s">
        <v>780</v>
      </c>
      <c r="F1798" s="11">
        <v>645623859</v>
      </c>
      <c r="G1798" s="18">
        <v>5.1190999999999997E-3</v>
      </c>
      <c r="H1798" s="11">
        <v>14138677.7686</v>
      </c>
      <c r="I1798" s="22">
        <f>IFERROR(VLOOKUP(D1798,'LEAID Match'!$A$2:$B$184,2,FALSE),"")</f>
        <v>3703270</v>
      </c>
    </row>
    <row r="1799" spans="1:9" x14ac:dyDescent="0.2">
      <c r="A1799">
        <f t="shared" si="28"/>
        <v>3703270</v>
      </c>
      <c r="B1799" s="24">
        <v>2023</v>
      </c>
      <c r="C1799" t="s">
        <v>419</v>
      </c>
      <c r="D1799" t="s">
        <v>780</v>
      </c>
      <c r="E1799" t="s">
        <v>780</v>
      </c>
      <c r="F1799" s="11">
        <v>660669883</v>
      </c>
      <c r="G1799" s="18">
        <v>4.9709999999999997E-3</v>
      </c>
      <c r="H1799" s="11">
        <v>15086472.987</v>
      </c>
      <c r="I1799" s="22">
        <f>IFERROR(VLOOKUP(D1799,'LEAID Match'!$A$2:$B$184,2,FALSE),"")</f>
        <v>3703270</v>
      </c>
    </row>
    <row r="1800" spans="1:9" x14ac:dyDescent="0.2">
      <c r="A1800" t="str">
        <f t="shared" si="28"/>
        <v/>
      </c>
      <c r="B1800" s="24">
        <v>2015</v>
      </c>
      <c r="C1800" t="s">
        <v>420</v>
      </c>
      <c r="D1800" t="s">
        <v>931</v>
      </c>
      <c r="E1800" t="s">
        <v>366</v>
      </c>
      <c r="F1800" s="11">
        <v>103122267</v>
      </c>
      <c r="G1800" s="18">
        <v>9.0160000000000001E-4</v>
      </c>
      <c r="H1800" s="11">
        <v>1138709.9808</v>
      </c>
      <c r="I1800" s="22" t="str">
        <f>IFERROR(VLOOKUP(D1800,'LEAID Match'!$A$2:$B$184,2,FALSE),"")</f>
        <v/>
      </c>
    </row>
    <row r="1801" spans="1:9" x14ac:dyDescent="0.2">
      <c r="A1801" t="str">
        <f t="shared" si="28"/>
        <v/>
      </c>
      <c r="B1801" s="24">
        <v>2016</v>
      </c>
      <c r="C1801" t="s">
        <v>420</v>
      </c>
      <c r="D1801" t="s">
        <v>931</v>
      </c>
      <c r="E1801" t="s">
        <v>781</v>
      </c>
      <c r="F1801" s="11">
        <v>102087217</v>
      </c>
      <c r="G1801" s="18">
        <v>9.4269999999999998E-4</v>
      </c>
      <c r="H1801" s="11">
        <v>1201945.3281</v>
      </c>
      <c r="I1801" s="22" t="str">
        <f>IFERROR(VLOOKUP(D1801,'LEAID Match'!$A$2:$B$184,2,FALSE),"")</f>
        <v/>
      </c>
    </row>
    <row r="1802" spans="1:9" x14ac:dyDescent="0.2">
      <c r="A1802" t="str">
        <f t="shared" si="28"/>
        <v/>
      </c>
      <c r="B1802" s="24">
        <v>2017</v>
      </c>
      <c r="C1802" t="s">
        <v>420</v>
      </c>
      <c r="D1802" t="s">
        <v>931</v>
      </c>
      <c r="E1802" t="s">
        <v>781</v>
      </c>
      <c r="F1802" s="11">
        <v>108655194</v>
      </c>
      <c r="G1802" s="18">
        <v>9.7380000000000003E-4</v>
      </c>
      <c r="H1802" s="11">
        <v>1403434.7172000001</v>
      </c>
      <c r="I1802" s="22" t="str">
        <f>IFERROR(VLOOKUP(D1802,'LEAID Match'!$A$2:$B$184,2,FALSE),"")</f>
        <v/>
      </c>
    </row>
    <row r="1803" spans="1:9" x14ac:dyDescent="0.2">
      <c r="A1803" t="str">
        <f t="shared" si="28"/>
        <v/>
      </c>
      <c r="B1803" s="24">
        <v>2018</v>
      </c>
      <c r="C1803" t="s">
        <v>420</v>
      </c>
      <c r="D1803" t="s">
        <v>931</v>
      </c>
      <c r="E1803" t="s">
        <v>781</v>
      </c>
      <c r="F1803" s="11">
        <v>104737489</v>
      </c>
      <c r="G1803" s="18">
        <v>9.0129999999999995E-4</v>
      </c>
      <c r="H1803" s="11">
        <v>1444694.6712999998</v>
      </c>
      <c r="I1803" s="22" t="str">
        <f>IFERROR(VLOOKUP(D1803,'LEAID Match'!$A$2:$B$184,2,FALSE),"")</f>
        <v/>
      </c>
    </row>
    <row r="1804" spans="1:9" x14ac:dyDescent="0.2">
      <c r="A1804" t="str">
        <f t="shared" si="28"/>
        <v/>
      </c>
      <c r="B1804" s="24">
        <v>2019</v>
      </c>
      <c r="C1804" t="s">
        <v>420</v>
      </c>
      <c r="D1804" t="s">
        <v>931</v>
      </c>
      <c r="E1804" t="s">
        <v>931</v>
      </c>
      <c r="F1804" s="11">
        <v>102628972</v>
      </c>
      <c r="G1804" s="18">
        <v>8.518E-4</v>
      </c>
      <c r="H1804" s="11">
        <v>1631321.3628</v>
      </c>
      <c r="I1804" s="22" t="str">
        <f>IFERROR(VLOOKUP(D1804,'LEAID Match'!$A$2:$B$184,2,FALSE),"")</f>
        <v/>
      </c>
    </row>
    <row r="1805" spans="1:9" x14ac:dyDescent="0.2">
      <c r="A1805" t="str">
        <f t="shared" si="28"/>
        <v/>
      </c>
      <c r="B1805" s="24">
        <v>2020</v>
      </c>
      <c r="C1805" t="s">
        <v>420</v>
      </c>
      <c r="D1805" t="s">
        <v>931</v>
      </c>
      <c r="E1805" t="s">
        <v>931</v>
      </c>
      <c r="F1805" s="11">
        <v>103799690</v>
      </c>
      <c r="G1805" s="18">
        <v>8.3799999999999999E-4</v>
      </c>
      <c r="H1805" s="11">
        <v>1722152.8499999999</v>
      </c>
      <c r="I1805" s="22" t="str">
        <f>IFERROR(VLOOKUP(D1805,'LEAID Match'!$A$2:$B$184,2,FALSE),"")</f>
        <v/>
      </c>
    </row>
    <row r="1806" spans="1:9" x14ac:dyDescent="0.2">
      <c r="A1806" t="str">
        <f t="shared" si="28"/>
        <v/>
      </c>
      <c r="B1806" s="24">
        <v>2021</v>
      </c>
      <c r="C1806" t="s">
        <v>420</v>
      </c>
      <c r="D1806" t="s">
        <v>931</v>
      </c>
      <c r="E1806" t="s">
        <v>931</v>
      </c>
      <c r="F1806" s="11">
        <v>98019352</v>
      </c>
      <c r="G1806" s="18">
        <v>7.8319999999999996E-4</v>
      </c>
      <c r="H1806" s="11">
        <v>1858730.9663999998</v>
      </c>
      <c r="I1806" s="22" t="str">
        <f>IFERROR(VLOOKUP(D1806,'LEAID Match'!$A$2:$B$184,2,FALSE),"")</f>
        <v/>
      </c>
    </row>
    <row r="1807" spans="1:9" x14ac:dyDescent="0.2">
      <c r="A1807" t="str">
        <f t="shared" si="28"/>
        <v/>
      </c>
      <c r="B1807" s="24">
        <v>2022</v>
      </c>
      <c r="C1807" t="s">
        <v>420</v>
      </c>
      <c r="D1807" t="s">
        <v>931</v>
      </c>
      <c r="E1807" t="s">
        <v>931</v>
      </c>
      <c r="F1807" s="11">
        <v>96554187</v>
      </c>
      <c r="G1807" s="18">
        <v>7.6559999999999996E-4</v>
      </c>
      <c r="H1807" s="11">
        <v>2114545.8575999998</v>
      </c>
      <c r="I1807" s="22" t="str">
        <f>IFERROR(VLOOKUP(D1807,'LEAID Match'!$A$2:$B$184,2,FALSE),"")</f>
        <v/>
      </c>
    </row>
    <row r="1808" spans="1:9" x14ac:dyDescent="0.2">
      <c r="A1808" t="str">
        <f t="shared" si="28"/>
        <v/>
      </c>
      <c r="B1808" s="24">
        <v>2023</v>
      </c>
      <c r="C1808" t="s">
        <v>420</v>
      </c>
      <c r="D1808" t="s">
        <v>931</v>
      </c>
      <c r="E1808" t="s">
        <v>931</v>
      </c>
      <c r="F1808" s="11">
        <v>96747568</v>
      </c>
      <c r="G1808" s="18">
        <v>7.2800000000000002E-4</v>
      </c>
      <c r="H1808" s="11">
        <v>2209405.0160000003</v>
      </c>
      <c r="I1808" s="22" t="str">
        <f>IFERROR(VLOOKUP(D1808,'LEAID Match'!$A$2:$B$184,2,FALSE),"")</f>
        <v/>
      </c>
    </row>
    <row r="1809" spans="1:9" x14ac:dyDescent="0.2">
      <c r="A1809">
        <f t="shared" si="28"/>
        <v>3703330</v>
      </c>
      <c r="B1809" s="24">
        <v>2015</v>
      </c>
      <c r="C1809" t="s">
        <v>421</v>
      </c>
      <c r="D1809" t="s">
        <v>782</v>
      </c>
      <c r="E1809" t="s">
        <v>367</v>
      </c>
      <c r="F1809" s="11">
        <v>1198005640</v>
      </c>
      <c r="G1809" s="18">
        <v>1.0474600000000001E-2</v>
      </c>
      <c r="H1809" s="11">
        <v>13229294.104800001</v>
      </c>
      <c r="I1809" s="22">
        <f>IFERROR(VLOOKUP(D1809,'LEAID Match'!$A$2:$B$184,2,FALSE),"")</f>
        <v>3703330</v>
      </c>
    </row>
    <row r="1810" spans="1:9" x14ac:dyDescent="0.2">
      <c r="A1810">
        <f t="shared" si="28"/>
        <v>3703330</v>
      </c>
      <c r="B1810" s="24">
        <v>2016</v>
      </c>
      <c r="C1810" t="s">
        <v>421</v>
      </c>
      <c r="D1810" t="s">
        <v>782</v>
      </c>
      <c r="E1810" t="s">
        <v>782</v>
      </c>
      <c r="F1810" s="11">
        <v>1159305763</v>
      </c>
      <c r="G1810" s="18">
        <v>1.07055E-2</v>
      </c>
      <c r="H1810" s="11">
        <v>13649544.6165</v>
      </c>
      <c r="I1810" s="22">
        <f>IFERROR(VLOOKUP(D1810,'LEAID Match'!$A$2:$B$184,2,FALSE),"")</f>
        <v>3703330</v>
      </c>
    </row>
    <row r="1811" spans="1:9" x14ac:dyDescent="0.2">
      <c r="A1811">
        <f t="shared" si="28"/>
        <v>3703330</v>
      </c>
      <c r="B1811" s="24">
        <v>2017</v>
      </c>
      <c r="C1811" t="s">
        <v>421</v>
      </c>
      <c r="D1811" t="s">
        <v>782</v>
      </c>
      <c r="E1811" t="s">
        <v>782</v>
      </c>
      <c r="F1811" s="11">
        <v>1224858909</v>
      </c>
      <c r="G1811" s="18">
        <v>1.0977199999999999E-2</v>
      </c>
      <c r="H1811" s="11">
        <v>15820274.776799999</v>
      </c>
      <c r="I1811" s="22">
        <f>IFERROR(VLOOKUP(D1811,'LEAID Match'!$A$2:$B$184,2,FALSE),"")</f>
        <v>3703330</v>
      </c>
    </row>
    <row r="1812" spans="1:9" x14ac:dyDescent="0.2">
      <c r="A1812">
        <f t="shared" si="28"/>
        <v>3703330</v>
      </c>
      <c r="B1812" s="24">
        <v>2018</v>
      </c>
      <c r="C1812" t="s">
        <v>421</v>
      </c>
      <c r="D1812" t="s">
        <v>782</v>
      </c>
      <c r="E1812" t="s">
        <v>782</v>
      </c>
      <c r="F1812" s="11">
        <v>1288330932</v>
      </c>
      <c r="G1812" s="18">
        <v>1.10864E-2</v>
      </c>
      <c r="H1812" s="11">
        <v>17770401.646400001</v>
      </c>
      <c r="I1812" s="22">
        <f>IFERROR(VLOOKUP(D1812,'LEAID Match'!$A$2:$B$184,2,FALSE),"")</f>
        <v>3703330</v>
      </c>
    </row>
    <row r="1813" spans="1:9" x14ac:dyDescent="0.2">
      <c r="A1813">
        <f t="shared" si="28"/>
        <v>3703330</v>
      </c>
      <c r="B1813" s="24">
        <v>2019</v>
      </c>
      <c r="C1813" t="s">
        <v>421</v>
      </c>
      <c r="D1813" t="s">
        <v>782</v>
      </c>
      <c r="E1813" t="s">
        <v>782</v>
      </c>
      <c r="F1813" s="11">
        <v>1318327192</v>
      </c>
      <c r="G1813" s="18">
        <v>1.09421E-2</v>
      </c>
      <c r="H1813" s="11">
        <v>20955719.046599999</v>
      </c>
      <c r="I1813" s="22">
        <f>IFERROR(VLOOKUP(D1813,'LEAID Match'!$A$2:$B$184,2,FALSE),"")</f>
        <v>3703330</v>
      </c>
    </row>
    <row r="1814" spans="1:9" x14ac:dyDescent="0.2">
      <c r="A1814">
        <f t="shared" si="28"/>
        <v>3703330</v>
      </c>
      <c r="B1814" s="24">
        <v>2020</v>
      </c>
      <c r="C1814" t="s">
        <v>421</v>
      </c>
      <c r="D1814" t="s">
        <v>782</v>
      </c>
      <c r="E1814" t="s">
        <v>782</v>
      </c>
      <c r="F1814" s="11">
        <v>1339250653</v>
      </c>
      <c r="G1814" s="18">
        <v>1.0811599999999999E-2</v>
      </c>
      <c r="H1814" s="11">
        <v>22218648.869999997</v>
      </c>
      <c r="I1814" s="22">
        <f>IFERROR(VLOOKUP(D1814,'LEAID Match'!$A$2:$B$184,2,FALSE),"")</f>
        <v>3703330</v>
      </c>
    </row>
    <row r="1815" spans="1:9" x14ac:dyDescent="0.2">
      <c r="A1815">
        <f t="shared" si="28"/>
        <v>3703330</v>
      </c>
      <c r="B1815" s="24">
        <v>2021</v>
      </c>
      <c r="C1815" t="s">
        <v>421</v>
      </c>
      <c r="D1815" t="s">
        <v>782</v>
      </c>
      <c r="E1815" t="s">
        <v>782</v>
      </c>
      <c r="F1815" s="11">
        <v>1366185201</v>
      </c>
      <c r="G1815" s="18">
        <v>1.09164E-2</v>
      </c>
      <c r="H1815" s="11">
        <v>25907368.132799998</v>
      </c>
      <c r="I1815" s="22">
        <f>IFERROR(VLOOKUP(D1815,'LEAID Match'!$A$2:$B$184,2,FALSE),"")</f>
        <v>3703330</v>
      </c>
    </row>
    <row r="1816" spans="1:9" x14ac:dyDescent="0.2">
      <c r="A1816">
        <f t="shared" si="28"/>
        <v>3703330</v>
      </c>
      <c r="B1816" s="24">
        <v>2022</v>
      </c>
      <c r="C1816" t="s">
        <v>421</v>
      </c>
      <c r="D1816" t="s">
        <v>782</v>
      </c>
      <c r="E1816" t="s">
        <v>782</v>
      </c>
      <c r="F1816" s="11">
        <v>1401702507</v>
      </c>
      <c r="G1816" s="18">
        <v>1.11141E-2</v>
      </c>
      <c r="H1816" s="11">
        <v>30696544.038600001</v>
      </c>
      <c r="I1816" s="22">
        <f>IFERROR(VLOOKUP(D1816,'LEAID Match'!$A$2:$B$184,2,FALSE),"")</f>
        <v>3703330</v>
      </c>
    </row>
    <row r="1817" spans="1:9" x14ac:dyDescent="0.2">
      <c r="A1817">
        <f t="shared" si="28"/>
        <v>3703330</v>
      </c>
      <c r="B1817" s="24">
        <v>2023</v>
      </c>
      <c r="C1817" t="s">
        <v>421</v>
      </c>
      <c r="D1817" t="s">
        <v>782</v>
      </c>
      <c r="E1817" t="s">
        <v>782</v>
      </c>
      <c r="F1817" s="11">
        <v>1572153644</v>
      </c>
      <c r="G1817" s="18">
        <v>1.1829299999999999E-2</v>
      </c>
      <c r="H1817" s="11">
        <v>35900707.082099997</v>
      </c>
      <c r="I1817" s="22">
        <f>IFERROR(VLOOKUP(D1817,'LEAID Match'!$A$2:$B$184,2,FALSE),"")</f>
        <v>3703330</v>
      </c>
    </row>
    <row r="1818" spans="1:9" x14ac:dyDescent="0.2">
      <c r="A1818">
        <f t="shared" si="28"/>
        <v>3700108</v>
      </c>
      <c r="B1818" s="24">
        <v>2015</v>
      </c>
      <c r="C1818" t="s">
        <v>422</v>
      </c>
      <c r="D1818" t="s">
        <v>910</v>
      </c>
      <c r="E1818" t="s">
        <v>368</v>
      </c>
      <c r="F1818" s="11">
        <v>13578025</v>
      </c>
      <c r="G1818" s="18">
        <v>1.187E-4</v>
      </c>
      <c r="H1818" s="11">
        <v>149916.67559999999</v>
      </c>
      <c r="I1818" s="22">
        <f>IFERROR(VLOOKUP(D1818,'LEAID Match'!$A$2:$B$184,2,FALSE),"")</f>
        <v>3700108</v>
      </c>
    </row>
    <row r="1819" spans="1:9" x14ac:dyDescent="0.2">
      <c r="A1819">
        <f t="shared" si="28"/>
        <v>3700108</v>
      </c>
      <c r="B1819" s="24">
        <v>2016</v>
      </c>
      <c r="C1819" t="s">
        <v>422</v>
      </c>
      <c r="D1819" t="s">
        <v>910</v>
      </c>
      <c r="E1819" t="s">
        <v>783</v>
      </c>
      <c r="F1819" s="11">
        <v>13044997</v>
      </c>
      <c r="G1819" s="18">
        <v>1.205E-4</v>
      </c>
      <c r="H1819" s="11">
        <v>153637.8615</v>
      </c>
      <c r="I1819" s="22">
        <f>IFERROR(VLOOKUP(D1819,'LEAID Match'!$A$2:$B$184,2,FALSE),"")</f>
        <v>3700108</v>
      </c>
    </row>
    <row r="1820" spans="1:9" x14ac:dyDescent="0.2">
      <c r="A1820">
        <f t="shared" si="28"/>
        <v>3700108</v>
      </c>
      <c r="B1820" s="24">
        <v>2017</v>
      </c>
      <c r="C1820" t="s">
        <v>422</v>
      </c>
      <c r="D1820" t="s">
        <v>910</v>
      </c>
      <c r="E1820" t="s">
        <v>910</v>
      </c>
      <c r="F1820" s="11">
        <v>15949104</v>
      </c>
      <c r="G1820" s="18">
        <v>1.429E-4</v>
      </c>
      <c r="H1820" s="11">
        <v>205946.6226</v>
      </c>
      <c r="I1820" s="22">
        <f>IFERROR(VLOOKUP(D1820,'LEAID Match'!$A$2:$B$184,2,FALSE),"")</f>
        <v>3700108</v>
      </c>
    </row>
    <row r="1821" spans="1:9" x14ac:dyDescent="0.2">
      <c r="A1821">
        <f t="shared" si="28"/>
        <v>3700108</v>
      </c>
      <c r="B1821" s="24">
        <v>2018</v>
      </c>
      <c r="C1821" t="s">
        <v>422</v>
      </c>
      <c r="D1821" t="s">
        <v>910</v>
      </c>
      <c r="E1821" t="s">
        <v>910</v>
      </c>
      <c r="F1821" s="11">
        <v>16740135</v>
      </c>
      <c r="G1821" s="18">
        <v>1.4410000000000001E-4</v>
      </c>
      <c r="H1821" s="11">
        <v>230978.03410000002</v>
      </c>
      <c r="I1821" s="22">
        <f>IFERROR(VLOOKUP(D1821,'LEAID Match'!$A$2:$B$184,2,FALSE),"")</f>
        <v>3700108</v>
      </c>
    </row>
    <row r="1822" spans="1:9" x14ac:dyDescent="0.2">
      <c r="A1822">
        <f t="shared" si="28"/>
        <v>3700108</v>
      </c>
      <c r="B1822" s="24">
        <v>2019</v>
      </c>
      <c r="C1822" t="s">
        <v>422</v>
      </c>
      <c r="D1822" t="s">
        <v>910</v>
      </c>
      <c r="E1822" t="s">
        <v>910</v>
      </c>
      <c r="F1822" s="11">
        <v>16691774</v>
      </c>
      <c r="G1822" s="18">
        <v>1.3850000000000001E-4</v>
      </c>
      <c r="H1822" s="11">
        <v>265247.72100000002</v>
      </c>
      <c r="I1822" s="22">
        <f>IFERROR(VLOOKUP(D1822,'LEAID Match'!$A$2:$B$184,2,FALSE),"")</f>
        <v>3700108</v>
      </c>
    </row>
    <row r="1823" spans="1:9" x14ac:dyDescent="0.2">
      <c r="A1823">
        <f t="shared" si="28"/>
        <v>3700108</v>
      </c>
      <c r="B1823" s="24">
        <v>2020</v>
      </c>
      <c r="C1823" t="s">
        <v>422</v>
      </c>
      <c r="D1823" t="s">
        <v>910</v>
      </c>
      <c r="E1823" t="s">
        <v>910</v>
      </c>
      <c r="F1823" s="11">
        <v>17739222</v>
      </c>
      <c r="G1823" s="18">
        <v>1.4320000000000001E-4</v>
      </c>
      <c r="H1823" s="11">
        <v>294286.74000000005</v>
      </c>
      <c r="I1823" s="22">
        <f>IFERROR(VLOOKUP(D1823,'LEAID Match'!$A$2:$B$184,2,FALSE),"")</f>
        <v>3700108</v>
      </c>
    </row>
    <row r="1824" spans="1:9" x14ac:dyDescent="0.2">
      <c r="A1824">
        <f t="shared" si="28"/>
        <v>3700108</v>
      </c>
      <c r="B1824" s="24">
        <v>2021</v>
      </c>
      <c r="C1824" t="s">
        <v>422</v>
      </c>
      <c r="D1824" t="s">
        <v>910</v>
      </c>
      <c r="E1824" t="s">
        <v>910</v>
      </c>
      <c r="F1824" s="11">
        <v>18614789</v>
      </c>
      <c r="G1824" s="18">
        <v>1.4870000000000001E-4</v>
      </c>
      <c r="H1824" s="11">
        <v>352902.5724</v>
      </c>
      <c r="I1824" s="22">
        <f>IFERROR(VLOOKUP(D1824,'LEAID Match'!$A$2:$B$184,2,FALSE),"")</f>
        <v>3700108</v>
      </c>
    </row>
    <row r="1825" spans="1:9" x14ac:dyDescent="0.2">
      <c r="A1825">
        <f t="shared" si="28"/>
        <v>3700108</v>
      </c>
      <c r="B1825" s="24">
        <v>2022</v>
      </c>
      <c r="C1825" t="s">
        <v>422</v>
      </c>
      <c r="D1825" t="s">
        <v>910</v>
      </c>
      <c r="E1825" t="s">
        <v>910</v>
      </c>
      <c r="F1825" s="11">
        <v>20388202</v>
      </c>
      <c r="G1825" s="18">
        <v>1.617E-4</v>
      </c>
      <c r="H1825" s="11">
        <v>446606.66820000001</v>
      </c>
      <c r="I1825" s="22">
        <f>IFERROR(VLOOKUP(D1825,'LEAID Match'!$A$2:$B$184,2,FALSE),"")</f>
        <v>3700108</v>
      </c>
    </row>
    <row r="1826" spans="1:9" x14ac:dyDescent="0.2">
      <c r="A1826">
        <f t="shared" si="28"/>
        <v>3700108</v>
      </c>
      <c r="B1826" s="24">
        <v>2023</v>
      </c>
      <c r="C1826" t="s">
        <v>422</v>
      </c>
      <c r="D1826" t="s">
        <v>910</v>
      </c>
      <c r="E1826" t="s">
        <v>910</v>
      </c>
      <c r="F1826" s="11">
        <v>19888166</v>
      </c>
      <c r="G1826" s="18">
        <v>1.496E-4</v>
      </c>
      <c r="H1826" s="11">
        <v>454020.59120000002</v>
      </c>
      <c r="I1826" s="22">
        <f>IFERROR(VLOOKUP(D1826,'LEAID Match'!$A$2:$B$184,2,FALSE),"")</f>
        <v>3700108</v>
      </c>
    </row>
    <row r="1827" spans="1:9" x14ac:dyDescent="0.2">
      <c r="A1827">
        <f t="shared" si="28"/>
        <v>3700141</v>
      </c>
      <c r="B1827" s="24">
        <v>2015</v>
      </c>
      <c r="C1827" t="s">
        <v>423</v>
      </c>
      <c r="D1827" t="s">
        <v>784</v>
      </c>
      <c r="E1827" t="s">
        <v>369</v>
      </c>
      <c r="F1827" s="11">
        <v>5001007</v>
      </c>
      <c r="G1827" s="18">
        <v>4.3699999999999998E-5</v>
      </c>
      <c r="H1827" s="11">
        <v>55192.575599999996</v>
      </c>
      <c r="I1827" s="22">
        <f>IFERROR(VLOOKUP(D1827,'LEAID Match'!$A$2:$B$184,2,FALSE),"")</f>
        <v>3700141</v>
      </c>
    </row>
    <row r="1828" spans="1:9" x14ac:dyDescent="0.2">
      <c r="A1828">
        <f t="shared" si="28"/>
        <v>3700141</v>
      </c>
      <c r="B1828" s="24">
        <v>2016</v>
      </c>
      <c r="C1828" t="s">
        <v>423</v>
      </c>
      <c r="D1828" t="s">
        <v>784</v>
      </c>
      <c r="E1828" t="s">
        <v>784</v>
      </c>
      <c r="F1828" s="11">
        <v>5584877</v>
      </c>
      <c r="G1828" s="18">
        <v>5.1600000000000001E-5</v>
      </c>
      <c r="H1828" s="11">
        <v>65790.154800000004</v>
      </c>
      <c r="I1828" s="22">
        <f>IFERROR(VLOOKUP(D1828,'LEAID Match'!$A$2:$B$184,2,FALSE),"")</f>
        <v>3700141</v>
      </c>
    </row>
    <row r="1829" spans="1:9" x14ac:dyDescent="0.2">
      <c r="A1829">
        <f t="shared" si="28"/>
        <v>3700141</v>
      </c>
      <c r="B1829" s="24">
        <v>2017</v>
      </c>
      <c r="C1829" t="s">
        <v>423</v>
      </c>
      <c r="D1829" t="s">
        <v>784</v>
      </c>
      <c r="E1829" t="s">
        <v>784</v>
      </c>
      <c r="F1829" s="11">
        <v>5490685</v>
      </c>
      <c r="G1829" s="18">
        <v>4.9200000000000003E-5</v>
      </c>
      <c r="H1829" s="11">
        <v>70906.7448</v>
      </c>
      <c r="I1829" s="22">
        <f>IFERROR(VLOOKUP(D1829,'LEAID Match'!$A$2:$B$184,2,FALSE),"")</f>
        <v>3700141</v>
      </c>
    </row>
    <row r="1830" spans="1:9" x14ac:dyDescent="0.2">
      <c r="A1830">
        <f t="shared" si="28"/>
        <v>3700141</v>
      </c>
      <c r="B1830" s="24">
        <v>2018</v>
      </c>
      <c r="C1830" t="s">
        <v>423</v>
      </c>
      <c r="D1830" t="s">
        <v>784</v>
      </c>
      <c r="E1830" t="s">
        <v>784</v>
      </c>
      <c r="F1830" s="11">
        <v>5933985</v>
      </c>
      <c r="G1830" s="18">
        <v>5.1100000000000002E-5</v>
      </c>
      <c r="H1830" s="11">
        <v>81908.241099999999</v>
      </c>
      <c r="I1830" s="22">
        <f>IFERROR(VLOOKUP(D1830,'LEAID Match'!$A$2:$B$184,2,FALSE),"")</f>
        <v>3700141</v>
      </c>
    </row>
    <row r="1831" spans="1:9" x14ac:dyDescent="0.2">
      <c r="A1831">
        <f t="shared" si="28"/>
        <v>3700141</v>
      </c>
      <c r="B1831" s="24">
        <v>2019</v>
      </c>
      <c r="C1831" t="s">
        <v>423</v>
      </c>
      <c r="D1831" t="s">
        <v>784</v>
      </c>
      <c r="E1831" t="s">
        <v>784</v>
      </c>
      <c r="F1831" s="11">
        <v>6283008</v>
      </c>
      <c r="G1831" s="18">
        <v>5.2099999999999999E-5</v>
      </c>
      <c r="H1831" s="11">
        <v>99779.106599999999</v>
      </c>
      <c r="I1831" s="22">
        <f>IFERROR(VLOOKUP(D1831,'LEAID Match'!$A$2:$B$184,2,FALSE),"")</f>
        <v>3700141</v>
      </c>
    </row>
    <row r="1832" spans="1:9" x14ac:dyDescent="0.2">
      <c r="A1832">
        <f t="shared" si="28"/>
        <v>3700141</v>
      </c>
      <c r="B1832" s="24">
        <v>2020</v>
      </c>
      <c r="C1832" t="s">
        <v>423</v>
      </c>
      <c r="D1832" t="s">
        <v>784</v>
      </c>
      <c r="E1832" t="s">
        <v>784</v>
      </c>
      <c r="F1832" s="11">
        <v>5487334</v>
      </c>
      <c r="G1832" s="18">
        <v>4.4299999999999999E-5</v>
      </c>
      <c r="H1832" s="11">
        <v>91039.822499999995</v>
      </c>
      <c r="I1832" s="22">
        <f>IFERROR(VLOOKUP(D1832,'LEAID Match'!$A$2:$B$184,2,FALSE),"")</f>
        <v>3700141</v>
      </c>
    </row>
    <row r="1833" spans="1:9" x14ac:dyDescent="0.2">
      <c r="A1833">
        <f t="shared" si="28"/>
        <v>3700141</v>
      </c>
      <c r="B1833" s="24">
        <v>2021</v>
      </c>
      <c r="C1833" t="s">
        <v>423</v>
      </c>
      <c r="D1833" t="s">
        <v>784</v>
      </c>
      <c r="E1833" t="s">
        <v>784</v>
      </c>
      <c r="F1833" s="11">
        <v>5116306</v>
      </c>
      <c r="G1833" s="18">
        <v>4.0899999999999998E-5</v>
      </c>
      <c r="H1833" s="11">
        <v>97066.006799999988</v>
      </c>
      <c r="I1833" s="22">
        <f>IFERROR(VLOOKUP(D1833,'LEAID Match'!$A$2:$B$184,2,FALSE),"")</f>
        <v>3700141</v>
      </c>
    </row>
    <row r="1834" spans="1:9" x14ac:dyDescent="0.2">
      <c r="A1834">
        <f t="shared" si="28"/>
        <v>3700141</v>
      </c>
      <c r="B1834" s="24">
        <v>2022</v>
      </c>
      <c r="C1834" t="s">
        <v>423</v>
      </c>
      <c r="D1834" t="s">
        <v>784</v>
      </c>
      <c r="E1834" t="s">
        <v>784</v>
      </c>
      <c r="F1834" s="11">
        <v>4193777</v>
      </c>
      <c r="G1834" s="18">
        <v>3.3300000000000003E-5</v>
      </c>
      <c r="H1834" s="11">
        <v>91972.801800000016</v>
      </c>
      <c r="I1834" s="22">
        <f>IFERROR(VLOOKUP(D1834,'LEAID Match'!$A$2:$B$184,2,FALSE),"")</f>
        <v>3700141</v>
      </c>
    </row>
    <row r="1835" spans="1:9" x14ac:dyDescent="0.2">
      <c r="A1835">
        <f t="shared" si="28"/>
        <v>3700141</v>
      </c>
      <c r="B1835" s="24">
        <v>2023</v>
      </c>
      <c r="C1835" t="s">
        <v>423</v>
      </c>
      <c r="D1835" t="s">
        <v>784</v>
      </c>
      <c r="E1835" t="s">
        <v>784</v>
      </c>
      <c r="F1835" s="11">
        <v>3435561</v>
      </c>
      <c r="G1835" s="18">
        <v>2.5899999999999999E-5</v>
      </c>
      <c r="H1835" s="11">
        <v>78603.832299999995</v>
      </c>
      <c r="I1835" s="22">
        <f>IFERROR(VLOOKUP(D1835,'LEAID Match'!$A$2:$B$184,2,FALSE),"")</f>
        <v>3700141</v>
      </c>
    </row>
    <row r="1836" spans="1:9" x14ac:dyDescent="0.2">
      <c r="A1836" t="str">
        <f t="shared" si="28"/>
        <v/>
      </c>
      <c r="B1836" s="24">
        <v>2015</v>
      </c>
      <c r="C1836" t="s">
        <v>424</v>
      </c>
      <c r="D1836" t="s">
        <v>785</v>
      </c>
      <c r="E1836" t="s">
        <v>370</v>
      </c>
      <c r="F1836" s="11">
        <v>238402248</v>
      </c>
      <c r="G1836" s="18">
        <v>2.0844000000000001E-3</v>
      </c>
      <c r="H1836" s="11">
        <v>2632572.1872</v>
      </c>
      <c r="I1836" s="22" t="str">
        <f>IFERROR(VLOOKUP(D1836,'LEAID Match'!$A$2:$B$184,2,FALSE),"")</f>
        <v/>
      </c>
    </row>
    <row r="1837" spans="1:9" x14ac:dyDescent="0.2">
      <c r="A1837" t="str">
        <f t="shared" si="28"/>
        <v/>
      </c>
      <c r="B1837" s="24">
        <v>2016</v>
      </c>
      <c r="C1837" t="s">
        <v>424</v>
      </c>
      <c r="D1837" t="s">
        <v>785</v>
      </c>
      <c r="E1837" t="s">
        <v>785</v>
      </c>
      <c r="F1837" s="11">
        <v>232307129</v>
      </c>
      <c r="G1837" s="18">
        <v>2.1451999999999999E-3</v>
      </c>
      <c r="H1837" s="11">
        <v>2735136.4356</v>
      </c>
      <c r="I1837" s="22" t="str">
        <f>IFERROR(VLOOKUP(D1837,'LEAID Match'!$A$2:$B$184,2,FALSE),"")</f>
        <v/>
      </c>
    </row>
    <row r="1838" spans="1:9" x14ac:dyDescent="0.2">
      <c r="A1838" t="str">
        <f t="shared" si="28"/>
        <v/>
      </c>
      <c r="B1838" s="24">
        <v>2017</v>
      </c>
      <c r="C1838" t="s">
        <v>424</v>
      </c>
      <c r="D1838" t="s">
        <v>785</v>
      </c>
      <c r="E1838" t="s">
        <v>785</v>
      </c>
      <c r="F1838" s="11">
        <v>248044459</v>
      </c>
      <c r="G1838" s="18">
        <v>2.2230000000000001E-3</v>
      </c>
      <c r="H1838" s="11">
        <v>3203774.2620000001</v>
      </c>
      <c r="I1838" s="22" t="str">
        <f>IFERROR(VLOOKUP(D1838,'LEAID Match'!$A$2:$B$184,2,FALSE),"")</f>
        <v/>
      </c>
    </row>
    <row r="1839" spans="1:9" x14ac:dyDescent="0.2">
      <c r="A1839" t="str">
        <f t="shared" si="28"/>
        <v/>
      </c>
      <c r="B1839" s="24">
        <v>2018</v>
      </c>
      <c r="C1839" t="s">
        <v>424</v>
      </c>
      <c r="D1839" t="s">
        <v>785</v>
      </c>
      <c r="E1839" t="s">
        <v>785</v>
      </c>
      <c r="F1839" s="11">
        <v>250277169</v>
      </c>
      <c r="G1839" s="18">
        <v>2.1537000000000001E-3</v>
      </c>
      <c r="H1839" s="11">
        <v>3452167.8837000001</v>
      </c>
      <c r="I1839" s="22" t="str">
        <f>IFERROR(VLOOKUP(D1839,'LEAID Match'!$A$2:$B$184,2,FALSE),"")</f>
        <v/>
      </c>
    </row>
    <row r="1840" spans="1:9" x14ac:dyDescent="0.2">
      <c r="A1840" t="str">
        <f t="shared" si="28"/>
        <v/>
      </c>
      <c r="B1840" s="24">
        <v>2019</v>
      </c>
      <c r="C1840" t="s">
        <v>424</v>
      </c>
      <c r="D1840" t="s">
        <v>785</v>
      </c>
      <c r="E1840" t="s">
        <v>785</v>
      </c>
      <c r="F1840" s="11">
        <v>250805934</v>
      </c>
      <c r="G1840" s="18">
        <v>2.0817000000000001E-3</v>
      </c>
      <c r="H1840" s="11">
        <v>3986759.4282000004</v>
      </c>
      <c r="I1840" s="22" t="str">
        <f>IFERROR(VLOOKUP(D1840,'LEAID Match'!$A$2:$B$184,2,FALSE),"")</f>
        <v/>
      </c>
    </row>
    <row r="1841" spans="1:9" x14ac:dyDescent="0.2">
      <c r="A1841" t="str">
        <f t="shared" si="28"/>
        <v/>
      </c>
      <c r="B1841" s="24">
        <v>2020</v>
      </c>
      <c r="C1841" t="s">
        <v>424</v>
      </c>
      <c r="D1841" t="s">
        <v>785</v>
      </c>
      <c r="E1841" t="s">
        <v>785</v>
      </c>
      <c r="F1841" s="11">
        <v>252025240</v>
      </c>
      <c r="G1841" s="18">
        <v>2.0346000000000001E-3</v>
      </c>
      <c r="H1841" s="11">
        <v>4181255.5950000002</v>
      </c>
      <c r="I1841" s="22" t="str">
        <f>IFERROR(VLOOKUP(D1841,'LEAID Match'!$A$2:$B$184,2,FALSE),"")</f>
        <v/>
      </c>
    </row>
    <row r="1842" spans="1:9" x14ac:dyDescent="0.2">
      <c r="A1842" t="str">
        <f t="shared" si="28"/>
        <v/>
      </c>
      <c r="B1842" s="24">
        <v>2021</v>
      </c>
      <c r="C1842" t="s">
        <v>424</v>
      </c>
      <c r="D1842" t="s">
        <v>785</v>
      </c>
      <c r="E1842" t="s">
        <v>785</v>
      </c>
      <c r="F1842" s="11">
        <v>245711946</v>
      </c>
      <c r="G1842" s="18">
        <v>1.9632999999999999E-3</v>
      </c>
      <c r="H1842" s="11">
        <v>4659405.6515999995</v>
      </c>
      <c r="I1842" s="22" t="str">
        <f>IFERROR(VLOOKUP(D1842,'LEAID Match'!$A$2:$B$184,2,FALSE),"")</f>
        <v/>
      </c>
    </row>
    <row r="1843" spans="1:9" x14ac:dyDescent="0.2">
      <c r="A1843" t="str">
        <f t="shared" si="28"/>
        <v/>
      </c>
      <c r="B1843" s="24">
        <v>2022</v>
      </c>
      <c r="C1843" t="s">
        <v>424</v>
      </c>
      <c r="D1843" t="s">
        <v>785</v>
      </c>
      <c r="E1843" t="s">
        <v>785</v>
      </c>
      <c r="F1843" s="11">
        <v>256588671</v>
      </c>
      <c r="G1843" s="18">
        <v>2.0344999999999999E-3</v>
      </c>
      <c r="H1843" s="11">
        <v>5619179.1369999992</v>
      </c>
      <c r="I1843" s="22" t="str">
        <f>IFERROR(VLOOKUP(D1843,'LEAID Match'!$A$2:$B$184,2,FALSE),"")</f>
        <v/>
      </c>
    </row>
    <row r="1844" spans="1:9" x14ac:dyDescent="0.2">
      <c r="A1844" t="str">
        <f t="shared" si="28"/>
        <v/>
      </c>
      <c r="B1844" s="24">
        <v>2023</v>
      </c>
      <c r="C1844" t="s">
        <v>424</v>
      </c>
      <c r="D1844" t="s">
        <v>785</v>
      </c>
      <c r="E1844" t="s">
        <v>785</v>
      </c>
      <c r="F1844" s="11">
        <v>287961239</v>
      </c>
      <c r="G1844" s="18">
        <v>2.1667000000000001E-3</v>
      </c>
      <c r="H1844" s="11">
        <v>6575711.3299000002</v>
      </c>
      <c r="I1844" s="22" t="str">
        <f>IFERROR(VLOOKUP(D1844,'LEAID Match'!$A$2:$B$184,2,FALSE),"")</f>
        <v/>
      </c>
    </row>
    <row r="1845" spans="1:9" x14ac:dyDescent="0.2">
      <c r="A1845">
        <f t="shared" si="28"/>
        <v>3703420</v>
      </c>
      <c r="B1845" s="24">
        <v>2015</v>
      </c>
      <c r="C1845" t="s">
        <v>425</v>
      </c>
      <c r="D1845" t="s">
        <v>786</v>
      </c>
      <c r="E1845" t="s">
        <v>371</v>
      </c>
      <c r="F1845" s="11">
        <v>95298737</v>
      </c>
      <c r="G1845" s="18">
        <v>8.3319999999999998E-4</v>
      </c>
      <c r="H1845" s="11">
        <v>1052321.6015999999</v>
      </c>
      <c r="I1845" s="22">
        <f>IFERROR(VLOOKUP(D1845,'LEAID Match'!$A$2:$B$184,2,FALSE),"")</f>
        <v>3703420</v>
      </c>
    </row>
    <row r="1846" spans="1:9" x14ac:dyDescent="0.2">
      <c r="A1846">
        <f t="shared" si="28"/>
        <v>3703420</v>
      </c>
      <c r="B1846" s="24">
        <v>2016</v>
      </c>
      <c r="C1846" t="s">
        <v>425</v>
      </c>
      <c r="D1846" t="s">
        <v>786</v>
      </c>
      <c r="E1846" t="s">
        <v>786</v>
      </c>
      <c r="F1846" s="11">
        <v>85957441</v>
      </c>
      <c r="G1846" s="18">
        <v>7.938E-4</v>
      </c>
      <c r="H1846" s="11">
        <v>1012097.3814</v>
      </c>
      <c r="I1846" s="22">
        <f>IFERROR(VLOOKUP(D1846,'LEAID Match'!$A$2:$B$184,2,FALSE),"")</f>
        <v>3703420</v>
      </c>
    </row>
    <row r="1847" spans="1:9" x14ac:dyDescent="0.2">
      <c r="A1847">
        <f t="shared" si="28"/>
        <v>3703420</v>
      </c>
      <c r="B1847" s="24">
        <v>2017</v>
      </c>
      <c r="C1847" t="s">
        <v>425</v>
      </c>
      <c r="D1847" t="s">
        <v>786</v>
      </c>
      <c r="E1847" t="s">
        <v>786</v>
      </c>
      <c r="F1847" s="11">
        <v>87578947</v>
      </c>
      <c r="G1847" s="18">
        <v>7.8490000000000005E-4</v>
      </c>
      <c r="H1847" s="11">
        <v>1131193.1706000001</v>
      </c>
      <c r="I1847" s="22">
        <f>IFERROR(VLOOKUP(D1847,'LEAID Match'!$A$2:$B$184,2,FALSE),"")</f>
        <v>3703420</v>
      </c>
    </row>
    <row r="1848" spans="1:9" x14ac:dyDescent="0.2">
      <c r="A1848">
        <f t="shared" si="28"/>
        <v>3703420</v>
      </c>
      <c r="B1848" s="24">
        <v>2018</v>
      </c>
      <c r="C1848" t="s">
        <v>425</v>
      </c>
      <c r="D1848" t="s">
        <v>786</v>
      </c>
      <c r="E1848" t="s">
        <v>786</v>
      </c>
      <c r="F1848" s="11">
        <v>89155771</v>
      </c>
      <c r="G1848" s="18">
        <v>7.672E-4</v>
      </c>
      <c r="H1848" s="11">
        <v>1229745.6472</v>
      </c>
      <c r="I1848" s="22">
        <f>IFERROR(VLOOKUP(D1848,'LEAID Match'!$A$2:$B$184,2,FALSE),"")</f>
        <v>3703420</v>
      </c>
    </row>
    <row r="1849" spans="1:9" x14ac:dyDescent="0.2">
      <c r="A1849">
        <f t="shared" si="28"/>
        <v>3703420</v>
      </c>
      <c r="B1849" s="24">
        <v>2019</v>
      </c>
      <c r="C1849" t="s">
        <v>425</v>
      </c>
      <c r="D1849" t="s">
        <v>786</v>
      </c>
      <c r="E1849" t="s">
        <v>786</v>
      </c>
      <c r="F1849" s="11">
        <v>88312775</v>
      </c>
      <c r="G1849" s="18">
        <v>7.3300000000000004E-4</v>
      </c>
      <c r="H1849" s="11">
        <v>1403802.0180000002</v>
      </c>
      <c r="I1849" s="22">
        <f>IFERROR(VLOOKUP(D1849,'LEAID Match'!$A$2:$B$184,2,FALSE),"")</f>
        <v>3703420</v>
      </c>
    </row>
    <row r="1850" spans="1:9" x14ac:dyDescent="0.2">
      <c r="A1850">
        <f t="shared" si="28"/>
        <v>3703420</v>
      </c>
      <c r="B1850" s="24">
        <v>2020</v>
      </c>
      <c r="C1850" t="s">
        <v>425</v>
      </c>
      <c r="D1850" t="s">
        <v>786</v>
      </c>
      <c r="E1850" t="s">
        <v>786</v>
      </c>
      <c r="F1850" s="11">
        <v>86272576</v>
      </c>
      <c r="G1850" s="18">
        <v>6.9649999999999996E-4</v>
      </c>
      <c r="H1850" s="11">
        <v>1431359.7374999998</v>
      </c>
      <c r="I1850" s="22">
        <f>IFERROR(VLOOKUP(D1850,'LEAID Match'!$A$2:$B$184,2,FALSE),"")</f>
        <v>3703420</v>
      </c>
    </row>
    <row r="1851" spans="1:9" x14ac:dyDescent="0.2">
      <c r="A1851">
        <f t="shared" si="28"/>
        <v>3703420</v>
      </c>
      <c r="B1851" s="24">
        <v>2021</v>
      </c>
      <c r="C1851" t="s">
        <v>425</v>
      </c>
      <c r="D1851" t="s">
        <v>786</v>
      </c>
      <c r="E1851" t="s">
        <v>786</v>
      </c>
      <c r="F1851" s="11">
        <v>77341404</v>
      </c>
      <c r="G1851" s="18">
        <v>6.1799999999999995E-4</v>
      </c>
      <c r="H1851" s="11">
        <v>1466669.7359999998</v>
      </c>
      <c r="I1851" s="22">
        <f>IFERROR(VLOOKUP(D1851,'LEAID Match'!$A$2:$B$184,2,FALSE),"")</f>
        <v>3703420</v>
      </c>
    </row>
    <row r="1852" spans="1:9" x14ac:dyDescent="0.2">
      <c r="A1852">
        <f t="shared" si="28"/>
        <v>3703420</v>
      </c>
      <c r="B1852" s="24">
        <v>2022</v>
      </c>
      <c r="C1852" t="s">
        <v>425</v>
      </c>
      <c r="D1852" t="s">
        <v>786</v>
      </c>
      <c r="E1852" t="s">
        <v>786</v>
      </c>
      <c r="F1852" s="11">
        <v>77531503</v>
      </c>
      <c r="G1852" s="18">
        <v>6.1470000000000003E-4</v>
      </c>
      <c r="H1852" s="11">
        <v>1697768.2062000001</v>
      </c>
      <c r="I1852" s="22">
        <f>IFERROR(VLOOKUP(D1852,'LEAID Match'!$A$2:$B$184,2,FALSE),"")</f>
        <v>3703420</v>
      </c>
    </row>
    <row r="1853" spans="1:9" x14ac:dyDescent="0.2">
      <c r="A1853">
        <f t="shared" si="28"/>
        <v>3703420</v>
      </c>
      <c r="B1853" s="24">
        <v>2023</v>
      </c>
      <c r="C1853" t="s">
        <v>425</v>
      </c>
      <c r="D1853" t="s">
        <v>786</v>
      </c>
      <c r="E1853" t="s">
        <v>786</v>
      </c>
      <c r="F1853" s="11">
        <v>70376693</v>
      </c>
      <c r="G1853" s="18">
        <v>5.2950000000000002E-4</v>
      </c>
      <c r="H1853" s="11">
        <v>1606977.9615</v>
      </c>
      <c r="I1853" s="22">
        <f>IFERROR(VLOOKUP(D1853,'LEAID Match'!$A$2:$B$184,2,FALSE),"")</f>
        <v>3703420</v>
      </c>
    </row>
    <row r="1854" spans="1:9" x14ac:dyDescent="0.2">
      <c r="A1854">
        <f t="shared" si="28"/>
        <v>3700123</v>
      </c>
      <c r="B1854" s="24">
        <v>2015</v>
      </c>
      <c r="C1854" t="s">
        <v>426</v>
      </c>
      <c r="D1854" t="s">
        <v>787</v>
      </c>
      <c r="E1854" t="s">
        <v>372</v>
      </c>
      <c r="F1854" s="11">
        <v>41237158</v>
      </c>
      <c r="G1854" s="18">
        <v>3.6059999999999998E-4</v>
      </c>
      <c r="H1854" s="11">
        <v>455433.47279999999</v>
      </c>
      <c r="I1854" s="22">
        <f>IFERROR(VLOOKUP(D1854,'LEAID Match'!$A$2:$B$184,2,FALSE),"")</f>
        <v>3700123</v>
      </c>
    </row>
    <row r="1855" spans="1:9" x14ac:dyDescent="0.2">
      <c r="A1855">
        <f t="shared" si="28"/>
        <v>3700123</v>
      </c>
      <c r="B1855" s="24">
        <v>2016</v>
      </c>
      <c r="C1855" t="s">
        <v>426</v>
      </c>
      <c r="D1855" t="s">
        <v>787</v>
      </c>
      <c r="E1855" t="s">
        <v>787</v>
      </c>
      <c r="F1855" s="11">
        <v>43797121</v>
      </c>
      <c r="G1855" s="18">
        <v>4.0440000000000002E-4</v>
      </c>
      <c r="H1855" s="11">
        <v>515611.2132</v>
      </c>
      <c r="I1855" s="22">
        <f>IFERROR(VLOOKUP(D1855,'LEAID Match'!$A$2:$B$184,2,FALSE),"")</f>
        <v>3700123</v>
      </c>
    </row>
    <row r="1856" spans="1:9" x14ac:dyDescent="0.2">
      <c r="A1856">
        <f t="shared" si="28"/>
        <v>3700123</v>
      </c>
      <c r="B1856" s="24">
        <v>2017</v>
      </c>
      <c r="C1856" t="s">
        <v>426</v>
      </c>
      <c r="D1856" t="s">
        <v>787</v>
      </c>
      <c r="E1856" t="s">
        <v>787</v>
      </c>
      <c r="F1856" s="11">
        <v>50379709</v>
      </c>
      <c r="G1856" s="18">
        <v>4.5150000000000002E-4</v>
      </c>
      <c r="H1856" s="11">
        <v>650699.09100000001</v>
      </c>
      <c r="I1856" s="22">
        <f>IFERROR(VLOOKUP(D1856,'LEAID Match'!$A$2:$B$184,2,FALSE),"")</f>
        <v>3700123</v>
      </c>
    </row>
    <row r="1857" spans="1:9" x14ac:dyDescent="0.2">
      <c r="A1857">
        <f t="shared" si="28"/>
        <v>3700123</v>
      </c>
      <c r="B1857" s="24">
        <v>2018</v>
      </c>
      <c r="C1857" t="s">
        <v>426</v>
      </c>
      <c r="D1857" t="s">
        <v>787</v>
      </c>
      <c r="E1857" t="s">
        <v>787</v>
      </c>
      <c r="F1857" s="11">
        <v>55165875</v>
      </c>
      <c r="G1857" s="18">
        <v>4.7469999999999999E-4</v>
      </c>
      <c r="H1857" s="11">
        <v>760897.10470000003</v>
      </c>
      <c r="I1857" s="22">
        <f>IFERROR(VLOOKUP(D1857,'LEAID Match'!$A$2:$B$184,2,FALSE),"")</f>
        <v>3700123</v>
      </c>
    </row>
    <row r="1858" spans="1:9" x14ac:dyDescent="0.2">
      <c r="A1858">
        <f t="shared" si="28"/>
        <v>3700123</v>
      </c>
      <c r="B1858" s="24">
        <v>2019</v>
      </c>
      <c r="C1858" t="s">
        <v>426</v>
      </c>
      <c r="D1858" t="s">
        <v>787</v>
      </c>
      <c r="E1858" t="s">
        <v>787</v>
      </c>
      <c r="F1858" s="11">
        <v>52314861</v>
      </c>
      <c r="G1858" s="18">
        <v>4.3419999999999998E-4</v>
      </c>
      <c r="H1858" s="11">
        <v>831556.39319999993</v>
      </c>
      <c r="I1858" s="22">
        <f>IFERROR(VLOOKUP(D1858,'LEAID Match'!$A$2:$B$184,2,FALSE),"")</f>
        <v>3700123</v>
      </c>
    </row>
    <row r="1859" spans="1:9" x14ac:dyDescent="0.2">
      <c r="A1859">
        <f t="shared" ref="A1859:A1922" si="29">I1859</f>
        <v>3700123</v>
      </c>
      <c r="B1859" s="24">
        <v>2020</v>
      </c>
      <c r="C1859" t="s">
        <v>426</v>
      </c>
      <c r="D1859" t="s">
        <v>787</v>
      </c>
      <c r="E1859" t="s">
        <v>787</v>
      </c>
      <c r="F1859" s="11">
        <v>47176118</v>
      </c>
      <c r="G1859" s="18">
        <v>3.8079999999999999E-4</v>
      </c>
      <c r="H1859" s="11">
        <v>782572.55999999994</v>
      </c>
      <c r="I1859" s="22">
        <f>IFERROR(VLOOKUP(D1859,'LEAID Match'!$A$2:$B$184,2,FALSE),"")</f>
        <v>3700123</v>
      </c>
    </row>
    <row r="1860" spans="1:9" x14ac:dyDescent="0.2">
      <c r="A1860">
        <f t="shared" si="29"/>
        <v>3700123</v>
      </c>
      <c r="B1860" s="24">
        <v>2021</v>
      </c>
      <c r="C1860" t="s">
        <v>426</v>
      </c>
      <c r="D1860" t="s">
        <v>787</v>
      </c>
      <c r="E1860" t="s">
        <v>787</v>
      </c>
      <c r="F1860" s="11">
        <v>43270842</v>
      </c>
      <c r="G1860" s="18">
        <v>3.458E-4</v>
      </c>
      <c r="H1860" s="11">
        <v>820670.5416</v>
      </c>
      <c r="I1860" s="22">
        <f>IFERROR(VLOOKUP(D1860,'LEAID Match'!$A$2:$B$184,2,FALSE),"")</f>
        <v>3700123</v>
      </c>
    </row>
    <row r="1861" spans="1:9" x14ac:dyDescent="0.2">
      <c r="A1861">
        <f t="shared" si="29"/>
        <v>3703450</v>
      </c>
      <c r="B1861" s="24">
        <v>2015</v>
      </c>
      <c r="C1861" t="s">
        <v>427</v>
      </c>
      <c r="D1861" t="s">
        <v>788</v>
      </c>
      <c r="E1861" t="s">
        <v>373</v>
      </c>
      <c r="F1861" s="11">
        <v>1078742613</v>
      </c>
      <c r="G1861" s="18">
        <v>9.4318000000000006E-3</v>
      </c>
      <c r="H1861" s="11">
        <v>11912250.218400002</v>
      </c>
      <c r="I1861" s="22">
        <f>IFERROR(VLOOKUP(D1861,'LEAID Match'!$A$2:$B$184,2,FALSE),"")</f>
        <v>3703450</v>
      </c>
    </row>
    <row r="1862" spans="1:9" x14ac:dyDescent="0.2">
      <c r="A1862">
        <f t="shared" si="29"/>
        <v>3703450</v>
      </c>
      <c r="B1862" s="24">
        <v>2016</v>
      </c>
      <c r="C1862" t="s">
        <v>427</v>
      </c>
      <c r="D1862" t="s">
        <v>788</v>
      </c>
      <c r="E1862" t="s">
        <v>788</v>
      </c>
      <c r="F1862" s="11">
        <v>988483553</v>
      </c>
      <c r="G1862" s="18">
        <v>9.1280000000000007E-3</v>
      </c>
      <c r="H1862" s="11">
        <v>11638227.384000001</v>
      </c>
      <c r="I1862" s="22">
        <f>IFERROR(VLOOKUP(D1862,'LEAID Match'!$A$2:$B$184,2,FALSE),"")</f>
        <v>3703450</v>
      </c>
    </row>
    <row r="1863" spans="1:9" x14ac:dyDescent="0.2">
      <c r="A1863">
        <f t="shared" si="29"/>
        <v>3703450</v>
      </c>
      <c r="B1863" s="24">
        <v>2017</v>
      </c>
      <c r="C1863" t="s">
        <v>427</v>
      </c>
      <c r="D1863" t="s">
        <v>788</v>
      </c>
      <c r="E1863" t="s">
        <v>788</v>
      </c>
      <c r="F1863" s="11">
        <v>1025252797</v>
      </c>
      <c r="G1863" s="18">
        <v>9.1883999999999993E-3</v>
      </c>
      <c r="H1863" s="11">
        <v>13242266.9496</v>
      </c>
      <c r="I1863" s="22">
        <f>IFERROR(VLOOKUP(D1863,'LEAID Match'!$A$2:$B$184,2,FALSE),"")</f>
        <v>3703450</v>
      </c>
    </row>
    <row r="1864" spans="1:9" x14ac:dyDescent="0.2">
      <c r="A1864">
        <f t="shared" si="29"/>
        <v>3703450</v>
      </c>
      <c r="B1864" s="24">
        <v>2018</v>
      </c>
      <c r="C1864" t="s">
        <v>427</v>
      </c>
      <c r="D1864" t="s">
        <v>788</v>
      </c>
      <c r="E1864" t="s">
        <v>788</v>
      </c>
      <c r="F1864" s="11">
        <v>1094742624</v>
      </c>
      <c r="G1864" s="18">
        <v>9.4205999999999995E-3</v>
      </c>
      <c r="H1864" s="11">
        <v>15100289.160599999</v>
      </c>
      <c r="I1864" s="22">
        <f>IFERROR(VLOOKUP(D1864,'LEAID Match'!$A$2:$B$184,2,FALSE),"")</f>
        <v>3703450</v>
      </c>
    </row>
    <row r="1865" spans="1:9" x14ac:dyDescent="0.2">
      <c r="A1865">
        <f t="shared" si="29"/>
        <v>3703450</v>
      </c>
      <c r="B1865" s="24">
        <v>2019</v>
      </c>
      <c r="C1865" t="s">
        <v>427</v>
      </c>
      <c r="D1865" t="s">
        <v>788</v>
      </c>
      <c r="E1865" t="s">
        <v>788</v>
      </c>
      <c r="F1865" s="11">
        <v>1146944859</v>
      </c>
      <c r="G1865" s="18">
        <v>9.5197000000000007E-3</v>
      </c>
      <c r="H1865" s="11">
        <v>18231615.376200002</v>
      </c>
      <c r="I1865" s="22">
        <f>IFERROR(VLOOKUP(D1865,'LEAID Match'!$A$2:$B$184,2,FALSE),"")</f>
        <v>3703450</v>
      </c>
    </row>
    <row r="1866" spans="1:9" x14ac:dyDescent="0.2">
      <c r="A1866">
        <f t="shared" si="29"/>
        <v>3703450</v>
      </c>
      <c r="B1866" s="24">
        <v>2020</v>
      </c>
      <c r="C1866" t="s">
        <v>427</v>
      </c>
      <c r="D1866" t="s">
        <v>788</v>
      </c>
      <c r="E1866" t="s">
        <v>788</v>
      </c>
      <c r="F1866" s="11">
        <v>1187827392</v>
      </c>
      <c r="G1866" s="18">
        <v>9.5892000000000008E-3</v>
      </c>
      <c r="H1866" s="11">
        <v>19706525.190000001</v>
      </c>
      <c r="I1866" s="22">
        <f>IFERROR(VLOOKUP(D1866,'LEAID Match'!$A$2:$B$184,2,FALSE),"")</f>
        <v>3703450</v>
      </c>
    </row>
    <row r="1867" spans="1:9" x14ac:dyDescent="0.2">
      <c r="A1867">
        <f t="shared" si="29"/>
        <v>3703450</v>
      </c>
      <c r="B1867" s="24">
        <v>2021</v>
      </c>
      <c r="C1867" t="s">
        <v>427</v>
      </c>
      <c r="D1867" t="s">
        <v>788</v>
      </c>
      <c r="E1867" t="s">
        <v>788</v>
      </c>
      <c r="F1867" s="11">
        <v>1160294412</v>
      </c>
      <c r="G1867" s="18">
        <v>9.2712000000000003E-3</v>
      </c>
      <c r="H1867" s="11">
        <v>22002893.942400001</v>
      </c>
      <c r="I1867" s="22">
        <f>IFERROR(VLOOKUP(D1867,'LEAID Match'!$A$2:$B$184,2,FALSE),"")</f>
        <v>3703450</v>
      </c>
    </row>
    <row r="1868" spans="1:9" x14ac:dyDescent="0.2">
      <c r="A1868">
        <f t="shared" si="29"/>
        <v>3703450</v>
      </c>
      <c r="B1868" s="24">
        <v>2022</v>
      </c>
      <c r="C1868" t="s">
        <v>427</v>
      </c>
      <c r="D1868" t="s">
        <v>788</v>
      </c>
      <c r="E1868" t="s">
        <v>788</v>
      </c>
      <c r="F1868" s="11">
        <v>1166860774</v>
      </c>
      <c r="G1868" s="18">
        <v>9.2519999999999998E-3</v>
      </c>
      <c r="H1868" s="11">
        <v>25553524.392000001</v>
      </c>
      <c r="I1868" s="22">
        <f>IFERROR(VLOOKUP(D1868,'LEAID Match'!$A$2:$B$184,2,FALSE),"")</f>
        <v>3703450</v>
      </c>
    </row>
    <row r="1869" spans="1:9" x14ac:dyDescent="0.2">
      <c r="A1869">
        <f t="shared" si="29"/>
        <v>3703450</v>
      </c>
      <c r="B1869" s="24">
        <v>2023</v>
      </c>
      <c r="C1869" t="s">
        <v>427</v>
      </c>
      <c r="D1869" t="s">
        <v>788</v>
      </c>
      <c r="E1869" t="s">
        <v>788</v>
      </c>
      <c r="F1869" s="11">
        <v>1275233981</v>
      </c>
      <c r="G1869" s="18">
        <v>9.5951999999999999E-3</v>
      </c>
      <c r="H1869" s="11">
        <v>29120443.694400001</v>
      </c>
      <c r="I1869" s="22">
        <f>IFERROR(VLOOKUP(D1869,'LEAID Match'!$A$2:$B$184,2,FALSE),"")</f>
        <v>3703450</v>
      </c>
    </row>
    <row r="1870" spans="1:9" x14ac:dyDescent="0.2">
      <c r="A1870">
        <f t="shared" si="29"/>
        <v>3700348</v>
      </c>
      <c r="B1870" s="24">
        <v>2015</v>
      </c>
      <c r="C1870" t="s">
        <v>428</v>
      </c>
      <c r="D1870" t="s">
        <v>789</v>
      </c>
      <c r="E1870" t="s">
        <v>374</v>
      </c>
      <c r="F1870" s="11">
        <v>3845460</v>
      </c>
      <c r="G1870" s="18">
        <v>3.3599999999999997E-5</v>
      </c>
      <c r="H1870" s="11">
        <v>42436.396799999995</v>
      </c>
      <c r="I1870" s="22">
        <f>IFERROR(VLOOKUP(D1870,'LEAID Match'!$A$2:$B$184,2,FALSE),"")</f>
        <v>3700348</v>
      </c>
    </row>
    <row r="1871" spans="1:9" x14ac:dyDescent="0.2">
      <c r="A1871">
        <f t="shared" si="29"/>
        <v>3700348</v>
      </c>
      <c r="B1871" s="24">
        <v>2016</v>
      </c>
      <c r="C1871" t="s">
        <v>428</v>
      </c>
      <c r="D1871" t="s">
        <v>789</v>
      </c>
      <c r="E1871" t="s">
        <v>789</v>
      </c>
      <c r="F1871" s="11">
        <v>5013853</v>
      </c>
      <c r="G1871" s="18">
        <v>4.6300000000000001E-5</v>
      </c>
      <c r="H1871" s="11">
        <v>59032.638899999998</v>
      </c>
      <c r="I1871" s="22">
        <f>IFERROR(VLOOKUP(D1871,'LEAID Match'!$A$2:$B$184,2,FALSE),"")</f>
        <v>3700348</v>
      </c>
    </row>
    <row r="1872" spans="1:9" x14ac:dyDescent="0.2">
      <c r="A1872">
        <f t="shared" si="29"/>
        <v>3700348</v>
      </c>
      <c r="B1872" s="24">
        <v>2017</v>
      </c>
      <c r="C1872" t="s">
        <v>428</v>
      </c>
      <c r="D1872" t="s">
        <v>789</v>
      </c>
      <c r="E1872" t="s">
        <v>789</v>
      </c>
      <c r="F1872" s="11">
        <v>3610520</v>
      </c>
      <c r="G1872" s="18">
        <v>3.2400000000000001E-5</v>
      </c>
      <c r="H1872" s="11">
        <v>46694.685600000004</v>
      </c>
      <c r="I1872" s="22">
        <f>IFERROR(VLOOKUP(D1872,'LEAID Match'!$A$2:$B$184,2,FALSE),"")</f>
        <v>3700348</v>
      </c>
    </row>
    <row r="1873" spans="1:9" x14ac:dyDescent="0.2">
      <c r="A1873">
        <f t="shared" si="29"/>
        <v>3700348</v>
      </c>
      <c r="B1873" s="24">
        <v>2018</v>
      </c>
      <c r="C1873" t="s">
        <v>428</v>
      </c>
      <c r="D1873" t="s">
        <v>789</v>
      </c>
      <c r="E1873" t="s">
        <v>789</v>
      </c>
      <c r="F1873" s="11">
        <v>3851383</v>
      </c>
      <c r="G1873" s="18">
        <v>3.3099999999999998E-5</v>
      </c>
      <c r="H1873" s="11">
        <v>53056.023099999999</v>
      </c>
      <c r="I1873" s="22">
        <f>IFERROR(VLOOKUP(D1873,'LEAID Match'!$A$2:$B$184,2,FALSE),"")</f>
        <v>3700348</v>
      </c>
    </row>
    <row r="1874" spans="1:9" x14ac:dyDescent="0.2">
      <c r="A1874">
        <f t="shared" si="29"/>
        <v>3700348</v>
      </c>
      <c r="B1874" s="24">
        <v>2019</v>
      </c>
      <c r="C1874" t="s">
        <v>428</v>
      </c>
      <c r="D1874" t="s">
        <v>789</v>
      </c>
      <c r="E1874" t="s">
        <v>789</v>
      </c>
      <c r="F1874" s="11">
        <v>5914306</v>
      </c>
      <c r="G1874" s="18">
        <v>4.9100000000000001E-5</v>
      </c>
      <c r="H1874" s="11">
        <v>94033.668600000005</v>
      </c>
      <c r="I1874" s="22">
        <f>IFERROR(VLOOKUP(D1874,'LEAID Match'!$A$2:$B$184,2,FALSE),"")</f>
        <v>3700348</v>
      </c>
    </row>
    <row r="1875" spans="1:9" x14ac:dyDescent="0.2">
      <c r="A1875">
        <f t="shared" si="29"/>
        <v>3700348</v>
      </c>
      <c r="B1875" s="24">
        <v>2020</v>
      </c>
      <c r="C1875" t="s">
        <v>428</v>
      </c>
      <c r="D1875" t="s">
        <v>789</v>
      </c>
      <c r="E1875" t="s">
        <v>789</v>
      </c>
      <c r="F1875" s="11">
        <v>5884944</v>
      </c>
      <c r="G1875" s="18">
        <v>4.7500000000000003E-5</v>
      </c>
      <c r="H1875" s="11">
        <v>97616.0625</v>
      </c>
      <c r="I1875" s="22">
        <f>IFERROR(VLOOKUP(D1875,'LEAID Match'!$A$2:$B$184,2,FALSE),"")</f>
        <v>3700348</v>
      </c>
    </row>
    <row r="1876" spans="1:9" x14ac:dyDescent="0.2">
      <c r="A1876">
        <f t="shared" si="29"/>
        <v>3700348</v>
      </c>
      <c r="B1876" s="24">
        <v>2021</v>
      </c>
      <c r="C1876" t="s">
        <v>428</v>
      </c>
      <c r="D1876" t="s">
        <v>789</v>
      </c>
      <c r="E1876" t="s">
        <v>789</v>
      </c>
      <c r="F1876" s="11">
        <v>5720298</v>
      </c>
      <c r="G1876" s="18">
        <v>4.57E-5</v>
      </c>
      <c r="H1876" s="11">
        <v>108457.6164</v>
      </c>
      <c r="I1876" s="22">
        <f>IFERROR(VLOOKUP(D1876,'LEAID Match'!$A$2:$B$184,2,FALSE),"")</f>
        <v>3700348</v>
      </c>
    </row>
    <row r="1877" spans="1:9" x14ac:dyDescent="0.2">
      <c r="A1877">
        <f t="shared" si="29"/>
        <v>3700348</v>
      </c>
      <c r="B1877" s="24">
        <v>2022</v>
      </c>
      <c r="C1877" t="s">
        <v>428</v>
      </c>
      <c r="D1877" t="s">
        <v>789</v>
      </c>
      <c r="E1877" t="s">
        <v>789</v>
      </c>
      <c r="F1877" s="11">
        <v>4462060</v>
      </c>
      <c r="G1877" s="18">
        <v>3.54E-5</v>
      </c>
      <c r="H1877" s="11">
        <v>97772.888399999996</v>
      </c>
      <c r="I1877" s="22">
        <f>IFERROR(VLOOKUP(D1877,'LEAID Match'!$A$2:$B$184,2,FALSE),"")</f>
        <v>3700348</v>
      </c>
    </row>
    <row r="1878" spans="1:9" x14ac:dyDescent="0.2">
      <c r="A1878">
        <f t="shared" si="29"/>
        <v>3700348</v>
      </c>
      <c r="B1878" s="24">
        <v>2023</v>
      </c>
      <c r="C1878" t="s">
        <v>428</v>
      </c>
      <c r="D1878" t="s">
        <v>789</v>
      </c>
      <c r="E1878" t="s">
        <v>789</v>
      </c>
      <c r="F1878" s="11">
        <v>3435405</v>
      </c>
      <c r="G1878" s="18">
        <v>2.58E-5</v>
      </c>
      <c r="H1878" s="11">
        <v>78300.342600000004</v>
      </c>
      <c r="I1878" s="22">
        <f>IFERROR(VLOOKUP(D1878,'LEAID Match'!$A$2:$B$184,2,FALSE),"")</f>
        <v>3700348</v>
      </c>
    </row>
    <row r="1879" spans="1:9" x14ac:dyDescent="0.2">
      <c r="A1879" t="str">
        <f t="shared" si="29"/>
        <v/>
      </c>
      <c r="B1879" s="24">
        <v>2015</v>
      </c>
      <c r="C1879" t="s">
        <v>429</v>
      </c>
      <c r="D1879" t="s">
        <v>790</v>
      </c>
      <c r="E1879" t="s">
        <v>375</v>
      </c>
      <c r="F1879" s="11">
        <v>117654175</v>
      </c>
      <c r="G1879" s="18">
        <v>1.0287E-3</v>
      </c>
      <c r="H1879" s="11">
        <v>1299235.7556</v>
      </c>
      <c r="I1879" s="22" t="str">
        <f>IFERROR(VLOOKUP(D1879,'LEAID Match'!$A$2:$B$184,2,FALSE),"")</f>
        <v/>
      </c>
    </row>
    <row r="1880" spans="1:9" x14ac:dyDescent="0.2">
      <c r="A1880" t="str">
        <f t="shared" si="29"/>
        <v/>
      </c>
      <c r="B1880" s="24">
        <v>2016</v>
      </c>
      <c r="C1880" t="s">
        <v>429</v>
      </c>
      <c r="D1880" t="s">
        <v>790</v>
      </c>
      <c r="E1880" t="s">
        <v>790</v>
      </c>
      <c r="F1880" s="11">
        <v>112251845</v>
      </c>
      <c r="G1880" s="18">
        <v>1.0365999999999999E-3</v>
      </c>
      <c r="H1880" s="11">
        <v>1321668.1098</v>
      </c>
      <c r="I1880" s="22" t="str">
        <f>IFERROR(VLOOKUP(D1880,'LEAID Match'!$A$2:$B$184,2,FALSE),"")</f>
        <v/>
      </c>
    </row>
    <row r="1881" spans="1:9" x14ac:dyDescent="0.2">
      <c r="A1881" t="str">
        <f t="shared" si="29"/>
        <v/>
      </c>
      <c r="B1881" s="24">
        <v>2017</v>
      </c>
      <c r="C1881" t="s">
        <v>429</v>
      </c>
      <c r="D1881" t="s">
        <v>790</v>
      </c>
      <c r="E1881" t="s">
        <v>790</v>
      </c>
      <c r="F1881" s="11">
        <v>121168385</v>
      </c>
      <c r="G1881" s="18">
        <v>1.0859000000000001E-3</v>
      </c>
      <c r="H1881" s="11">
        <v>1564992.5646000002</v>
      </c>
      <c r="I1881" s="22" t="str">
        <f>IFERROR(VLOOKUP(D1881,'LEAID Match'!$A$2:$B$184,2,FALSE),"")</f>
        <v/>
      </c>
    </row>
    <row r="1882" spans="1:9" x14ac:dyDescent="0.2">
      <c r="A1882" t="str">
        <f t="shared" si="29"/>
        <v/>
      </c>
      <c r="B1882" s="24">
        <v>2018</v>
      </c>
      <c r="C1882" t="s">
        <v>429</v>
      </c>
      <c r="D1882" t="s">
        <v>790</v>
      </c>
      <c r="E1882" t="s">
        <v>790</v>
      </c>
      <c r="F1882" s="11">
        <v>129991462</v>
      </c>
      <c r="G1882" s="18">
        <v>1.1186E-3</v>
      </c>
      <c r="H1882" s="11">
        <v>1793005.0585999999</v>
      </c>
      <c r="I1882" s="22" t="str">
        <f>IFERROR(VLOOKUP(D1882,'LEAID Match'!$A$2:$B$184,2,FALSE),"")</f>
        <v/>
      </c>
    </row>
    <row r="1883" spans="1:9" x14ac:dyDescent="0.2">
      <c r="A1883" t="str">
        <f t="shared" si="29"/>
        <v/>
      </c>
      <c r="B1883" s="24">
        <v>2019</v>
      </c>
      <c r="C1883" t="s">
        <v>429</v>
      </c>
      <c r="D1883" t="s">
        <v>790</v>
      </c>
      <c r="E1883" t="s">
        <v>790</v>
      </c>
      <c r="F1883" s="11">
        <v>131150901</v>
      </c>
      <c r="G1883" s="18">
        <v>1.0885999999999999E-3</v>
      </c>
      <c r="H1883" s="11">
        <v>2084827.9355999997</v>
      </c>
      <c r="I1883" s="22" t="str">
        <f>IFERROR(VLOOKUP(D1883,'LEAID Match'!$A$2:$B$184,2,FALSE),"")</f>
        <v/>
      </c>
    </row>
    <row r="1884" spans="1:9" x14ac:dyDescent="0.2">
      <c r="A1884" t="str">
        <f t="shared" si="29"/>
        <v/>
      </c>
      <c r="B1884" s="24">
        <v>2020</v>
      </c>
      <c r="C1884" t="s">
        <v>429</v>
      </c>
      <c r="D1884" t="s">
        <v>790</v>
      </c>
      <c r="E1884" t="s">
        <v>790</v>
      </c>
      <c r="F1884" s="11">
        <v>128303123</v>
      </c>
      <c r="G1884" s="18">
        <v>1.0357999999999999E-3</v>
      </c>
      <c r="H1884" s="11">
        <v>2128646.6850000001</v>
      </c>
      <c r="I1884" s="22" t="str">
        <f>IFERROR(VLOOKUP(D1884,'LEAID Match'!$A$2:$B$184,2,FALSE),"")</f>
        <v/>
      </c>
    </row>
    <row r="1885" spans="1:9" x14ac:dyDescent="0.2">
      <c r="A1885" t="str">
        <f t="shared" si="29"/>
        <v/>
      </c>
      <c r="B1885" s="24">
        <v>2021</v>
      </c>
      <c r="C1885" t="s">
        <v>429</v>
      </c>
      <c r="D1885" t="s">
        <v>790</v>
      </c>
      <c r="E1885" t="s">
        <v>790</v>
      </c>
      <c r="F1885" s="11">
        <v>123946255</v>
      </c>
      <c r="G1885" s="18">
        <v>9.904E-4</v>
      </c>
      <c r="H1885" s="11">
        <v>2350468.7807999998</v>
      </c>
      <c r="I1885" s="22" t="str">
        <f>IFERROR(VLOOKUP(D1885,'LEAID Match'!$A$2:$B$184,2,FALSE),"")</f>
        <v/>
      </c>
    </row>
    <row r="1886" spans="1:9" x14ac:dyDescent="0.2">
      <c r="A1886" t="str">
        <f t="shared" si="29"/>
        <v/>
      </c>
      <c r="B1886" s="24">
        <v>2022</v>
      </c>
      <c r="C1886" t="s">
        <v>429</v>
      </c>
      <c r="D1886" t="s">
        <v>790</v>
      </c>
      <c r="E1886" t="s">
        <v>790</v>
      </c>
      <c r="F1886" s="11">
        <v>138716747</v>
      </c>
      <c r="G1886" s="18">
        <v>1.0999E-3</v>
      </c>
      <c r="H1886" s="11">
        <v>3037864.4054</v>
      </c>
      <c r="I1886" s="22" t="str">
        <f>IFERROR(VLOOKUP(D1886,'LEAID Match'!$A$2:$B$184,2,FALSE),"")</f>
        <v/>
      </c>
    </row>
    <row r="1887" spans="1:9" x14ac:dyDescent="0.2">
      <c r="A1887" t="str">
        <f t="shared" si="29"/>
        <v/>
      </c>
      <c r="B1887" s="24">
        <v>2023</v>
      </c>
      <c r="C1887" t="s">
        <v>429</v>
      </c>
      <c r="D1887" t="s">
        <v>790</v>
      </c>
      <c r="E1887" t="s">
        <v>790</v>
      </c>
      <c r="F1887" s="11">
        <v>122121704</v>
      </c>
      <c r="G1887" s="18">
        <v>9.1889999999999995E-4</v>
      </c>
      <c r="H1887" s="11">
        <v>2788766.8532999996</v>
      </c>
      <c r="I1887" s="22" t="str">
        <f>IFERROR(VLOOKUP(D1887,'LEAID Match'!$A$2:$B$184,2,FALSE),"")</f>
        <v/>
      </c>
    </row>
    <row r="1888" spans="1:9" x14ac:dyDescent="0.2">
      <c r="A1888">
        <f t="shared" si="29"/>
        <v>3703480</v>
      </c>
      <c r="B1888" s="24">
        <v>2015</v>
      </c>
      <c r="C1888" t="s">
        <v>430</v>
      </c>
      <c r="D1888" t="s">
        <v>791</v>
      </c>
      <c r="E1888" t="s">
        <v>376</v>
      </c>
      <c r="F1888" s="11">
        <v>380450781</v>
      </c>
      <c r="G1888" s="18">
        <v>3.3264000000000002E-3</v>
      </c>
      <c r="H1888" s="11">
        <v>4201203.2832000004</v>
      </c>
      <c r="I1888" s="22">
        <f>IFERROR(VLOOKUP(D1888,'LEAID Match'!$A$2:$B$184,2,FALSE),"")</f>
        <v>3703480</v>
      </c>
    </row>
    <row r="1889" spans="1:9" x14ac:dyDescent="0.2">
      <c r="A1889">
        <f t="shared" si="29"/>
        <v>3703480</v>
      </c>
      <c r="B1889" s="24">
        <v>2016</v>
      </c>
      <c r="C1889" t="s">
        <v>430</v>
      </c>
      <c r="D1889" t="s">
        <v>791</v>
      </c>
      <c r="E1889" t="s">
        <v>791</v>
      </c>
      <c r="F1889" s="11">
        <v>372188256</v>
      </c>
      <c r="G1889" s="18">
        <v>3.4369000000000001E-3</v>
      </c>
      <c r="H1889" s="11">
        <v>4382057.8107000003</v>
      </c>
      <c r="I1889" s="22">
        <f>IFERROR(VLOOKUP(D1889,'LEAID Match'!$A$2:$B$184,2,FALSE),"")</f>
        <v>3703480</v>
      </c>
    </row>
    <row r="1890" spans="1:9" x14ac:dyDescent="0.2">
      <c r="A1890">
        <f t="shared" si="29"/>
        <v>3703480</v>
      </c>
      <c r="B1890" s="24">
        <v>2017</v>
      </c>
      <c r="C1890" t="s">
        <v>430</v>
      </c>
      <c r="D1890" t="s">
        <v>791</v>
      </c>
      <c r="E1890" t="s">
        <v>791</v>
      </c>
      <c r="F1890" s="11">
        <v>390787956</v>
      </c>
      <c r="G1890" s="18">
        <v>3.5022999999999999E-3</v>
      </c>
      <c r="H1890" s="11">
        <v>5047493.7461999999</v>
      </c>
      <c r="I1890" s="22">
        <f>IFERROR(VLOOKUP(D1890,'LEAID Match'!$A$2:$B$184,2,FALSE),"")</f>
        <v>3703480</v>
      </c>
    </row>
    <row r="1891" spans="1:9" x14ac:dyDescent="0.2">
      <c r="A1891">
        <f t="shared" si="29"/>
        <v>3703480</v>
      </c>
      <c r="B1891" s="24">
        <v>2018</v>
      </c>
      <c r="C1891" t="s">
        <v>430</v>
      </c>
      <c r="D1891" t="s">
        <v>791</v>
      </c>
      <c r="E1891" t="s">
        <v>791</v>
      </c>
      <c r="F1891" s="11">
        <v>411228942</v>
      </c>
      <c r="G1891" s="18">
        <v>3.5387000000000001E-3</v>
      </c>
      <c r="H1891" s="11">
        <v>5672185.7686999999</v>
      </c>
      <c r="I1891" s="22">
        <f>IFERROR(VLOOKUP(D1891,'LEAID Match'!$A$2:$B$184,2,FALSE),"")</f>
        <v>3703480</v>
      </c>
    </row>
    <row r="1892" spans="1:9" x14ac:dyDescent="0.2">
      <c r="A1892">
        <f t="shared" si="29"/>
        <v>3703480</v>
      </c>
      <c r="B1892" s="24">
        <v>2019</v>
      </c>
      <c r="C1892" t="s">
        <v>430</v>
      </c>
      <c r="D1892" t="s">
        <v>791</v>
      </c>
      <c r="E1892" t="s">
        <v>791</v>
      </c>
      <c r="F1892" s="11">
        <v>407266118</v>
      </c>
      <c r="G1892" s="18">
        <v>3.3803000000000001E-3</v>
      </c>
      <c r="H1892" s="11">
        <v>6473768.0238000005</v>
      </c>
      <c r="I1892" s="22">
        <f>IFERROR(VLOOKUP(D1892,'LEAID Match'!$A$2:$B$184,2,FALSE),"")</f>
        <v>3703480</v>
      </c>
    </row>
    <row r="1893" spans="1:9" x14ac:dyDescent="0.2">
      <c r="A1893">
        <f t="shared" si="29"/>
        <v>3703480</v>
      </c>
      <c r="B1893" s="24">
        <v>2020</v>
      </c>
      <c r="C1893" t="s">
        <v>430</v>
      </c>
      <c r="D1893" t="s">
        <v>791</v>
      </c>
      <c r="E1893" t="s">
        <v>791</v>
      </c>
      <c r="F1893" s="11">
        <v>411125349</v>
      </c>
      <c r="G1893" s="18">
        <v>3.3189999999999999E-3</v>
      </c>
      <c r="H1893" s="11">
        <v>6820793.9249999998</v>
      </c>
      <c r="I1893" s="22">
        <f>IFERROR(VLOOKUP(D1893,'LEAID Match'!$A$2:$B$184,2,FALSE),"")</f>
        <v>3703480</v>
      </c>
    </row>
    <row r="1894" spans="1:9" x14ac:dyDescent="0.2">
      <c r="A1894">
        <f t="shared" si="29"/>
        <v>3703480</v>
      </c>
      <c r="B1894" s="24">
        <v>2021</v>
      </c>
      <c r="C1894" t="s">
        <v>430</v>
      </c>
      <c r="D1894" t="s">
        <v>791</v>
      </c>
      <c r="E1894" t="s">
        <v>791</v>
      </c>
      <c r="F1894" s="11">
        <v>405841592</v>
      </c>
      <c r="G1894" s="18">
        <v>3.2428000000000001E-3</v>
      </c>
      <c r="H1894" s="11">
        <v>7695981.5855999999</v>
      </c>
      <c r="I1894" s="22">
        <f>IFERROR(VLOOKUP(D1894,'LEAID Match'!$A$2:$B$184,2,FALSE),"")</f>
        <v>3703480</v>
      </c>
    </row>
    <row r="1895" spans="1:9" x14ac:dyDescent="0.2">
      <c r="A1895">
        <f t="shared" si="29"/>
        <v>3703480</v>
      </c>
      <c r="B1895" s="24">
        <v>2022</v>
      </c>
      <c r="C1895" t="s">
        <v>430</v>
      </c>
      <c r="D1895" t="s">
        <v>791</v>
      </c>
      <c r="E1895" t="s">
        <v>791</v>
      </c>
      <c r="F1895" s="11">
        <v>422334591</v>
      </c>
      <c r="G1895" s="18">
        <v>3.3487E-3</v>
      </c>
      <c r="H1895" s="11">
        <v>9248928.5702</v>
      </c>
      <c r="I1895" s="22">
        <f>IFERROR(VLOOKUP(D1895,'LEAID Match'!$A$2:$B$184,2,FALSE),"")</f>
        <v>3703480</v>
      </c>
    </row>
    <row r="1896" spans="1:9" x14ac:dyDescent="0.2">
      <c r="A1896">
        <f t="shared" si="29"/>
        <v>3703480</v>
      </c>
      <c r="B1896" s="24">
        <v>2023</v>
      </c>
      <c r="C1896" t="s">
        <v>430</v>
      </c>
      <c r="D1896" t="s">
        <v>791</v>
      </c>
      <c r="E1896" t="s">
        <v>791</v>
      </c>
      <c r="F1896" s="11">
        <v>463048563</v>
      </c>
      <c r="G1896" s="18">
        <v>3.4841E-3</v>
      </c>
      <c r="H1896" s="11">
        <v>10573884.637700001</v>
      </c>
      <c r="I1896" s="22">
        <f>IFERROR(VLOOKUP(D1896,'LEAID Match'!$A$2:$B$184,2,FALSE),"")</f>
        <v>3703480</v>
      </c>
    </row>
    <row r="1897" spans="1:9" x14ac:dyDescent="0.2">
      <c r="A1897">
        <f t="shared" si="29"/>
        <v>3700136</v>
      </c>
      <c r="B1897" s="24">
        <v>2015</v>
      </c>
      <c r="C1897" t="s">
        <v>431</v>
      </c>
      <c r="D1897" t="s">
        <v>377</v>
      </c>
      <c r="E1897" t="s">
        <v>377</v>
      </c>
      <c r="F1897" s="11">
        <v>6681700</v>
      </c>
      <c r="G1897" s="18">
        <v>5.8400000000000003E-5</v>
      </c>
      <c r="H1897" s="11">
        <v>73758.499200000006</v>
      </c>
      <c r="I1897" s="22">
        <f>IFERROR(VLOOKUP(D1897,'LEAID Match'!$A$2:$B$184,2,FALSE),"")</f>
        <v>3700136</v>
      </c>
    </row>
    <row r="1898" spans="1:9" x14ac:dyDescent="0.2">
      <c r="A1898">
        <f t="shared" si="29"/>
        <v>3700035</v>
      </c>
      <c r="B1898" s="24">
        <v>2015</v>
      </c>
      <c r="C1898" t="s">
        <v>432</v>
      </c>
      <c r="D1898" t="s">
        <v>792</v>
      </c>
      <c r="E1898" t="s">
        <v>378</v>
      </c>
      <c r="F1898" s="11">
        <v>9627411</v>
      </c>
      <c r="G1898" s="18">
        <v>8.42E-5</v>
      </c>
      <c r="H1898" s="11">
        <v>106343.58960000001</v>
      </c>
      <c r="I1898" s="22">
        <f>IFERROR(VLOOKUP(D1898,'LEAID Match'!$A$2:$B$184,2,FALSE),"")</f>
        <v>3700035</v>
      </c>
    </row>
    <row r="1899" spans="1:9" x14ac:dyDescent="0.2">
      <c r="A1899">
        <f t="shared" si="29"/>
        <v>3700035</v>
      </c>
      <c r="B1899" s="24">
        <v>2016</v>
      </c>
      <c r="C1899" t="s">
        <v>432</v>
      </c>
      <c r="D1899" t="s">
        <v>792</v>
      </c>
      <c r="E1899" t="s">
        <v>792</v>
      </c>
      <c r="F1899" s="11">
        <v>9772486</v>
      </c>
      <c r="G1899" s="18">
        <v>9.0199999999999997E-5</v>
      </c>
      <c r="H1899" s="11">
        <v>115005.27059999999</v>
      </c>
      <c r="I1899" s="22">
        <f>IFERROR(VLOOKUP(D1899,'LEAID Match'!$A$2:$B$184,2,FALSE),"")</f>
        <v>3700035</v>
      </c>
    </row>
    <row r="1900" spans="1:9" x14ac:dyDescent="0.2">
      <c r="A1900">
        <f t="shared" si="29"/>
        <v>3700035</v>
      </c>
      <c r="B1900" s="24">
        <v>2017</v>
      </c>
      <c r="C1900" t="s">
        <v>432</v>
      </c>
      <c r="D1900" t="s">
        <v>792</v>
      </c>
      <c r="E1900" t="s">
        <v>792</v>
      </c>
      <c r="F1900" s="11">
        <v>13998242</v>
      </c>
      <c r="G1900" s="18">
        <v>1.2549999999999999E-4</v>
      </c>
      <c r="H1900" s="11">
        <v>180869.84699999998</v>
      </c>
      <c r="I1900" s="22">
        <f>IFERROR(VLOOKUP(D1900,'LEAID Match'!$A$2:$B$184,2,FALSE),"")</f>
        <v>3700035</v>
      </c>
    </row>
    <row r="1901" spans="1:9" x14ac:dyDescent="0.2">
      <c r="A1901">
        <f t="shared" si="29"/>
        <v>3700035</v>
      </c>
      <c r="B1901" s="24">
        <v>2018</v>
      </c>
      <c r="C1901" t="s">
        <v>432</v>
      </c>
      <c r="D1901" t="s">
        <v>792</v>
      </c>
      <c r="E1901" t="s">
        <v>792</v>
      </c>
      <c r="F1901" s="11">
        <v>23372605</v>
      </c>
      <c r="G1901" s="18">
        <v>2.0110000000000001E-4</v>
      </c>
      <c r="H1901" s="11">
        <v>322343.39110000001</v>
      </c>
      <c r="I1901" s="22">
        <f>IFERROR(VLOOKUP(D1901,'LEAID Match'!$A$2:$B$184,2,FALSE),"")</f>
        <v>3700035</v>
      </c>
    </row>
    <row r="1902" spans="1:9" x14ac:dyDescent="0.2">
      <c r="A1902">
        <f t="shared" si="29"/>
        <v>3700035</v>
      </c>
      <c r="B1902" s="24">
        <v>2019</v>
      </c>
      <c r="C1902" t="s">
        <v>432</v>
      </c>
      <c r="D1902" t="s">
        <v>792</v>
      </c>
      <c r="E1902" t="s">
        <v>792</v>
      </c>
      <c r="F1902" s="11">
        <v>26548525</v>
      </c>
      <c r="G1902" s="18">
        <v>2.2039999999999999E-4</v>
      </c>
      <c r="H1902" s="11">
        <v>422098.17839999998</v>
      </c>
      <c r="I1902" s="22">
        <f>IFERROR(VLOOKUP(D1902,'LEAID Match'!$A$2:$B$184,2,FALSE),"")</f>
        <v>3700035</v>
      </c>
    </row>
    <row r="1903" spans="1:9" x14ac:dyDescent="0.2">
      <c r="A1903">
        <f t="shared" si="29"/>
        <v>3700035</v>
      </c>
      <c r="B1903" s="24">
        <v>2020</v>
      </c>
      <c r="C1903" t="s">
        <v>432</v>
      </c>
      <c r="D1903" t="s">
        <v>792</v>
      </c>
      <c r="E1903" t="s">
        <v>792</v>
      </c>
      <c r="F1903" s="11">
        <v>34040521</v>
      </c>
      <c r="G1903" s="18">
        <v>2.7480000000000001E-4</v>
      </c>
      <c r="H1903" s="11">
        <v>564734.61</v>
      </c>
      <c r="I1903" s="22">
        <f>IFERROR(VLOOKUP(D1903,'LEAID Match'!$A$2:$B$184,2,FALSE),"")</f>
        <v>3700035</v>
      </c>
    </row>
    <row r="1904" spans="1:9" x14ac:dyDescent="0.2">
      <c r="A1904">
        <f t="shared" si="29"/>
        <v>3700035</v>
      </c>
      <c r="B1904" s="24">
        <v>2021</v>
      </c>
      <c r="C1904" t="s">
        <v>432</v>
      </c>
      <c r="D1904" t="s">
        <v>792</v>
      </c>
      <c r="E1904" t="s">
        <v>792</v>
      </c>
      <c r="F1904" s="11">
        <v>33760783</v>
      </c>
      <c r="G1904" s="18">
        <v>2.698E-4</v>
      </c>
      <c r="H1904" s="11">
        <v>640303.38959999999</v>
      </c>
      <c r="I1904" s="22">
        <f>IFERROR(VLOOKUP(D1904,'LEAID Match'!$A$2:$B$184,2,FALSE),"")</f>
        <v>3700035</v>
      </c>
    </row>
    <row r="1905" spans="1:9" x14ac:dyDescent="0.2">
      <c r="A1905">
        <f t="shared" si="29"/>
        <v>3700035</v>
      </c>
      <c r="B1905" s="24">
        <v>2022</v>
      </c>
      <c r="C1905" t="s">
        <v>432</v>
      </c>
      <c r="D1905" t="s">
        <v>792</v>
      </c>
      <c r="E1905" t="s">
        <v>792</v>
      </c>
      <c r="F1905" s="11">
        <v>34607482</v>
      </c>
      <c r="G1905" s="18">
        <v>2.744E-4</v>
      </c>
      <c r="H1905" s="11">
        <v>757877.98239999998</v>
      </c>
      <c r="I1905" s="22">
        <f>IFERROR(VLOOKUP(D1905,'LEAID Match'!$A$2:$B$184,2,FALSE),"")</f>
        <v>3700035</v>
      </c>
    </row>
    <row r="1906" spans="1:9" x14ac:dyDescent="0.2">
      <c r="A1906">
        <f t="shared" si="29"/>
        <v>3700035</v>
      </c>
      <c r="B1906" s="24">
        <v>2023</v>
      </c>
      <c r="C1906" t="s">
        <v>432</v>
      </c>
      <c r="D1906" t="s">
        <v>792</v>
      </c>
      <c r="E1906" t="s">
        <v>792</v>
      </c>
      <c r="F1906" s="11">
        <v>35409996</v>
      </c>
      <c r="G1906" s="18">
        <v>2.6640000000000002E-4</v>
      </c>
      <c r="H1906" s="11">
        <v>808496.56080000009</v>
      </c>
      <c r="I1906" s="22">
        <f>IFERROR(VLOOKUP(D1906,'LEAID Match'!$A$2:$B$184,2,FALSE),"")</f>
        <v>3700035</v>
      </c>
    </row>
    <row r="1907" spans="1:9" x14ac:dyDescent="0.2">
      <c r="A1907">
        <f t="shared" si="29"/>
        <v>3700406</v>
      </c>
      <c r="B1907" s="24">
        <v>2015</v>
      </c>
      <c r="C1907" t="s">
        <v>433</v>
      </c>
      <c r="D1907" t="s">
        <v>793</v>
      </c>
      <c r="E1907" t="s">
        <v>379</v>
      </c>
      <c r="F1907" s="11">
        <v>742635886</v>
      </c>
      <c r="G1907" s="18">
        <v>6.4930999999999999E-3</v>
      </c>
      <c r="H1907" s="11">
        <v>8200707.3827999998</v>
      </c>
      <c r="I1907" s="22">
        <f>IFERROR(VLOOKUP(D1907,'LEAID Match'!$A$2:$B$184,2,FALSE),"")</f>
        <v>3700406</v>
      </c>
    </row>
    <row r="1908" spans="1:9" x14ac:dyDescent="0.2">
      <c r="A1908">
        <f t="shared" si="29"/>
        <v>3700406</v>
      </c>
      <c r="B1908" s="24">
        <v>2016</v>
      </c>
      <c r="C1908" t="s">
        <v>433</v>
      </c>
      <c r="D1908" t="s">
        <v>793</v>
      </c>
      <c r="E1908" t="s">
        <v>793</v>
      </c>
      <c r="F1908" s="11">
        <v>718475049</v>
      </c>
      <c r="G1908" s="18">
        <v>6.6347000000000003E-3</v>
      </c>
      <c r="H1908" s="11">
        <v>8459262.4041000009</v>
      </c>
      <c r="I1908" s="22">
        <f>IFERROR(VLOOKUP(D1908,'LEAID Match'!$A$2:$B$184,2,FALSE),"")</f>
        <v>3700406</v>
      </c>
    </row>
    <row r="1909" spans="1:9" x14ac:dyDescent="0.2">
      <c r="A1909">
        <f t="shared" si="29"/>
        <v>3700406</v>
      </c>
      <c r="B1909" s="24">
        <v>2017</v>
      </c>
      <c r="C1909" t="s">
        <v>433</v>
      </c>
      <c r="D1909" t="s">
        <v>793</v>
      </c>
      <c r="E1909" t="s">
        <v>911</v>
      </c>
      <c r="F1909" s="11">
        <v>733237542</v>
      </c>
      <c r="G1909" s="18">
        <v>6.5713000000000004E-3</v>
      </c>
      <c r="H1909" s="11">
        <v>9470518.1322000008</v>
      </c>
      <c r="I1909" s="22">
        <f>IFERROR(VLOOKUP(D1909,'LEAID Match'!$A$2:$B$184,2,FALSE),"")</f>
        <v>3700406</v>
      </c>
    </row>
    <row r="1910" spans="1:9" x14ac:dyDescent="0.2">
      <c r="A1910">
        <f t="shared" si="29"/>
        <v>3700406</v>
      </c>
      <c r="B1910" s="24">
        <v>2018</v>
      </c>
      <c r="C1910" t="s">
        <v>433</v>
      </c>
      <c r="D1910" t="s">
        <v>793</v>
      </c>
      <c r="E1910" t="s">
        <v>911</v>
      </c>
      <c r="F1910" s="11">
        <v>777545751</v>
      </c>
      <c r="G1910" s="18">
        <v>6.6909999999999999E-3</v>
      </c>
      <c r="H1910" s="11">
        <v>10725010.591</v>
      </c>
      <c r="I1910" s="22">
        <f>IFERROR(VLOOKUP(D1910,'LEAID Match'!$A$2:$B$184,2,FALSE),"")</f>
        <v>3700406</v>
      </c>
    </row>
    <row r="1911" spans="1:9" x14ac:dyDescent="0.2">
      <c r="A1911">
        <f t="shared" si="29"/>
        <v>3700406</v>
      </c>
      <c r="B1911" s="24">
        <v>2019</v>
      </c>
      <c r="C1911" t="s">
        <v>433</v>
      </c>
      <c r="D1911" t="s">
        <v>793</v>
      </c>
      <c r="E1911" t="s">
        <v>911</v>
      </c>
      <c r="F1911" s="11">
        <v>804940399</v>
      </c>
      <c r="G1911" s="18">
        <v>6.6810000000000003E-3</v>
      </c>
      <c r="H1911" s="11">
        <v>12795090.426000001</v>
      </c>
      <c r="I1911" s="22">
        <f>IFERROR(VLOOKUP(D1911,'LEAID Match'!$A$2:$B$184,2,FALSE),"")</f>
        <v>3700406</v>
      </c>
    </row>
    <row r="1912" spans="1:9" x14ac:dyDescent="0.2">
      <c r="A1912">
        <f t="shared" si="29"/>
        <v>3700406</v>
      </c>
      <c r="B1912" s="24">
        <v>2020</v>
      </c>
      <c r="C1912" t="s">
        <v>433</v>
      </c>
      <c r="D1912" t="s">
        <v>793</v>
      </c>
      <c r="E1912" t="s">
        <v>793</v>
      </c>
      <c r="F1912" s="11">
        <v>821044541</v>
      </c>
      <c r="G1912" s="18">
        <v>6.6281999999999999E-3</v>
      </c>
      <c r="H1912" s="11">
        <v>13621448.115</v>
      </c>
      <c r="I1912" s="22">
        <f>IFERROR(VLOOKUP(D1912,'LEAID Match'!$A$2:$B$184,2,FALSE),"")</f>
        <v>3700406</v>
      </c>
    </row>
    <row r="1913" spans="1:9" x14ac:dyDescent="0.2">
      <c r="A1913">
        <f t="shared" si="29"/>
        <v>3700406</v>
      </c>
      <c r="B1913" s="24">
        <v>2021</v>
      </c>
      <c r="C1913" t="s">
        <v>433</v>
      </c>
      <c r="D1913" t="s">
        <v>793</v>
      </c>
      <c r="E1913" t="s">
        <v>793</v>
      </c>
      <c r="F1913" s="11">
        <v>829478309</v>
      </c>
      <c r="G1913" s="18">
        <v>6.6278999999999999E-3</v>
      </c>
      <c r="H1913" s="11">
        <v>15729676.9308</v>
      </c>
      <c r="I1913" s="22">
        <f>IFERROR(VLOOKUP(D1913,'LEAID Match'!$A$2:$B$184,2,FALSE),"")</f>
        <v>3700406</v>
      </c>
    </row>
    <row r="1914" spans="1:9" x14ac:dyDescent="0.2">
      <c r="A1914">
        <f t="shared" si="29"/>
        <v>3700406</v>
      </c>
      <c r="B1914" s="24">
        <v>2022</v>
      </c>
      <c r="C1914" t="s">
        <v>433</v>
      </c>
      <c r="D1914" t="s">
        <v>793</v>
      </c>
      <c r="E1914" t="s">
        <v>793</v>
      </c>
      <c r="F1914" s="11">
        <v>853341953</v>
      </c>
      <c r="G1914" s="18">
        <v>6.7660999999999997E-3</v>
      </c>
      <c r="H1914" s="11">
        <v>18687602.830600001</v>
      </c>
      <c r="I1914" s="22">
        <f>IFERROR(VLOOKUP(D1914,'LEAID Match'!$A$2:$B$184,2,FALSE),"")</f>
        <v>3700406</v>
      </c>
    </row>
    <row r="1915" spans="1:9" x14ac:dyDescent="0.2">
      <c r="A1915">
        <f t="shared" si="29"/>
        <v>3700406</v>
      </c>
      <c r="B1915" s="24">
        <v>2023</v>
      </c>
      <c r="C1915" t="s">
        <v>433</v>
      </c>
      <c r="D1915" t="s">
        <v>793</v>
      </c>
      <c r="E1915" t="s">
        <v>793</v>
      </c>
      <c r="F1915" s="11">
        <v>893451829</v>
      </c>
      <c r="G1915" s="18">
        <v>6.7225999999999996E-3</v>
      </c>
      <c r="H1915" s="11">
        <v>20402398.5722</v>
      </c>
      <c r="I1915" s="22">
        <f>IFERROR(VLOOKUP(D1915,'LEAID Match'!$A$2:$B$184,2,FALSE),"")</f>
        <v>3700406</v>
      </c>
    </row>
    <row r="1916" spans="1:9" x14ac:dyDescent="0.2">
      <c r="A1916">
        <f t="shared" si="29"/>
        <v>3703510</v>
      </c>
      <c r="B1916" s="24">
        <v>2015</v>
      </c>
      <c r="C1916" t="s">
        <v>434</v>
      </c>
      <c r="D1916" t="s">
        <v>794</v>
      </c>
      <c r="E1916" t="s">
        <v>380</v>
      </c>
      <c r="F1916" s="11">
        <v>72692913</v>
      </c>
      <c r="G1916" s="18">
        <v>6.3560000000000005E-4</v>
      </c>
      <c r="H1916" s="11">
        <v>802755.17280000006</v>
      </c>
      <c r="I1916" s="22">
        <f>IFERROR(VLOOKUP(D1916,'LEAID Match'!$A$2:$B$184,2,FALSE),"")</f>
        <v>3703510</v>
      </c>
    </row>
    <row r="1917" spans="1:9" x14ac:dyDescent="0.2">
      <c r="A1917">
        <f t="shared" si="29"/>
        <v>3703510</v>
      </c>
      <c r="B1917" s="24">
        <v>2016</v>
      </c>
      <c r="C1917" t="s">
        <v>434</v>
      </c>
      <c r="D1917" t="s">
        <v>794</v>
      </c>
      <c r="E1917" t="s">
        <v>794</v>
      </c>
      <c r="F1917" s="11">
        <v>70847363</v>
      </c>
      <c r="G1917" s="18">
        <v>6.5419999999999996E-4</v>
      </c>
      <c r="H1917" s="11">
        <v>834106.96259999997</v>
      </c>
      <c r="I1917" s="22">
        <f>IFERROR(VLOOKUP(D1917,'LEAID Match'!$A$2:$B$184,2,FALSE),"")</f>
        <v>3703510</v>
      </c>
    </row>
    <row r="1918" spans="1:9" x14ac:dyDescent="0.2">
      <c r="A1918">
        <f t="shared" si="29"/>
        <v>3703510</v>
      </c>
      <c r="B1918" s="24">
        <v>2017</v>
      </c>
      <c r="C1918" t="s">
        <v>434</v>
      </c>
      <c r="D1918" t="s">
        <v>794</v>
      </c>
      <c r="E1918" t="s">
        <v>794</v>
      </c>
      <c r="F1918" s="11">
        <v>72415073</v>
      </c>
      <c r="G1918" s="18">
        <v>6.4899999999999995E-4</v>
      </c>
      <c r="H1918" s="11">
        <v>935334.90599999996</v>
      </c>
      <c r="I1918" s="22">
        <f>IFERROR(VLOOKUP(D1918,'LEAID Match'!$A$2:$B$184,2,FALSE),"")</f>
        <v>3703510</v>
      </c>
    </row>
    <row r="1919" spans="1:9" x14ac:dyDescent="0.2">
      <c r="A1919">
        <f t="shared" si="29"/>
        <v>3703510</v>
      </c>
      <c r="B1919" s="24">
        <v>2018</v>
      </c>
      <c r="C1919" t="s">
        <v>434</v>
      </c>
      <c r="D1919" t="s">
        <v>794</v>
      </c>
      <c r="E1919" t="s">
        <v>794</v>
      </c>
      <c r="F1919" s="11">
        <v>74311713</v>
      </c>
      <c r="G1919" s="18">
        <v>6.3949999999999999E-4</v>
      </c>
      <c r="H1919" s="11">
        <v>1025055.1895</v>
      </c>
      <c r="I1919" s="22">
        <f>IFERROR(VLOOKUP(D1919,'LEAID Match'!$A$2:$B$184,2,FALSE),"")</f>
        <v>3703510</v>
      </c>
    </row>
    <row r="1920" spans="1:9" x14ac:dyDescent="0.2">
      <c r="A1920">
        <f t="shared" si="29"/>
        <v>3703510</v>
      </c>
      <c r="B1920" s="24">
        <v>2019</v>
      </c>
      <c r="C1920" t="s">
        <v>434</v>
      </c>
      <c r="D1920" t="s">
        <v>794</v>
      </c>
      <c r="E1920" t="s">
        <v>794</v>
      </c>
      <c r="F1920" s="11">
        <v>76104032</v>
      </c>
      <c r="G1920" s="18">
        <v>6.3170000000000001E-4</v>
      </c>
      <c r="H1920" s="11">
        <v>1209797.7282</v>
      </c>
      <c r="I1920" s="22">
        <f>IFERROR(VLOOKUP(D1920,'LEAID Match'!$A$2:$B$184,2,FALSE),"")</f>
        <v>3703510</v>
      </c>
    </row>
    <row r="1921" spans="1:9" x14ac:dyDescent="0.2">
      <c r="A1921">
        <f t="shared" si="29"/>
        <v>3703510</v>
      </c>
      <c r="B1921" s="24">
        <v>2020</v>
      </c>
      <c r="C1921" t="s">
        <v>434</v>
      </c>
      <c r="D1921" t="s">
        <v>794</v>
      </c>
      <c r="E1921" t="s">
        <v>794</v>
      </c>
      <c r="F1921" s="11">
        <v>79141881</v>
      </c>
      <c r="G1921" s="18">
        <v>6.3889999999999997E-4</v>
      </c>
      <c r="H1921" s="11">
        <v>1312987.4175</v>
      </c>
      <c r="I1921" s="22">
        <f>IFERROR(VLOOKUP(D1921,'LEAID Match'!$A$2:$B$184,2,FALSE),"")</f>
        <v>3703510</v>
      </c>
    </row>
    <row r="1922" spans="1:9" x14ac:dyDescent="0.2">
      <c r="A1922">
        <f t="shared" si="29"/>
        <v>3703510</v>
      </c>
      <c r="B1922" s="24">
        <v>2021</v>
      </c>
      <c r="C1922" t="s">
        <v>434</v>
      </c>
      <c r="D1922" t="s">
        <v>794</v>
      </c>
      <c r="E1922" t="s">
        <v>794</v>
      </c>
      <c r="F1922" s="11">
        <v>73688281</v>
      </c>
      <c r="G1922" s="18">
        <v>5.888E-4</v>
      </c>
      <c r="H1922" s="11">
        <v>1397370.7775999999</v>
      </c>
      <c r="I1922" s="22">
        <f>IFERROR(VLOOKUP(D1922,'LEAID Match'!$A$2:$B$184,2,FALSE),"")</f>
        <v>3703510</v>
      </c>
    </row>
    <row r="1923" spans="1:9" x14ac:dyDescent="0.2">
      <c r="A1923">
        <f t="shared" ref="A1923:A1986" si="30">I1923</f>
        <v>3703510</v>
      </c>
      <c r="B1923" s="24">
        <v>2022</v>
      </c>
      <c r="C1923" t="s">
        <v>434</v>
      </c>
      <c r="D1923" t="s">
        <v>794</v>
      </c>
      <c r="E1923" t="s">
        <v>794</v>
      </c>
      <c r="F1923" s="11">
        <v>86413397</v>
      </c>
      <c r="G1923" s="18">
        <v>6.8519999999999996E-4</v>
      </c>
      <c r="H1923" s="11">
        <v>1892485.3991999999</v>
      </c>
      <c r="I1923" s="22">
        <f>IFERROR(VLOOKUP(D1923,'LEAID Match'!$A$2:$B$184,2,FALSE),"")</f>
        <v>3703510</v>
      </c>
    </row>
    <row r="1924" spans="1:9" x14ac:dyDescent="0.2">
      <c r="A1924">
        <f t="shared" si="30"/>
        <v>3703510</v>
      </c>
      <c r="B1924" s="24">
        <v>2023</v>
      </c>
      <c r="C1924" t="s">
        <v>434</v>
      </c>
      <c r="D1924" t="s">
        <v>794</v>
      </c>
      <c r="E1924" t="s">
        <v>794</v>
      </c>
      <c r="F1924" s="11">
        <v>98809915</v>
      </c>
      <c r="G1924" s="18">
        <v>7.4350000000000002E-4</v>
      </c>
      <c r="H1924" s="11">
        <v>2256445.9194999998</v>
      </c>
      <c r="I1924" s="22">
        <f>IFERROR(VLOOKUP(D1924,'LEAID Match'!$A$2:$B$184,2,FALSE),"")</f>
        <v>3703510</v>
      </c>
    </row>
    <row r="1925" spans="1:9" x14ac:dyDescent="0.2">
      <c r="A1925">
        <f t="shared" si="30"/>
        <v>3700038</v>
      </c>
      <c r="B1925" s="24">
        <v>2015</v>
      </c>
      <c r="C1925" t="s">
        <v>435</v>
      </c>
      <c r="D1925" t="s">
        <v>795</v>
      </c>
      <c r="E1925" t="s">
        <v>381</v>
      </c>
      <c r="F1925" s="11">
        <v>22679672</v>
      </c>
      <c r="G1925" s="18">
        <v>1.983E-4</v>
      </c>
      <c r="H1925" s="11">
        <v>250450.52040000001</v>
      </c>
      <c r="I1925" s="22">
        <f>IFERROR(VLOOKUP(D1925,'LEAID Match'!$A$2:$B$184,2,FALSE),"")</f>
        <v>3700038</v>
      </c>
    </row>
    <row r="1926" spans="1:9" x14ac:dyDescent="0.2">
      <c r="A1926">
        <f t="shared" si="30"/>
        <v>3700038</v>
      </c>
      <c r="B1926" s="24">
        <v>2016</v>
      </c>
      <c r="C1926" t="s">
        <v>435</v>
      </c>
      <c r="D1926" t="s">
        <v>795</v>
      </c>
      <c r="E1926" t="s">
        <v>795</v>
      </c>
      <c r="F1926" s="11">
        <v>23511666</v>
      </c>
      <c r="G1926" s="18">
        <v>2.1709999999999999E-4</v>
      </c>
      <c r="H1926" s="11">
        <v>276803.15129999997</v>
      </c>
      <c r="I1926" s="22">
        <f>IFERROR(VLOOKUP(D1926,'LEAID Match'!$A$2:$B$184,2,FALSE),"")</f>
        <v>3700038</v>
      </c>
    </row>
    <row r="1927" spans="1:9" x14ac:dyDescent="0.2">
      <c r="A1927">
        <f t="shared" si="30"/>
        <v>3700038</v>
      </c>
      <c r="B1927" s="24">
        <v>2017</v>
      </c>
      <c r="C1927" t="s">
        <v>435</v>
      </c>
      <c r="D1927" t="s">
        <v>795</v>
      </c>
      <c r="E1927" t="s">
        <v>795</v>
      </c>
      <c r="F1927" s="11">
        <v>24908881</v>
      </c>
      <c r="G1927" s="18">
        <v>2.232E-4</v>
      </c>
      <c r="H1927" s="11">
        <v>321674.50079999998</v>
      </c>
      <c r="I1927" s="22">
        <f>IFERROR(VLOOKUP(D1927,'LEAID Match'!$A$2:$B$184,2,FALSE),"")</f>
        <v>3700038</v>
      </c>
    </row>
    <row r="1928" spans="1:9" x14ac:dyDescent="0.2">
      <c r="A1928">
        <f t="shared" si="30"/>
        <v>3700038</v>
      </c>
      <c r="B1928" s="24">
        <v>2018</v>
      </c>
      <c r="C1928" t="s">
        <v>435</v>
      </c>
      <c r="D1928" t="s">
        <v>795</v>
      </c>
      <c r="E1928" t="s">
        <v>795</v>
      </c>
      <c r="F1928" s="11">
        <v>27621670</v>
      </c>
      <c r="G1928" s="18">
        <v>2.377E-4</v>
      </c>
      <c r="H1928" s="11">
        <v>381009.56770000001</v>
      </c>
      <c r="I1928" s="22">
        <f>IFERROR(VLOOKUP(D1928,'LEAID Match'!$A$2:$B$184,2,FALSE),"")</f>
        <v>3700038</v>
      </c>
    </row>
    <row r="1929" spans="1:9" x14ac:dyDescent="0.2">
      <c r="A1929">
        <f t="shared" si="30"/>
        <v>3700038</v>
      </c>
      <c r="B1929" s="24">
        <v>2019</v>
      </c>
      <c r="C1929" t="s">
        <v>435</v>
      </c>
      <c r="D1929" t="s">
        <v>795</v>
      </c>
      <c r="E1929" t="s">
        <v>795</v>
      </c>
      <c r="F1929" s="11">
        <v>30984516</v>
      </c>
      <c r="G1929" s="18">
        <v>2.5720000000000002E-4</v>
      </c>
      <c r="H1929" s="11">
        <v>492575.55120000005</v>
      </c>
      <c r="I1929" s="22">
        <f>IFERROR(VLOOKUP(D1929,'LEAID Match'!$A$2:$B$184,2,FALSE),"")</f>
        <v>3700038</v>
      </c>
    </row>
    <row r="1930" spans="1:9" x14ac:dyDescent="0.2">
      <c r="A1930">
        <f t="shared" si="30"/>
        <v>3700038</v>
      </c>
      <c r="B1930" s="24">
        <v>2020</v>
      </c>
      <c r="C1930" t="s">
        <v>435</v>
      </c>
      <c r="D1930" t="s">
        <v>795</v>
      </c>
      <c r="E1930" t="s">
        <v>795</v>
      </c>
      <c r="F1930" s="11">
        <v>31244610</v>
      </c>
      <c r="G1930" s="18">
        <v>2.522E-4</v>
      </c>
      <c r="H1930" s="11">
        <v>518289.91500000004</v>
      </c>
      <c r="I1930" s="22">
        <f>IFERROR(VLOOKUP(D1930,'LEAID Match'!$A$2:$B$184,2,FALSE),"")</f>
        <v>3700038</v>
      </c>
    </row>
    <row r="1931" spans="1:9" x14ac:dyDescent="0.2">
      <c r="A1931">
        <f t="shared" si="30"/>
        <v>3700038</v>
      </c>
      <c r="B1931" s="24">
        <v>2021</v>
      </c>
      <c r="C1931" t="s">
        <v>435</v>
      </c>
      <c r="D1931" t="s">
        <v>795</v>
      </c>
      <c r="E1931" t="s">
        <v>795</v>
      </c>
      <c r="F1931" s="11">
        <v>26714403</v>
      </c>
      <c r="G1931" s="18">
        <v>2.1350000000000001E-4</v>
      </c>
      <c r="H1931" s="11">
        <v>506689.30200000003</v>
      </c>
      <c r="I1931" s="22">
        <f>IFERROR(VLOOKUP(D1931,'LEAID Match'!$A$2:$B$184,2,FALSE),"")</f>
        <v>3700038</v>
      </c>
    </row>
    <row r="1932" spans="1:9" x14ac:dyDescent="0.2">
      <c r="A1932">
        <f t="shared" si="30"/>
        <v>3700038</v>
      </c>
      <c r="B1932" s="24">
        <v>2022</v>
      </c>
      <c r="C1932" t="s">
        <v>435</v>
      </c>
      <c r="D1932" t="s">
        <v>795</v>
      </c>
      <c r="E1932" t="s">
        <v>795</v>
      </c>
      <c r="F1932" s="11">
        <v>27776344</v>
      </c>
      <c r="G1932" s="18">
        <v>2.2020000000000001E-4</v>
      </c>
      <c r="H1932" s="11">
        <v>608180.50920000009</v>
      </c>
      <c r="I1932" s="22">
        <f>IFERROR(VLOOKUP(D1932,'LEAID Match'!$A$2:$B$184,2,FALSE),"")</f>
        <v>3700038</v>
      </c>
    </row>
    <row r="1933" spans="1:9" x14ac:dyDescent="0.2">
      <c r="A1933">
        <f t="shared" si="30"/>
        <v>3700038</v>
      </c>
      <c r="B1933" s="24">
        <v>2023</v>
      </c>
      <c r="C1933" t="s">
        <v>435</v>
      </c>
      <c r="D1933" t="s">
        <v>795</v>
      </c>
      <c r="E1933" t="s">
        <v>795</v>
      </c>
      <c r="F1933" s="11">
        <v>31287660</v>
      </c>
      <c r="G1933" s="18">
        <v>2.354E-4</v>
      </c>
      <c r="H1933" s="11">
        <v>714414.75380000006</v>
      </c>
      <c r="I1933" s="22">
        <f>IFERROR(VLOOKUP(D1933,'LEAID Match'!$A$2:$B$184,2,FALSE),"")</f>
        <v>3700038</v>
      </c>
    </row>
    <row r="1934" spans="1:9" x14ac:dyDescent="0.2">
      <c r="A1934" t="str">
        <f t="shared" si="30"/>
        <v/>
      </c>
      <c r="B1934" s="24">
        <v>2015</v>
      </c>
      <c r="C1934" t="s">
        <v>490</v>
      </c>
      <c r="D1934" t="s">
        <v>796</v>
      </c>
      <c r="E1934" t="s">
        <v>436</v>
      </c>
      <c r="F1934" s="11">
        <v>22725110</v>
      </c>
      <c r="G1934" s="18">
        <v>1.9870000000000001E-4</v>
      </c>
      <c r="H1934" s="11">
        <v>250955.7156</v>
      </c>
      <c r="I1934" s="22" t="str">
        <f>IFERROR(VLOOKUP(D1934,'LEAID Match'!$A$2:$B$184,2,FALSE),"")</f>
        <v/>
      </c>
    </row>
    <row r="1935" spans="1:9" x14ac:dyDescent="0.2">
      <c r="A1935" t="str">
        <f t="shared" si="30"/>
        <v/>
      </c>
      <c r="B1935" s="24">
        <v>2016</v>
      </c>
      <c r="C1935" t="s">
        <v>490</v>
      </c>
      <c r="D1935" t="s">
        <v>796</v>
      </c>
      <c r="E1935" t="s">
        <v>796</v>
      </c>
      <c r="F1935" s="11">
        <v>22571737</v>
      </c>
      <c r="G1935" s="18">
        <v>2.084E-4</v>
      </c>
      <c r="H1935" s="11">
        <v>265710.62520000001</v>
      </c>
      <c r="I1935" s="22" t="str">
        <f>IFERROR(VLOOKUP(D1935,'LEAID Match'!$A$2:$B$184,2,FALSE),"")</f>
        <v/>
      </c>
    </row>
    <row r="1936" spans="1:9" x14ac:dyDescent="0.2">
      <c r="A1936" t="str">
        <f t="shared" si="30"/>
        <v/>
      </c>
      <c r="B1936" s="24">
        <v>2017</v>
      </c>
      <c r="C1936" t="s">
        <v>490</v>
      </c>
      <c r="D1936" t="s">
        <v>796</v>
      </c>
      <c r="E1936" t="s">
        <v>796</v>
      </c>
      <c r="F1936" s="11">
        <v>24811162</v>
      </c>
      <c r="G1936" s="18">
        <v>2.2240000000000001E-4</v>
      </c>
      <c r="H1936" s="11">
        <v>320521.54560000001</v>
      </c>
      <c r="I1936" s="22" t="str">
        <f>IFERROR(VLOOKUP(D1936,'LEAID Match'!$A$2:$B$184,2,FALSE),"")</f>
        <v/>
      </c>
    </row>
    <row r="1937" spans="1:9" x14ac:dyDescent="0.2">
      <c r="A1937" t="str">
        <f t="shared" si="30"/>
        <v/>
      </c>
      <c r="B1937" s="24">
        <v>2018</v>
      </c>
      <c r="C1937" t="s">
        <v>490</v>
      </c>
      <c r="D1937" t="s">
        <v>796</v>
      </c>
      <c r="E1937" t="s">
        <v>796</v>
      </c>
      <c r="F1937" s="11">
        <v>26233652</v>
      </c>
      <c r="G1937" s="18">
        <v>2.2570000000000001E-4</v>
      </c>
      <c r="H1937" s="11">
        <v>361774.75570000004</v>
      </c>
      <c r="I1937" s="22" t="str">
        <f>IFERROR(VLOOKUP(D1937,'LEAID Match'!$A$2:$B$184,2,FALSE),"")</f>
        <v/>
      </c>
    </row>
    <row r="1938" spans="1:9" x14ac:dyDescent="0.2">
      <c r="A1938" t="str">
        <f t="shared" si="30"/>
        <v/>
      </c>
      <c r="B1938" s="24">
        <v>2019</v>
      </c>
      <c r="C1938" t="s">
        <v>490</v>
      </c>
      <c r="D1938" t="s">
        <v>796</v>
      </c>
      <c r="E1938" t="s">
        <v>796</v>
      </c>
      <c r="F1938" s="11">
        <v>28077292</v>
      </c>
      <c r="G1938" s="18">
        <v>2.33E-4</v>
      </c>
      <c r="H1938" s="11">
        <v>446229.01799999998</v>
      </c>
      <c r="I1938" s="22" t="str">
        <f>IFERROR(VLOOKUP(D1938,'LEAID Match'!$A$2:$B$184,2,FALSE),"")</f>
        <v/>
      </c>
    </row>
    <row r="1939" spans="1:9" x14ac:dyDescent="0.2">
      <c r="A1939" t="str">
        <f t="shared" si="30"/>
        <v/>
      </c>
      <c r="B1939" s="24">
        <v>2020</v>
      </c>
      <c r="C1939" t="s">
        <v>490</v>
      </c>
      <c r="D1939" t="s">
        <v>796</v>
      </c>
      <c r="E1939" t="s">
        <v>796</v>
      </c>
      <c r="F1939" s="11">
        <v>28807770</v>
      </c>
      <c r="G1939" s="18">
        <v>2.3259999999999999E-4</v>
      </c>
      <c r="H1939" s="11">
        <v>478010.44499999995</v>
      </c>
      <c r="I1939" s="22" t="str">
        <f>IFERROR(VLOOKUP(D1939,'LEAID Match'!$A$2:$B$184,2,FALSE),"")</f>
        <v/>
      </c>
    </row>
    <row r="1940" spans="1:9" x14ac:dyDescent="0.2">
      <c r="A1940" t="str">
        <f t="shared" si="30"/>
        <v/>
      </c>
      <c r="B1940" s="24">
        <v>2021</v>
      </c>
      <c r="C1940" t="s">
        <v>490</v>
      </c>
      <c r="D1940" t="s">
        <v>796</v>
      </c>
      <c r="E1940" t="s">
        <v>796</v>
      </c>
      <c r="F1940" s="11">
        <v>28698427</v>
      </c>
      <c r="G1940" s="18">
        <v>2.2929999999999999E-4</v>
      </c>
      <c r="H1940" s="11">
        <v>544186.68359999999</v>
      </c>
      <c r="I1940" s="22" t="str">
        <f>IFERROR(VLOOKUP(D1940,'LEAID Match'!$A$2:$B$184,2,FALSE),"")</f>
        <v/>
      </c>
    </row>
    <row r="1941" spans="1:9" x14ac:dyDescent="0.2">
      <c r="A1941" t="str">
        <f t="shared" si="30"/>
        <v/>
      </c>
      <c r="B1941" s="24">
        <v>2022</v>
      </c>
      <c r="C1941" t="s">
        <v>490</v>
      </c>
      <c r="D1941" t="s">
        <v>796</v>
      </c>
      <c r="E1941" t="s">
        <v>796</v>
      </c>
      <c r="F1941" s="11">
        <v>26440522</v>
      </c>
      <c r="G1941" s="18">
        <v>2.096E-4</v>
      </c>
      <c r="H1941" s="11">
        <v>578903.88159999996</v>
      </c>
      <c r="I1941" s="22" t="str">
        <f>IFERROR(VLOOKUP(D1941,'LEAID Match'!$A$2:$B$184,2,FALSE),"")</f>
        <v/>
      </c>
    </row>
    <row r="1942" spans="1:9" x14ac:dyDescent="0.2">
      <c r="A1942" t="str">
        <f t="shared" si="30"/>
        <v/>
      </c>
      <c r="B1942" s="24">
        <v>2023</v>
      </c>
      <c r="C1942" t="s">
        <v>490</v>
      </c>
      <c r="D1942" t="s">
        <v>796</v>
      </c>
      <c r="E1942" t="s">
        <v>796</v>
      </c>
      <c r="F1942" s="11">
        <v>26568313</v>
      </c>
      <c r="G1942" s="18">
        <v>1.9990000000000001E-4</v>
      </c>
      <c r="H1942" s="11">
        <v>606675.91029999999</v>
      </c>
      <c r="I1942" s="22" t="str">
        <f>IFERROR(VLOOKUP(D1942,'LEAID Match'!$A$2:$B$184,2,FALSE),"")</f>
        <v/>
      </c>
    </row>
    <row r="1943" spans="1:9" x14ac:dyDescent="0.2">
      <c r="A1943">
        <f t="shared" si="30"/>
        <v>3703540</v>
      </c>
      <c r="B1943" s="24">
        <v>2015</v>
      </c>
      <c r="C1943" t="s">
        <v>491</v>
      </c>
      <c r="D1943" t="s">
        <v>797</v>
      </c>
      <c r="E1943" t="s">
        <v>437</v>
      </c>
      <c r="F1943" s="11">
        <v>248157858</v>
      </c>
      <c r="G1943" s="18">
        <v>2.1697000000000001E-3</v>
      </c>
      <c r="H1943" s="11">
        <v>2740305.0636</v>
      </c>
      <c r="I1943" s="22">
        <f>IFERROR(VLOOKUP(D1943,'LEAID Match'!$A$2:$B$184,2,FALSE),"")</f>
        <v>3703540</v>
      </c>
    </row>
    <row r="1944" spans="1:9" x14ac:dyDescent="0.2">
      <c r="A1944">
        <f t="shared" si="30"/>
        <v>3703540</v>
      </c>
      <c r="B1944" s="24">
        <v>2016</v>
      </c>
      <c r="C1944" t="s">
        <v>491</v>
      </c>
      <c r="D1944" t="s">
        <v>797</v>
      </c>
      <c r="E1944" t="s">
        <v>797</v>
      </c>
      <c r="F1944" s="11">
        <v>248014759</v>
      </c>
      <c r="G1944" s="18">
        <v>2.2902999999999999E-3</v>
      </c>
      <c r="H1944" s="11">
        <v>2920139.3709</v>
      </c>
      <c r="I1944" s="22">
        <f>IFERROR(VLOOKUP(D1944,'LEAID Match'!$A$2:$B$184,2,FALSE),"")</f>
        <v>3703540</v>
      </c>
    </row>
    <row r="1945" spans="1:9" x14ac:dyDescent="0.2">
      <c r="A1945">
        <f t="shared" si="30"/>
        <v>3703540</v>
      </c>
      <c r="B1945" s="24">
        <v>2017</v>
      </c>
      <c r="C1945" t="s">
        <v>491</v>
      </c>
      <c r="D1945" t="s">
        <v>797</v>
      </c>
      <c r="E1945" t="s">
        <v>797</v>
      </c>
      <c r="F1945" s="11">
        <v>243530993</v>
      </c>
      <c r="G1945" s="18">
        <v>2.1825E-3</v>
      </c>
      <c r="H1945" s="11">
        <v>3145405.9049999998</v>
      </c>
      <c r="I1945" s="22">
        <f>IFERROR(VLOOKUP(D1945,'LEAID Match'!$A$2:$B$184,2,FALSE),"")</f>
        <v>3703540</v>
      </c>
    </row>
    <row r="1946" spans="1:9" x14ac:dyDescent="0.2">
      <c r="A1946">
        <f t="shared" si="30"/>
        <v>3703540</v>
      </c>
      <c r="B1946" s="24">
        <v>2018</v>
      </c>
      <c r="C1946" t="s">
        <v>491</v>
      </c>
      <c r="D1946" t="s">
        <v>797</v>
      </c>
      <c r="E1946" t="s">
        <v>797</v>
      </c>
      <c r="F1946" s="11">
        <v>254053484</v>
      </c>
      <c r="G1946" s="18">
        <v>2.1862000000000001E-3</v>
      </c>
      <c r="H1946" s="11">
        <v>3504262.1662000003</v>
      </c>
      <c r="I1946" s="22">
        <f>IFERROR(VLOOKUP(D1946,'LEAID Match'!$A$2:$B$184,2,FALSE),"")</f>
        <v>3703540</v>
      </c>
    </row>
    <row r="1947" spans="1:9" x14ac:dyDescent="0.2">
      <c r="A1947">
        <f t="shared" si="30"/>
        <v>3703540</v>
      </c>
      <c r="B1947" s="24">
        <v>2019</v>
      </c>
      <c r="C1947" t="s">
        <v>491</v>
      </c>
      <c r="D1947" t="s">
        <v>797</v>
      </c>
      <c r="E1947" t="s">
        <v>797</v>
      </c>
      <c r="F1947" s="11">
        <v>253394733</v>
      </c>
      <c r="G1947" s="18">
        <v>2.1031999999999999E-3</v>
      </c>
      <c r="H1947" s="11">
        <v>4027935.0671999999</v>
      </c>
      <c r="I1947" s="22">
        <f>IFERROR(VLOOKUP(D1947,'LEAID Match'!$A$2:$B$184,2,FALSE),"")</f>
        <v>3703540</v>
      </c>
    </row>
    <row r="1948" spans="1:9" x14ac:dyDescent="0.2">
      <c r="A1948">
        <f t="shared" si="30"/>
        <v>3703540</v>
      </c>
      <c r="B1948" s="24">
        <v>2020</v>
      </c>
      <c r="C1948" t="s">
        <v>491</v>
      </c>
      <c r="D1948" t="s">
        <v>797</v>
      </c>
      <c r="E1948" t="s">
        <v>797</v>
      </c>
      <c r="F1948" s="11">
        <v>255145116</v>
      </c>
      <c r="G1948" s="18">
        <v>2.0598000000000001E-3</v>
      </c>
      <c r="H1948" s="11">
        <v>4233043.4850000003</v>
      </c>
      <c r="I1948" s="22">
        <f>IFERROR(VLOOKUP(D1948,'LEAID Match'!$A$2:$B$184,2,FALSE),"")</f>
        <v>3703540</v>
      </c>
    </row>
    <row r="1949" spans="1:9" x14ac:dyDescent="0.2">
      <c r="A1949">
        <f t="shared" si="30"/>
        <v>3703540</v>
      </c>
      <c r="B1949" s="24">
        <v>2021</v>
      </c>
      <c r="C1949" t="s">
        <v>491</v>
      </c>
      <c r="D1949" t="s">
        <v>797</v>
      </c>
      <c r="E1949" t="s">
        <v>797</v>
      </c>
      <c r="F1949" s="11">
        <v>237187455</v>
      </c>
      <c r="G1949" s="18">
        <v>1.8952000000000001E-3</v>
      </c>
      <c r="H1949" s="11">
        <v>4497787.1904000007</v>
      </c>
      <c r="I1949" s="22">
        <f>IFERROR(VLOOKUP(D1949,'LEAID Match'!$A$2:$B$184,2,FALSE),"")</f>
        <v>3703540</v>
      </c>
    </row>
    <row r="1950" spans="1:9" x14ac:dyDescent="0.2">
      <c r="A1950">
        <f t="shared" si="30"/>
        <v>3703540</v>
      </c>
      <c r="B1950" s="24">
        <v>2022</v>
      </c>
      <c r="C1950" t="s">
        <v>491</v>
      </c>
      <c r="D1950" t="s">
        <v>797</v>
      </c>
      <c r="E1950" t="s">
        <v>797</v>
      </c>
      <c r="F1950" s="11">
        <v>239886300</v>
      </c>
      <c r="G1950" s="18">
        <v>1.9021000000000001E-3</v>
      </c>
      <c r="H1950" s="11">
        <v>5253497.4866000004</v>
      </c>
      <c r="I1950" s="22">
        <f>IFERROR(VLOOKUP(D1950,'LEAID Match'!$A$2:$B$184,2,FALSE),"")</f>
        <v>3703540</v>
      </c>
    </row>
    <row r="1951" spans="1:9" x14ac:dyDescent="0.2">
      <c r="A1951">
        <f t="shared" si="30"/>
        <v>3703540</v>
      </c>
      <c r="B1951" s="24">
        <v>2023</v>
      </c>
      <c r="C1951" t="s">
        <v>491</v>
      </c>
      <c r="D1951" t="s">
        <v>797</v>
      </c>
      <c r="E1951" t="s">
        <v>797</v>
      </c>
      <c r="F1951" s="11">
        <v>254644870</v>
      </c>
      <c r="G1951" s="18">
        <v>1.916E-3</v>
      </c>
      <c r="H1951" s="11">
        <v>5814862.6519999998</v>
      </c>
      <c r="I1951" s="22">
        <f>IFERROR(VLOOKUP(D1951,'LEAID Match'!$A$2:$B$184,2,FALSE),"")</f>
        <v>3703540</v>
      </c>
    </row>
    <row r="1952" spans="1:9" x14ac:dyDescent="0.2">
      <c r="A1952">
        <f t="shared" si="30"/>
        <v>3700394</v>
      </c>
      <c r="B1952" s="24">
        <v>2016</v>
      </c>
      <c r="C1952" t="s">
        <v>850</v>
      </c>
      <c r="D1952" t="s">
        <v>913</v>
      </c>
      <c r="E1952" t="s">
        <v>798</v>
      </c>
      <c r="F1952" s="11">
        <v>4780020</v>
      </c>
      <c r="G1952" s="18">
        <v>4.4100000000000001E-5</v>
      </c>
      <c r="H1952" s="11">
        <v>56227.632300000005</v>
      </c>
      <c r="I1952" s="22">
        <f>IFERROR(VLOOKUP(D1952,'LEAID Match'!$A$2:$B$184,2,FALSE),"")</f>
        <v>3700394</v>
      </c>
    </row>
    <row r="1953" spans="1:9" x14ac:dyDescent="0.2">
      <c r="A1953">
        <f t="shared" si="30"/>
        <v>3700394</v>
      </c>
      <c r="B1953" s="24">
        <v>2017</v>
      </c>
      <c r="C1953" t="s">
        <v>850</v>
      </c>
      <c r="D1953" t="s">
        <v>913</v>
      </c>
      <c r="E1953" t="s">
        <v>913</v>
      </c>
      <c r="F1953" s="11">
        <v>9799858</v>
      </c>
      <c r="G1953" s="18">
        <v>8.7800000000000006E-5</v>
      </c>
      <c r="H1953" s="11">
        <v>126536.83320000001</v>
      </c>
      <c r="I1953" s="22">
        <f>IFERROR(VLOOKUP(D1953,'LEAID Match'!$A$2:$B$184,2,FALSE),"")</f>
        <v>3700394</v>
      </c>
    </row>
    <row r="1954" spans="1:9" x14ac:dyDescent="0.2">
      <c r="A1954">
        <f t="shared" si="30"/>
        <v>3700394</v>
      </c>
      <c r="B1954" s="24">
        <v>2018</v>
      </c>
      <c r="C1954" t="s">
        <v>850</v>
      </c>
      <c r="D1954" t="s">
        <v>913</v>
      </c>
      <c r="E1954" t="s">
        <v>913</v>
      </c>
      <c r="F1954" s="11">
        <v>12998130</v>
      </c>
      <c r="G1954" s="18">
        <v>1.119E-4</v>
      </c>
      <c r="H1954" s="11">
        <v>179364.6219</v>
      </c>
      <c r="I1954" s="22">
        <f>IFERROR(VLOOKUP(D1954,'LEAID Match'!$A$2:$B$184,2,FALSE),"")</f>
        <v>3700394</v>
      </c>
    </row>
    <row r="1955" spans="1:9" x14ac:dyDescent="0.2">
      <c r="A1955">
        <f t="shared" si="30"/>
        <v>3700394</v>
      </c>
      <c r="B1955" s="24">
        <v>2019</v>
      </c>
      <c r="C1955" t="s">
        <v>850</v>
      </c>
      <c r="D1955" t="s">
        <v>913</v>
      </c>
      <c r="E1955" t="s">
        <v>913</v>
      </c>
      <c r="F1955" s="11">
        <v>17340490</v>
      </c>
      <c r="G1955" s="18">
        <v>1.439E-4</v>
      </c>
      <c r="H1955" s="11">
        <v>275589.50939999998</v>
      </c>
      <c r="I1955" s="22">
        <f>IFERROR(VLOOKUP(D1955,'LEAID Match'!$A$2:$B$184,2,FALSE),"")</f>
        <v>3700394</v>
      </c>
    </row>
    <row r="1956" spans="1:9" x14ac:dyDescent="0.2">
      <c r="A1956">
        <f t="shared" si="30"/>
        <v>3700394</v>
      </c>
      <c r="B1956" s="24">
        <v>2020</v>
      </c>
      <c r="C1956" t="s">
        <v>850</v>
      </c>
      <c r="D1956" t="s">
        <v>913</v>
      </c>
      <c r="E1956" t="s">
        <v>913</v>
      </c>
      <c r="F1956" s="11">
        <v>21488880</v>
      </c>
      <c r="G1956" s="18">
        <v>1.7349999999999999E-4</v>
      </c>
      <c r="H1956" s="11">
        <v>356555.51249999995</v>
      </c>
      <c r="I1956" s="22">
        <f>IFERROR(VLOOKUP(D1956,'LEAID Match'!$A$2:$B$184,2,FALSE),"")</f>
        <v>3700394</v>
      </c>
    </row>
    <row r="1957" spans="1:9" x14ac:dyDescent="0.2">
      <c r="A1957">
        <f t="shared" si="30"/>
        <v>3700394</v>
      </c>
      <c r="B1957" s="24">
        <v>2021</v>
      </c>
      <c r="C1957" t="s">
        <v>850</v>
      </c>
      <c r="D1957" t="s">
        <v>913</v>
      </c>
      <c r="E1957" t="s">
        <v>913</v>
      </c>
      <c r="F1957" s="11">
        <v>24229588</v>
      </c>
      <c r="G1957" s="18">
        <v>1.9359999999999999E-4</v>
      </c>
      <c r="H1957" s="11">
        <v>459461.58719999995</v>
      </c>
      <c r="I1957" s="22">
        <f>IFERROR(VLOOKUP(D1957,'LEAID Match'!$A$2:$B$184,2,FALSE),"")</f>
        <v>3700394</v>
      </c>
    </row>
    <row r="1958" spans="1:9" x14ac:dyDescent="0.2">
      <c r="A1958">
        <f t="shared" si="30"/>
        <v>3700394</v>
      </c>
      <c r="B1958" s="24">
        <v>2022</v>
      </c>
      <c r="C1958" t="s">
        <v>850</v>
      </c>
      <c r="D1958" t="s">
        <v>913</v>
      </c>
      <c r="E1958" t="s">
        <v>913</v>
      </c>
      <c r="F1958" s="11">
        <v>27334583</v>
      </c>
      <c r="G1958" s="18">
        <v>2.1670000000000001E-4</v>
      </c>
      <c r="H1958" s="11">
        <v>598513.69819999998</v>
      </c>
      <c r="I1958" s="22">
        <f>IFERROR(VLOOKUP(D1958,'LEAID Match'!$A$2:$B$184,2,FALSE),"")</f>
        <v>3700394</v>
      </c>
    </row>
    <row r="1959" spans="1:9" x14ac:dyDescent="0.2">
      <c r="A1959">
        <f t="shared" si="30"/>
        <v>3700394</v>
      </c>
      <c r="B1959" s="24">
        <v>2023</v>
      </c>
      <c r="C1959" t="s">
        <v>850</v>
      </c>
      <c r="D1959" t="s">
        <v>913</v>
      </c>
      <c r="E1959" t="s">
        <v>913</v>
      </c>
      <c r="F1959" s="11">
        <v>30362813</v>
      </c>
      <c r="G1959" s="18">
        <v>2.285E-4</v>
      </c>
      <c r="H1959" s="11">
        <v>693473.9645</v>
      </c>
      <c r="I1959" s="22">
        <f>IFERROR(VLOOKUP(D1959,'LEAID Match'!$A$2:$B$184,2,FALSE),"")</f>
        <v>3700394</v>
      </c>
    </row>
    <row r="1960" spans="1:9" x14ac:dyDescent="0.2">
      <c r="A1960" t="str">
        <f t="shared" si="30"/>
        <v/>
      </c>
      <c r="B1960" s="24">
        <v>2015</v>
      </c>
      <c r="C1960" t="s">
        <v>492</v>
      </c>
      <c r="D1960" t="s">
        <v>799</v>
      </c>
      <c r="E1960" t="s">
        <v>438</v>
      </c>
      <c r="F1960" s="11">
        <v>62463960</v>
      </c>
      <c r="G1960" s="18">
        <v>5.4609999999999999E-4</v>
      </c>
      <c r="H1960" s="11">
        <v>689717.74679999996</v>
      </c>
      <c r="I1960" s="22" t="str">
        <f>IFERROR(VLOOKUP(D1960,'LEAID Match'!$A$2:$B$184,2,FALSE),"")</f>
        <v/>
      </c>
    </row>
    <row r="1961" spans="1:9" x14ac:dyDescent="0.2">
      <c r="A1961" t="str">
        <f t="shared" si="30"/>
        <v/>
      </c>
      <c r="B1961" s="24">
        <v>2016</v>
      </c>
      <c r="C1961" t="s">
        <v>492</v>
      </c>
      <c r="D1961" t="s">
        <v>799</v>
      </c>
      <c r="E1961" t="s">
        <v>799</v>
      </c>
      <c r="F1961" s="11">
        <v>58416817</v>
      </c>
      <c r="G1961" s="18">
        <v>5.3939999999999999E-4</v>
      </c>
      <c r="H1961" s="11">
        <v>687736.61820000003</v>
      </c>
      <c r="I1961" s="22" t="str">
        <f>IFERROR(VLOOKUP(D1961,'LEAID Match'!$A$2:$B$184,2,FALSE),"")</f>
        <v/>
      </c>
    </row>
    <row r="1962" spans="1:9" x14ac:dyDescent="0.2">
      <c r="A1962" t="str">
        <f t="shared" si="30"/>
        <v/>
      </c>
      <c r="B1962" s="24">
        <v>2017</v>
      </c>
      <c r="C1962" t="s">
        <v>492</v>
      </c>
      <c r="D1962" t="s">
        <v>799</v>
      </c>
      <c r="E1962" t="s">
        <v>799</v>
      </c>
      <c r="F1962" s="11">
        <v>58996269</v>
      </c>
      <c r="G1962" s="18">
        <v>5.287E-4</v>
      </c>
      <c r="H1962" s="11">
        <v>761959.26780000003</v>
      </c>
      <c r="I1962" s="22" t="str">
        <f>IFERROR(VLOOKUP(D1962,'LEAID Match'!$A$2:$B$184,2,FALSE),"")</f>
        <v/>
      </c>
    </row>
    <row r="1963" spans="1:9" x14ac:dyDescent="0.2">
      <c r="A1963" t="str">
        <f t="shared" si="30"/>
        <v/>
      </c>
      <c r="B1963" s="24">
        <v>2018</v>
      </c>
      <c r="C1963" t="s">
        <v>492</v>
      </c>
      <c r="D1963" t="s">
        <v>799</v>
      </c>
      <c r="E1963" t="s">
        <v>799</v>
      </c>
      <c r="F1963" s="11">
        <v>60613084</v>
      </c>
      <c r="G1963" s="18">
        <v>5.2159999999999999E-4</v>
      </c>
      <c r="H1963" s="11">
        <v>836073.16159999999</v>
      </c>
      <c r="I1963" s="22" t="str">
        <f>IFERROR(VLOOKUP(D1963,'LEAID Match'!$A$2:$B$184,2,FALSE),"")</f>
        <v/>
      </c>
    </row>
    <row r="1964" spans="1:9" x14ac:dyDescent="0.2">
      <c r="A1964" t="str">
        <f t="shared" si="30"/>
        <v/>
      </c>
      <c r="B1964" s="24">
        <v>2019</v>
      </c>
      <c r="C1964" t="s">
        <v>492</v>
      </c>
      <c r="D1964" t="s">
        <v>799</v>
      </c>
      <c r="E1964" t="s">
        <v>799</v>
      </c>
      <c r="F1964" s="11">
        <v>62965647</v>
      </c>
      <c r="G1964" s="18">
        <v>5.2260000000000002E-4</v>
      </c>
      <c r="H1964" s="11">
        <v>1000855.2996</v>
      </c>
      <c r="I1964" s="22" t="str">
        <f>IFERROR(VLOOKUP(D1964,'LEAID Match'!$A$2:$B$184,2,FALSE),"")</f>
        <v/>
      </c>
    </row>
    <row r="1965" spans="1:9" x14ac:dyDescent="0.2">
      <c r="A1965" t="str">
        <f t="shared" si="30"/>
        <v/>
      </c>
      <c r="B1965" s="24">
        <v>2020</v>
      </c>
      <c r="C1965" t="s">
        <v>492</v>
      </c>
      <c r="D1965" t="s">
        <v>799</v>
      </c>
      <c r="E1965" t="s">
        <v>799</v>
      </c>
      <c r="F1965" s="11">
        <v>66104420</v>
      </c>
      <c r="G1965" s="18">
        <v>5.3370000000000002E-4</v>
      </c>
      <c r="H1965" s="11">
        <v>1096793.5275000001</v>
      </c>
      <c r="I1965" s="22" t="str">
        <f>IFERROR(VLOOKUP(D1965,'LEAID Match'!$A$2:$B$184,2,FALSE),"")</f>
        <v/>
      </c>
    </row>
    <row r="1966" spans="1:9" x14ac:dyDescent="0.2">
      <c r="A1966" t="str">
        <f t="shared" si="30"/>
        <v/>
      </c>
      <c r="B1966" s="24">
        <v>2021</v>
      </c>
      <c r="C1966" t="s">
        <v>492</v>
      </c>
      <c r="D1966" t="s">
        <v>799</v>
      </c>
      <c r="E1966" t="s">
        <v>799</v>
      </c>
      <c r="F1966" s="11">
        <v>70284013</v>
      </c>
      <c r="G1966" s="18">
        <v>5.6159999999999999E-4</v>
      </c>
      <c r="H1966" s="11">
        <v>1332818.3232</v>
      </c>
      <c r="I1966" s="22" t="str">
        <f>IFERROR(VLOOKUP(D1966,'LEAID Match'!$A$2:$B$184,2,FALSE),"")</f>
        <v/>
      </c>
    </row>
    <row r="1967" spans="1:9" x14ac:dyDescent="0.2">
      <c r="A1967" t="str">
        <f t="shared" si="30"/>
        <v/>
      </c>
      <c r="B1967" s="24">
        <v>2022</v>
      </c>
      <c r="C1967" t="s">
        <v>492</v>
      </c>
      <c r="D1967" t="s">
        <v>799</v>
      </c>
      <c r="E1967" t="s">
        <v>799</v>
      </c>
      <c r="F1967" s="11">
        <v>72949231</v>
      </c>
      <c r="G1967" s="18">
        <v>5.7839999999999996E-4</v>
      </c>
      <c r="H1967" s="11">
        <v>1597509.5663999999</v>
      </c>
      <c r="I1967" s="22" t="str">
        <f>IFERROR(VLOOKUP(D1967,'LEAID Match'!$A$2:$B$184,2,FALSE),"")</f>
        <v/>
      </c>
    </row>
    <row r="1968" spans="1:9" x14ac:dyDescent="0.2">
      <c r="A1968" t="str">
        <f t="shared" si="30"/>
        <v/>
      </c>
      <c r="B1968" s="24">
        <v>2023</v>
      </c>
      <c r="C1968" t="s">
        <v>492</v>
      </c>
      <c r="D1968" t="s">
        <v>799</v>
      </c>
      <c r="E1968" t="s">
        <v>799</v>
      </c>
      <c r="F1968" s="11">
        <v>81020253</v>
      </c>
      <c r="G1968" s="18">
        <v>6.0959999999999996E-4</v>
      </c>
      <c r="H1968" s="11">
        <v>1850073.2111999998</v>
      </c>
      <c r="I1968" s="22" t="str">
        <f>IFERROR(VLOOKUP(D1968,'LEAID Match'!$A$2:$B$184,2,FALSE),"")</f>
        <v/>
      </c>
    </row>
    <row r="1969" spans="1:9" x14ac:dyDescent="0.2">
      <c r="A1969">
        <f t="shared" si="30"/>
        <v>3703570</v>
      </c>
      <c r="B1969" s="24">
        <v>2015</v>
      </c>
      <c r="C1969" t="s">
        <v>493</v>
      </c>
      <c r="D1969" t="s">
        <v>800</v>
      </c>
      <c r="E1969" t="s">
        <v>439</v>
      </c>
      <c r="F1969" s="11">
        <v>353515726</v>
      </c>
      <c r="G1969" s="18">
        <v>3.0909000000000002E-3</v>
      </c>
      <c r="H1969" s="11">
        <v>3903769.6092000003</v>
      </c>
      <c r="I1969" s="22">
        <f>IFERROR(VLOOKUP(D1969,'LEAID Match'!$A$2:$B$184,2,FALSE),"")</f>
        <v>3703570</v>
      </c>
    </row>
    <row r="1970" spans="1:9" x14ac:dyDescent="0.2">
      <c r="A1970">
        <f t="shared" si="30"/>
        <v>3703570</v>
      </c>
      <c r="B1970" s="24">
        <v>2016</v>
      </c>
      <c r="C1970" t="s">
        <v>493</v>
      </c>
      <c r="D1970" t="s">
        <v>800</v>
      </c>
      <c r="E1970" t="s">
        <v>800</v>
      </c>
      <c r="F1970" s="11">
        <v>343531620</v>
      </c>
      <c r="G1970" s="18">
        <v>3.1722999999999999E-3</v>
      </c>
      <c r="H1970" s="11">
        <v>4044692.0168999997</v>
      </c>
      <c r="I1970" s="22">
        <f>IFERROR(VLOOKUP(D1970,'LEAID Match'!$A$2:$B$184,2,FALSE),"")</f>
        <v>3703570</v>
      </c>
    </row>
    <row r="1971" spans="1:9" x14ac:dyDescent="0.2">
      <c r="A1971">
        <f t="shared" si="30"/>
        <v>3703570</v>
      </c>
      <c r="B1971" s="24">
        <v>2017</v>
      </c>
      <c r="C1971" t="s">
        <v>493</v>
      </c>
      <c r="D1971" t="s">
        <v>800</v>
      </c>
      <c r="E1971" t="s">
        <v>800</v>
      </c>
      <c r="F1971" s="11">
        <v>364179257</v>
      </c>
      <c r="G1971" s="18">
        <v>3.2637999999999999E-3</v>
      </c>
      <c r="H1971" s="11">
        <v>4703768.9771999996</v>
      </c>
      <c r="I1971" s="22">
        <f>IFERROR(VLOOKUP(D1971,'LEAID Match'!$A$2:$B$184,2,FALSE),"")</f>
        <v>3703570</v>
      </c>
    </row>
    <row r="1972" spans="1:9" x14ac:dyDescent="0.2">
      <c r="A1972">
        <f t="shared" si="30"/>
        <v>3703570</v>
      </c>
      <c r="B1972" s="24">
        <v>2018</v>
      </c>
      <c r="C1972" t="s">
        <v>493</v>
      </c>
      <c r="D1972" t="s">
        <v>800</v>
      </c>
      <c r="E1972" t="s">
        <v>800</v>
      </c>
      <c r="F1972" s="11">
        <v>380021253</v>
      </c>
      <c r="G1972" s="18">
        <v>3.2702E-3</v>
      </c>
      <c r="H1972" s="11">
        <v>5241806.8502000002</v>
      </c>
      <c r="I1972" s="22">
        <f>IFERROR(VLOOKUP(D1972,'LEAID Match'!$A$2:$B$184,2,FALSE),"")</f>
        <v>3703570</v>
      </c>
    </row>
    <row r="1973" spans="1:9" x14ac:dyDescent="0.2">
      <c r="A1973">
        <f t="shared" si="30"/>
        <v>3703570</v>
      </c>
      <c r="B1973" s="24">
        <v>2019</v>
      </c>
      <c r="C1973" t="s">
        <v>493</v>
      </c>
      <c r="D1973" t="s">
        <v>800</v>
      </c>
      <c r="E1973" t="s">
        <v>800</v>
      </c>
      <c r="F1973" s="11">
        <v>402974212</v>
      </c>
      <c r="G1973" s="18">
        <v>3.3446999999999999E-3</v>
      </c>
      <c r="H1973" s="11">
        <v>6405588.8262</v>
      </c>
      <c r="I1973" s="22">
        <f>IFERROR(VLOOKUP(D1973,'LEAID Match'!$A$2:$B$184,2,FALSE),"")</f>
        <v>3703570</v>
      </c>
    </row>
    <row r="1974" spans="1:9" x14ac:dyDescent="0.2">
      <c r="A1974">
        <f t="shared" si="30"/>
        <v>3703570</v>
      </c>
      <c r="B1974" s="24">
        <v>2020</v>
      </c>
      <c r="C1974" t="s">
        <v>493</v>
      </c>
      <c r="D1974" t="s">
        <v>800</v>
      </c>
      <c r="E1974" t="s">
        <v>800</v>
      </c>
      <c r="F1974" s="11">
        <v>426592168</v>
      </c>
      <c r="G1974" s="18">
        <v>3.4437999999999999E-3</v>
      </c>
      <c r="H1974" s="11">
        <v>7077267.2850000001</v>
      </c>
      <c r="I1974" s="22">
        <f>IFERROR(VLOOKUP(D1974,'LEAID Match'!$A$2:$B$184,2,FALSE),"")</f>
        <v>3703570</v>
      </c>
    </row>
    <row r="1975" spans="1:9" x14ac:dyDescent="0.2">
      <c r="A1975">
        <f t="shared" si="30"/>
        <v>3703570</v>
      </c>
      <c r="B1975" s="24">
        <v>2021</v>
      </c>
      <c r="C1975" t="s">
        <v>493</v>
      </c>
      <c r="D1975" t="s">
        <v>800</v>
      </c>
      <c r="E1975" t="s">
        <v>800</v>
      </c>
      <c r="F1975" s="11">
        <v>422865555</v>
      </c>
      <c r="G1975" s="18">
        <v>3.3788999999999998E-3</v>
      </c>
      <c r="H1975" s="11">
        <v>8018981.1827999996</v>
      </c>
      <c r="I1975" s="22">
        <f>IFERROR(VLOOKUP(D1975,'LEAID Match'!$A$2:$B$184,2,FALSE),"")</f>
        <v>3703570</v>
      </c>
    </row>
    <row r="1976" spans="1:9" x14ac:dyDescent="0.2">
      <c r="A1976">
        <f t="shared" si="30"/>
        <v>3703570</v>
      </c>
      <c r="B1976" s="24">
        <v>2022</v>
      </c>
      <c r="C1976" t="s">
        <v>493</v>
      </c>
      <c r="D1976" t="s">
        <v>800</v>
      </c>
      <c r="E1976" t="s">
        <v>800</v>
      </c>
      <c r="F1976" s="11">
        <v>447600667</v>
      </c>
      <c r="G1976" s="18">
        <v>3.5490000000000001E-3</v>
      </c>
      <c r="H1976" s="11">
        <v>9802146.3540000003</v>
      </c>
      <c r="I1976" s="22">
        <f>IFERROR(VLOOKUP(D1976,'LEAID Match'!$A$2:$B$184,2,FALSE),"")</f>
        <v>3703570</v>
      </c>
    </row>
    <row r="1977" spans="1:9" x14ac:dyDescent="0.2">
      <c r="A1977">
        <f t="shared" si="30"/>
        <v>3703570</v>
      </c>
      <c r="B1977" s="24">
        <v>2023</v>
      </c>
      <c r="C1977" t="s">
        <v>493</v>
      </c>
      <c r="D1977" t="s">
        <v>800</v>
      </c>
      <c r="E1977" t="s">
        <v>800</v>
      </c>
      <c r="F1977" s="11">
        <v>508573556</v>
      </c>
      <c r="G1977" s="18">
        <v>3.8265999999999999E-3</v>
      </c>
      <c r="H1977" s="11">
        <v>11613336.860199999</v>
      </c>
      <c r="I1977" s="22">
        <f>IFERROR(VLOOKUP(D1977,'LEAID Match'!$A$2:$B$184,2,FALSE),"")</f>
        <v>3703570</v>
      </c>
    </row>
    <row r="1978" spans="1:9" x14ac:dyDescent="0.2">
      <c r="A1978">
        <f t="shared" si="30"/>
        <v>3703600</v>
      </c>
      <c r="B1978" s="24">
        <v>2015</v>
      </c>
      <c r="C1978" t="s">
        <v>494</v>
      </c>
      <c r="D1978" t="s">
        <v>801</v>
      </c>
      <c r="E1978" t="s">
        <v>440</v>
      </c>
      <c r="F1978" s="11">
        <v>85086934</v>
      </c>
      <c r="G1978" s="18">
        <v>7.4390000000000003E-4</v>
      </c>
      <c r="H1978" s="11">
        <v>939536.77320000005</v>
      </c>
      <c r="I1978" s="22">
        <f>IFERROR(VLOOKUP(D1978,'LEAID Match'!$A$2:$B$184,2,FALSE),"")</f>
        <v>3703600</v>
      </c>
    </row>
    <row r="1979" spans="1:9" x14ac:dyDescent="0.2">
      <c r="A1979">
        <f t="shared" si="30"/>
        <v>3703600</v>
      </c>
      <c r="B1979" s="24">
        <v>2016</v>
      </c>
      <c r="C1979" t="s">
        <v>494</v>
      </c>
      <c r="D1979" t="s">
        <v>801</v>
      </c>
      <c r="E1979" t="s">
        <v>801</v>
      </c>
      <c r="F1979" s="11">
        <v>77500191</v>
      </c>
      <c r="G1979" s="18">
        <v>7.157E-4</v>
      </c>
      <c r="H1979" s="11">
        <v>912519.64709999994</v>
      </c>
      <c r="I1979" s="22">
        <f>IFERROR(VLOOKUP(D1979,'LEAID Match'!$A$2:$B$184,2,FALSE),"")</f>
        <v>3703600</v>
      </c>
    </row>
    <row r="1980" spans="1:9" x14ac:dyDescent="0.2">
      <c r="A1980">
        <f t="shared" si="30"/>
        <v>3703600</v>
      </c>
      <c r="B1980" s="24">
        <v>2017</v>
      </c>
      <c r="C1980" t="s">
        <v>494</v>
      </c>
      <c r="D1980" t="s">
        <v>801</v>
      </c>
      <c r="E1980" t="s">
        <v>801</v>
      </c>
      <c r="F1980" s="11">
        <v>81309798</v>
      </c>
      <c r="G1980" s="18">
        <v>7.2869999999999999E-4</v>
      </c>
      <c r="H1980" s="11">
        <v>1050198.0678000001</v>
      </c>
      <c r="I1980" s="22">
        <f>IFERROR(VLOOKUP(D1980,'LEAID Match'!$A$2:$B$184,2,FALSE),"")</f>
        <v>3703600</v>
      </c>
    </row>
    <row r="1981" spans="1:9" x14ac:dyDescent="0.2">
      <c r="A1981">
        <f t="shared" si="30"/>
        <v>3703600</v>
      </c>
      <c r="B1981" s="24">
        <v>2018</v>
      </c>
      <c r="C1981" t="s">
        <v>494</v>
      </c>
      <c r="D1981" t="s">
        <v>801</v>
      </c>
      <c r="E1981" t="s">
        <v>801</v>
      </c>
      <c r="F1981" s="11">
        <v>79736289</v>
      </c>
      <c r="G1981" s="18">
        <v>6.8619999999999998E-4</v>
      </c>
      <c r="H1981" s="11">
        <v>1099910.6661999999</v>
      </c>
      <c r="I1981" s="22">
        <f>IFERROR(VLOOKUP(D1981,'LEAID Match'!$A$2:$B$184,2,FALSE),"")</f>
        <v>3703600</v>
      </c>
    </row>
    <row r="1982" spans="1:9" x14ac:dyDescent="0.2">
      <c r="A1982">
        <f t="shared" si="30"/>
        <v>3703600</v>
      </c>
      <c r="B1982" s="24">
        <v>2019</v>
      </c>
      <c r="C1982" t="s">
        <v>494</v>
      </c>
      <c r="D1982" t="s">
        <v>801</v>
      </c>
      <c r="E1982" t="s">
        <v>801</v>
      </c>
      <c r="F1982" s="11">
        <v>83644684</v>
      </c>
      <c r="G1982" s="18">
        <v>6.9430000000000002E-4</v>
      </c>
      <c r="H1982" s="11">
        <v>1329685.8678000001</v>
      </c>
      <c r="I1982" s="22">
        <f>IFERROR(VLOOKUP(D1982,'LEAID Match'!$A$2:$B$184,2,FALSE),"")</f>
        <v>3703600</v>
      </c>
    </row>
    <row r="1983" spans="1:9" x14ac:dyDescent="0.2">
      <c r="A1983">
        <f t="shared" si="30"/>
        <v>3703600</v>
      </c>
      <c r="B1983" s="24">
        <v>2020</v>
      </c>
      <c r="C1983" t="s">
        <v>494</v>
      </c>
      <c r="D1983" t="s">
        <v>801</v>
      </c>
      <c r="E1983" t="s">
        <v>801</v>
      </c>
      <c r="F1983" s="11">
        <v>85775751</v>
      </c>
      <c r="G1983" s="18">
        <v>6.9249999999999997E-4</v>
      </c>
      <c r="H1983" s="11">
        <v>1423139.4375</v>
      </c>
      <c r="I1983" s="22">
        <f>IFERROR(VLOOKUP(D1983,'LEAID Match'!$A$2:$B$184,2,FALSE),"")</f>
        <v>3703600</v>
      </c>
    </row>
    <row r="1984" spans="1:9" x14ac:dyDescent="0.2">
      <c r="A1984">
        <f t="shared" si="30"/>
        <v>3703600</v>
      </c>
      <c r="B1984" s="24">
        <v>2021</v>
      </c>
      <c r="C1984" t="s">
        <v>494</v>
      </c>
      <c r="D1984" t="s">
        <v>801</v>
      </c>
      <c r="E1984" t="s">
        <v>801</v>
      </c>
      <c r="F1984" s="11">
        <v>77898044</v>
      </c>
      <c r="G1984" s="18">
        <v>6.2239999999999995E-4</v>
      </c>
      <c r="H1984" s="11">
        <v>1477112.0447999998</v>
      </c>
      <c r="I1984" s="22">
        <f>IFERROR(VLOOKUP(D1984,'LEAID Match'!$A$2:$B$184,2,FALSE),"")</f>
        <v>3703600</v>
      </c>
    </row>
    <row r="1985" spans="1:9" x14ac:dyDescent="0.2">
      <c r="A1985">
        <f t="shared" si="30"/>
        <v>3703600</v>
      </c>
      <c r="B1985" s="24">
        <v>2022</v>
      </c>
      <c r="C1985" t="s">
        <v>494</v>
      </c>
      <c r="D1985" t="s">
        <v>801</v>
      </c>
      <c r="E1985" t="s">
        <v>801</v>
      </c>
      <c r="F1985" s="11">
        <v>87700269</v>
      </c>
      <c r="G1985" s="18">
        <v>6.9539999999999999E-4</v>
      </c>
      <c r="H1985" s="11">
        <v>1920657.2483999999</v>
      </c>
      <c r="I1985" s="22">
        <f>IFERROR(VLOOKUP(D1985,'LEAID Match'!$A$2:$B$184,2,FALSE),"")</f>
        <v>3703600</v>
      </c>
    </row>
    <row r="1986" spans="1:9" x14ac:dyDescent="0.2">
      <c r="A1986">
        <f t="shared" si="30"/>
        <v>3703600</v>
      </c>
      <c r="B1986" s="24">
        <v>2023</v>
      </c>
      <c r="C1986" t="s">
        <v>494</v>
      </c>
      <c r="D1986" t="s">
        <v>801</v>
      </c>
      <c r="E1986" t="s">
        <v>801</v>
      </c>
      <c r="F1986" s="11">
        <v>95049311</v>
      </c>
      <c r="G1986" s="18">
        <v>7.1520000000000004E-4</v>
      </c>
      <c r="H1986" s="11">
        <v>2170558.3344000001</v>
      </c>
      <c r="I1986" s="22">
        <f>IFERROR(VLOOKUP(D1986,'LEAID Match'!$A$2:$B$184,2,FALSE),"")</f>
        <v>3703600</v>
      </c>
    </row>
    <row r="1987" spans="1:9" x14ac:dyDescent="0.2">
      <c r="A1987">
        <f t="shared" ref="A1987:A2050" si="31">I1987</f>
        <v>3703630</v>
      </c>
      <c r="B1987" s="24">
        <v>2015</v>
      </c>
      <c r="C1987" t="s">
        <v>495</v>
      </c>
      <c r="D1987" t="s">
        <v>802</v>
      </c>
      <c r="E1987" t="s">
        <v>441</v>
      </c>
      <c r="F1987" s="11">
        <v>210711019</v>
      </c>
      <c r="G1987" s="18">
        <v>1.8423000000000001E-3</v>
      </c>
      <c r="H1987" s="11">
        <v>2326802.7924000002</v>
      </c>
      <c r="I1987" s="22">
        <f>IFERROR(VLOOKUP(D1987,'LEAID Match'!$A$2:$B$184,2,FALSE),"")</f>
        <v>3703630</v>
      </c>
    </row>
    <row r="1988" spans="1:9" x14ac:dyDescent="0.2">
      <c r="A1988">
        <f t="shared" si="31"/>
        <v>3703630</v>
      </c>
      <c r="B1988" s="24">
        <v>2016</v>
      </c>
      <c r="C1988" t="s">
        <v>495</v>
      </c>
      <c r="D1988" t="s">
        <v>802</v>
      </c>
      <c r="E1988" t="s">
        <v>802</v>
      </c>
      <c r="F1988" s="11">
        <v>204775993</v>
      </c>
      <c r="G1988" s="18">
        <v>1.8910000000000001E-3</v>
      </c>
      <c r="H1988" s="11">
        <v>2411030.673</v>
      </c>
      <c r="I1988" s="22">
        <f>IFERROR(VLOOKUP(D1988,'LEAID Match'!$A$2:$B$184,2,FALSE),"")</f>
        <v>3703630</v>
      </c>
    </row>
    <row r="1989" spans="1:9" x14ac:dyDescent="0.2">
      <c r="A1989">
        <f t="shared" si="31"/>
        <v>3703630</v>
      </c>
      <c r="B1989" s="24">
        <v>2017</v>
      </c>
      <c r="C1989" t="s">
        <v>495</v>
      </c>
      <c r="D1989" t="s">
        <v>802</v>
      </c>
      <c r="E1989" t="s">
        <v>802</v>
      </c>
      <c r="F1989" s="11">
        <v>216013326</v>
      </c>
      <c r="G1989" s="18">
        <v>1.9358999999999999E-3</v>
      </c>
      <c r="H1989" s="11">
        <v>2790007.4646000001</v>
      </c>
      <c r="I1989" s="22">
        <f>IFERROR(VLOOKUP(D1989,'LEAID Match'!$A$2:$B$184,2,FALSE),"")</f>
        <v>3703630</v>
      </c>
    </row>
    <row r="1990" spans="1:9" x14ac:dyDescent="0.2">
      <c r="A1990">
        <f t="shared" si="31"/>
        <v>3703630</v>
      </c>
      <c r="B1990" s="24">
        <v>2018</v>
      </c>
      <c r="C1990" t="s">
        <v>495</v>
      </c>
      <c r="D1990" t="s">
        <v>802</v>
      </c>
      <c r="E1990" t="s">
        <v>802</v>
      </c>
      <c r="F1990" s="11">
        <v>225672257</v>
      </c>
      <c r="G1990" s="18">
        <v>1.9419999999999999E-3</v>
      </c>
      <c r="H1990" s="11">
        <v>3112833.7420000001</v>
      </c>
      <c r="I1990" s="22">
        <f>IFERROR(VLOOKUP(D1990,'LEAID Match'!$A$2:$B$184,2,FALSE),"")</f>
        <v>3703630</v>
      </c>
    </row>
    <row r="1991" spans="1:9" x14ac:dyDescent="0.2">
      <c r="A1991">
        <f t="shared" si="31"/>
        <v>3703630</v>
      </c>
      <c r="B1991" s="24">
        <v>2019</v>
      </c>
      <c r="C1991" t="s">
        <v>495</v>
      </c>
      <c r="D1991" t="s">
        <v>802</v>
      </c>
      <c r="E1991" t="s">
        <v>802</v>
      </c>
      <c r="F1991" s="11">
        <v>225885024</v>
      </c>
      <c r="G1991" s="18">
        <v>1.8748E-3</v>
      </c>
      <c r="H1991" s="11">
        <v>3590515.7208000002</v>
      </c>
      <c r="I1991" s="22">
        <f>IFERROR(VLOOKUP(D1991,'LEAID Match'!$A$2:$B$184,2,FALSE),"")</f>
        <v>3703630</v>
      </c>
    </row>
    <row r="1992" spans="1:9" x14ac:dyDescent="0.2">
      <c r="A1992">
        <f t="shared" si="31"/>
        <v>3703630</v>
      </c>
      <c r="B1992" s="24">
        <v>2020</v>
      </c>
      <c r="C1992" t="s">
        <v>495</v>
      </c>
      <c r="D1992" t="s">
        <v>802</v>
      </c>
      <c r="E1992" t="s">
        <v>802</v>
      </c>
      <c r="F1992" s="11">
        <v>221438675</v>
      </c>
      <c r="G1992" s="18">
        <v>1.7876000000000001E-3</v>
      </c>
      <c r="H1992" s="11">
        <v>3673652.0700000003</v>
      </c>
      <c r="I1992" s="22">
        <f>IFERROR(VLOOKUP(D1992,'LEAID Match'!$A$2:$B$184,2,FALSE),"")</f>
        <v>3703630</v>
      </c>
    </row>
    <row r="1993" spans="1:9" x14ac:dyDescent="0.2">
      <c r="A1993">
        <f t="shared" si="31"/>
        <v>3703630</v>
      </c>
      <c r="B1993" s="24">
        <v>2021</v>
      </c>
      <c r="C1993" t="s">
        <v>495</v>
      </c>
      <c r="D1993" t="s">
        <v>802</v>
      </c>
      <c r="E1993" t="s">
        <v>802</v>
      </c>
      <c r="F1993" s="11">
        <v>214214486</v>
      </c>
      <c r="G1993" s="18">
        <v>1.7117E-3</v>
      </c>
      <c r="H1993" s="11">
        <v>4062295.4484000001</v>
      </c>
      <c r="I1993" s="22">
        <f>IFERROR(VLOOKUP(D1993,'LEAID Match'!$A$2:$B$184,2,FALSE),"")</f>
        <v>3703630</v>
      </c>
    </row>
    <row r="1994" spans="1:9" x14ac:dyDescent="0.2">
      <c r="A1994">
        <f t="shared" si="31"/>
        <v>3703630</v>
      </c>
      <c r="B1994" s="24">
        <v>2022</v>
      </c>
      <c r="C1994" t="s">
        <v>495</v>
      </c>
      <c r="D1994" t="s">
        <v>802</v>
      </c>
      <c r="E1994" t="s">
        <v>802</v>
      </c>
      <c r="F1994" s="11">
        <v>237998047</v>
      </c>
      <c r="G1994" s="18">
        <v>1.8871000000000001E-3</v>
      </c>
      <c r="H1994" s="11">
        <v>5212068.2966</v>
      </c>
      <c r="I1994" s="22">
        <f>IFERROR(VLOOKUP(D1994,'LEAID Match'!$A$2:$B$184,2,FALSE),"")</f>
        <v>3703630</v>
      </c>
    </row>
    <row r="1995" spans="1:9" x14ac:dyDescent="0.2">
      <c r="A1995">
        <f t="shared" si="31"/>
        <v>3703630</v>
      </c>
      <c r="B1995" s="24">
        <v>2023</v>
      </c>
      <c r="C1995" t="s">
        <v>495</v>
      </c>
      <c r="D1995" t="s">
        <v>802</v>
      </c>
      <c r="E1995" t="s">
        <v>802</v>
      </c>
      <c r="F1995" s="11">
        <v>245987803</v>
      </c>
      <c r="G1995" s="18">
        <v>1.8508999999999999E-3</v>
      </c>
      <c r="H1995" s="11">
        <v>5617290.8573000003</v>
      </c>
      <c r="I1995" s="22">
        <f>IFERROR(VLOOKUP(D1995,'LEAID Match'!$A$2:$B$184,2,FALSE),"")</f>
        <v>3703630</v>
      </c>
    </row>
    <row r="1996" spans="1:9" x14ac:dyDescent="0.2">
      <c r="A1996">
        <f t="shared" si="31"/>
        <v>3700175</v>
      </c>
      <c r="B1996" s="24">
        <v>2015</v>
      </c>
      <c r="C1996" t="s">
        <v>496</v>
      </c>
      <c r="D1996" t="s">
        <v>803</v>
      </c>
      <c r="E1996" t="s">
        <v>442</v>
      </c>
      <c r="F1996" s="11">
        <v>22196846</v>
      </c>
      <c r="G1996" s="18">
        <v>1.941E-4</v>
      </c>
      <c r="H1996" s="11">
        <v>245145.97080000001</v>
      </c>
      <c r="I1996" s="22">
        <f>IFERROR(VLOOKUP(D1996,'LEAID Match'!$A$2:$B$184,2,FALSE),"")</f>
        <v>3700175</v>
      </c>
    </row>
    <row r="1997" spans="1:9" x14ac:dyDescent="0.2">
      <c r="A1997">
        <f t="shared" si="31"/>
        <v>3700175</v>
      </c>
      <c r="B1997" s="24">
        <v>2016</v>
      </c>
      <c r="C1997" t="s">
        <v>496</v>
      </c>
      <c r="D1997" t="s">
        <v>803</v>
      </c>
      <c r="E1997" t="s">
        <v>803</v>
      </c>
      <c r="F1997" s="11">
        <v>21380533</v>
      </c>
      <c r="G1997" s="18">
        <v>1.974E-4</v>
      </c>
      <c r="H1997" s="11">
        <v>251685.59220000001</v>
      </c>
      <c r="I1997" s="22">
        <f>IFERROR(VLOOKUP(D1997,'LEAID Match'!$A$2:$B$184,2,FALSE),"")</f>
        <v>3700175</v>
      </c>
    </row>
    <row r="1998" spans="1:9" x14ac:dyDescent="0.2">
      <c r="A1998">
        <f t="shared" si="31"/>
        <v>3700175</v>
      </c>
      <c r="B1998" s="24">
        <v>2017</v>
      </c>
      <c r="C1998" t="s">
        <v>496</v>
      </c>
      <c r="D1998" t="s">
        <v>803</v>
      </c>
      <c r="E1998" t="s">
        <v>803</v>
      </c>
      <c r="F1998" s="11">
        <v>24021628</v>
      </c>
      <c r="G1998" s="18">
        <v>2.153E-4</v>
      </c>
      <c r="H1998" s="11">
        <v>310289.06819999998</v>
      </c>
      <c r="I1998" s="22">
        <f>IFERROR(VLOOKUP(D1998,'LEAID Match'!$A$2:$B$184,2,FALSE),"")</f>
        <v>3700175</v>
      </c>
    </row>
    <row r="1999" spans="1:9" x14ac:dyDescent="0.2">
      <c r="A1999">
        <f t="shared" si="31"/>
        <v>3700175</v>
      </c>
      <c r="B1999" s="24">
        <v>2018</v>
      </c>
      <c r="C1999" t="s">
        <v>496</v>
      </c>
      <c r="D1999" t="s">
        <v>803</v>
      </c>
      <c r="E1999" t="s">
        <v>803</v>
      </c>
      <c r="F1999" s="11">
        <v>24678847</v>
      </c>
      <c r="G1999" s="18">
        <v>2.1240000000000001E-4</v>
      </c>
      <c r="H1999" s="11">
        <v>340456.17240000004</v>
      </c>
      <c r="I1999" s="22">
        <f>IFERROR(VLOOKUP(D1999,'LEAID Match'!$A$2:$B$184,2,FALSE),"")</f>
        <v>3700175</v>
      </c>
    </row>
    <row r="2000" spans="1:9" x14ac:dyDescent="0.2">
      <c r="A2000">
        <f t="shared" si="31"/>
        <v>3700175</v>
      </c>
      <c r="B2000" s="24">
        <v>2019</v>
      </c>
      <c r="C2000" t="s">
        <v>496</v>
      </c>
      <c r="D2000" t="s">
        <v>803</v>
      </c>
      <c r="E2000" t="s">
        <v>803</v>
      </c>
      <c r="F2000" s="11">
        <v>26112499</v>
      </c>
      <c r="G2000" s="18">
        <v>2.1670000000000001E-4</v>
      </c>
      <c r="H2000" s="11">
        <v>415012.13820000004</v>
      </c>
      <c r="I2000" s="22">
        <f>IFERROR(VLOOKUP(D2000,'LEAID Match'!$A$2:$B$184,2,FALSE),"")</f>
        <v>3700175</v>
      </c>
    </row>
    <row r="2001" spans="1:9" x14ac:dyDescent="0.2">
      <c r="A2001">
        <f t="shared" si="31"/>
        <v>3700175</v>
      </c>
      <c r="B2001" s="24">
        <v>2020</v>
      </c>
      <c r="C2001" t="s">
        <v>496</v>
      </c>
      <c r="D2001" t="s">
        <v>803</v>
      </c>
      <c r="E2001" t="s">
        <v>803</v>
      </c>
      <c r="F2001" s="11">
        <v>26568258</v>
      </c>
      <c r="G2001" s="18">
        <v>2.1450000000000001E-4</v>
      </c>
      <c r="H2001" s="11">
        <v>440813.58750000002</v>
      </c>
      <c r="I2001" s="22">
        <f>IFERROR(VLOOKUP(D2001,'LEAID Match'!$A$2:$B$184,2,FALSE),"")</f>
        <v>3700175</v>
      </c>
    </row>
    <row r="2002" spans="1:9" x14ac:dyDescent="0.2">
      <c r="A2002">
        <f t="shared" si="31"/>
        <v>3700175</v>
      </c>
      <c r="B2002" s="24">
        <v>2021</v>
      </c>
      <c r="C2002" t="s">
        <v>496</v>
      </c>
      <c r="D2002" t="s">
        <v>803</v>
      </c>
      <c r="E2002" t="s">
        <v>803</v>
      </c>
      <c r="F2002" s="11">
        <v>26006858</v>
      </c>
      <c r="G2002" s="18">
        <v>2.0780000000000001E-4</v>
      </c>
      <c r="H2002" s="11">
        <v>493161.76560000004</v>
      </c>
      <c r="I2002" s="22">
        <f>IFERROR(VLOOKUP(D2002,'LEAID Match'!$A$2:$B$184,2,FALSE),"")</f>
        <v>3700175</v>
      </c>
    </row>
    <row r="2003" spans="1:9" x14ac:dyDescent="0.2">
      <c r="A2003">
        <f t="shared" si="31"/>
        <v>3700175</v>
      </c>
      <c r="B2003" s="24">
        <v>2022</v>
      </c>
      <c r="C2003" t="s">
        <v>496</v>
      </c>
      <c r="D2003" t="s">
        <v>803</v>
      </c>
      <c r="E2003" t="s">
        <v>803</v>
      </c>
      <c r="F2003" s="11">
        <v>25731049</v>
      </c>
      <c r="G2003" s="18">
        <v>2.04E-4</v>
      </c>
      <c r="H2003" s="11">
        <v>563436.98399999994</v>
      </c>
      <c r="I2003" s="22">
        <f>IFERROR(VLOOKUP(D2003,'LEAID Match'!$A$2:$B$184,2,FALSE),"")</f>
        <v>3700175</v>
      </c>
    </row>
    <row r="2004" spans="1:9" x14ac:dyDescent="0.2">
      <c r="A2004">
        <f t="shared" si="31"/>
        <v>3700175</v>
      </c>
      <c r="B2004" s="24">
        <v>2023</v>
      </c>
      <c r="C2004" t="s">
        <v>496</v>
      </c>
      <c r="D2004" t="s">
        <v>803</v>
      </c>
      <c r="E2004" t="s">
        <v>803</v>
      </c>
      <c r="F2004" s="11">
        <v>24601283</v>
      </c>
      <c r="G2004" s="18">
        <v>1.851E-4</v>
      </c>
      <c r="H2004" s="11">
        <v>561759.43469999998</v>
      </c>
      <c r="I2004" s="22">
        <f>IFERROR(VLOOKUP(D2004,'LEAID Match'!$A$2:$B$184,2,FALSE),"")</f>
        <v>3700175</v>
      </c>
    </row>
    <row r="2005" spans="1:9" x14ac:dyDescent="0.2">
      <c r="A2005" t="str">
        <f t="shared" si="31"/>
        <v/>
      </c>
      <c r="B2005" s="24">
        <v>2015</v>
      </c>
      <c r="C2005" t="s">
        <v>497</v>
      </c>
      <c r="D2005" t="s">
        <v>804</v>
      </c>
      <c r="E2005" t="s">
        <v>443</v>
      </c>
      <c r="F2005" s="11">
        <v>70174079</v>
      </c>
      <c r="G2005" s="18">
        <v>6.1359999999999995E-4</v>
      </c>
      <c r="H2005" s="11">
        <v>774969.43679999991</v>
      </c>
      <c r="I2005" s="22" t="str">
        <f>IFERROR(VLOOKUP(D2005,'LEAID Match'!$A$2:$B$184,2,FALSE),"")</f>
        <v/>
      </c>
    </row>
    <row r="2006" spans="1:9" x14ac:dyDescent="0.2">
      <c r="A2006" t="str">
        <f t="shared" si="31"/>
        <v/>
      </c>
      <c r="B2006" s="24">
        <v>2016</v>
      </c>
      <c r="C2006" t="s">
        <v>497</v>
      </c>
      <c r="D2006" t="s">
        <v>804</v>
      </c>
      <c r="E2006" t="s">
        <v>804</v>
      </c>
      <c r="F2006" s="11">
        <v>61614662</v>
      </c>
      <c r="G2006" s="18">
        <v>5.6899999999999995E-4</v>
      </c>
      <c r="H2006" s="11">
        <v>725476.70699999994</v>
      </c>
      <c r="I2006" s="22" t="str">
        <f>IFERROR(VLOOKUP(D2006,'LEAID Match'!$A$2:$B$184,2,FALSE),"")</f>
        <v/>
      </c>
    </row>
    <row r="2007" spans="1:9" x14ac:dyDescent="0.2">
      <c r="A2007" t="str">
        <f t="shared" si="31"/>
        <v/>
      </c>
      <c r="B2007" s="24">
        <v>2017</v>
      </c>
      <c r="C2007" t="s">
        <v>497</v>
      </c>
      <c r="D2007" t="s">
        <v>804</v>
      </c>
      <c r="E2007" t="s">
        <v>804</v>
      </c>
      <c r="F2007" s="11">
        <v>58065024</v>
      </c>
      <c r="G2007" s="18">
        <v>5.2039999999999996E-4</v>
      </c>
      <c r="H2007" s="11">
        <v>749997.35759999999</v>
      </c>
      <c r="I2007" s="22" t="str">
        <f>IFERROR(VLOOKUP(D2007,'LEAID Match'!$A$2:$B$184,2,FALSE),"")</f>
        <v/>
      </c>
    </row>
    <row r="2008" spans="1:9" x14ac:dyDescent="0.2">
      <c r="A2008" t="str">
        <f t="shared" si="31"/>
        <v/>
      </c>
      <c r="B2008" s="24">
        <v>2018</v>
      </c>
      <c r="C2008" t="s">
        <v>497</v>
      </c>
      <c r="D2008" t="s">
        <v>804</v>
      </c>
      <c r="E2008" t="s">
        <v>804</v>
      </c>
      <c r="F2008" s="11">
        <v>55195238</v>
      </c>
      <c r="G2008" s="18">
        <v>4.75E-4</v>
      </c>
      <c r="H2008" s="11">
        <v>761377.97499999998</v>
      </c>
      <c r="I2008" s="22" t="str">
        <f>IFERROR(VLOOKUP(D2008,'LEAID Match'!$A$2:$B$184,2,FALSE),"")</f>
        <v/>
      </c>
    </row>
    <row r="2009" spans="1:9" x14ac:dyDescent="0.2">
      <c r="A2009" t="str">
        <f t="shared" si="31"/>
        <v/>
      </c>
      <c r="B2009" s="24">
        <v>2019</v>
      </c>
      <c r="C2009" t="s">
        <v>497</v>
      </c>
      <c r="D2009" t="s">
        <v>804</v>
      </c>
      <c r="E2009" t="s">
        <v>804</v>
      </c>
      <c r="F2009" s="11">
        <v>58070188</v>
      </c>
      <c r="G2009" s="18">
        <v>4.8200000000000001E-4</v>
      </c>
      <c r="H2009" s="11">
        <v>923100.37199999997</v>
      </c>
      <c r="I2009" s="22" t="str">
        <f>IFERROR(VLOOKUP(D2009,'LEAID Match'!$A$2:$B$184,2,FALSE),"")</f>
        <v/>
      </c>
    </row>
    <row r="2010" spans="1:9" x14ac:dyDescent="0.2">
      <c r="A2010" t="str">
        <f t="shared" si="31"/>
        <v/>
      </c>
      <c r="B2010" s="24">
        <v>2020</v>
      </c>
      <c r="C2010" t="s">
        <v>497</v>
      </c>
      <c r="D2010" t="s">
        <v>804</v>
      </c>
      <c r="E2010" t="s">
        <v>804</v>
      </c>
      <c r="F2010" s="11">
        <v>53993952</v>
      </c>
      <c r="G2010" s="18">
        <v>4.3590000000000002E-4</v>
      </c>
      <c r="H2010" s="11">
        <v>895807.1925</v>
      </c>
      <c r="I2010" s="22" t="str">
        <f>IFERROR(VLOOKUP(D2010,'LEAID Match'!$A$2:$B$184,2,FALSE),"")</f>
        <v/>
      </c>
    </row>
    <row r="2011" spans="1:9" x14ac:dyDescent="0.2">
      <c r="A2011" t="str">
        <f t="shared" si="31"/>
        <v/>
      </c>
      <c r="B2011" s="24">
        <v>2021</v>
      </c>
      <c r="C2011" t="s">
        <v>497</v>
      </c>
      <c r="D2011" t="s">
        <v>804</v>
      </c>
      <c r="E2011" t="s">
        <v>804</v>
      </c>
      <c r="F2011" s="11">
        <v>53756433</v>
      </c>
      <c r="G2011" s="18">
        <v>4.2949999999999998E-4</v>
      </c>
      <c r="H2011" s="11">
        <v>1019311.7339999999</v>
      </c>
      <c r="I2011" s="22" t="str">
        <f>IFERROR(VLOOKUP(D2011,'LEAID Match'!$A$2:$B$184,2,FALSE),"")</f>
        <v/>
      </c>
    </row>
    <row r="2012" spans="1:9" x14ac:dyDescent="0.2">
      <c r="A2012" t="str">
        <f t="shared" si="31"/>
        <v/>
      </c>
      <c r="B2012" s="24">
        <v>2022</v>
      </c>
      <c r="C2012" t="s">
        <v>497</v>
      </c>
      <c r="D2012" t="s">
        <v>804</v>
      </c>
      <c r="E2012" t="s">
        <v>804</v>
      </c>
      <c r="F2012" s="11">
        <v>55896395</v>
      </c>
      <c r="G2012" s="18">
        <v>4.4319999999999999E-4</v>
      </c>
      <c r="H2012" s="11">
        <v>1224094.4672000001</v>
      </c>
      <c r="I2012" s="22" t="str">
        <f>IFERROR(VLOOKUP(D2012,'LEAID Match'!$A$2:$B$184,2,FALSE),"")</f>
        <v/>
      </c>
    </row>
    <row r="2013" spans="1:9" x14ac:dyDescent="0.2">
      <c r="A2013" t="str">
        <f t="shared" si="31"/>
        <v/>
      </c>
      <c r="B2013" s="24">
        <v>2023</v>
      </c>
      <c r="C2013" t="s">
        <v>497</v>
      </c>
      <c r="D2013" t="s">
        <v>804</v>
      </c>
      <c r="E2013" t="s">
        <v>804</v>
      </c>
      <c r="F2013" s="11">
        <v>59915407</v>
      </c>
      <c r="G2013" s="18">
        <v>4.5080000000000001E-4</v>
      </c>
      <c r="H2013" s="11">
        <v>1368131.5676</v>
      </c>
      <c r="I2013" s="22" t="str">
        <f>IFERROR(VLOOKUP(D2013,'LEAID Match'!$A$2:$B$184,2,FALSE),"")</f>
        <v/>
      </c>
    </row>
    <row r="2014" spans="1:9" x14ac:dyDescent="0.2">
      <c r="A2014">
        <f t="shared" si="31"/>
        <v>3700012</v>
      </c>
      <c r="B2014" s="24">
        <v>2015</v>
      </c>
      <c r="C2014" t="s">
        <v>498</v>
      </c>
      <c r="D2014" t="s">
        <v>805</v>
      </c>
      <c r="E2014" t="s">
        <v>444</v>
      </c>
      <c r="F2014" s="11">
        <v>1053241530</v>
      </c>
      <c r="G2014" s="18">
        <v>9.2087999999999996E-3</v>
      </c>
      <c r="H2014" s="11">
        <v>11630603.894399999</v>
      </c>
      <c r="I2014" s="22">
        <f>IFERROR(VLOOKUP(D2014,'LEAID Match'!$A$2:$B$184,2,FALSE),"")</f>
        <v>3700012</v>
      </c>
    </row>
    <row r="2015" spans="1:9" x14ac:dyDescent="0.2">
      <c r="A2015">
        <f t="shared" si="31"/>
        <v>3700012</v>
      </c>
      <c r="B2015" s="24">
        <v>2016</v>
      </c>
      <c r="C2015" t="s">
        <v>498</v>
      </c>
      <c r="D2015" t="s">
        <v>805</v>
      </c>
      <c r="E2015" t="s">
        <v>805</v>
      </c>
      <c r="F2015" s="11">
        <v>991607920</v>
      </c>
      <c r="G2015" s="18">
        <v>9.1569000000000008E-3</v>
      </c>
      <c r="H2015" s="11">
        <v>11675074.970700001</v>
      </c>
      <c r="I2015" s="22">
        <f>IFERROR(VLOOKUP(D2015,'LEAID Match'!$A$2:$B$184,2,FALSE),"")</f>
        <v>3700012</v>
      </c>
    </row>
    <row r="2016" spans="1:9" x14ac:dyDescent="0.2">
      <c r="A2016">
        <f t="shared" si="31"/>
        <v>3700012</v>
      </c>
      <c r="B2016" s="24">
        <v>2017</v>
      </c>
      <c r="C2016" t="s">
        <v>498</v>
      </c>
      <c r="D2016" t="s">
        <v>805</v>
      </c>
      <c r="E2016" t="s">
        <v>805</v>
      </c>
      <c r="F2016" s="11">
        <v>1003664624</v>
      </c>
      <c r="G2016" s="18">
        <v>8.9949000000000001E-3</v>
      </c>
      <c r="H2016" s="11">
        <v>12963395.910600001</v>
      </c>
      <c r="I2016" s="22">
        <f>IFERROR(VLOOKUP(D2016,'LEAID Match'!$A$2:$B$184,2,FALSE),"")</f>
        <v>3700012</v>
      </c>
    </row>
    <row r="2017" spans="1:9" x14ac:dyDescent="0.2">
      <c r="A2017">
        <f t="shared" si="31"/>
        <v>3700012</v>
      </c>
      <c r="B2017" s="24">
        <v>2018</v>
      </c>
      <c r="C2017" t="s">
        <v>498</v>
      </c>
      <c r="D2017" t="s">
        <v>805</v>
      </c>
      <c r="E2017" t="s">
        <v>805</v>
      </c>
      <c r="F2017" s="11">
        <v>1048490209</v>
      </c>
      <c r="G2017" s="18">
        <v>9.0224999999999993E-3</v>
      </c>
      <c r="H2017" s="11">
        <v>14462174.272499999</v>
      </c>
      <c r="I2017" s="22">
        <f>IFERROR(VLOOKUP(D2017,'LEAID Match'!$A$2:$B$184,2,FALSE),"")</f>
        <v>3700012</v>
      </c>
    </row>
    <row r="2018" spans="1:9" x14ac:dyDescent="0.2">
      <c r="A2018">
        <f t="shared" si="31"/>
        <v>3700012</v>
      </c>
      <c r="B2018" s="24">
        <v>2019</v>
      </c>
      <c r="C2018" t="s">
        <v>498</v>
      </c>
      <c r="D2018" t="s">
        <v>805</v>
      </c>
      <c r="E2018" t="s">
        <v>805</v>
      </c>
      <c r="F2018" s="11">
        <v>1108846144</v>
      </c>
      <c r="G2018" s="18">
        <v>9.2034000000000005E-3</v>
      </c>
      <c r="H2018" s="11">
        <v>17625854.696400002</v>
      </c>
      <c r="I2018" s="22">
        <f>IFERROR(VLOOKUP(D2018,'LEAID Match'!$A$2:$B$184,2,FALSE),"")</f>
        <v>3700012</v>
      </c>
    </row>
    <row r="2019" spans="1:9" x14ac:dyDescent="0.2">
      <c r="A2019">
        <f t="shared" si="31"/>
        <v>3700012</v>
      </c>
      <c r="B2019" s="24">
        <v>2020</v>
      </c>
      <c r="C2019" t="s">
        <v>498</v>
      </c>
      <c r="D2019" t="s">
        <v>805</v>
      </c>
      <c r="E2019" t="s">
        <v>805</v>
      </c>
      <c r="F2019" s="11">
        <v>1138007091</v>
      </c>
      <c r="G2019" s="18">
        <v>9.1870000000000007E-3</v>
      </c>
      <c r="H2019" s="11">
        <v>18879974.025000002</v>
      </c>
      <c r="I2019" s="22">
        <f>IFERROR(VLOOKUP(D2019,'LEAID Match'!$A$2:$B$184,2,FALSE),"")</f>
        <v>3700012</v>
      </c>
    </row>
    <row r="2020" spans="1:9" x14ac:dyDescent="0.2">
      <c r="A2020">
        <f t="shared" si="31"/>
        <v>3700012</v>
      </c>
      <c r="B2020" s="24">
        <v>2021</v>
      </c>
      <c r="C2020" t="s">
        <v>498</v>
      </c>
      <c r="D2020" t="s">
        <v>805</v>
      </c>
      <c r="E2020" t="s">
        <v>805</v>
      </c>
      <c r="F2020" s="11">
        <v>1112180255</v>
      </c>
      <c r="G2020" s="18">
        <v>8.8868000000000003E-3</v>
      </c>
      <c r="H2020" s="11">
        <v>21090615.873600002</v>
      </c>
      <c r="I2020" s="22">
        <f>IFERROR(VLOOKUP(D2020,'LEAID Match'!$A$2:$B$184,2,FALSE),"")</f>
        <v>3700012</v>
      </c>
    </row>
    <row r="2021" spans="1:9" x14ac:dyDescent="0.2">
      <c r="A2021">
        <f t="shared" si="31"/>
        <v>3700012</v>
      </c>
      <c r="B2021" s="24">
        <v>2022</v>
      </c>
      <c r="C2021" t="s">
        <v>498</v>
      </c>
      <c r="D2021" t="s">
        <v>805</v>
      </c>
      <c r="E2021" t="s">
        <v>805</v>
      </c>
      <c r="F2021" s="11">
        <v>1202881017</v>
      </c>
      <c r="G2021" s="18">
        <v>9.5376000000000002E-3</v>
      </c>
      <c r="H2021" s="11">
        <v>26342336.169600002</v>
      </c>
      <c r="I2021" s="22">
        <f>IFERROR(VLOOKUP(D2021,'LEAID Match'!$A$2:$B$184,2,FALSE),"")</f>
        <v>3700012</v>
      </c>
    </row>
    <row r="2022" spans="1:9" x14ac:dyDescent="0.2">
      <c r="A2022">
        <f t="shared" si="31"/>
        <v>3700012</v>
      </c>
      <c r="B2022" s="24">
        <v>2023</v>
      </c>
      <c r="C2022" t="s">
        <v>498</v>
      </c>
      <c r="D2022" t="s">
        <v>805</v>
      </c>
      <c r="E2022" t="s">
        <v>805</v>
      </c>
      <c r="F2022" s="11">
        <v>1261252438</v>
      </c>
      <c r="G2022" s="18">
        <v>9.4900000000000002E-3</v>
      </c>
      <c r="H2022" s="11">
        <v>28801172.530000001</v>
      </c>
      <c r="I2022" s="22">
        <f>IFERROR(VLOOKUP(D2022,'LEAID Match'!$A$2:$B$184,2,FALSE),"")</f>
        <v>3700012</v>
      </c>
    </row>
    <row r="2023" spans="1:9" x14ac:dyDescent="0.2">
      <c r="A2023" t="str">
        <f t="shared" si="31"/>
        <v/>
      </c>
      <c r="B2023" s="24">
        <v>2015</v>
      </c>
      <c r="C2023" t="s">
        <v>499</v>
      </c>
      <c r="D2023" t="s">
        <v>806</v>
      </c>
      <c r="E2023" t="s">
        <v>445</v>
      </c>
      <c r="F2023" s="11">
        <v>226271716</v>
      </c>
      <c r="G2023" s="18">
        <v>1.9784E-3</v>
      </c>
      <c r="H2023" s="11">
        <v>2498695.4591999999</v>
      </c>
      <c r="I2023" s="22" t="str">
        <f>IFERROR(VLOOKUP(D2023,'LEAID Match'!$A$2:$B$184,2,FALSE),"")</f>
        <v/>
      </c>
    </row>
    <row r="2024" spans="1:9" x14ac:dyDescent="0.2">
      <c r="A2024" t="str">
        <f t="shared" si="31"/>
        <v/>
      </c>
      <c r="B2024" s="24">
        <v>2016</v>
      </c>
      <c r="C2024" t="s">
        <v>499</v>
      </c>
      <c r="D2024" t="s">
        <v>806</v>
      </c>
      <c r="E2024" t="s">
        <v>806</v>
      </c>
      <c r="F2024" s="11">
        <v>224729759</v>
      </c>
      <c r="G2024" s="18">
        <v>2.0752000000000001E-3</v>
      </c>
      <c r="H2024" s="11">
        <v>2645886.2256</v>
      </c>
      <c r="I2024" s="22" t="str">
        <f>IFERROR(VLOOKUP(D2024,'LEAID Match'!$A$2:$B$184,2,FALSE),"")</f>
        <v/>
      </c>
    </row>
    <row r="2025" spans="1:9" x14ac:dyDescent="0.2">
      <c r="A2025" t="str">
        <f t="shared" si="31"/>
        <v/>
      </c>
      <c r="B2025" s="24">
        <v>2017</v>
      </c>
      <c r="C2025" t="s">
        <v>499</v>
      </c>
      <c r="D2025" t="s">
        <v>806</v>
      </c>
      <c r="E2025" t="s">
        <v>806</v>
      </c>
      <c r="F2025" s="11">
        <v>236642958</v>
      </c>
      <c r="G2025" s="18">
        <v>2.1207999999999999E-3</v>
      </c>
      <c r="H2025" s="11">
        <v>3056484.2352</v>
      </c>
      <c r="I2025" s="22" t="str">
        <f>IFERROR(VLOOKUP(D2025,'LEAID Match'!$A$2:$B$184,2,FALSE),"")</f>
        <v/>
      </c>
    </row>
    <row r="2026" spans="1:9" x14ac:dyDescent="0.2">
      <c r="A2026" t="str">
        <f t="shared" si="31"/>
        <v/>
      </c>
      <c r="B2026" s="24">
        <v>2018</v>
      </c>
      <c r="C2026" t="s">
        <v>499</v>
      </c>
      <c r="D2026" t="s">
        <v>806</v>
      </c>
      <c r="E2026" t="s">
        <v>806</v>
      </c>
      <c r="F2026" s="11">
        <v>237033907</v>
      </c>
      <c r="G2026" s="18">
        <v>2.0397000000000002E-3</v>
      </c>
      <c r="H2026" s="11">
        <v>3269437.1697000004</v>
      </c>
      <c r="I2026" s="22" t="str">
        <f>IFERROR(VLOOKUP(D2026,'LEAID Match'!$A$2:$B$184,2,FALSE),"")</f>
        <v/>
      </c>
    </row>
    <row r="2027" spans="1:9" x14ac:dyDescent="0.2">
      <c r="A2027" t="str">
        <f t="shared" si="31"/>
        <v/>
      </c>
      <c r="B2027" s="24">
        <v>2019</v>
      </c>
      <c r="C2027" t="s">
        <v>499</v>
      </c>
      <c r="D2027" t="s">
        <v>806</v>
      </c>
      <c r="E2027" t="s">
        <v>806</v>
      </c>
      <c r="F2027" s="11">
        <v>232488434</v>
      </c>
      <c r="G2027" s="18">
        <v>1.9296999999999999E-3</v>
      </c>
      <c r="H2027" s="11">
        <v>3695657.2361999997</v>
      </c>
      <c r="I2027" s="22" t="str">
        <f>IFERROR(VLOOKUP(D2027,'LEAID Match'!$A$2:$B$184,2,FALSE),"")</f>
        <v/>
      </c>
    </row>
    <row r="2028" spans="1:9" x14ac:dyDescent="0.2">
      <c r="A2028" t="str">
        <f t="shared" si="31"/>
        <v/>
      </c>
      <c r="B2028" s="24">
        <v>2020</v>
      </c>
      <c r="C2028" t="s">
        <v>499</v>
      </c>
      <c r="D2028" t="s">
        <v>806</v>
      </c>
      <c r="E2028" t="s">
        <v>806</v>
      </c>
      <c r="F2028" s="11">
        <v>229085274</v>
      </c>
      <c r="G2028" s="18">
        <v>1.8494E-3</v>
      </c>
      <c r="H2028" s="11">
        <v>3800655.7050000001</v>
      </c>
      <c r="I2028" s="22" t="str">
        <f>IFERROR(VLOOKUP(D2028,'LEAID Match'!$A$2:$B$184,2,FALSE),"")</f>
        <v/>
      </c>
    </row>
    <row r="2029" spans="1:9" x14ac:dyDescent="0.2">
      <c r="A2029" t="str">
        <f t="shared" si="31"/>
        <v/>
      </c>
      <c r="B2029" s="24">
        <v>2021</v>
      </c>
      <c r="C2029" t="s">
        <v>499</v>
      </c>
      <c r="D2029" t="s">
        <v>806</v>
      </c>
      <c r="E2029" t="s">
        <v>806</v>
      </c>
      <c r="F2029" s="11">
        <v>230647997</v>
      </c>
      <c r="G2029" s="18">
        <v>1.843E-3</v>
      </c>
      <c r="H2029" s="11">
        <v>4373903.4359999998</v>
      </c>
      <c r="I2029" s="22" t="str">
        <f>IFERROR(VLOOKUP(D2029,'LEAID Match'!$A$2:$B$184,2,FALSE),"")</f>
        <v/>
      </c>
    </row>
    <row r="2030" spans="1:9" x14ac:dyDescent="0.2">
      <c r="A2030" t="str">
        <f t="shared" si="31"/>
        <v/>
      </c>
      <c r="B2030" s="24">
        <v>2022</v>
      </c>
      <c r="C2030" t="s">
        <v>499</v>
      </c>
      <c r="D2030" t="s">
        <v>806</v>
      </c>
      <c r="E2030" t="s">
        <v>806</v>
      </c>
      <c r="F2030" s="11">
        <v>223337551</v>
      </c>
      <c r="G2030" s="18">
        <v>1.7708000000000001E-3</v>
      </c>
      <c r="H2030" s="11">
        <v>4890853.9768000003</v>
      </c>
      <c r="I2030" s="22" t="str">
        <f>IFERROR(VLOOKUP(D2030,'LEAID Match'!$A$2:$B$184,2,FALSE),"")</f>
        <v/>
      </c>
    </row>
    <row r="2031" spans="1:9" x14ac:dyDescent="0.2">
      <c r="A2031" t="str">
        <f t="shared" si="31"/>
        <v/>
      </c>
      <c r="B2031" s="24">
        <v>2023</v>
      </c>
      <c r="C2031" t="s">
        <v>499</v>
      </c>
      <c r="D2031" t="s">
        <v>806</v>
      </c>
      <c r="E2031" t="s">
        <v>806</v>
      </c>
      <c r="F2031" s="11">
        <v>231169026</v>
      </c>
      <c r="G2031" s="18">
        <v>1.7394000000000001E-3</v>
      </c>
      <c r="H2031" s="11">
        <v>5278899.8418000005</v>
      </c>
      <c r="I2031" s="22" t="str">
        <f>IFERROR(VLOOKUP(D2031,'LEAID Match'!$A$2:$B$184,2,FALSE),"")</f>
        <v/>
      </c>
    </row>
    <row r="2032" spans="1:9" x14ac:dyDescent="0.2">
      <c r="A2032">
        <f t="shared" si="31"/>
        <v>3703720</v>
      </c>
      <c r="B2032" s="24">
        <v>2015</v>
      </c>
      <c r="C2032" t="s">
        <v>500</v>
      </c>
      <c r="D2032" t="s">
        <v>807</v>
      </c>
      <c r="E2032" t="s">
        <v>446</v>
      </c>
      <c r="F2032" s="11">
        <v>121871771</v>
      </c>
      <c r="G2032" s="18">
        <v>1.0656000000000001E-3</v>
      </c>
      <c r="H2032" s="11">
        <v>1345840.0128000001</v>
      </c>
      <c r="I2032" s="22">
        <f>IFERROR(VLOOKUP(D2032,'LEAID Match'!$A$2:$B$184,2,FALSE),"")</f>
        <v>3703720</v>
      </c>
    </row>
    <row r="2033" spans="1:9" x14ac:dyDescent="0.2">
      <c r="A2033">
        <f t="shared" si="31"/>
        <v>3703720</v>
      </c>
      <c r="B2033" s="24">
        <v>2016</v>
      </c>
      <c r="C2033" t="s">
        <v>500</v>
      </c>
      <c r="D2033" t="s">
        <v>807</v>
      </c>
      <c r="E2033" t="s">
        <v>807</v>
      </c>
      <c r="F2033" s="11">
        <v>110126434</v>
      </c>
      <c r="G2033" s="18">
        <v>1.0169000000000001E-3</v>
      </c>
      <c r="H2033" s="11">
        <v>1296550.5507</v>
      </c>
      <c r="I2033" s="22">
        <f>IFERROR(VLOOKUP(D2033,'LEAID Match'!$A$2:$B$184,2,FALSE),"")</f>
        <v>3703720</v>
      </c>
    </row>
    <row r="2034" spans="1:9" x14ac:dyDescent="0.2">
      <c r="A2034">
        <f t="shared" si="31"/>
        <v>3703720</v>
      </c>
      <c r="B2034" s="24">
        <v>2017</v>
      </c>
      <c r="C2034" t="s">
        <v>500</v>
      </c>
      <c r="D2034" t="s">
        <v>807</v>
      </c>
      <c r="E2034" t="s">
        <v>807</v>
      </c>
      <c r="F2034" s="11">
        <v>113341232</v>
      </c>
      <c r="G2034" s="18">
        <v>1.0158000000000001E-3</v>
      </c>
      <c r="H2034" s="11">
        <v>1463964.8652000001</v>
      </c>
      <c r="I2034" s="22">
        <f>IFERROR(VLOOKUP(D2034,'LEAID Match'!$A$2:$B$184,2,FALSE),"")</f>
        <v>3703720</v>
      </c>
    </row>
    <row r="2035" spans="1:9" x14ac:dyDescent="0.2">
      <c r="A2035">
        <f t="shared" si="31"/>
        <v>3703720</v>
      </c>
      <c r="B2035" s="24">
        <v>2018</v>
      </c>
      <c r="C2035" t="s">
        <v>500</v>
      </c>
      <c r="D2035" t="s">
        <v>807</v>
      </c>
      <c r="E2035" t="s">
        <v>807</v>
      </c>
      <c r="F2035" s="11">
        <v>115910943</v>
      </c>
      <c r="G2035" s="18">
        <v>9.9740000000000007E-4</v>
      </c>
      <c r="H2035" s="11">
        <v>1598733.4574000002</v>
      </c>
      <c r="I2035" s="22">
        <f>IFERROR(VLOOKUP(D2035,'LEAID Match'!$A$2:$B$184,2,FALSE),"")</f>
        <v>3703720</v>
      </c>
    </row>
    <row r="2036" spans="1:9" x14ac:dyDescent="0.2">
      <c r="A2036">
        <f t="shared" si="31"/>
        <v>3703720</v>
      </c>
      <c r="B2036" s="24">
        <v>2019</v>
      </c>
      <c r="C2036" t="s">
        <v>500</v>
      </c>
      <c r="D2036" t="s">
        <v>807</v>
      </c>
      <c r="E2036" t="s">
        <v>807</v>
      </c>
      <c r="F2036" s="11">
        <v>119829644</v>
      </c>
      <c r="G2036" s="18">
        <v>9.946E-4</v>
      </c>
      <c r="H2036" s="11">
        <v>1904804.2116</v>
      </c>
      <c r="I2036" s="22">
        <f>IFERROR(VLOOKUP(D2036,'LEAID Match'!$A$2:$B$184,2,FALSE),"")</f>
        <v>3703720</v>
      </c>
    </row>
    <row r="2037" spans="1:9" x14ac:dyDescent="0.2">
      <c r="A2037">
        <f t="shared" si="31"/>
        <v>3703720</v>
      </c>
      <c r="B2037" s="24">
        <v>2020</v>
      </c>
      <c r="C2037" t="s">
        <v>500</v>
      </c>
      <c r="D2037" t="s">
        <v>807</v>
      </c>
      <c r="E2037" t="s">
        <v>807</v>
      </c>
      <c r="F2037" s="11">
        <v>121216310</v>
      </c>
      <c r="G2037" s="18">
        <v>9.7860000000000004E-4</v>
      </c>
      <c r="H2037" s="11">
        <v>2011096.395</v>
      </c>
      <c r="I2037" s="22">
        <f>IFERROR(VLOOKUP(D2037,'LEAID Match'!$A$2:$B$184,2,FALSE),"")</f>
        <v>3703720</v>
      </c>
    </row>
    <row r="2038" spans="1:9" x14ac:dyDescent="0.2">
      <c r="A2038">
        <f t="shared" si="31"/>
        <v>3703720</v>
      </c>
      <c r="B2038" s="24">
        <v>2021</v>
      </c>
      <c r="C2038" t="s">
        <v>500</v>
      </c>
      <c r="D2038" t="s">
        <v>807</v>
      </c>
      <c r="E2038" t="s">
        <v>807</v>
      </c>
      <c r="F2038" s="11">
        <v>117653506</v>
      </c>
      <c r="G2038" s="18">
        <v>9.4010000000000003E-4</v>
      </c>
      <c r="H2038" s="11">
        <v>2231094.2052000002</v>
      </c>
      <c r="I2038" s="22">
        <f>IFERROR(VLOOKUP(D2038,'LEAID Match'!$A$2:$B$184,2,FALSE),"")</f>
        <v>3703720</v>
      </c>
    </row>
    <row r="2039" spans="1:9" x14ac:dyDescent="0.2">
      <c r="A2039">
        <f t="shared" si="31"/>
        <v>3703720</v>
      </c>
      <c r="B2039" s="24">
        <v>2022</v>
      </c>
      <c r="C2039" t="s">
        <v>500</v>
      </c>
      <c r="D2039" t="s">
        <v>807</v>
      </c>
      <c r="E2039" t="s">
        <v>807</v>
      </c>
      <c r="F2039" s="11">
        <v>124411592</v>
      </c>
      <c r="G2039" s="18">
        <v>9.8649999999999996E-4</v>
      </c>
      <c r="H2039" s="11">
        <v>2724659.7289999998</v>
      </c>
      <c r="I2039" s="22">
        <f>IFERROR(VLOOKUP(D2039,'LEAID Match'!$A$2:$B$184,2,FALSE),"")</f>
        <v>3703720</v>
      </c>
    </row>
    <row r="2040" spans="1:9" x14ac:dyDescent="0.2">
      <c r="A2040">
        <f t="shared" si="31"/>
        <v>3703720</v>
      </c>
      <c r="B2040" s="24">
        <v>2023</v>
      </c>
      <c r="C2040" t="s">
        <v>500</v>
      </c>
      <c r="D2040" t="s">
        <v>807</v>
      </c>
      <c r="E2040" t="s">
        <v>807</v>
      </c>
      <c r="F2040" s="11">
        <v>132629333</v>
      </c>
      <c r="G2040" s="18">
        <v>9.9789999999999992E-4</v>
      </c>
      <c r="H2040" s="11">
        <v>3028523.7163</v>
      </c>
      <c r="I2040" s="22">
        <f>IFERROR(VLOOKUP(D2040,'LEAID Match'!$A$2:$B$184,2,FALSE),"")</f>
        <v>3703720</v>
      </c>
    </row>
    <row r="2041" spans="1:9" x14ac:dyDescent="0.2">
      <c r="A2041">
        <f t="shared" si="31"/>
        <v>3703780</v>
      </c>
      <c r="B2041" s="24">
        <v>2015</v>
      </c>
      <c r="C2041" t="s">
        <v>501</v>
      </c>
      <c r="D2041" t="s">
        <v>808</v>
      </c>
      <c r="E2041" t="s">
        <v>447</v>
      </c>
      <c r="F2041" s="11">
        <v>735709503</v>
      </c>
      <c r="G2041" s="18">
        <v>6.4326000000000001E-3</v>
      </c>
      <c r="H2041" s="11">
        <v>8124296.6088000005</v>
      </c>
      <c r="I2041" s="22">
        <f>IFERROR(VLOOKUP(D2041,'LEAID Match'!$A$2:$B$184,2,FALSE),"")</f>
        <v>3703780</v>
      </c>
    </row>
    <row r="2042" spans="1:9" x14ac:dyDescent="0.2">
      <c r="A2042">
        <f t="shared" si="31"/>
        <v>3703780</v>
      </c>
      <c r="B2042" s="24">
        <v>2016</v>
      </c>
      <c r="C2042" t="s">
        <v>501</v>
      </c>
      <c r="D2042" t="s">
        <v>808</v>
      </c>
      <c r="E2042" t="s">
        <v>808</v>
      </c>
      <c r="F2042" s="11">
        <v>699011394</v>
      </c>
      <c r="G2042" s="18">
        <v>6.4549000000000004E-3</v>
      </c>
      <c r="H2042" s="11">
        <v>8230016.8647000007</v>
      </c>
      <c r="I2042" s="22">
        <f>IFERROR(VLOOKUP(D2042,'LEAID Match'!$A$2:$B$184,2,FALSE),"")</f>
        <v>3703780</v>
      </c>
    </row>
    <row r="2043" spans="1:9" x14ac:dyDescent="0.2">
      <c r="A2043">
        <f t="shared" si="31"/>
        <v>3703780</v>
      </c>
      <c r="B2043" s="24">
        <v>2017</v>
      </c>
      <c r="C2043" t="s">
        <v>501</v>
      </c>
      <c r="D2043" t="s">
        <v>808</v>
      </c>
      <c r="E2043" t="s">
        <v>808</v>
      </c>
      <c r="F2043" s="11">
        <v>709248263</v>
      </c>
      <c r="G2043" s="18">
        <v>6.3562999999999996E-3</v>
      </c>
      <c r="H2043" s="11">
        <v>9160661.4221999999</v>
      </c>
      <c r="I2043" s="22">
        <f>IFERROR(VLOOKUP(D2043,'LEAID Match'!$A$2:$B$184,2,FALSE),"")</f>
        <v>3703780</v>
      </c>
    </row>
    <row r="2044" spans="1:9" x14ac:dyDescent="0.2">
      <c r="A2044">
        <f t="shared" si="31"/>
        <v>3703780</v>
      </c>
      <c r="B2044" s="24">
        <v>2018</v>
      </c>
      <c r="C2044" t="s">
        <v>501</v>
      </c>
      <c r="D2044" t="s">
        <v>808</v>
      </c>
      <c r="E2044" t="s">
        <v>808</v>
      </c>
      <c r="F2044" s="11">
        <v>718043918</v>
      </c>
      <c r="G2044" s="18">
        <v>6.1789999999999996E-3</v>
      </c>
      <c r="H2044" s="11">
        <v>9904325.2789999992</v>
      </c>
      <c r="I2044" s="22">
        <f>IFERROR(VLOOKUP(D2044,'LEAID Match'!$A$2:$B$184,2,FALSE),"")</f>
        <v>3703780</v>
      </c>
    </row>
    <row r="2045" spans="1:9" x14ac:dyDescent="0.2">
      <c r="A2045">
        <f t="shared" si="31"/>
        <v>3703780</v>
      </c>
      <c r="B2045" s="24">
        <v>2019</v>
      </c>
      <c r="C2045" t="s">
        <v>501</v>
      </c>
      <c r="D2045" t="s">
        <v>808</v>
      </c>
      <c r="E2045" t="s">
        <v>808</v>
      </c>
      <c r="F2045" s="11">
        <v>717490472</v>
      </c>
      <c r="G2045" s="18">
        <v>5.9551999999999999E-3</v>
      </c>
      <c r="H2045" s="11">
        <v>11405077.4592</v>
      </c>
      <c r="I2045" s="22">
        <f>IFERROR(VLOOKUP(D2045,'LEAID Match'!$A$2:$B$184,2,FALSE),"")</f>
        <v>3703780</v>
      </c>
    </row>
    <row r="2046" spans="1:9" x14ac:dyDescent="0.2">
      <c r="A2046">
        <f t="shared" si="31"/>
        <v>3703780</v>
      </c>
      <c r="B2046" s="24">
        <v>2020</v>
      </c>
      <c r="C2046" t="s">
        <v>501</v>
      </c>
      <c r="D2046" t="s">
        <v>808</v>
      </c>
      <c r="E2046" t="s">
        <v>808</v>
      </c>
      <c r="F2046" s="11">
        <v>717769591</v>
      </c>
      <c r="G2046" s="18">
        <v>5.7945000000000002E-3</v>
      </c>
      <c r="H2046" s="11">
        <v>11908132.0875</v>
      </c>
      <c r="I2046" s="22">
        <f>IFERROR(VLOOKUP(D2046,'LEAID Match'!$A$2:$B$184,2,FALSE),"")</f>
        <v>3703780</v>
      </c>
    </row>
    <row r="2047" spans="1:9" x14ac:dyDescent="0.2">
      <c r="A2047">
        <f t="shared" si="31"/>
        <v>3703780</v>
      </c>
      <c r="B2047" s="24">
        <v>2021</v>
      </c>
      <c r="C2047" t="s">
        <v>501</v>
      </c>
      <c r="D2047" t="s">
        <v>808</v>
      </c>
      <c r="E2047" t="s">
        <v>808</v>
      </c>
      <c r="F2047" s="11">
        <v>692386517</v>
      </c>
      <c r="G2047" s="18">
        <v>5.5323999999999998E-3</v>
      </c>
      <c r="H2047" s="11">
        <v>13129779.364799999</v>
      </c>
      <c r="I2047" s="22">
        <f>IFERROR(VLOOKUP(D2047,'LEAID Match'!$A$2:$B$184,2,FALSE),"")</f>
        <v>3703780</v>
      </c>
    </row>
    <row r="2048" spans="1:9" x14ac:dyDescent="0.2">
      <c r="A2048">
        <f t="shared" si="31"/>
        <v>3703780</v>
      </c>
      <c r="B2048" s="24">
        <v>2022</v>
      </c>
      <c r="C2048" t="s">
        <v>501</v>
      </c>
      <c r="D2048" t="s">
        <v>808</v>
      </c>
      <c r="E2048" t="s">
        <v>808</v>
      </c>
      <c r="F2048" s="11">
        <v>713053668</v>
      </c>
      <c r="G2048" s="18">
        <v>5.6537999999999996E-3</v>
      </c>
      <c r="H2048" s="11">
        <v>15615490.294799998</v>
      </c>
      <c r="I2048" s="22">
        <f>IFERROR(VLOOKUP(D2048,'LEAID Match'!$A$2:$B$184,2,FALSE),"")</f>
        <v>3703780</v>
      </c>
    </row>
    <row r="2049" spans="1:9" x14ac:dyDescent="0.2">
      <c r="A2049">
        <f t="shared" si="31"/>
        <v>3703780</v>
      </c>
      <c r="B2049" s="24">
        <v>2023</v>
      </c>
      <c r="C2049" t="s">
        <v>501</v>
      </c>
      <c r="D2049" t="s">
        <v>808</v>
      </c>
      <c r="E2049" t="s">
        <v>808</v>
      </c>
      <c r="F2049" s="11">
        <v>753508739</v>
      </c>
      <c r="G2049" s="18">
        <v>5.6696000000000003E-3</v>
      </c>
      <c r="H2049" s="11">
        <v>17206652.031199999</v>
      </c>
      <c r="I2049" s="22">
        <f>IFERROR(VLOOKUP(D2049,'LEAID Match'!$A$2:$B$184,2,FALSE),"")</f>
        <v>3703780</v>
      </c>
    </row>
    <row r="2050" spans="1:9" x14ac:dyDescent="0.2">
      <c r="A2050">
        <f t="shared" si="31"/>
        <v>3700334</v>
      </c>
      <c r="B2050" s="24">
        <v>2015</v>
      </c>
      <c r="C2050" t="s">
        <v>502</v>
      </c>
      <c r="D2050" t="s">
        <v>939</v>
      </c>
      <c r="E2050" t="s">
        <v>448</v>
      </c>
      <c r="F2050" s="11">
        <v>9430505</v>
      </c>
      <c r="G2050" s="18">
        <v>8.25E-5</v>
      </c>
      <c r="H2050" s="11">
        <v>104196.51</v>
      </c>
      <c r="I2050" s="22">
        <f>IFERROR(VLOOKUP(D2050,'LEAID Match'!$A$2:$B$184,2,FALSE),"")</f>
        <v>3700334</v>
      </c>
    </row>
    <row r="2051" spans="1:9" x14ac:dyDescent="0.2">
      <c r="A2051">
        <f t="shared" ref="A2051:A2114" si="32">I2051</f>
        <v>3700334</v>
      </c>
      <c r="B2051" s="24">
        <v>2016</v>
      </c>
      <c r="C2051" t="s">
        <v>502</v>
      </c>
      <c r="D2051" t="s">
        <v>939</v>
      </c>
      <c r="E2051" t="s">
        <v>809</v>
      </c>
      <c r="F2051" s="11">
        <v>21974576</v>
      </c>
      <c r="G2051" s="18">
        <v>2.029E-4</v>
      </c>
      <c r="H2051" s="11">
        <v>258698.10870000001</v>
      </c>
      <c r="I2051" s="22">
        <f>IFERROR(VLOOKUP(D2051,'LEAID Match'!$A$2:$B$184,2,FALSE),"")</f>
        <v>3700334</v>
      </c>
    </row>
    <row r="2052" spans="1:9" x14ac:dyDescent="0.2">
      <c r="A2052">
        <f t="shared" si="32"/>
        <v>3700334</v>
      </c>
      <c r="B2052" s="24">
        <v>2017</v>
      </c>
      <c r="C2052" t="s">
        <v>502</v>
      </c>
      <c r="D2052" t="s">
        <v>939</v>
      </c>
      <c r="E2052" t="s">
        <v>809</v>
      </c>
      <c r="F2052" s="11">
        <v>28417484</v>
      </c>
      <c r="G2052" s="18">
        <v>2.5470000000000001E-4</v>
      </c>
      <c r="H2052" s="11">
        <v>367072.11180000001</v>
      </c>
      <c r="I2052" s="22">
        <f>IFERROR(VLOOKUP(D2052,'LEAID Match'!$A$2:$B$184,2,FALSE),"")</f>
        <v>3700334</v>
      </c>
    </row>
    <row r="2053" spans="1:9" x14ac:dyDescent="0.2">
      <c r="A2053">
        <f t="shared" si="32"/>
        <v>3700334</v>
      </c>
      <c r="B2053" s="24">
        <v>2018</v>
      </c>
      <c r="C2053" t="s">
        <v>502</v>
      </c>
      <c r="D2053" t="s">
        <v>939</v>
      </c>
      <c r="E2053" t="s">
        <v>809</v>
      </c>
      <c r="F2053" s="11">
        <v>35662720</v>
      </c>
      <c r="G2053" s="18">
        <v>3.0689999999999998E-4</v>
      </c>
      <c r="H2053" s="11">
        <v>491930.31689999998</v>
      </c>
      <c r="I2053" s="22">
        <f>IFERROR(VLOOKUP(D2053,'LEAID Match'!$A$2:$B$184,2,FALSE),"")</f>
        <v>3700334</v>
      </c>
    </row>
    <row r="2054" spans="1:9" x14ac:dyDescent="0.2">
      <c r="A2054">
        <f t="shared" si="32"/>
        <v>3700334</v>
      </c>
      <c r="B2054" s="24">
        <v>2019</v>
      </c>
      <c r="C2054" t="s">
        <v>502</v>
      </c>
      <c r="D2054" t="s">
        <v>939</v>
      </c>
      <c r="E2054" t="s">
        <v>809</v>
      </c>
      <c r="F2054" s="11">
        <v>58849077</v>
      </c>
      <c r="G2054" s="18">
        <v>4.8840000000000005E-4</v>
      </c>
      <c r="H2054" s="11">
        <v>935357.30640000012</v>
      </c>
      <c r="I2054" s="22">
        <f>IFERROR(VLOOKUP(D2054,'LEAID Match'!$A$2:$B$184,2,FALSE),"")</f>
        <v>3700334</v>
      </c>
    </row>
    <row r="2055" spans="1:9" x14ac:dyDescent="0.2">
      <c r="A2055">
        <f t="shared" si="32"/>
        <v>3700334</v>
      </c>
      <c r="B2055" s="24">
        <v>2020</v>
      </c>
      <c r="C2055" t="s">
        <v>502</v>
      </c>
      <c r="D2055" t="s">
        <v>939</v>
      </c>
      <c r="E2055" t="s">
        <v>809</v>
      </c>
      <c r="F2055" s="11">
        <v>64722059</v>
      </c>
      <c r="G2055" s="18">
        <v>5.2249999999999996E-4</v>
      </c>
      <c r="H2055" s="11">
        <v>1073776.6875</v>
      </c>
      <c r="I2055" s="22">
        <f>IFERROR(VLOOKUP(D2055,'LEAID Match'!$A$2:$B$184,2,FALSE),"")</f>
        <v>3700334</v>
      </c>
    </row>
    <row r="2056" spans="1:9" x14ac:dyDescent="0.2">
      <c r="A2056">
        <f t="shared" si="32"/>
        <v>3700334</v>
      </c>
      <c r="B2056" s="24">
        <v>2021</v>
      </c>
      <c r="C2056" t="s">
        <v>502</v>
      </c>
      <c r="D2056" t="s">
        <v>939</v>
      </c>
      <c r="E2056" t="s">
        <v>809</v>
      </c>
      <c r="F2056" s="11">
        <v>67515696</v>
      </c>
      <c r="G2056" s="18">
        <v>5.3950000000000005E-4</v>
      </c>
      <c r="H2056" s="11">
        <v>1280369.4540000001</v>
      </c>
      <c r="I2056" s="22">
        <f>IFERROR(VLOOKUP(D2056,'LEAID Match'!$A$2:$B$184,2,FALSE),"")</f>
        <v>3700334</v>
      </c>
    </row>
    <row r="2057" spans="1:9" x14ac:dyDescent="0.2">
      <c r="A2057">
        <f t="shared" si="32"/>
        <v>3700334</v>
      </c>
      <c r="B2057" s="24">
        <v>2022</v>
      </c>
      <c r="C2057" t="s">
        <v>502</v>
      </c>
      <c r="D2057" t="s">
        <v>939</v>
      </c>
      <c r="E2057" t="s">
        <v>939</v>
      </c>
      <c r="F2057" s="11">
        <v>75471850</v>
      </c>
      <c r="G2057" s="18">
        <v>5.9840000000000002E-4</v>
      </c>
      <c r="H2057" s="11">
        <v>1652748.4864000001</v>
      </c>
      <c r="I2057" s="22">
        <f>IFERROR(VLOOKUP(D2057,'LEAID Match'!$A$2:$B$184,2,FALSE),"")</f>
        <v>3700334</v>
      </c>
    </row>
    <row r="2058" spans="1:9" x14ac:dyDescent="0.2">
      <c r="A2058">
        <f t="shared" si="32"/>
        <v>3700334</v>
      </c>
      <c r="B2058" s="24">
        <v>2023</v>
      </c>
      <c r="C2058" t="s">
        <v>502</v>
      </c>
      <c r="D2058" t="s">
        <v>939</v>
      </c>
      <c r="E2058" t="s">
        <v>939</v>
      </c>
      <c r="F2058" s="11">
        <v>77654160</v>
      </c>
      <c r="G2058" s="18">
        <v>5.8430000000000005E-4</v>
      </c>
      <c r="H2058" s="11">
        <v>1773290.3171000001</v>
      </c>
      <c r="I2058" s="22">
        <f>IFERROR(VLOOKUP(D2058,'LEAID Match'!$A$2:$B$184,2,FALSE),"")</f>
        <v>3700334</v>
      </c>
    </row>
    <row r="2059" spans="1:9" x14ac:dyDescent="0.2">
      <c r="A2059" t="str">
        <f t="shared" si="32"/>
        <v/>
      </c>
      <c r="B2059" s="24">
        <v>2015</v>
      </c>
      <c r="C2059" t="s">
        <v>503</v>
      </c>
      <c r="D2059" t="s">
        <v>810</v>
      </c>
      <c r="E2059" t="s">
        <v>449</v>
      </c>
      <c r="F2059" s="11">
        <v>84536149</v>
      </c>
      <c r="G2059" s="18">
        <v>7.3910000000000002E-4</v>
      </c>
      <c r="H2059" s="11">
        <v>933474.43079999997</v>
      </c>
      <c r="I2059" s="22" t="str">
        <f>IFERROR(VLOOKUP(D2059,'LEAID Match'!$A$2:$B$184,2,FALSE),"")</f>
        <v/>
      </c>
    </row>
    <row r="2060" spans="1:9" x14ac:dyDescent="0.2">
      <c r="A2060" t="str">
        <f t="shared" si="32"/>
        <v/>
      </c>
      <c r="B2060" s="24">
        <v>2016</v>
      </c>
      <c r="C2060" t="s">
        <v>503</v>
      </c>
      <c r="D2060" t="s">
        <v>810</v>
      </c>
      <c r="E2060" t="s">
        <v>810</v>
      </c>
      <c r="F2060" s="11">
        <v>83347002</v>
      </c>
      <c r="G2060" s="18">
        <v>7.6970000000000001E-4</v>
      </c>
      <c r="H2060" s="11">
        <v>981369.80909999995</v>
      </c>
      <c r="I2060" s="22" t="str">
        <f>IFERROR(VLOOKUP(D2060,'LEAID Match'!$A$2:$B$184,2,FALSE),"")</f>
        <v/>
      </c>
    </row>
    <row r="2061" spans="1:9" x14ac:dyDescent="0.2">
      <c r="A2061" t="str">
        <f t="shared" si="32"/>
        <v/>
      </c>
      <c r="B2061" s="24">
        <v>2017</v>
      </c>
      <c r="C2061" t="s">
        <v>503</v>
      </c>
      <c r="D2061" t="s">
        <v>810</v>
      </c>
      <c r="E2061" t="s">
        <v>810</v>
      </c>
      <c r="F2061" s="11">
        <v>88096732</v>
      </c>
      <c r="G2061" s="18">
        <v>7.8950000000000005E-4</v>
      </c>
      <c r="H2061" s="11">
        <v>1137822.6630000002</v>
      </c>
      <c r="I2061" s="22" t="str">
        <f>IFERROR(VLOOKUP(D2061,'LEAID Match'!$A$2:$B$184,2,FALSE),"")</f>
        <v/>
      </c>
    </row>
    <row r="2062" spans="1:9" x14ac:dyDescent="0.2">
      <c r="A2062" t="str">
        <f t="shared" si="32"/>
        <v/>
      </c>
      <c r="B2062" s="24">
        <v>2018</v>
      </c>
      <c r="C2062" t="s">
        <v>503</v>
      </c>
      <c r="D2062" t="s">
        <v>810</v>
      </c>
      <c r="E2062" t="s">
        <v>810</v>
      </c>
      <c r="F2062" s="11">
        <v>90138086</v>
      </c>
      <c r="G2062" s="18">
        <v>7.7570000000000004E-4</v>
      </c>
      <c r="H2062" s="11">
        <v>1243370.3057000001</v>
      </c>
      <c r="I2062" s="22" t="str">
        <f>IFERROR(VLOOKUP(D2062,'LEAID Match'!$A$2:$B$184,2,FALSE),"")</f>
        <v/>
      </c>
    </row>
    <row r="2063" spans="1:9" x14ac:dyDescent="0.2">
      <c r="A2063" t="str">
        <f t="shared" si="32"/>
        <v/>
      </c>
      <c r="B2063" s="24">
        <v>2019</v>
      </c>
      <c r="C2063" t="s">
        <v>503</v>
      </c>
      <c r="D2063" t="s">
        <v>810</v>
      </c>
      <c r="E2063" t="s">
        <v>810</v>
      </c>
      <c r="F2063" s="11">
        <v>90177156</v>
      </c>
      <c r="G2063" s="18">
        <v>7.4850000000000003E-4</v>
      </c>
      <c r="H2063" s="11">
        <v>1433486.781</v>
      </c>
      <c r="I2063" s="22" t="str">
        <f>IFERROR(VLOOKUP(D2063,'LEAID Match'!$A$2:$B$184,2,FALSE),"")</f>
        <v/>
      </c>
    </row>
    <row r="2064" spans="1:9" x14ac:dyDescent="0.2">
      <c r="A2064" t="str">
        <f t="shared" si="32"/>
        <v/>
      </c>
      <c r="B2064" s="24">
        <v>2020</v>
      </c>
      <c r="C2064" t="s">
        <v>503</v>
      </c>
      <c r="D2064" t="s">
        <v>810</v>
      </c>
      <c r="E2064" t="s">
        <v>810</v>
      </c>
      <c r="F2064" s="11">
        <v>92201840</v>
      </c>
      <c r="G2064" s="18">
        <v>7.4430000000000004E-4</v>
      </c>
      <c r="H2064" s="11">
        <v>1529592.3225</v>
      </c>
      <c r="I2064" s="22" t="str">
        <f>IFERROR(VLOOKUP(D2064,'LEAID Match'!$A$2:$B$184,2,FALSE),"")</f>
        <v/>
      </c>
    </row>
    <row r="2065" spans="1:9" x14ac:dyDescent="0.2">
      <c r="A2065" t="str">
        <f t="shared" si="32"/>
        <v/>
      </c>
      <c r="B2065" s="24">
        <v>2021</v>
      </c>
      <c r="C2065" t="s">
        <v>503</v>
      </c>
      <c r="D2065" t="s">
        <v>810</v>
      </c>
      <c r="E2065" t="s">
        <v>810</v>
      </c>
      <c r="F2065" s="11">
        <v>90648284</v>
      </c>
      <c r="G2065" s="18">
        <v>7.2429999999999999E-4</v>
      </c>
      <c r="H2065" s="11">
        <v>1718946.4235999999</v>
      </c>
      <c r="I2065" s="22" t="str">
        <f>IFERROR(VLOOKUP(D2065,'LEAID Match'!$A$2:$B$184,2,FALSE),"")</f>
        <v/>
      </c>
    </row>
    <row r="2066" spans="1:9" x14ac:dyDescent="0.2">
      <c r="A2066" t="str">
        <f t="shared" si="32"/>
        <v/>
      </c>
      <c r="B2066" s="24">
        <v>2022</v>
      </c>
      <c r="C2066" t="s">
        <v>503</v>
      </c>
      <c r="D2066" t="s">
        <v>810</v>
      </c>
      <c r="E2066" t="s">
        <v>810</v>
      </c>
      <c r="F2066" s="11">
        <v>87509841</v>
      </c>
      <c r="G2066" s="18">
        <v>6.9390000000000001E-4</v>
      </c>
      <c r="H2066" s="11">
        <v>1916514.3293999999</v>
      </c>
      <c r="I2066" s="22" t="str">
        <f>IFERROR(VLOOKUP(D2066,'LEAID Match'!$A$2:$B$184,2,FALSE),"")</f>
        <v/>
      </c>
    </row>
    <row r="2067" spans="1:9" x14ac:dyDescent="0.2">
      <c r="A2067" t="str">
        <f t="shared" si="32"/>
        <v/>
      </c>
      <c r="B2067" s="24">
        <v>2023</v>
      </c>
      <c r="C2067" t="s">
        <v>503</v>
      </c>
      <c r="D2067" t="s">
        <v>810</v>
      </c>
      <c r="E2067" t="s">
        <v>810</v>
      </c>
      <c r="F2067" s="11">
        <v>90552718</v>
      </c>
      <c r="G2067" s="18">
        <v>6.8130000000000003E-4</v>
      </c>
      <c r="H2067" s="11">
        <v>2067675.3261000002</v>
      </c>
      <c r="I2067" s="22" t="str">
        <f>IFERROR(VLOOKUP(D2067,'LEAID Match'!$A$2:$B$184,2,FALSE),"")</f>
        <v/>
      </c>
    </row>
    <row r="2068" spans="1:9" x14ac:dyDescent="0.2">
      <c r="A2068">
        <f t="shared" si="32"/>
        <v>3700240</v>
      </c>
      <c r="B2068" s="24">
        <v>2015</v>
      </c>
      <c r="C2068" t="s">
        <v>504</v>
      </c>
      <c r="D2068" t="s">
        <v>811</v>
      </c>
      <c r="E2068" t="s">
        <v>450</v>
      </c>
      <c r="F2068" s="11">
        <v>235531305</v>
      </c>
      <c r="G2068" s="18">
        <v>2.0593E-3</v>
      </c>
      <c r="H2068" s="11">
        <v>2600871.1883999999</v>
      </c>
      <c r="I2068" s="22">
        <f>IFERROR(VLOOKUP(D2068,'LEAID Match'!$A$2:$B$184,2,FALSE),"")</f>
        <v>3700240</v>
      </c>
    </row>
    <row r="2069" spans="1:9" x14ac:dyDescent="0.2">
      <c r="A2069">
        <f t="shared" si="32"/>
        <v>3700240</v>
      </c>
      <c r="B2069" s="24">
        <v>2016</v>
      </c>
      <c r="C2069" t="s">
        <v>504</v>
      </c>
      <c r="D2069" t="s">
        <v>811</v>
      </c>
      <c r="E2069" t="s">
        <v>811</v>
      </c>
      <c r="F2069" s="11">
        <v>210372400</v>
      </c>
      <c r="G2069" s="18">
        <v>1.9426999999999999E-3</v>
      </c>
      <c r="H2069" s="11">
        <v>2476948.3281</v>
      </c>
      <c r="I2069" s="22">
        <f>IFERROR(VLOOKUP(D2069,'LEAID Match'!$A$2:$B$184,2,FALSE),"")</f>
        <v>3700240</v>
      </c>
    </row>
    <row r="2070" spans="1:9" x14ac:dyDescent="0.2">
      <c r="A2070">
        <f t="shared" si="32"/>
        <v>3700240</v>
      </c>
      <c r="B2070" s="24">
        <v>2017</v>
      </c>
      <c r="C2070" t="s">
        <v>504</v>
      </c>
      <c r="D2070" t="s">
        <v>811</v>
      </c>
      <c r="E2070" t="s">
        <v>811</v>
      </c>
      <c r="F2070" s="11">
        <v>218774643</v>
      </c>
      <c r="G2070" s="18">
        <v>1.9607000000000001E-3</v>
      </c>
      <c r="H2070" s="11">
        <v>2825749.0758000002</v>
      </c>
      <c r="I2070" s="22">
        <f>IFERROR(VLOOKUP(D2070,'LEAID Match'!$A$2:$B$184,2,FALSE),"")</f>
        <v>3700240</v>
      </c>
    </row>
    <row r="2071" spans="1:9" x14ac:dyDescent="0.2">
      <c r="A2071">
        <f t="shared" si="32"/>
        <v>3700240</v>
      </c>
      <c r="B2071" s="24">
        <v>2018</v>
      </c>
      <c r="C2071" t="s">
        <v>504</v>
      </c>
      <c r="D2071" t="s">
        <v>811</v>
      </c>
      <c r="E2071" t="s">
        <v>811</v>
      </c>
      <c r="F2071" s="11">
        <v>221390491</v>
      </c>
      <c r="G2071" s="18">
        <v>1.9051000000000001E-3</v>
      </c>
      <c r="H2071" s="11">
        <v>3053686.6951000001</v>
      </c>
      <c r="I2071" s="22">
        <f>IFERROR(VLOOKUP(D2071,'LEAID Match'!$A$2:$B$184,2,FALSE),"")</f>
        <v>3700240</v>
      </c>
    </row>
    <row r="2072" spans="1:9" x14ac:dyDescent="0.2">
      <c r="A2072">
        <f t="shared" si="32"/>
        <v>3700240</v>
      </c>
      <c r="B2072" s="24">
        <v>2019</v>
      </c>
      <c r="C2072" t="s">
        <v>504</v>
      </c>
      <c r="D2072" t="s">
        <v>811</v>
      </c>
      <c r="E2072" t="s">
        <v>811</v>
      </c>
      <c r="F2072" s="11">
        <v>228642970</v>
      </c>
      <c r="G2072" s="18">
        <v>1.8977E-3</v>
      </c>
      <c r="H2072" s="11">
        <v>3634372.5641999999</v>
      </c>
      <c r="I2072" s="22">
        <f>IFERROR(VLOOKUP(D2072,'LEAID Match'!$A$2:$B$184,2,FALSE),"")</f>
        <v>3700240</v>
      </c>
    </row>
    <row r="2073" spans="1:9" x14ac:dyDescent="0.2">
      <c r="A2073">
        <f t="shared" si="32"/>
        <v>3700240</v>
      </c>
      <c r="B2073" s="24">
        <v>2020</v>
      </c>
      <c r="C2073" t="s">
        <v>504</v>
      </c>
      <c r="D2073" t="s">
        <v>811</v>
      </c>
      <c r="E2073" t="s">
        <v>811</v>
      </c>
      <c r="F2073" s="11">
        <v>234574266</v>
      </c>
      <c r="G2073" s="18">
        <v>1.8936999999999999E-3</v>
      </c>
      <c r="H2073" s="11">
        <v>3891695.5274999999</v>
      </c>
      <c r="I2073" s="22">
        <f>IFERROR(VLOOKUP(D2073,'LEAID Match'!$A$2:$B$184,2,FALSE),"")</f>
        <v>3700240</v>
      </c>
    </row>
    <row r="2074" spans="1:9" x14ac:dyDescent="0.2">
      <c r="A2074">
        <f t="shared" si="32"/>
        <v>3700240</v>
      </c>
      <c r="B2074" s="24">
        <v>2021</v>
      </c>
      <c r="C2074" t="s">
        <v>504</v>
      </c>
      <c r="D2074" t="s">
        <v>811</v>
      </c>
      <c r="E2074" t="s">
        <v>811</v>
      </c>
      <c r="F2074" s="11">
        <v>221933848</v>
      </c>
      <c r="G2074" s="18">
        <v>1.7733E-3</v>
      </c>
      <c r="H2074" s="11">
        <v>4208487.7715999996</v>
      </c>
      <c r="I2074" s="22">
        <f>IFERROR(VLOOKUP(D2074,'LEAID Match'!$A$2:$B$184,2,FALSE),"")</f>
        <v>3700240</v>
      </c>
    </row>
    <row r="2075" spans="1:9" x14ac:dyDescent="0.2">
      <c r="A2075">
        <f t="shared" si="32"/>
        <v>3700240</v>
      </c>
      <c r="B2075" s="24">
        <v>2022</v>
      </c>
      <c r="C2075" t="s">
        <v>504</v>
      </c>
      <c r="D2075" t="s">
        <v>811</v>
      </c>
      <c r="E2075" t="s">
        <v>811</v>
      </c>
      <c r="F2075" s="11">
        <v>223991817</v>
      </c>
      <c r="G2075" s="18">
        <v>1.776E-3</v>
      </c>
      <c r="H2075" s="11">
        <v>4905216.0959999999</v>
      </c>
      <c r="I2075" s="22">
        <f>IFERROR(VLOOKUP(D2075,'LEAID Match'!$A$2:$B$184,2,FALSE),"")</f>
        <v>3700240</v>
      </c>
    </row>
    <row r="2076" spans="1:9" x14ac:dyDescent="0.2">
      <c r="A2076">
        <f t="shared" si="32"/>
        <v>3700240</v>
      </c>
      <c r="B2076" s="24">
        <v>2023</v>
      </c>
      <c r="C2076" t="s">
        <v>504</v>
      </c>
      <c r="D2076" t="s">
        <v>811</v>
      </c>
      <c r="E2076" t="s">
        <v>811</v>
      </c>
      <c r="F2076" s="11">
        <v>231487859</v>
      </c>
      <c r="G2076" s="18">
        <v>1.7417999999999999E-3</v>
      </c>
      <c r="H2076" s="11">
        <v>5286183.5945999995</v>
      </c>
      <c r="I2076" s="22">
        <f>IFERROR(VLOOKUP(D2076,'LEAID Match'!$A$2:$B$184,2,FALSE),"")</f>
        <v>3700240</v>
      </c>
    </row>
    <row r="2077" spans="1:9" x14ac:dyDescent="0.2">
      <c r="A2077">
        <f t="shared" si="32"/>
        <v>3703870</v>
      </c>
      <c r="B2077" s="24">
        <v>2015</v>
      </c>
      <c r="C2077" t="s">
        <v>505</v>
      </c>
      <c r="D2077" t="s">
        <v>812</v>
      </c>
      <c r="E2077" t="s">
        <v>451</v>
      </c>
      <c r="F2077" s="11">
        <v>309267190</v>
      </c>
      <c r="G2077" s="18">
        <v>2.7039999999999998E-3</v>
      </c>
      <c r="H2077" s="11">
        <v>3415119.5519999997</v>
      </c>
      <c r="I2077" s="22">
        <f>IFERROR(VLOOKUP(D2077,'LEAID Match'!$A$2:$B$184,2,FALSE),"")</f>
        <v>3703870</v>
      </c>
    </row>
    <row r="2078" spans="1:9" x14ac:dyDescent="0.2">
      <c r="A2078">
        <f t="shared" si="32"/>
        <v>3703870</v>
      </c>
      <c r="B2078" s="24">
        <v>2016</v>
      </c>
      <c r="C2078" t="s">
        <v>505</v>
      </c>
      <c r="D2078" t="s">
        <v>812</v>
      </c>
      <c r="E2078" t="s">
        <v>812</v>
      </c>
      <c r="F2078" s="11">
        <v>297395103</v>
      </c>
      <c r="G2078" s="18">
        <v>2.7463000000000001E-3</v>
      </c>
      <c r="H2078" s="11">
        <v>3501540.7389000002</v>
      </c>
      <c r="I2078" s="22">
        <f>IFERROR(VLOOKUP(D2078,'LEAID Match'!$A$2:$B$184,2,FALSE),"")</f>
        <v>3703870</v>
      </c>
    </row>
    <row r="2079" spans="1:9" x14ac:dyDescent="0.2">
      <c r="A2079">
        <f t="shared" si="32"/>
        <v>3703870</v>
      </c>
      <c r="B2079" s="24">
        <v>2017</v>
      </c>
      <c r="C2079" t="s">
        <v>505</v>
      </c>
      <c r="D2079" t="s">
        <v>812</v>
      </c>
      <c r="E2079" t="s">
        <v>812</v>
      </c>
      <c r="F2079" s="11">
        <v>299616428</v>
      </c>
      <c r="G2079" s="18">
        <v>2.6852E-3</v>
      </c>
      <c r="H2079" s="11">
        <v>3869894.1288000001</v>
      </c>
      <c r="I2079" s="22">
        <f>IFERROR(VLOOKUP(D2079,'LEAID Match'!$A$2:$B$184,2,FALSE),"")</f>
        <v>3703870</v>
      </c>
    </row>
    <row r="2080" spans="1:9" x14ac:dyDescent="0.2">
      <c r="A2080">
        <f t="shared" si="32"/>
        <v>3703870</v>
      </c>
      <c r="B2080" s="24">
        <v>2018</v>
      </c>
      <c r="C2080" t="s">
        <v>505</v>
      </c>
      <c r="D2080" t="s">
        <v>812</v>
      </c>
      <c r="E2080" t="s">
        <v>812</v>
      </c>
      <c r="F2080" s="11">
        <v>305059138</v>
      </c>
      <c r="G2080" s="18">
        <v>2.6251E-3</v>
      </c>
      <c r="H2080" s="11">
        <v>4207775.4150999999</v>
      </c>
      <c r="I2080" s="22">
        <f>IFERROR(VLOOKUP(D2080,'LEAID Match'!$A$2:$B$184,2,FALSE),"")</f>
        <v>3703870</v>
      </c>
    </row>
    <row r="2081" spans="1:9" x14ac:dyDescent="0.2">
      <c r="A2081">
        <f t="shared" si="32"/>
        <v>3703870</v>
      </c>
      <c r="B2081" s="24">
        <v>2019</v>
      </c>
      <c r="C2081" t="s">
        <v>505</v>
      </c>
      <c r="D2081" t="s">
        <v>812</v>
      </c>
      <c r="E2081" t="s">
        <v>812</v>
      </c>
      <c r="F2081" s="11">
        <v>312415360</v>
      </c>
      <c r="G2081" s="18">
        <v>2.5929999999999998E-3</v>
      </c>
      <c r="H2081" s="11">
        <v>4965973.5779999997</v>
      </c>
      <c r="I2081" s="22">
        <f>IFERROR(VLOOKUP(D2081,'LEAID Match'!$A$2:$B$184,2,FALSE),"")</f>
        <v>3703870</v>
      </c>
    </row>
    <row r="2082" spans="1:9" x14ac:dyDescent="0.2">
      <c r="A2082">
        <f t="shared" si="32"/>
        <v>3703870</v>
      </c>
      <c r="B2082" s="24">
        <v>2020</v>
      </c>
      <c r="C2082" t="s">
        <v>505</v>
      </c>
      <c r="D2082" t="s">
        <v>812</v>
      </c>
      <c r="E2082" t="s">
        <v>812</v>
      </c>
      <c r="F2082" s="11">
        <v>310163664</v>
      </c>
      <c r="G2082" s="18">
        <v>2.5038999999999999E-3</v>
      </c>
      <c r="H2082" s="11">
        <v>5145702.2924999995</v>
      </c>
      <c r="I2082" s="22">
        <f>IFERROR(VLOOKUP(D2082,'LEAID Match'!$A$2:$B$184,2,FALSE),"")</f>
        <v>3703870</v>
      </c>
    </row>
    <row r="2083" spans="1:9" x14ac:dyDescent="0.2">
      <c r="A2083">
        <f t="shared" si="32"/>
        <v>3703870</v>
      </c>
      <c r="B2083" s="24">
        <v>2021</v>
      </c>
      <c r="C2083" t="s">
        <v>505</v>
      </c>
      <c r="D2083" t="s">
        <v>812</v>
      </c>
      <c r="E2083" t="s">
        <v>812</v>
      </c>
      <c r="F2083" s="11">
        <v>300726090</v>
      </c>
      <c r="G2083" s="18">
        <v>2.4028999999999999E-3</v>
      </c>
      <c r="H2083" s="11">
        <v>5702687.2308</v>
      </c>
      <c r="I2083" s="22">
        <f>IFERROR(VLOOKUP(D2083,'LEAID Match'!$A$2:$B$184,2,FALSE),"")</f>
        <v>3703870</v>
      </c>
    </row>
    <row r="2084" spans="1:9" x14ac:dyDescent="0.2">
      <c r="A2084">
        <f t="shared" si="32"/>
        <v>3703870</v>
      </c>
      <c r="B2084" s="24">
        <v>2022</v>
      </c>
      <c r="C2084" t="s">
        <v>505</v>
      </c>
      <c r="D2084" t="s">
        <v>812</v>
      </c>
      <c r="E2084" t="s">
        <v>812</v>
      </c>
      <c r="F2084" s="11">
        <v>314702061</v>
      </c>
      <c r="G2084" s="18">
        <v>2.4953000000000002E-3</v>
      </c>
      <c r="H2084" s="11">
        <v>6891883.8538000006</v>
      </c>
      <c r="I2084" s="22">
        <f>IFERROR(VLOOKUP(D2084,'LEAID Match'!$A$2:$B$184,2,FALSE),"")</f>
        <v>3703870</v>
      </c>
    </row>
    <row r="2085" spans="1:9" x14ac:dyDescent="0.2">
      <c r="A2085">
        <f t="shared" si="32"/>
        <v>3703870</v>
      </c>
      <c r="B2085" s="24">
        <v>2023</v>
      </c>
      <c r="C2085" t="s">
        <v>505</v>
      </c>
      <c r="D2085" t="s">
        <v>812</v>
      </c>
      <c r="E2085" t="s">
        <v>812</v>
      </c>
      <c r="F2085" s="11">
        <v>349330318</v>
      </c>
      <c r="G2085" s="18">
        <v>2.6285000000000002E-3</v>
      </c>
      <c r="H2085" s="11">
        <v>7977226.7645000005</v>
      </c>
      <c r="I2085" s="22">
        <f>IFERROR(VLOOKUP(D2085,'LEAID Match'!$A$2:$B$184,2,FALSE),"")</f>
        <v>3703870</v>
      </c>
    </row>
    <row r="2086" spans="1:9" x14ac:dyDescent="0.2">
      <c r="A2086" t="str">
        <f t="shared" si="32"/>
        <v/>
      </c>
      <c r="B2086" s="24">
        <v>2015</v>
      </c>
      <c r="C2086" t="s">
        <v>506</v>
      </c>
      <c r="D2086" t="s">
        <v>813</v>
      </c>
      <c r="E2086" t="s">
        <v>452</v>
      </c>
      <c r="F2086" s="11">
        <v>91359700</v>
      </c>
      <c r="G2086" s="18">
        <v>7.9880000000000001E-4</v>
      </c>
      <c r="H2086" s="11">
        <v>1008874.8144</v>
      </c>
      <c r="I2086" s="22" t="str">
        <f>IFERROR(VLOOKUP(D2086,'LEAID Match'!$A$2:$B$184,2,FALSE),"")</f>
        <v/>
      </c>
    </row>
    <row r="2087" spans="1:9" x14ac:dyDescent="0.2">
      <c r="A2087" t="str">
        <f t="shared" si="32"/>
        <v/>
      </c>
      <c r="B2087" s="24">
        <v>2016</v>
      </c>
      <c r="C2087" t="s">
        <v>506</v>
      </c>
      <c r="D2087" t="s">
        <v>813</v>
      </c>
      <c r="E2087" t="s">
        <v>813</v>
      </c>
      <c r="F2087" s="11">
        <v>86958410</v>
      </c>
      <c r="G2087" s="18">
        <v>8.03E-4</v>
      </c>
      <c r="H2087" s="11">
        <v>1023827.409</v>
      </c>
      <c r="I2087" s="22" t="str">
        <f>IFERROR(VLOOKUP(D2087,'LEAID Match'!$A$2:$B$184,2,FALSE),"")</f>
        <v/>
      </c>
    </row>
    <row r="2088" spans="1:9" x14ac:dyDescent="0.2">
      <c r="A2088" t="str">
        <f t="shared" si="32"/>
        <v/>
      </c>
      <c r="B2088" s="24">
        <v>2017</v>
      </c>
      <c r="C2088" t="s">
        <v>506</v>
      </c>
      <c r="D2088" t="s">
        <v>813</v>
      </c>
      <c r="E2088" t="s">
        <v>813</v>
      </c>
      <c r="F2088" s="11">
        <v>90010272</v>
      </c>
      <c r="G2088" s="18">
        <v>8.0670000000000004E-4</v>
      </c>
      <c r="H2088" s="11">
        <v>1162611.1998000001</v>
      </c>
      <c r="I2088" s="22" t="str">
        <f>IFERROR(VLOOKUP(D2088,'LEAID Match'!$A$2:$B$184,2,FALSE),"")</f>
        <v/>
      </c>
    </row>
    <row r="2089" spans="1:9" x14ac:dyDescent="0.2">
      <c r="A2089" t="str">
        <f t="shared" si="32"/>
        <v/>
      </c>
      <c r="B2089" s="24">
        <v>2018</v>
      </c>
      <c r="C2089" t="s">
        <v>506</v>
      </c>
      <c r="D2089" t="s">
        <v>813</v>
      </c>
      <c r="E2089" t="s">
        <v>813</v>
      </c>
      <c r="F2089" s="11">
        <v>96480133</v>
      </c>
      <c r="G2089" s="18">
        <v>8.3020000000000001E-4</v>
      </c>
      <c r="H2089" s="11">
        <v>1330728.4102</v>
      </c>
      <c r="I2089" s="22" t="str">
        <f>IFERROR(VLOOKUP(D2089,'LEAID Match'!$A$2:$B$184,2,FALSE),"")</f>
        <v/>
      </c>
    </row>
    <row r="2090" spans="1:9" x14ac:dyDescent="0.2">
      <c r="A2090" t="str">
        <f t="shared" si="32"/>
        <v/>
      </c>
      <c r="B2090" s="24">
        <v>2019</v>
      </c>
      <c r="C2090" t="s">
        <v>506</v>
      </c>
      <c r="D2090" t="s">
        <v>813</v>
      </c>
      <c r="E2090" t="s">
        <v>813</v>
      </c>
      <c r="F2090" s="11">
        <v>95363401</v>
      </c>
      <c r="G2090" s="18">
        <v>7.9149999999999999E-4</v>
      </c>
      <c r="H2090" s="11">
        <v>1515838.0589999999</v>
      </c>
      <c r="I2090" s="22" t="str">
        <f>IFERROR(VLOOKUP(D2090,'LEAID Match'!$A$2:$B$184,2,FALSE),"")</f>
        <v/>
      </c>
    </row>
    <row r="2091" spans="1:9" x14ac:dyDescent="0.2">
      <c r="A2091" t="str">
        <f t="shared" si="32"/>
        <v/>
      </c>
      <c r="B2091" s="24">
        <v>2020</v>
      </c>
      <c r="C2091" t="s">
        <v>506</v>
      </c>
      <c r="D2091" t="s">
        <v>813</v>
      </c>
      <c r="E2091" t="s">
        <v>813</v>
      </c>
      <c r="F2091" s="11">
        <v>95688598</v>
      </c>
      <c r="G2091" s="18">
        <v>7.7249999999999997E-4</v>
      </c>
      <c r="H2091" s="11">
        <v>1587545.4375</v>
      </c>
      <c r="I2091" s="22" t="str">
        <f>IFERROR(VLOOKUP(D2091,'LEAID Match'!$A$2:$B$184,2,FALSE),"")</f>
        <v/>
      </c>
    </row>
    <row r="2092" spans="1:9" x14ac:dyDescent="0.2">
      <c r="A2092" t="str">
        <f t="shared" si="32"/>
        <v/>
      </c>
      <c r="B2092" s="24">
        <v>2021</v>
      </c>
      <c r="C2092" t="s">
        <v>506</v>
      </c>
      <c r="D2092" t="s">
        <v>813</v>
      </c>
      <c r="E2092" t="s">
        <v>813</v>
      </c>
      <c r="F2092" s="11">
        <v>94529307</v>
      </c>
      <c r="G2092" s="18">
        <v>7.5529999999999998E-4</v>
      </c>
      <c r="H2092" s="11">
        <v>1792517.2356</v>
      </c>
      <c r="I2092" s="22" t="str">
        <f>IFERROR(VLOOKUP(D2092,'LEAID Match'!$A$2:$B$184,2,FALSE),"")</f>
        <v/>
      </c>
    </row>
    <row r="2093" spans="1:9" x14ac:dyDescent="0.2">
      <c r="A2093" t="str">
        <f t="shared" si="32"/>
        <v/>
      </c>
      <c r="B2093" s="24">
        <v>2022</v>
      </c>
      <c r="C2093" t="s">
        <v>506</v>
      </c>
      <c r="D2093" t="s">
        <v>813</v>
      </c>
      <c r="E2093" t="s">
        <v>813</v>
      </c>
      <c r="F2093" s="11">
        <v>88847371</v>
      </c>
      <c r="G2093" s="18">
        <v>7.0450000000000005E-4</v>
      </c>
      <c r="H2093" s="11">
        <v>1945790.9570000002</v>
      </c>
      <c r="I2093" s="22" t="str">
        <f>IFERROR(VLOOKUP(D2093,'LEAID Match'!$A$2:$B$184,2,FALSE),"")</f>
        <v/>
      </c>
    </row>
    <row r="2094" spans="1:9" x14ac:dyDescent="0.2">
      <c r="A2094" t="str">
        <f t="shared" si="32"/>
        <v/>
      </c>
      <c r="B2094" s="24">
        <v>2023</v>
      </c>
      <c r="C2094" t="s">
        <v>506</v>
      </c>
      <c r="D2094" t="s">
        <v>813</v>
      </c>
      <c r="E2094" t="s">
        <v>813</v>
      </c>
      <c r="F2094" s="11">
        <v>98974638</v>
      </c>
      <c r="G2094" s="18">
        <v>7.4470000000000005E-4</v>
      </c>
      <c r="H2094" s="11">
        <v>2260087.7959000003</v>
      </c>
      <c r="I2094" s="22" t="str">
        <f>IFERROR(VLOOKUP(D2094,'LEAID Match'!$A$2:$B$184,2,FALSE),"")</f>
        <v/>
      </c>
    </row>
    <row r="2095" spans="1:9" x14ac:dyDescent="0.2">
      <c r="A2095">
        <f t="shared" si="32"/>
        <v>3703930</v>
      </c>
      <c r="B2095" s="24">
        <v>2015</v>
      </c>
      <c r="C2095" t="s">
        <v>507</v>
      </c>
      <c r="D2095" t="s">
        <v>814</v>
      </c>
      <c r="E2095" t="s">
        <v>453</v>
      </c>
      <c r="F2095" s="11">
        <v>950909135</v>
      </c>
      <c r="G2095" s="18">
        <v>8.3140999999999996E-3</v>
      </c>
      <c r="H2095" s="11">
        <v>10500608.5308</v>
      </c>
      <c r="I2095" s="22">
        <f>IFERROR(VLOOKUP(D2095,'LEAID Match'!$A$2:$B$184,2,FALSE),"")</f>
        <v>3703930</v>
      </c>
    </row>
    <row r="2096" spans="1:9" x14ac:dyDescent="0.2">
      <c r="A2096">
        <f t="shared" si="32"/>
        <v>3703930</v>
      </c>
      <c r="B2096" s="24">
        <v>2016</v>
      </c>
      <c r="C2096" t="s">
        <v>507</v>
      </c>
      <c r="D2096" t="s">
        <v>814</v>
      </c>
      <c r="E2096" t="s">
        <v>814</v>
      </c>
      <c r="F2096" s="11">
        <v>899309819</v>
      </c>
      <c r="G2096" s="18">
        <v>8.3046000000000005E-3</v>
      </c>
      <c r="H2096" s="11">
        <v>10588389.913800001</v>
      </c>
      <c r="I2096" s="22">
        <f>IFERROR(VLOOKUP(D2096,'LEAID Match'!$A$2:$B$184,2,FALSE),"")</f>
        <v>3703930</v>
      </c>
    </row>
    <row r="2097" spans="1:9" x14ac:dyDescent="0.2">
      <c r="A2097">
        <f t="shared" si="32"/>
        <v>3703930</v>
      </c>
      <c r="B2097" s="24">
        <v>2017</v>
      </c>
      <c r="C2097" t="s">
        <v>507</v>
      </c>
      <c r="D2097" t="s">
        <v>814</v>
      </c>
      <c r="E2097" t="s">
        <v>814</v>
      </c>
      <c r="F2097" s="11">
        <v>929256354</v>
      </c>
      <c r="G2097" s="18">
        <v>8.3280000000000003E-3</v>
      </c>
      <c r="H2097" s="11">
        <v>12002263.632000001</v>
      </c>
      <c r="I2097" s="22">
        <f>IFERROR(VLOOKUP(D2097,'LEAID Match'!$A$2:$B$184,2,FALSE),"")</f>
        <v>3703930</v>
      </c>
    </row>
    <row r="2098" spans="1:9" x14ac:dyDescent="0.2">
      <c r="A2098">
        <f t="shared" si="32"/>
        <v>3703930</v>
      </c>
      <c r="B2098" s="24">
        <v>2018</v>
      </c>
      <c r="C2098" t="s">
        <v>507</v>
      </c>
      <c r="D2098" t="s">
        <v>814</v>
      </c>
      <c r="E2098" t="s">
        <v>814</v>
      </c>
      <c r="F2098" s="11">
        <v>971403573</v>
      </c>
      <c r="G2098" s="18">
        <v>8.3592000000000007E-3</v>
      </c>
      <c r="H2098" s="11">
        <v>13398970.0392</v>
      </c>
      <c r="I2098" s="22">
        <f>IFERROR(VLOOKUP(D2098,'LEAID Match'!$A$2:$B$184,2,FALSE),"")</f>
        <v>3703930</v>
      </c>
    </row>
    <row r="2099" spans="1:9" x14ac:dyDescent="0.2">
      <c r="A2099">
        <f t="shared" si="32"/>
        <v>3703930</v>
      </c>
      <c r="B2099" s="24">
        <v>2019</v>
      </c>
      <c r="C2099" t="s">
        <v>507</v>
      </c>
      <c r="D2099" t="s">
        <v>814</v>
      </c>
      <c r="E2099" t="s">
        <v>814</v>
      </c>
      <c r="F2099" s="11">
        <v>995631995</v>
      </c>
      <c r="G2099" s="18">
        <v>8.2638E-3</v>
      </c>
      <c r="H2099" s="11">
        <v>15826383.514799999</v>
      </c>
      <c r="I2099" s="22">
        <f>IFERROR(VLOOKUP(D2099,'LEAID Match'!$A$2:$B$184,2,FALSE),"")</f>
        <v>3703930</v>
      </c>
    </row>
    <row r="2100" spans="1:9" x14ac:dyDescent="0.2">
      <c r="A2100">
        <f t="shared" si="32"/>
        <v>3703930</v>
      </c>
      <c r="B2100" s="24">
        <v>2020</v>
      </c>
      <c r="C2100" t="s">
        <v>507</v>
      </c>
      <c r="D2100" t="s">
        <v>814</v>
      </c>
      <c r="E2100" t="s">
        <v>814</v>
      </c>
      <c r="F2100" s="11">
        <v>946291551</v>
      </c>
      <c r="G2100" s="18">
        <v>7.6392999999999999E-3</v>
      </c>
      <c r="H2100" s="11">
        <v>15699334.4475</v>
      </c>
      <c r="I2100" s="22">
        <f>IFERROR(VLOOKUP(D2100,'LEAID Match'!$A$2:$B$184,2,FALSE),"")</f>
        <v>3703930</v>
      </c>
    </row>
    <row r="2101" spans="1:9" x14ac:dyDescent="0.2">
      <c r="A2101">
        <f t="shared" si="32"/>
        <v>3703930</v>
      </c>
      <c r="B2101" s="24">
        <v>2021</v>
      </c>
      <c r="C2101" t="s">
        <v>507</v>
      </c>
      <c r="D2101" t="s">
        <v>814</v>
      </c>
      <c r="E2101" t="s">
        <v>814</v>
      </c>
      <c r="F2101" s="11">
        <v>902244641</v>
      </c>
      <c r="G2101" s="18">
        <v>7.2093000000000001E-3</v>
      </c>
      <c r="H2101" s="11">
        <v>17109485.643600002</v>
      </c>
      <c r="I2101" s="22">
        <f>IFERROR(VLOOKUP(D2101,'LEAID Match'!$A$2:$B$184,2,FALSE),"")</f>
        <v>3703930</v>
      </c>
    </row>
    <row r="2102" spans="1:9" x14ac:dyDescent="0.2">
      <c r="A2102">
        <f t="shared" si="32"/>
        <v>3703930</v>
      </c>
      <c r="B2102" s="24">
        <v>2022</v>
      </c>
      <c r="C2102" t="s">
        <v>507</v>
      </c>
      <c r="D2102" t="s">
        <v>814</v>
      </c>
      <c r="E2102" t="s">
        <v>814</v>
      </c>
      <c r="F2102" s="11">
        <v>1006784944</v>
      </c>
      <c r="G2102" s="18">
        <v>7.9828E-3</v>
      </c>
      <c r="H2102" s="11">
        <v>22048062.5288</v>
      </c>
      <c r="I2102" s="22">
        <f>IFERROR(VLOOKUP(D2102,'LEAID Match'!$A$2:$B$184,2,FALSE),"")</f>
        <v>3703930</v>
      </c>
    </row>
    <row r="2103" spans="1:9" x14ac:dyDescent="0.2">
      <c r="A2103">
        <f t="shared" si="32"/>
        <v>3703930</v>
      </c>
      <c r="B2103" s="24">
        <v>2023</v>
      </c>
      <c r="C2103" t="s">
        <v>507</v>
      </c>
      <c r="D2103" t="s">
        <v>814</v>
      </c>
      <c r="E2103" t="s">
        <v>814</v>
      </c>
      <c r="F2103" s="11">
        <v>1100745433</v>
      </c>
      <c r="G2103" s="18">
        <v>8.2822999999999994E-3</v>
      </c>
      <c r="H2103" s="11">
        <v>25135927.423099998</v>
      </c>
      <c r="I2103" s="22">
        <f>IFERROR(VLOOKUP(D2103,'LEAID Match'!$A$2:$B$184,2,FALSE),"")</f>
        <v>3703930</v>
      </c>
    </row>
    <row r="2104" spans="1:9" x14ac:dyDescent="0.2">
      <c r="A2104">
        <f t="shared" si="32"/>
        <v>3700346</v>
      </c>
      <c r="B2104" s="24">
        <v>2015</v>
      </c>
      <c r="C2104" t="s">
        <v>508</v>
      </c>
      <c r="D2104" t="s">
        <v>815</v>
      </c>
      <c r="E2104" t="s">
        <v>454</v>
      </c>
      <c r="F2104" s="11">
        <v>6458926</v>
      </c>
      <c r="G2104" s="18">
        <v>5.6499999999999998E-5</v>
      </c>
      <c r="H2104" s="11">
        <v>71358.822</v>
      </c>
      <c r="I2104" s="22">
        <f>IFERROR(VLOOKUP(D2104,'LEAID Match'!$A$2:$B$184,2,FALSE),"")</f>
        <v>3700346</v>
      </c>
    </row>
    <row r="2105" spans="1:9" x14ac:dyDescent="0.2">
      <c r="A2105">
        <f t="shared" si="32"/>
        <v>3700346</v>
      </c>
      <c r="B2105" s="24">
        <v>2016</v>
      </c>
      <c r="C2105" t="s">
        <v>508</v>
      </c>
      <c r="D2105" t="s">
        <v>815</v>
      </c>
      <c r="E2105" t="s">
        <v>815</v>
      </c>
      <c r="F2105" s="11">
        <v>5837266</v>
      </c>
      <c r="G2105" s="18">
        <v>5.3900000000000002E-5</v>
      </c>
      <c r="H2105" s="11">
        <v>68722.661699999997</v>
      </c>
      <c r="I2105" s="22">
        <f>IFERROR(VLOOKUP(D2105,'LEAID Match'!$A$2:$B$184,2,FALSE),"")</f>
        <v>3700346</v>
      </c>
    </row>
    <row r="2106" spans="1:9" x14ac:dyDescent="0.2">
      <c r="A2106">
        <f t="shared" si="32"/>
        <v>3700346</v>
      </c>
      <c r="B2106" s="24">
        <v>2017</v>
      </c>
      <c r="C2106" t="s">
        <v>508</v>
      </c>
      <c r="D2106" t="s">
        <v>815</v>
      </c>
      <c r="E2106" t="s">
        <v>815</v>
      </c>
      <c r="F2106" s="11">
        <v>7012755</v>
      </c>
      <c r="G2106" s="18">
        <v>6.2799999999999995E-5</v>
      </c>
      <c r="H2106" s="11">
        <v>90506.983199999988</v>
      </c>
      <c r="I2106" s="22">
        <f>IFERROR(VLOOKUP(D2106,'LEAID Match'!$A$2:$B$184,2,FALSE),"")</f>
        <v>3700346</v>
      </c>
    </row>
    <row r="2107" spans="1:9" x14ac:dyDescent="0.2">
      <c r="A2107">
        <f t="shared" si="32"/>
        <v>3700346</v>
      </c>
      <c r="B2107" s="24">
        <v>2018</v>
      </c>
      <c r="C2107" t="s">
        <v>508</v>
      </c>
      <c r="D2107" t="s">
        <v>815</v>
      </c>
      <c r="E2107" t="s">
        <v>815</v>
      </c>
      <c r="F2107" s="11">
        <v>7595676</v>
      </c>
      <c r="G2107" s="18">
        <v>6.5400000000000004E-5</v>
      </c>
      <c r="H2107" s="11">
        <v>104829.72540000001</v>
      </c>
      <c r="I2107" s="22">
        <f>IFERROR(VLOOKUP(D2107,'LEAID Match'!$A$2:$B$184,2,FALSE),"")</f>
        <v>3700346</v>
      </c>
    </row>
    <row r="2108" spans="1:9" x14ac:dyDescent="0.2">
      <c r="A2108">
        <f t="shared" si="32"/>
        <v>3700346</v>
      </c>
      <c r="B2108" s="24">
        <v>2019</v>
      </c>
      <c r="C2108" t="s">
        <v>508</v>
      </c>
      <c r="D2108" t="s">
        <v>815</v>
      </c>
      <c r="E2108" t="s">
        <v>815</v>
      </c>
      <c r="F2108" s="11">
        <v>8031187</v>
      </c>
      <c r="G2108" s="18">
        <v>6.6699999999999995E-5</v>
      </c>
      <c r="H2108" s="11">
        <v>127740.23819999999</v>
      </c>
      <c r="I2108" s="22">
        <f>IFERROR(VLOOKUP(D2108,'LEAID Match'!$A$2:$B$184,2,FALSE),"")</f>
        <v>3700346</v>
      </c>
    </row>
    <row r="2109" spans="1:9" x14ac:dyDescent="0.2">
      <c r="A2109">
        <f t="shared" si="32"/>
        <v>3700346</v>
      </c>
      <c r="B2109" s="24">
        <v>2020</v>
      </c>
      <c r="C2109" t="s">
        <v>508</v>
      </c>
      <c r="D2109" t="s">
        <v>815</v>
      </c>
      <c r="E2109" t="s">
        <v>815</v>
      </c>
      <c r="F2109" s="11">
        <v>9266119</v>
      </c>
      <c r="G2109" s="18">
        <v>7.4800000000000002E-5</v>
      </c>
      <c r="H2109" s="11">
        <v>153719.61000000002</v>
      </c>
      <c r="I2109" s="22">
        <f>IFERROR(VLOOKUP(D2109,'LEAID Match'!$A$2:$B$184,2,FALSE),"")</f>
        <v>3700346</v>
      </c>
    </row>
    <row r="2110" spans="1:9" x14ac:dyDescent="0.2">
      <c r="A2110">
        <f t="shared" si="32"/>
        <v>3700346</v>
      </c>
      <c r="B2110" s="24">
        <v>2021</v>
      </c>
      <c r="C2110" t="s">
        <v>508</v>
      </c>
      <c r="D2110" t="s">
        <v>815</v>
      </c>
      <c r="E2110" t="s">
        <v>815</v>
      </c>
      <c r="F2110" s="11">
        <v>8784442</v>
      </c>
      <c r="G2110" s="18">
        <v>7.0199999999999999E-5</v>
      </c>
      <c r="H2110" s="11">
        <v>166602.2904</v>
      </c>
      <c r="I2110" s="22">
        <f>IFERROR(VLOOKUP(D2110,'LEAID Match'!$A$2:$B$184,2,FALSE),"")</f>
        <v>3700346</v>
      </c>
    </row>
    <row r="2111" spans="1:9" x14ac:dyDescent="0.2">
      <c r="A2111">
        <f t="shared" si="32"/>
        <v>3700346</v>
      </c>
      <c r="B2111" s="24">
        <v>2022</v>
      </c>
      <c r="C2111" t="s">
        <v>508</v>
      </c>
      <c r="D2111" t="s">
        <v>815</v>
      </c>
      <c r="E2111" t="s">
        <v>815</v>
      </c>
      <c r="F2111" s="11">
        <v>8973690</v>
      </c>
      <c r="G2111" s="18">
        <v>7.1199999999999996E-5</v>
      </c>
      <c r="H2111" s="11">
        <v>196650.5552</v>
      </c>
      <c r="I2111" s="22">
        <f>IFERROR(VLOOKUP(D2111,'LEAID Match'!$A$2:$B$184,2,FALSE),"")</f>
        <v>3700346</v>
      </c>
    </row>
    <row r="2112" spans="1:9" x14ac:dyDescent="0.2">
      <c r="A2112">
        <f t="shared" si="32"/>
        <v>3700346</v>
      </c>
      <c r="B2112" s="24">
        <v>2023</v>
      </c>
      <c r="C2112" t="s">
        <v>508</v>
      </c>
      <c r="D2112" t="s">
        <v>815</v>
      </c>
      <c r="E2112" t="s">
        <v>815</v>
      </c>
      <c r="F2112" s="11">
        <v>8859334</v>
      </c>
      <c r="G2112" s="18">
        <v>6.6699999999999995E-5</v>
      </c>
      <c r="H2112" s="11">
        <v>202427.62989999997</v>
      </c>
      <c r="I2112" s="22">
        <f>IFERROR(VLOOKUP(D2112,'LEAID Match'!$A$2:$B$184,2,FALSE),"")</f>
        <v>3700346</v>
      </c>
    </row>
    <row r="2113" spans="1:9" x14ac:dyDescent="0.2">
      <c r="A2113" t="str">
        <f t="shared" si="32"/>
        <v/>
      </c>
      <c r="B2113" s="24">
        <v>2015</v>
      </c>
      <c r="C2113" t="s">
        <v>509</v>
      </c>
      <c r="D2113" t="s">
        <v>816</v>
      </c>
      <c r="E2113" t="s">
        <v>455</v>
      </c>
      <c r="F2113" s="11">
        <v>85389176</v>
      </c>
      <c r="G2113" s="18">
        <v>7.4660000000000004E-4</v>
      </c>
      <c r="H2113" s="11">
        <v>942946.84080000001</v>
      </c>
      <c r="I2113" s="22" t="str">
        <f>IFERROR(VLOOKUP(D2113,'LEAID Match'!$A$2:$B$184,2,FALSE),"")</f>
        <v/>
      </c>
    </row>
    <row r="2114" spans="1:9" x14ac:dyDescent="0.2">
      <c r="A2114" t="str">
        <f t="shared" si="32"/>
        <v/>
      </c>
      <c r="B2114" s="24">
        <v>2016</v>
      </c>
      <c r="C2114" t="s">
        <v>509</v>
      </c>
      <c r="D2114" t="s">
        <v>816</v>
      </c>
      <c r="E2114" t="s">
        <v>816</v>
      </c>
      <c r="F2114" s="11">
        <v>72504914</v>
      </c>
      <c r="G2114" s="18">
        <v>6.6949999999999996E-4</v>
      </c>
      <c r="H2114" s="11">
        <v>853614.5085</v>
      </c>
      <c r="I2114" s="22" t="str">
        <f>IFERROR(VLOOKUP(D2114,'LEAID Match'!$A$2:$B$184,2,FALSE),"")</f>
        <v/>
      </c>
    </row>
    <row r="2115" spans="1:9" x14ac:dyDescent="0.2">
      <c r="A2115" t="str">
        <f t="shared" ref="A2115:A2178" si="33">I2115</f>
        <v/>
      </c>
      <c r="B2115" s="24">
        <v>2017</v>
      </c>
      <c r="C2115" t="s">
        <v>509</v>
      </c>
      <c r="D2115" t="s">
        <v>816</v>
      </c>
      <c r="E2115" t="s">
        <v>816</v>
      </c>
      <c r="F2115" s="11">
        <v>70656761</v>
      </c>
      <c r="G2115" s="18">
        <v>6.332E-4</v>
      </c>
      <c r="H2115" s="11">
        <v>912564.04079999996</v>
      </c>
      <c r="I2115" s="22" t="str">
        <f>IFERROR(VLOOKUP(D2115,'LEAID Match'!$A$2:$B$184,2,FALSE),"")</f>
        <v/>
      </c>
    </row>
    <row r="2116" spans="1:9" x14ac:dyDescent="0.2">
      <c r="A2116" t="str">
        <f t="shared" si="33"/>
        <v/>
      </c>
      <c r="B2116" s="24">
        <v>2018</v>
      </c>
      <c r="C2116" t="s">
        <v>509</v>
      </c>
      <c r="D2116" t="s">
        <v>816</v>
      </c>
      <c r="E2116" t="s">
        <v>816</v>
      </c>
      <c r="F2116" s="11">
        <v>70212133</v>
      </c>
      <c r="G2116" s="18">
        <v>6.0420000000000005E-4</v>
      </c>
      <c r="H2116" s="11">
        <v>968472.78420000011</v>
      </c>
      <c r="I2116" s="22" t="str">
        <f>IFERROR(VLOOKUP(D2116,'LEAID Match'!$A$2:$B$184,2,FALSE),"")</f>
        <v/>
      </c>
    </row>
    <row r="2117" spans="1:9" x14ac:dyDescent="0.2">
      <c r="A2117" t="str">
        <f t="shared" si="33"/>
        <v/>
      </c>
      <c r="B2117" s="24">
        <v>2019</v>
      </c>
      <c r="C2117" t="s">
        <v>509</v>
      </c>
      <c r="D2117" t="s">
        <v>816</v>
      </c>
      <c r="E2117" t="s">
        <v>816</v>
      </c>
      <c r="F2117" s="11">
        <v>69689500</v>
      </c>
      <c r="G2117" s="18">
        <v>5.7839999999999996E-4</v>
      </c>
      <c r="H2117" s="11">
        <v>1107720.4464</v>
      </c>
      <c r="I2117" s="22" t="str">
        <f>IFERROR(VLOOKUP(D2117,'LEAID Match'!$A$2:$B$184,2,FALSE),"")</f>
        <v/>
      </c>
    </row>
    <row r="2118" spans="1:9" x14ac:dyDescent="0.2">
      <c r="A2118" t="str">
        <f t="shared" si="33"/>
        <v/>
      </c>
      <c r="B2118" s="24">
        <v>2020</v>
      </c>
      <c r="C2118" t="s">
        <v>509</v>
      </c>
      <c r="D2118" t="s">
        <v>816</v>
      </c>
      <c r="E2118" t="s">
        <v>816</v>
      </c>
      <c r="F2118" s="11">
        <v>73579018</v>
      </c>
      <c r="G2118" s="18">
        <v>5.9400000000000002E-4</v>
      </c>
      <c r="H2118" s="11">
        <v>1220714.55</v>
      </c>
      <c r="I2118" s="22" t="str">
        <f>IFERROR(VLOOKUP(D2118,'LEAID Match'!$A$2:$B$184,2,FALSE),"")</f>
        <v/>
      </c>
    </row>
    <row r="2119" spans="1:9" x14ac:dyDescent="0.2">
      <c r="A2119" t="str">
        <f t="shared" si="33"/>
        <v/>
      </c>
      <c r="B2119" s="24">
        <v>2021</v>
      </c>
      <c r="C2119" t="s">
        <v>509</v>
      </c>
      <c r="D2119" t="s">
        <v>816</v>
      </c>
      <c r="E2119" t="s">
        <v>816</v>
      </c>
      <c r="F2119" s="11">
        <v>74880859</v>
      </c>
      <c r="G2119" s="18">
        <v>5.9829999999999996E-4</v>
      </c>
      <c r="H2119" s="11">
        <v>1419916.6716</v>
      </c>
      <c r="I2119" s="22" t="str">
        <f>IFERROR(VLOOKUP(D2119,'LEAID Match'!$A$2:$B$184,2,FALSE),"")</f>
        <v/>
      </c>
    </row>
    <row r="2120" spans="1:9" x14ac:dyDescent="0.2">
      <c r="A2120" t="str">
        <f t="shared" si="33"/>
        <v/>
      </c>
      <c r="B2120" s="24">
        <v>2022</v>
      </c>
      <c r="C2120" t="s">
        <v>509</v>
      </c>
      <c r="D2120" t="s">
        <v>816</v>
      </c>
      <c r="E2120" t="s">
        <v>816</v>
      </c>
      <c r="F2120" s="11">
        <v>78635210</v>
      </c>
      <c r="G2120" s="18">
        <v>6.2350000000000003E-4</v>
      </c>
      <c r="H2120" s="11">
        <v>1722073.331</v>
      </c>
      <c r="I2120" s="22" t="str">
        <f>IFERROR(VLOOKUP(D2120,'LEAID Match'!$A$2:$B$184,2,FALSE),"")</f>
        <v/>
      </c>
    </row>
    <row r="2121" spans="1:9" x14ac:dyDescent="0.2">
      <c r="A2121" t="str">
        <f t="shared" si="33"/>
        <v/>
      </c>
      <c r="B2121" s="24">
        <v>2023</v>
      </c>
      <c r="C2121" t="s">
        <v>509</v>
      </c>
      <c r="D2121" t="s">
        <v>816</v>
      </c>
      <c r="E2121" t="s">
        <v>816</v>
      </c>
      <c r="F2121" s="11">
        <v>83767299</v>
      </c>
      <c r="G2121" s="18">
        <v>6.3029999999999998E-4</v>
      </c>
      <c r="H2121" s="11">
        <v>1912895.5791</v>
      </c>
      <c r="I2121" s="22" t="str">
        <f>IFERROR(VLOOKUP(D2121,'LEAID Match'!$A$2:$B$184,2,FALSE),"")</f>
        <v/>
      </c>
    </row>
    <row r="2122" spans="1:9" x14ac:dyDescent="0.2">
      <c r="A2122">
        <f t="shared" si="33"/>
        <v>3703990</v>
      </c>
      <c r="B2122" s="24">
        <v>2015</v>
      </c>
      <c r="C2122" t="s">
        <v>510</v>
      </c>
      <c r="D2122" t="s">
        <v>817</v>
      </c>
      <c r="E2122" t="s">
        <v>456</v>
      </c>
      <c r="F2122" s="11">
        <v>544967200</v>
      </c>
      <c r="G2122" s="18">
        <v>4.7647999999999996E-3</v>
      </c>
      <c r="H2122" s="11">
        <v>6017885.2223999994</v>
      </c>
      <c r="I2122" s="22">
        <f>IFERROR(VLOOKUP(D2122,'LEAID Match'!$A$2:$B$184,2,FALSE),"")</f>
        <v>3703990</v>
      </c>
    </row>
    <row r="2123" spans="1:9" x14ac:dyDescent="0.2">
      <c r="A2123">
        <f t="shared" si="33"/>
        <v>3703990</v>
      </c>
      <c r="B2123" s="24">
        <v>2016</v>
      </c>
      <c r="C2123" t="s">
        <v>510</v>
      </c>
      <c r="D2123" t="s">
        <v>817</v>
      </c>
      <c r="E2123" t="s">
        <v>817</v>
      </c>
      <c r="F2123" s="11">
        <v>493988932</v>
      </c>
      <c r="G2123" s="18">
        <v>4.5617000000000001E-3</v>
      </c>
      <c r="H2123" s="11">
        <v>5816181.1851000004</v>
      </c>
      <c r="I2123" s="22">
        <f>IFERROR(VLOOKUP(D2123,'LEAID Match'!$A$2:$B$184,2,FALSE),"")</f>
        <v>3703990</v>
      </c>
    </row>
    <row r="2124" spans="1:9" x14ac:dyDescent="0.2">
      <c r="A2124">
        <f t="shared" si="33"/>
        <v>3703990</v>
      </c>
      <c r="B2124" s="24">
        <v>2017</v>
      </c>
      <c r="C2124" t="s">
        <v>510</v>
      </c>
      <c r="D2124" t="s">
        <v>817</v>
      </c>
      <c r="E2124" t="s">
        <v>817</v>
      </c>
      <c r="F2124" s="11">
        <v>490794817</v>
      </c>
      <c r="G2124" s="18">
        <v>4.3984999999999996E-3</v>
      </c>
      <c r="H2124" s="11">
        <v>6339091.8089999994</v>
      </c>
      <c r="I2124" s="22">
        <f>IFERROR(VLOOKUP(D2124,'LEAID Match'!$A$2:$B$184,2,FALSE),"")</f>
        <v>3703990</v>
      </c>
    </row>
    <row r="2125" spans="1:9" x14ac:dyDescent="0.2">
      <c r="A2125">
        <f t="shared" si="33"/>
        <v>3703990</v>
      </c>
      <c r="B2125" s="24">
        <v>2018</v>
      </c>
      <c r="C2125" t="s">
        <v>510</v>
      </c>
      <c r="D2125" t="s">
        <v>817</v>
      </c>
      <c r="E2125" t="s">
        <v>817</v>
      </c>
      <c r="F2125" s="11">
        <v>491822955</v>
      </c>
      <c r="G2125" s="18">
        <v>4.2322999999999996E-3</v>
      </c>
      <c r="H2125" s="11">
        <v>6783957.9022999993</v>
      </c>
      <c r="I2125" s="22">
        <f>IFERROR(VLOOKUP(D2125,'LEAID Match'!$A$2:$B$184,2,FALSE),"")</f>
        <v>3703990</v>
      </c>
    </row>
    <row r="2126" spans="1:9" x14ac:dyDescent="0.2">
      <c r="A2126">
        <f t="shared" si="33"/>
        <v>3703990</v>
      </c>
      <c r="B2126" s="24">
        <v>2019</v>
      </c>
      <c r="C2126" t="s">
        <v>510</v>
      </c>
      <c r="D2126" t="s">
        <v>817</v>
      </c>
      <c r="E2126" t="s">
        <v>817</v>
      </c>
      <c r="F2126" s="11">
        <v>479312481</v>
      </c>
      <c r="G2126" s="18">
        <v>3.9782999999999997E-3</v>
      </c>
      <c r="H2126" s="11">
        <v>7619025.3317999998</v>
      </c>
      <c r="I2126" s="22">
        <f>IFERROR(VLOOKUP(D2126,'LEAID Match'!$A$2:$B$184,2,FALSE),"")</f>
        <v>3703990</v>
      </c>
    </row>
    <row r="2127" spans="1:9" x14ac:dyDescent="0.2">
      <c r="A2127">
        <f t="shared" si="33"/>
        <v>3703990</v>
      </c>
      <c r="B2127" s="24">
        <v>2020</v>
      </c>
      <c r="C2127" t="s">
        <v>510</v>
      </c>
      <c r="D2127" t="s">
        <v>817</v>
      </c>
      <c r="E2127" t="s">
        <v>817</v>
      </c>
      <c r="F2127" s="11">
        <v>502146629</v>
      </c>
      <c r="G2127" s="18">
        <v>4.0537999999999998E-3</v>
      </c>
      <c r="H2127" s="11">
        <v>8330863.0349999992</v>
      </c>
      <c r="I2127" s="22">
        <f>IFERROR(VLOOKUP(D2127,'LEAID Match'!$A$2:$B$184,2,FALSE),"")</f>
        <v>3703990</v>
      </c>
    </row>
    <row r="2128" spans="1:9" x14ac:dyDescent="0.2">
      <c r="A2128">
        <f t="shared" si="33"/>
        <v>3703990</v>
      </c>
      <c r="B2128" s="24">
        <v>2021</v>
      </c>
      <c r="C2128" t="s">
        <v>510</v>
      </c>
      <c r="D2128" t="s">
        <v>817</v>
      </c>
      <c r="E2128" t="s">
        <v>817</v>
      </c>
      <c r="F2128" s="11">
        <v>511866876</v>
      </c>
      <c r="G2128" s="18">
        <v>4.0899999999999999E-3</v>
      </c>
      <c r="H2128" s="11">
        <v>9706600.6799999997</v>
      </c>
      <c r="I2128" s="22">
        <f>IFERROR(VLOOKUP(D2128,'LEAID Match'!$A$2:$B$184,2,FALSE),"")</f>
        <v>3703990</v>
      </c>
    </row>
    <row r="2129" spans="1:9" x14ac:dyDescent="0.2">
      <c r="A2129">
        <f t="shared" si="33"/>
        <v>3703990</v>
      </c>
      <c r="B2129" s="24">
        <v>2022</v>
      </c>
      <c r="C2129" t="s">
        <v>510</v>
      </c>
      <c r="D2129" t="s">
        <v>817</v>
      </c>
      <c r="E2129" t="s">
        <v>817</v>
      </c>
      <c r="F2129" s="11">
        <v>516826693</v>
      </c>
      <c r="G2129" s="18">
        <v>4.0978999999999998E-3</v>
      </c>
      <c r="H2129" s="11">
        <v>11318178.5134</v>
      </c>
      <c r="I2129" s="22">
        <f>IFERROR(VLOOKUP(D2129,'LEAID Match'!$A$2:$B$184,2,FALSE),"")</f>
        <v>3703990</v>
      </c>
    </row>
    <row r="2130" spans="1:9" x14ac:dyDescent="0.2">
      <c r="A2130">
        <f t="shared" si="33"/>
        <v>3703990</v>
      </c>
      <c r="B2130" s="24">
        <v>2023</v>
      </c>
      <c r="C2130" t="s">
        <v>510</v>
      </c>
      <c r="D2130" t="s">
        <v>817</v>
      </c>
      <c r="E2130" t="s">
        <v>817</v>
      </c>
      <c r="F2130" s="11">
        <v>538084622</v>
      </c>
      <c r="G2130" s="18">
        <v>4.0486999999999997E-3</v>
      </c>
      <c r="H2130" s="11">
        <v>12287387.483899999</v>
      </c>
      <c r="I2130" s="22">
        <f>IFERROR(VLOOKUP(D2130,'LEAID Match'!$A$2:$B$184,2,FALSE),"")</f>
        <v>3703990</v>
      </c>
    </row>
    <row r="2131" spans="1:9" x14ac:dyDescent="0.2">
      <c r="A2131">
        <f t="shared" si="33"/>
        <v>3700110</v>
      </c>
      <c r="B2131" s="24">
        <v>2015</v>
      </c>
      <c r="C2131" t="s">
        <v>511</v>
      </c>
      <c r="D2131" t="s">
        <v>818</v>
      </c>
      <c r="E2131" t="s">
        <v>457</v>
      </c>
      <c r="F2131" s="11">
        <v>7265286</v>
      </c>
      <c r="G2131" s="18">
        <v>6.3499999999999999E-5</v>
      </c>
      <c r="H2131" s="11">
        <v>80199.737999999998</v>
      </c>
      <c r="I2131" s="22">
        <f>IFERROR(VLOOKUP(D2131,'LEAID Match'!$A$2:$B$184,2,FALSE),"")</f>
        <v>3700110</v>
      </c>
    </row>
    <row r="2132" spans="1:9" x14ac:dyDescent="0.2">
      <c r="A2132">
        <f t="shared" si="33"/>
        <v>3700110</v>
      </c>
      <c r="B2132" s="24">
        <v>2016</v>
      </c>
      <c r="C2132" t="s">
        <v>511</v>
      </c>
      <c r="D2132" t="s">
        <v>818</v>
      </c>
      <c r="E2132" t="s">
        <v>818</v>
      </c>
      <c r="F2132" s="11">
        <v>6696463</v>
      </c>
      <c r="G2132" s="18">
        <v>6.1799999999999998E-5</v>
      </c>
      <c r="H2132" s="11">
        <v>78795.185400000002</v>
      </c>
      <c r="I2132" s="22">
        <f>IFERROR(VLOOKUP(D2132,'LEAID Match'!$A$2:$B$184,2,FALSE),"")</f>
        <v>3700110</v>
      </c>
    </row>
    <row r="2133" spans="1:9" x14ac:dyDescent="0.2">
      <c r="A2133">
        <f t="shared" si="33"/>
        <v>3700110</v>
      </c>
      <c r="B2133" s="24">
        <v>2017</v>
      </c>
      <c r="C2133" t="s">
        <v>511</v>
      </c>
      <c r="D2133" t="s">
        <v>818</v>
      </c>
      <c r="E2133" t="s">
        <v>818</v>
      </c>
      <c r="F2133" s="11">
        <v>6594311</v>
      </c>
      <c r="G2133" s="18">
        <v>5.91E-5</v>
      </c>
      <c r="H2133" s="11">
        <v>85174.565400000007</v>
      </c>
      <c r="I2133" s="22">
        <f>IFERROR(VLOOKUP(D2133,'LEAID Match'!$A$2:$B$184,2,FALSE),"")</f>
        <v>3700110</v>
      </c>
    </row>
    <row r="2134" spans="1:9" x14ac:dyDescent="0.2">
      <c r="A2134">
        <f t="shared" si="33"/>
        <v>3700110</v>
      </c>
      <c r="B2134" s="24">
        <v>2018</v>
      </c>
      <c r="C2134" t="s">
        <v>511</v>
      </c>
      <c r="D2134" t="s">
        <v>818</v>
      </c>
      <c r="E2134" t="s">
        <v>818</v>
      </c>
      <c r="F2134" s="11">
        <v>9661806</v>
      </c>
      <c r="G2134" s="18">
        <v>8.3100000000000001E-5</v>
      </c>
      <c r="H2134" s="11">
        <v>133201.07310000001</v>
      </c>
      <c r="I2134" s="22">
        <f>IFERROR(VLOOKUP(D2134,'LEAID Match'!$A$2:$B$184,2,FALSE),"")</f>
        <v>3700110</v>
      </c>
    </row>
    <row r="2135" spans="1:9" x14ac:dyDescent="0.2">
      <c r="A2135">
        <f t="shared" si="33"/>
        <v>3700110</v>
      </c>
      <c r="B2135" s="24">
        <v>2019</v>
      </c>
      <c r="C2135" t="s">
        <v>511</v>
      </c>
      <c r="D2135" t="s">
        <v>818</v>
      </c>
      <c r="E2135" t="s">
        <v>818</v>
      </c>
      <c r="F2135" s="11">
        <v>12074542</v>
      </c>
      <c r="G2135" s="18">
        <v>1.002E-4</v>
      </c>
      <c r="H2135" s="11">
        <v>191897.6292</v>
      </c>
      <c r="I2135" s="22">
        <f>IFERROR(VLOOKUP(D2135,'LEAID Match'!$A$2:$B$184,2,FALSE),"")</f>
        <v>3700110</v>
      </c>
    </row>
    <row r="2136" spans="1:9" x14ac:dyDescent="0.2">
      <c r="A2136">
        <f t="shared" si="33"/>
        <v>3700110</v>
      </c>
      <c r="B2136" s="24">
        <v>2020</v>
      </c>
      <c r="C2136" t="s">
        <v>511</v>
      </c>
      <c r="D2136" t="s">
        <v>818</v>
      </c>
      <c r="E2136" t="s">
        <v>818</v>
      </c>
      <c r="F2136" s="11">
        <v>14109898</v>
      </c>
      <c r="G2136" s="18">
        <v>1.139E-4</v>
      </c>
      <c r="H2136" s="11">
        <v>234073.04250000001</v>
      </c>
      <c r="I2136" s="22">
        <f>IFERROR(VLOOKUP(D2136,'LEAID Match'!$A$2:$B$184,2,FALSE),"")</f>
        <v>3700110</v>
      </c>
    </row>
    <row r="2137" spans="1:9" x14ac:dyDescent="0.2">
      <c r="A2137">
        <f t="shared" si="33"/>
        <v>3700110</v>
      </c>
      <c r="B2137" s="24">
        <v>2021</v>
      </c>
      <c r="C2137" t="s">
        <v>511</v>
      </c>
      <c r="D2137" t="s">
        <v>818</v>
      </c>
      <c r="E2137" t="s">
        <v>818</v>
      </c>
      <c r="F2137" s="11">
        <v>14847035</v>
      </c>
      <c r="G2137" s="18">
        <v>1.186E-4</v>
      </c>
      <c r="H2137" s="11">
        <v>281467.68719999999</v>
      </c>
      <c r="I2137" s="22">
        <f>IFERROR(VLOOKUP(D2137,'LEAID Match'!$A$2:$B$184,2,FALSE),"")</f>
        <v>3700110</v>
      </c>
    </row>
    <row r="2138" spans="1:9" x14ac:dyDescent="0.2">
      <c r="A2138">
        <f t="shared" si="33"/>
        <v>3700110</v>
      </c>
      <c r="B2138" s="24">
        <v>2022</v>
      </c>
      <c r="C2138" t="s">
        <v>511</v>
      </c>
      <c r="D2138" t="s">
        <v>818</v>
      </c>
      <c r="E2138" t="s">
        <v>818</v>
      </c>
      <c r="F2138" s="11">
        <v>16488026</v>
      </c>
      <c r="G2138" s="18">
        <v>1.3070000000000001E-4</v>
      </c>
      <c r="H2138" s="11">
        <v>360986.34220000001</v>
      </c>
      <c r="I2138" s="22">
        <f>IFERROR(VLOOKUP(D2138,'LEAID Match'!$A$2:$B$184,2,FALSE),"")</f>
        <v>3700110</v>
      </c>
    </row>
    <row r="2139" spans="1:9" x14ac:dyDescent="0.2">
      <c r="A2139">
        <f t="shared" si="33"/>
        <v>3700110</v>
      </c>
      <c r="B2139" s="24">
        <v>2023</v>
      </c>
      <c r="C2139" t="s">
        <v>511</v>
      </c>
      <c r="D2139" t="s">
        <v>818</v>
      </c>
      <c r="E2139" t="s">
        <v>818</v>
      </c>
      <c r="F2139" s="11">
        <v>20928184</v>
      </c>
      <c r="G2139" s="18">
        <v>1.5750000000000001E-4</v>
      </c>
      <c r="H2139" s="11">
        <v>477996.27750000003</v>
      </c>
      <c r="I2139" s="22">
        <f>IFERROR(VLOOKUP(D2139,'LEAID Match'!$A$2:$B$184,2,FALSE),"")</f>
        <v>3700110</v>
      </c>
    </row>
    <row r="2140" spans="1:9" x14ac:dyDescent="0.2">
      <c r="A2140" t="str">
        <f t="shared" si="33"/>
        <v/>
      </c>
      <c r="B2140" s="24">
        <v>2015</v>
      </c>
      <c r="C2140" t="s">
        <v>512</v>
      </c>
      <c r="D2140" t="s">
        <v>819</v>
      </c>
      <c r="E2140" t="s">
        <v>458</v>
      </c>
      <c r="F2140" s="11">
        <v>59562887</v>
      </c>
      <c r="G2140" s="18">
        <v>5.2079999999999997E-4</v>
      </c>
      <c r="H2140" s="11">
        <v>657764.15039999993</v>
      </c>
      <c r="I2140" s="22" t="str">
        <f>IFERROR(VLOOKUP(D2140,'LEAID Match'!$A$2:$B$184,2,FALSE),"")</f>
        <v/>
      </c>
    </row>
    <row r="2141" spans="1:9" x14ac:dyDescent="0.2">
      <c r="A2141" t="str">
        <f t="shared" si="33"/>
        <v/>
      </c>
      <c r="B2141" s="24">
        <v>2016</v>
      </c>
      <c r="C2141" t="s">
        <v>512</v>
      </c>
      <c r="D2141" t="s">
        <v>819</v>
      </c>
      <c r="E2141" t="s">
        <v>819</v>
      </c>
      <c r="F2141" s="11">
        <v>55427701</v>
      </c>
      <c r="G2141" s="18">
        <v>5.1179999999999997E-4</v>
      </c>
      <c r="H2141" s="11">
        <v>652546.53539999994</v>
      </c>
      <c r="I2141" s="22" t="str">
        <f>IFERROR(VLOOKUP(D2141,'LEAID Match'!$A$2:$B$184,2,FALSE),"")</f>
        <v/>
      </c>
    </row>
    <row r="2142" spans="1:9" x14ac:dyDescent="0.2">
      <c r="A2142" t="str">
        <f t="shared" si="33"/>
        <v/>
      </c>
      <c r="B2142" s="24">
        <v>2017</v>
      </c>
      <c r="C2142" t="s">
        <v>512</v>
      </c>
      <c r="D2142" t="s">
        <v>819</v>
      </c>
      <c r="E2142" t="s">
        <v>819</v>
      </c>
      <c r="F2142" s="11">
        <v>60090326</v>
      </c>
      <c r="G2142" s="18">
        <v>5.3850000000000002E-4</v>
      </c>
      <c r="H2142" s="11">
        <v>776082.96900000004</v>
      </c>
      <c r="I2142" s="22" t="str">
        <f>IFERROR(VLOOKUP(D2142,'LEAID Match'!$A$2:$B$184,2,FALSE),"")</f>
        <v/>
      </c>
    </row>
    <row r="2143" spans="1:9" x14ac:dyDescent="0.2">
      <c r="A2143" t="str">
        <f t="shared" si="33"/>
        <v/>
      </c>
      <c r="B2143" s="24">
        <v>2018</v>
      </c>
      <c r="C2143" t="s">
        <v>512</v>
      </c>
      <c r="D2143" t="s">
        <v>819</v>
      </c>
      <c r="E2143" t="s">
        <v>819</v>
      </c>
      <c r="F2143" s="11">
        <v>55115012</v>
      </c>
      <c r="G2143" s="18">
        <v>4.7429999999999998E-4</v>
      </c>
      <c r="H2143" s="11">
        <v>760255.94429999997</v>
      </c>
      <c r="I2143" s="22" t="str">
        <f>IFERROR(VLOOKUP(D2143,'LEAID Match'!$A$2:$B$184,2,FALSE),"")</f>
        <v/>
      </c>
    </row>
    <row r="2144" spans="1:9" x14ac:dyDescent="0.2">
      <c r="A2144" t="str">
        <f t="shared" si="33"/>
        <v/>
      </c>
      <c r="B2144" s="24">
        <v>2019</v>
      </c>
      <c r="C2144" t="s">
        <v>512</v>
      </c>
      <c r="D2144" t="s">
        <v>819</v>
      </c>
      <c r="E2144" t="s">
        <v>819</v>
      </c>
      <c r="F2144" s="11">
        <v>56932048</v>
      </c>
      <c r="G2144" s="18">
        <v>4.7249999999999999E-4</v>
      </c>
      <c r="H2144" s="11">
        <v>904906.48499999999</v>
      </c>
      <c r="I2144" s="22" t="str">
        <f>IFERROR(VLOOKUP(D2144,'LEAID Match'!$A$2:$B$184,2,FALSE),"")</f>
        <v/>
      </c>
    </row>
    <row r="2145" spans="1:9" x14ac:dyDescent="0.2">
      <c r="A2145" t="str">
        <f t="shared" si="33"/>
        <v/>
      </c>
      <c r="B2145" s="24">
        <v>2020</v>
      </c>
      <c r="C2145" t="s">
        <v>512</v>
      </c>
      <c r="D2145" t="s">
        <v>819</v>
      </c>
      <c r="E2145" t="s">
        <v>819</v>
      </c>
      <c r="F2145" s="11">
        <v>56530409</v>
      </c>
      <c r="G2145" s="18">
        <v>4.5639999999999998E-4</v>
      </c>
      <c r="H2145" s="11">
        <v>937936.23</v>
      </c>
      <c r="I2145" s="22" t="str">
        <f>IFERROR(VLOOKUP(D2145,'LEAID Match'!$A$2:$B$184,2,FALSE),"")</f>
        <v/>
      </c>
    </row>
    <row r="2146" spans="1:9" x14ac:dyDescent="0.2">
      <c r="A2146" t="str">
        <f t="shared" si="33"/>
        <v/>
      </c>
      <c r="B2146" s="24">
        <v>2021</v>
      </c>
      <c r="C2146" t="s">
        <v>512</v>
      </c>
      <c r="D2146" t="s">
        <v>819</v>
      </c>
      <c r="E2146" t="s">
        <v>819</v>
      </c>
      <c r="F2146" s="11">
        <v>58361371</v>
      </c>
      <c r="G2146" s="18">
        <v>4.663E-4</v>
      </c>
      <c r="H2146" s="11">
        <v>1106647.4076</v>
      </c>
      <c r="I2146" s="22" t="str">
        <f>IFERROR(VLOOKUP(D2146,'LEAID Match'!$A$2:$B$184,2,FALSE),"")</f>
        <v/>
      </c>
    </row>
    <row r="2147" spans="1:9" x14ac:dyDescent="0.2">
      <c r="A2147" t="str">
        <f t="shared" si="33"/>
        <v/>
      </c>
      <c r="B2147" s="24">
        <v>2022</v>
      </c>
      <c r="C2147" t="s">
        <v>512</v>
      </c>
      <c r="D2147" t="s">
        <v>819</v>
      </c>
      <c r="E2147" t="s">
        <v>819</v>
      </c>
      <c r="F2147" s="11">
        <v>56783348</v>
      </c>
      <c r="G2147" s="18">
        <v>4.5019999999999999E-4</v>
      </c>
      <c r="H2147" s="11">
        <v>1243428.0892</v>
      </c>
      <c r="I2147" s="22" t="str">
        <f>IFERROR(VLOOKUP(D2147,'LEAID Match'!$A$2:$B$184,2,FALSE),"")</f>
        <v/>
      </c>
    </row>
    <row r="2148" spans="1:9" x14ac:dyDescent="0.2">
      <c r="A2148" t="str">
        <f t="shared" si="33"/>
        <v/>
      </c>
      <c r="B2148" s="24">
        <v>2023</v>
      </c>
      <c r="C2148" t="s">
        <v>512</v>
      </c>
      <c r="D2148" t="s">
        <v>819</v>
      </c>
      <c r="E2148" t="s">
        <v>819</v>
      </c>
      <c r="F2148" s="11">
        <v>58286337</v>
      </c>
      <c r="G2148" s="18">
        <v>4.3859999999999998E-4</v>
      </c>
      <c r="H2148" s="11">
        <v>1331105.8241999999</v>
      </c>
      <c r="I2148" s="22" t="str">
        <f>IFERROR(VLOOKUP(D2148,'LEAID Match'!$A$2:$B$184,2,FALSE),"")</f>
        <v/>
      </c>
    </row>
    <row r="2149" spans="1:9" x14ac:dyDescent="0.2">
      <c r="A2149">
        <f t="shared" si="33"/>
        <v>3704050</v>
      </c>
      <c r="B2149" s="24">
        <v>2015</v>
      </c>
      <c r="C2149" t="s">
        <v>513</v>
      </c>
      <c r="D2149" t="s">
        <v>820</v>
      </c>
      <c r="E2149" t="s">
        <v>459</v>
      </c>
      <c r="F2149" s="11">
        <v>814063220</v>
      </c>
      <c r="G2149" s="18">
        <v>7.1176E-3</v>
      </c>
      <c r="H2149" s="11">
        <v>8989443.3888000008</v>
      </c>
      <c r="I2149" s="22">
        <f>IFERROR(VLOOKUP(D2149,'LEAID Match'!$A$2:$B$184,2,FALSE),"")</f>
        <v>3704050</v>
      </c>
    </row>
    <row r="2150" spans="1:9" x14ac:dyDescent="0.2">
      <c r="A2150">
        <f t="shared" si="33"/>
        <v>3704050</v>
      </c>
      <c r="B2150" s="24">
        <v>2016</v>
      </c>
      <c r="C2150" t="s">
        <v>513</v>
      </c>
      <c r="D2150" t="s">
        <v>820</v>
      </c>
      <c r="E2150" t="s">
        <v>820</v>
      </c>
      <c r="F2150" s="11">
        <v>777694840</v>
      </c>
      <c r="G2150" s="18">
        <v>7.1815000000000004E-3</v>
      </c>
      <c r="H2150" s="11">
        <v>9156434.0445000008</v>
      </c>
      <c r="I2150" s="22">
        <f>IFERROR(VLOOKUP(D2150,'LEAID Match'!$A$2:$B$184,2,FALSE),"")</f>
        <v>3704050</v>
      </c>
    </row>
    <row r="2151" spans="1:9" x14ac:dyDescent="0.2">
      <c r="A2151">
        <f t="shared" si="33"/>
        <v>3704050</v>
      </c>
      <c r="B2151" s="24">
        <v>2017</v>
      </c>
      <c r="C2151" t="s">
        <v>513</v>
      </c>
      <c r="D2151" t="s">
        <v>820</v>
      </c>
      <c r="E2151" t="s">
        <v>820</v>
      </c>
      <c r="F2151" s="11">
        <v>808211061</v>
      </c>
      <c r="G2151" s="18">
        <v>7.2432E-3</v>
      </c>
      <c r="H2151" s="11">
        <v>10438856.380799999</v>
      </c>
      <c r="I2151" s="22">
        <f>IFERROR(VLOOKUP(D2151,'LEAID Match'!$A$2:$B$184,2,FALSE),"")</f>
        <v>3704050</v>
      </c>
    </row>
    <row r="2152" spans="1:9" x14ac:dyDescent="0.2">
      <c r="A2152">
        <f t="shared" si="33"/>
        <v>3704050</v>
      </c>
      <c r="B2152" s="24">
        <v>2018</v>
      </c>
      <c r="C2152" t="s">
        <v>513</v>
      </c>
      <c r="D2152" t="s">
        <v>820</v>
      </c>
      <c r="E2152" t="s">
        <v>820</v>
      </c>
      <c r="F2152" s="11">
        <v>842683751</v>
      </c>
      <c r="G2152" s="18">
        <v>7.2515000000000001E-3</v>
      </c>
      <c r="H2152" s="11">
        <v>11623436.601500001</v>
      </c>
      <c r="I2152" s="22">
        <f>IFERROR(VLOOKUP(D2152,'LEAID Match'!$A$2:$B$184,2,FALSE),"")</f>
        <v>3704050</v>
      </c>
    </row>
    <row r="2153" spans="1:9" x14ac:dyDescent="0.2">
      <c r="A2153">
        <f t="shared" si="33"/>
        <v>3704050</v>
      </c>
      <c r="B2153" s="24">
        <v>2019</v>
      </c>
      <c r="C2153" t="s">
        <v>513</v>
      </c>
      <c r="D2153" t="s">
        <v>820</v>
      </c>
      <c r="E2153" t="s">
        <v>820</v>
      </c>
      <c r="F2153" s="11">
        <v>857611534</v>
      </c>
      <c r="G2153" s="18">
        <v>7.1181999999999999E-3</v>
      </c>
      <c r="H2153" s="11">
        <v>13632392.257199999</v>
      </c>
      <c r="I2153" s="22">
        <f>IFERROR(VLOOKUP(D2153,'LEAID Match'!$A$2:$B$184,2,FALSE),"")</f>
        <v>3704050</v>
      </c>
    </row>
    <row r="2154" spans="1:9" x14ac:dyDescent="0.2">
      <c r="A2154">
        <f t="shared" si="33"/>
        <v>3704050</v>
      </c>
      <c r="B2154" s="24">
        <v>2020</v>
      </c>
      <c r="C2154" t="s">
        <v>513</v>
      </c>
      <c r="D2154" t="s">
        <v>820</v>
      </c>
      <c r="E2154" t="s">
        <v>820</v>
      </c>
      <c r="F2154" s="11">
        <v>872125825</v>
      </c>
      <c r="G2154" s="18">
        <v>7.0406000000000002E-3</v>
      </c>
      <c r="H2154" s="11">
        <v>14468961.045</v>
      </c>
      <c r="I2154" s="22">
        <f>IFERROR(VLOOKUP(D2154,'LEAID Match'!$A$2:$B$184,2,FALSE),"")</f>
        <v>3704050</v>
      </c>
    </row>
    <row r="2155" spans="1:9" x14ac:dyDescent="0.2">
      <c r="A2155">
        <f t="shared" si="33"/>
        <v>3704050</v>
      </c>
      <c r="B2155" s="24">
        <v>2021</v>
      </c>
      <c r="C2155" t="s">
        <v>513</v>
      </c>
      <c r="D2155" t="s">
        <v>820</v>
      </c>
      <c r="E2155" t="s">
        <v>820</v>
      </c>
      <c r="F2155" s="11">
        <v>854119486</v>
      </c>
      <c r="G2155" s="18">
        <v>6.8247999999999998E-3</v>
      </c>
      <c r="H2155" s="11">
        <v>16196970.249599999</v>
      </c>
      <c r="I2155" s="22">
        <f>IFERROR(VLOOKUP(D2155,'LEAID Match'!$A$2:$B$184,2,FALSE),"")</f>
        <v>3704050</v>
      </c>
    </row>
    <row r="2156" spans="1:9" x14ac:dyDescent="0.2">
      <c r="A2156">
        <f t="shared" si="33"/>
        <v>3704050</v>
      </c>
      <c r="B2156" s="24">
        <v>2022</v>
      </c>
      <c r="C2156" t="s">
        <v>513</v>
      </c>
      <c r="D2156" t="s">
        <v>820</v>
      </c>
      <c r="E2156" t="s">
        <v>820</v>
      </c>
      <c r="F2156" s="11">
        <v>863676229</v>
      </c>
      <c r="G2156" s="18">
        <v>6.8481000000000002E-3</v>
      </c>
      <c r="H2156" s="11">
        <v>18914082.402600002</v>
      </c>
      <c r="I2156" s="22">
        <f>IFERROR(VLOOKUP(D2156,'LEAID Match'!$A$2:$B$184,2,FALSE),"")</f>
        <v>3704050</v>
      </c>
    </row>
    <row r="2157" spans="1:9" x14ac:dyDescent="0.2">
      <c r="A2157">
        <f t="shared" si="33"/>
        <v>3704050</v>
      </c>
      <c r="B2157" s="24">
        <v>2023</v>
      </c>
      <c r="C2157" t="s">
        <v>513</v>
      </c>
      <c r="D2157" t="s">
        <v>820</v>
      </c>
      <c r="E2157" t="s">
        <v>820</v>
      </c>
      <c r="F2157" s="11">
        <v>849752238</v>
      </c>
      <c r="G2157" s="18">
        <v>6.3937999999999998E-3</v>
      </c>
      <c r="H2157" s="11">
        <v>19404524.4386</v>
      </c>
      <c r="I2157" s="22">
        <f>IFERROR(VLOOKUP(D2157,'LEAID Match'!$A$2:$B$184,2,FALSE),"")</f>
        <v>3704050</v>
      </c>
    </row>
    <row r="2158" spans="1:9" x14ac:dyDescent="0.2">
      <c r="A2158" t="str">
        <f t="shared" si="33"/>
        <v/>
      </c>
      <c r="B2158" s="24">
        <v>2015</v>
      </c>
      <c r="C2158" t="s">
        <v>514</v>
      </c>
      <c r="D2158" t="s">
        <v>821</v>
      </c>
      <c r="E2158" t="s">
        <v>460</v>
      </c>
      <c r="F2158" s="11">
        <v>165213603</v>
      </c>
      <c r="G2158" s="18">
        <v>1.4445E-3</v>
      </c>
      <c r="H2158" s="11">
        <v>1824386.166</v>
      </c>
      <c r="I2158" s="22" t="str">
        <f>IFERROR(VLOOKUP(D2158,'LEAID Match'!$A$2:$B$184,2,FALSE),"")</f>
        <v/>
      </c>
    </row>
    <row r="2159" spans="1:9" x14ac:dyDescent="0.2">
      <c r="A2159" t="str">
        <f t="shared" si="33"/>
        <v/>
      </c>
      <c r="B2159" s="24">
        <v>2016</v>
      </c>
      <c r="C2159" t="s">
        <v>514</v>
      </c>
      <c r="D2159" t="s">
        <v>821</v>
      </c>
      <c r="E2159" t="s">
        <v>821</v>
      </c>
      <c r="F2159" s="11">
        <v>162313254</v>
      </c>
      <c r="G2159" s="18">
        <v>1.4989000000000001E-3</v>
      </c>
      <c r="H2159" s="11">
        <v>1911101.9967</v>
      </c>
      <c r="I2159" s="22" t="str">
        <f>IFERROR(VLOOKUP(D2159,'LEAID Match'!$A$2:$B$184,2,FALSE),"")</f>
        <v/>
      </c>
    </row>
    <row r="2160" spans="1:9" x14ac:dyDescent="0.2">
      <c r="A2160" t="str">
        <f t="shared" si="33"/>
        <v/>
      </c>
      <c r="B2160" s="24">
        <v>2017</v>
      </c>
      <c r="C2160" t="s">
        <v>514</v>
      </c>
      <c r="D2160" t="s">
        <v>821</v>
      </c>
      <c r="E2160" t="s">
        <v>821</v>
      </c>
      <c r="F2160" s="11">
        <v>155841828</v>
      </c>
      <c r="G2160" s="18">
        <v>1.3967000000000001E-3</v>
      </c>
      <c r="H2160" s="11">
        <v>2012915.6598</v>
      </c>
      <c r="I2160" s="22" t="str">
        <f>IFERROR(VLOOKUP(D2160,'LEAID Match'!$A$2:$B$184,2,FALSE),"")</f>
        <v/>
      </c>
    </row>
    <row r="2161" spans="1:9" x14ac:dyDescent="0.2">
      <c r="A2161" t="str">
        <f t="shared" si="33"/>
        <v/>
      </c>
      <c r="B2161" s="24">
        <v>2018</v>
      </c>
      <c r="C2161" t="s">
        <v>514</v>
      </c>
      <c r="D2161" t="s">
        <v>821</v>
      </c>
      <c r="E2161" t="s">
        <v>821</v>
      </c>
      <c r="F2161" s="11">
        <v>157761604</v>
      </c>
      <c r="G2161" s="18">
        <v>1.3576E-3</v>
      </c>
      <c r="H2161" s="11">
        <v>2176098.3976000003</v>
      </c>
      <c r="I2161" s="22" t="str">
        <f>IFERROR(VLOOKUP(D2161,'LEAID Match'!$A$2:$B$184,2,FALSE),"")</f>
        <v/>
      </c>
    </row>
    <row r="2162" spans="1:9" x14ac:dyDescent="0.2">
      <c r="A2162" t="str">
        <f t="shared" si="33"/>
        <v/>
      </c>
      <c r="B2162" s="24">
        <v>2019</v>
      </c>
      <c r="C2162" t="s">
        <v>514</v>
      </c>
      <c r="D2162" t="s">
        <v>821</v>
      </c>
      <c r="E2162" t="s">
        <v>821</v>
      </c>
      <c r="F2162" s="11">
        <v>166518885</v>
      </c>
      <c r="G2162" s="18">
        <v>1.3821E-3</v>
      </c>
      <c r="H2162" s="11">
        <v>2646923.2866000002</v>
      </c>
      <c r="I2162" s="22" t="str">
        <f>IFERROR(VLOOKUP(D2162,'LEAID Match'!$A$2:$B$184,2,FALSE),"")</f>
        <v/>
      </c>
    </row>
    <row r="2163" spans="1:9" x14ac:dyDescent="0.2">
      <c r="A2163" t="str">
        <f t="shared" si="33"/>
        <v/>
      </c>
      <c r="B2163" s="24">
        <v>2020</v>
      </c>
      <c r="C2163" t="s">
        <v>514</v>
      </c>
      <c r="D2163" t="s">
        <v>821</v>
      </c>
      <c r="E2163" t="s">
        <v>821</v>
      </c>
      <c r="F2163" s="11">
        <v>175065056</v>
      </c>
      <c r="G2163" s="18">
        <v>1.4132999999999999E-3</v>
      </c>
      <c r="H2163" s="11">
        <v>2904437.4975000001</v>
      </c>
      <c r="I2163" s="22" t="str">
        <f>IFERROR(VLOOKUP(D2163,'LEAID Match'!$A$2:$B$184,2,FALSE),"")</f>
        <v/>
      </c>
    </row>
    <row r="2164" spans="1:9" x14ac:dyDescent="0.2">
      <c r="A2164" t="str">
        <f t="shared" si="33"/>
        <v/>
      </c>
      <c r="B2164" s="24">
        <v>2021</v>
      </c>
      <c r="C2164" t="s">
        <v>514</v>
      </c>
      <c r="D2164" t="s">
        <v>821</v>
      </c>
      <c r="E2164" t="s">
        <v>821</v>
      </c>
      <c r="F2164" s="11">
        <v>177715491</v>
      </c>
      <c r="G2164" s="18">
        <v>1.42E-3</v>
      </c>
      <c r="H2164" s="11">
        <v>3370017.8400000003</v>
      </c>
      <c r="I2164" s="22" t="str">
        <f>IFERROR(VLOOKUP(D2164,'LEAID Match'!$A$2:$B$184,2,FALSE),"")</f>
        <v/>
      </c>
    </row>
    <row r="2165" spans="1:9" x14ac:dyDescent="0.2">
      <c r="A2165" t="str">
        <f t="shared" si="33"/>
        <v/>
      </c>
      <c r="B2165" s="24">
        <v>2022</v>
      </c>
      <c r="C2165" t="s">
        <v>514</v>
      </c>
      <c r="D2165" t="s">
        <v>821</v>
      </c>
      <c r="E2165" t="s">
        <v>821</v>
      </c>
      <c r="F2165" s="11">
        <v>181995442</v>
      </c>
      <c r="G2165" s="18">
        <v>1.4430000000000001E-3</v>
      </c>
      <c r="H2165" s="11">
        <v>3985488.0780000002</v>
      </c>
      <c r="I2165" s="22" t="str">
        <f>IFERROR(VLOOKUP(D2165,'LEAID Match'!$A$2:$B$184,2,FALSE),"")</f>
        <v/>
      </c>
    </row>
    <row r="2166" spans="1:9" x14ac:dyDescent="0.2">
      <c r="A2166" t="str">
        <f t="shared" si="33"/>
        <v/>
      </c>
      <c r="B2166" s="24">
        <v>2023</v>
      </c>
      <c r="C2166" t="s">
        <v>514</v>
      </c>
      <c r="D2166" t="s">
        <v>821</v>
      </c>
      <c r="E2166" t="s">
        <v>821</v>
      </c>
      <c r="F2166" s="11">
        <v>191960450</v>
      </c>
      <c r="G2166" s="18">
        <v>1.4444E-3</v>
      </c>
      <c r="H2166" s="11">
        <v>4383605.2268000003</v>
      </c>
      <c r="I2166" s="22" t="str">
        <f>IFERROR(VLOOKUP(D2166,'LEAID Match'!$A$2:$B$184,2,FALSE),"")</f>
        <v/>
      </c>
    </row>
    <row r="2167" spans="1:9" x14ac:dyDescent="0.2">
      <c r="A2167">
        <f t="shared" si="33"/>
        <v>3704080</v>
      </c>
      <c r="B2167" s="24">
        <v>2015</v>
      </c>
      <c r="C2167" t="s">
        <v>515</v>
      </c>
      <c r="D2167" t="s">
        <v>822</v>
      </c>
      <c r="E2167" t="s">
        <v>461</v>
      </c>
      <c r="F2167" s="11">
        <v>378868774</v>
      </c>
      <c r="G2167" s="18">
        <v>3.3126000000000002E-3</v>
      </c>
      <c r="H2167" s="11">
        <v>4183774.0488000005</v>
      </c>
      <c r="I2167" s="22">
        <f>IFERROR(VLOOKUP(D2167,'LEAID Match'!$A$2:$B$184,2,FALSE),"")</f>
        <v>3704080</v>
      </c>
    </row>
    <row r="2168" spans="1:9" x14ac:dyDescent="0.2">
      <c r="A2168">
        <f t="shared" si="33"/>
        <v>3704080</v>
      </c>
      <c r="B2168" s="24">
        <v>2016</v>
      </c>
      <c r="C2168" t="s">
        <v>515</v>
      </c>
      <c r="D2168" t="s">
        <v>822</v>
      </c>
      <c r="E2168" t="s">
        <v>822</v>
      </c>
      <c r="F2168" s="11">
        <v>359099034</v>
      </c>
      <c r="G2168" s="18">
        <v>3.3161000000000002E-3</v>
      </c>
      <c r="H2168" s="11">
        <v>4228037.4483000003</v>
      </c>
      <c r="I2168" s="22">
        <f>IFERROR(VLOOKUP(D2168,'LEAID Match'!$A$2:$B$184,2,FALSE),"")</f>
        <v>3704080</v>
      </c>
    </row>
    <row r="2169" spans="1:9" x14ac:dyDescent="0.2">
      <c r="A2169">
        <f t="shared" si="33"/>
        <v>3704080</v>
      </c>
      <c r="B2169" s="24">
        <v>2017</v>
      </c>
      <c r="C2169" t="s">
        <v>515</v>
      </c>
      <c r="D2169" t="s">
        <v>822</v>
      </c>
      <c r="E2169" t="s">
        <v>822</v>
      </c>
      <c r="F2169" s="11">
        <v>363214231</v>
      </c>
      <c r="G2169" s="18">
        <v>3.2550999999999999E-3</v>
      </c>
      <c r="H2169" s="11">
        <v>4691230.5893999999</v>
      </c>
      <c r="I2169" s="22">
        <f>IFERROR(VLOOKUP(D2169,'LEAID Match'!$A$2:$B$184,2,FALSE),"")</f>
        <v>3704080</v>
      </c>
    </row>
    <row r="2170" spans="1:9" x14ac:dyDescent="0.2">
      <c r="A2170">
        <f t="shared" si="33"/>
        <v>3704080</v>
      </c>
      <c r="B2170" s="24">
        <v>2018</v>
      </c>
      <c r="C2170" t="s">
        <v>515</v>
      </c>
      <c r="D2170" t="s">
        <v>822</v>
      </c>
      <c r="E2170" t="s">
        <v>822</v>
      </c>
      <c r="F2170" s="11">
        <v>378291263</v>
      </c>
      <c r="G2170" s="18">
        <v>3.2553E-3</v>
      </c>
      <c r="H2170" s="11">
        <v>5217923.6253000004</v>
      </c>
      <c r="I2170" s="22">
        <f>IFERROR(VLOOKUP(D2170,'LEAID Match'!$A$2:$B$184,2,FALSE),"")</f>
        <v>3704080</v>
      </c>
    </row>
    <row r="2171" spans="1:9" x14ac:dyDescent="0.2">
      <c r="A2171">
        <f t="shared" si="33"/>
        <v>3704080</v>
      </c>
      <c r="B2171" s="24">
        <v>2019</v>
      </c>
      <c r="C2171" t="s">
        <v>515</v>
      </c>
      <c r="D2171" t="s">
        <v>822</v>
      </c>
      <c r="E2171" t="s">
        <v>822</v>
      </c>
      <c r="F2171" s="11">
        <v>394337736</v>
      </c>
      <c r="G2171" s="18">
        <v>3.2729999999999999E-3</v>
      </c>
      <c r="H2171" s="11">
        <v>6268272.858</v>
      </c>
      <c r="I2171" s="22">
        <f>IFERROR(VLOOKUP(D2171,'LEAID Match'!$A$2:$B$184,2,FALSE),"")</f>
        <v>3704080</v>
      </c>
    </row>
    <row r="2172" spans="1:9" x14ac:dyDescent="0.2">
      <c r="A2172">
        <f t="shared" si="33"/>
        <v>3704080</v>
      </c>
      <c r="B2172" s="24">
        <v>2020</v>
      </c>
      <c r="C2172" t="s">
        <v>515</v>
      </c>
      <c r="D2172" t="s">
        <v>822</v>
      </c>
      <c r="E2172" t="s">
        <v>822</v>
      </c>
      <c r="F2172" s="11">
        <v>392479787</v>
      </c>
      <c r="G2172" s="18">
        <v>3.1684E-3</v>
      </c>
      <c r="H2172" s="11">
        <v>6511299.6299999999</v>
      </c>
      <c r="I2172" s="22">
        <f>IFERROR(VLOOKUP(D2172,'LEAID Match'!$A$2:$B$184,2,FALSE),"")</f>
        <v>3704080</v>
      </c>
    </row>
    <row r="2173" spans="1:9" x14ac:dyDescent="0.2">
      <c r="A2173">
        <f t="shared" si="33"/>
        <v>3704080</v>
      </c>
      <c r="B2173" s="24">
        <v>2021</v>
      </c>
      <c r="C2173" t="s">
        <v>515</v>
      </c>
      <c r="D2173" t="s">
        <v>822</v>
      </c>
      <c r="E2173" t="s">
        <v>822</v>
      </c>
      <c r="F2173" s="11">
        <v>370793295</v>
      </c>
      <c r="G2173" s="18">
        <v>2.9627999999999998E-3</v>
      </c>
      <c r="H2173" s="11">
        <v>7031471.0255999994</v>
      </c>
      <c r="I2173" s="22">
        <f>IFERROR(VLOOKUP(D2173,'LEAID Match'!$A$2:$B$184,2,FALSE),"")</f>
        <v>3704080</v>
      </c>
    </row>
    <row r="2174" spans="1:9" x14ac:dyDescent="0.2">
      <c r="A2174">
        <f t="shared" si="33"/>
        <v>3704080</v>
      </c>
      <c r="B2174" s="24">
        <v>2022</v>
      </c>
      <c r="C2174" t="s">
        <v>515</v>
      </c>
      <c r="D2174" t="s">
        <v>822</v>
      </c>
      <c r="E2174" t="s">
        <v>822</v>
      </c>
      <c r="F2174" s="11">
        <v>397329060</v>
      </c>
      <c r="G2174" s="18">
        <v>3.1503999999999998E-3</v>
      </c>
      <c r="H2174" s="11">
        <v>8701234.6783999987</v>
      </c>
      <c r="I2174" s="22">
        <f>IFERROR(VLOOKUP(D2174,'LEAID Match'!$A$2:$B$184,2,FALSE),"")</f>
        <v>3704080</v>
      </c>
    </row>
    <row r="2175" spans="1:9" x14ac:dyDescent="0.2">
      <c r="A2175">
        <f t="shared" si="33"/>
        <v>3704080</v>
      </c>
      <c r="B2175" s="24">
        <v>2023</v>
      </c>
      <c r="C2175" t="s">
        <v>515</v>
      </c>
      <c r="D2175" t="s">
        <v>822</v>
      </c>
      <c r="E2175" t="s">
        <v>822</v>
      </c>
      <c r="F2175" s="11">
        <v>443330085</v>
      </c>
      <c r="G2175" s="18">
        <v>3.3357E-3</v>
      </c>
      <c r="H2175" s="11">
        <v>10123505.922900001</v>
      </c>
      <c r="I2175" s="22">
        <f>IFERROR(VLOOKUP(D2175,'LEAID Match'!$A$2:$B$184,2,FALSE),"")</f>
        <v>3704080</v>
      </c>
    </row>
    <row r="2176" spans="1:9" x14ac:dyDescent="0.2">
      <c r="A2176" t="str">
        <f t="shared" si="33"/>
        <v/>
      </c>
      <c r="B2176" s="24">
        <v>2015</v>
      </c>
      <c r="C2176" t="s">
        <v>516</v>
      </c>
      <c r="D2176" t="s">
        <v>823</v>
      </c>
      <c r="E2176" t="s">
        <v>462</v>
      </c>
      <c r="F2176" s="11">
        <v>78409245</v>
      </c>
      <c r="G2176" s="18">
        <v>6.8559999999999997E-4</v>
      </c>
      <c r="H2176" s="11">
        <v>865904.57279999997</v>
      </c>
      <c r="I2176" s="22" t="str">
        <f>IFERROR(VLOOKUP(D2176,'LEAID Match'!$A$2:$B$184,2,FALSE),"")</f>
        <v/>
      </c>
    </row>
    <row r="2177" spans="1:9" x14ac:dyDescent="0.2">
      <c r="A2177" t="str">
        <f t="shared" si="33"/>
        <v/>
      </c>
      <c r="B2177" s="24">
        <v>2016</v>
      </c>
      <c r="C2177" t="s">
        <v>516</v>
      </c>
      <c r="D2177" t="s">
        <v>823</v>
      </c>
      <c r="E2177" t="s">
        <v>823</v>
      </c>
      <c r="F2177" s="11">
        <v>74071964</v>
      </c>
      <c r="G2177" s="18">
        <v>6.8400000000000004E-4</v>
      </c>
      <c r="H2177" s="11">
        <v>872102.05200000003</v>
      </c>
      <c r="I2177" s="22" t="str">
        <f>IFERROR(VLOOKUP(D2177,'LEAID Match'!$A$2:$B$184,2,FALSE),"")</f>
        <v/>
      </c>
    </row>
    <row r="2178" spans="1:9" x14ac:dyDescent="0.2">
      <c r="A2178" t="str">
        <f t="shared" si="33"/>
        <v/>
      </c>
      <c r="B2178" s="24">
        <v>2017</v>
      </c>
      <c r="C2178" t="s">
        <v>516</v>
      </c>
      <c r="D2178" t="s">
        <v>823</v>
      </c>
      <c r="E2178" t="s">
        <v>823</v>
      </c>
      <c r="F2178" s="11">
        <v>74436815</v>
      </c>
      <c r="G2178" s="18">
        <v>6.6710000000000001E-4</v>
      </c>
      <c r="H2178" s="11">
        <v>961420.51740000001</v>
      </c>
      <c r="I2178" s="22" t="str">
        <f>IFERROR(VLOOKUP(D2178,'LEAID Match'!$A$2:$B$184,2,FALSE),"")</f>
        <v/>
      </c>
    </row>
    <row r="2179" spans="1:9" x14ac:dyDescent="0.2">
      <c r="A2179" t="str">
        <f t="shared" ref="A2179:A2242" si="34">I2179</f>
        <v/>
      </c>
      <c r="B2179" s="24">
        <v>2018</v>
      </c>
      <c r="C2179" t="s">
        <v>516</v>
      </c>
      <c r="D2179" t="s">
        <v>823</v>
      </c>
      <c r="E2179" t="s">
        <v>823</v>
      </c>
      <c r="F2179" s="11">
        <v>74244408</v>
      </c>
      <c r="G2179" s="18">
        <v>6.3889999999999997E-4</v>
      </c>
      <c r="H2179" s="11">
        <v>1024093.4489</v>
      </c>
      <c r="I2179" s="22" t="str">
        <f>IFERROR(VLOOKUP(D2179,'LEAID Match'!$A$2:$B$184,2,FALSE),"")</f>
        <v/>
      </c>
    </row>
    <row r="2180" spans="1:9" x14ac:dyDescent="0.2">
      <c r="A2180" t="str">
        <f t="shared" si="34"/>
        <v/>
      </c>
      <c r="B2180" s="24">
        <v>2019</v>
      </c>
      <c r="C2180" t="s">
        <v>516</v>
      </c>
      <c r="D2180" t="s">
        <v>823</v>
      </c>
      <c r="E2180" t="s">
        <v>823</v>
      </c>
      <c r="F2180" s="11">
        <v>76029782</v>
      </c>
      <c r="G2180" s="18">
        <v>6.3100000000000005E-4</v>
      </c>
      <c r="H2180" s="11">
        <v>1208457.1260000002</v>
      </c>
      <c r="I2180" s="22" t="str">
        <f>IFERROR(VLOOKUP(D2180,'LEAID Match'!$A$2:$B$184,2,FALSE),"")</f>
        <v/>
      </c>
    </row>
    <row r="2181" spans="1:9" x14ac:dyDescent="0.2">
      <c r="A2181" t="str">
        <f t="shared" si="34"/>
        <v/>
      </c>
      <c r="B2181" s="24">
        <v>2020</v>
      </c>
      <c r="C2181" t="s">
        <v>516</v>
      </c>
      <c r="D2181" t="s">
        <v>823</v>
      </c>
      <c r="E2181" t="s">
        <v>823</v>
      </c>
      <c r="F2181" s="11">
        <v>74876944</v>
      </c>
      <c r="G2181" s="18">
        <v>6.045E-4</v>
      </c>
      <c r="H2181" s="11">
        <v>1242292.8374999999</v>
      </c>
      <c r="I2181" s="22" t="str">
        <f>IFERROR(VLOOKUP(D2181,'LEAID Match'!$A$2:$B$184,2,FALSE),"")</f>
        <v/>
      </c>
    </row>
    <row r="2182" spans="1:9" x14ac:dyDescent="0.2">
      <c r="A2182" t="str">
        <f t="shared" si="34"/>
        <v/>
      </c>
      <c r="B2182" s="24">
        <v>2021</v>
      </c>
      <c r="C2182" t="s">
        <v>516</v>
      </c>
      <c r="D2182" t="s">
        <v>823</v>
      </c>
      <c r="E2182" t="s">
        <v>823</v>
      </c>
      <c r="F2182" s="11">
        <v>73656585</v>
      </c>
      <c r="G2182" s="18">
        <v>5.8850000000000005E-4</v>
      </c>
      <c r="H2182" s="11">
        <v>1396658.8020000001</v>
      </c>
      <c r="I2182" s="22" t="str">
        <f>IFERROR(VLOOKUP(D2182,'LEAID Match'!$A$2:$B$184,2,FALSE),"")</f>
        <v/>
      </c>
    </row>
    <row r="2183" spans="1:9" x14ac:dyDescent="0.2">
      <c r="A2183" t="str">
        <f t="shared" si="34"/>
        <v/>
      </c>
      <c r="B2183" s="24">
        <v>2022</v>
      </c>
      <c r="C2183" t="s">
        <v>516</v>
      </c>
      <c r="D2183" t="s">
        <v>823</v>
      </c>
      <c r="E2183" t="s">
        <v>823</v>
      </c>
      <c r="F2183" s="11">
        <v>72793403</v>
      </c>
      <c r="G2183" s="18">
        <v>5.7720000000000004E-4</v>
      </c>
      <c r="H2183" s="11">
        <v>1594195.2312</v>
      </c>
      <c r="I2183" s="22" t="str">
        <f>IFERROR(VLOOKUP(D2183,'LEAID Match'!$A$2:$B$184,2,FALSE),"")</f>
        <v/>
      </c>
    </row>
    <row r="2184" spans="1:9" x14ac:dyDescent="0.2">
      <c r="A2184" t="str">
        <f t="shared" si="34"/>
        <v/>
      </c>
      <c r="B2184" s="24">
        <v>2023</v>
      </c>
      <c r="C2184" t="s">
        <v>516</v>
      </c>
      <c r="D2184" t="s">
        <v>823</v>
      </c>
      <c r="E2184" t="s">
        <v>823</v>
      </c>
      <c r="F2184" s="11">
        <v>79409092</v>
      </c>
      <c r="G2184" s="18">
        <v>5.9750000000000005E-4</v>
      </c>
      <c r="H2184" s="11">
        <v>1813350.9575000003</v>
      </c>
      <c r="I2184" s="22" t="str">
        <f>IFERROR(VLOOKUP(D2184,'LEAID Match'!$A$2:$B$184,2,FALSE),"")</f>
        <v/>
      </c>
    </row>
    <row r="2185" spans="1:9" x14ac:dyDescent="0.2">
      <c r="A2185">
        <f t="shared" si="34"/>
        <v>3704140</v>
      </c>
      <c r="B2185" s="24">
        <v>2015</v>
      </c>
      <c r="C2185" t="s">
        <v>517</v>
      </c>
      <c r="D2185" t="s">
        <v>824</v>
      </c>
      <c r="E2185" t="s">
        <v>463</v>
      </c>
      <c r="F2185" s="11">
        <v>376466429</v>
      </c>
      <c r="G2185" s="18">
        <v>3.2916E-3</v>
      </c>
      <c r="H2185" s="11">
        <v>4157251.3007999999</v>
      </c>
      <c r="I2185" s="22">
        <f>IFERROR(VLOOKUP(D2185,'LEAID Match'!$A$2:$B$184,2,FALSE),"")</f>
        <v>3704140</v>
      </c>
    </row>
    <row r="2186" spans="1:9" x14ac:dyDescent="0.2">
      <c r="A2186">
        <f t="shared" si="34"/>
        <v>3704140</v>
      </c>
      <c r="B2186" s="24">
        <v>2016</v>
      </c>
      <c r="C2186" t="s">
        <v>517</v>
      </c>
      <c r="D2186" t="s">
        <v>824</v>
      </c>
      <c r="E2186" t="s">
        <v>824</v>
      </c>
      <c r="F2186" s="11">
        <v>347881837</v>
      </c>
      <c r="G2186" s="18">
        <v>3.2125000000000001E-3</v>
      </c>
      <c r="H2186" s="11">
        <v>4095947.1375000002</v>
      </c>
      <c r="I2186" s="22">
        <f>IFERROR(VLOOKUP(D2186,'LEAID Match'!$A$2:$B$184,2,FALSE),"")</f>
        <v>3704140</v>
      </c>
    </row>
    <row r="2187" spans="1:9" x14ac:dyDescent="0.2">
      <c r="A2187">
        <f t="shared" si="34"/>
        <v>3704140</v>
      </c>
      <c r="B2187" s="24">
        <v>2017</v>
      </c>
      <c r="C2187" t="s">
        <v>517</v>
      </c>
      <c r="D2187" t="s">
        <v>824</v>
      </c>
      <c r="E2187" t="s">
        <v>824</v>
      </c>
      <c r="F2187" s="11">
        <v>346105579</v>
      </c>
      <c r="G2187" s="18">
        <v>3.1018E-3</v>
      </c>
      <c r="H2187" s="11">
        <v>4470295.5492000002</v>
      </c>
      <c r="I2187" s="22">
        <f>IFERROR(VLOOKUP(D2187,'LEAID Match'!$A$2:$B$184,2,FALSE),"")</f>
        <v>3704140</v>
      </c>
    </row>
    <row r="2188" spans="1:9" x14ac:dyDescent="0.2">
      <c r="A2188">
        <f t="shared" si="34"/>
        <v>3704140</v>
      </c>
      <c r="B2188" s="24">
        <v>2018</v>
      </c>
      <c r="C2188" t="s">
        <v>517</v>
      </c>
      <c r="D2188" t="s">
        <v>824</v>
      </c>
      <c r="E2188" t="s">
        <v>824</v>
      </c>
      <c r="F2188" s="11">
        <v>356563036</v>
      </c>
      <c r="G2188" s="18">
        <v>3.0682999999999999E-3</v>
      </c>
      <c r="H2188" s="11">
        <v>4918181.1382999998</v>
      </c>
      <c r="I2188" s="22">
        <f>IFERROR(VLOOKUP(D2188,'LEAID Match'!$A$2:$B$184,2,FALSE),"")</f>
        <v>3704140</v>
      </c>
    </row>
    <row r="2189" spans="1:9" x14ac:dyDescent="0.2">
      <c r="A2189">
        <f t="shared" si="34"/>
        <v>3704140</v>
      </c>
      <c r="B2189" s="24">
        <v>2019</v>
      </c>
      <c r="C2189" t="s">
        <v>517</v>
      </c>
      <c r="D2189" t="s">
        <v>824</v>
      </c>
      <c r="E2189" t="s">
        <v>824</v>
      </c>
      <c r="F2189" s="11">
        <v>363304727</v>
      </c>
      <c r="G2189" s="18">
        <v>3.0154000000000001E-3</v>
      </c>
      <c r="H2189" s="11">
        <v>5774931.2483999999</v>
      </c>
      <c r="I2189" s="22">
        <f>IFERROR(VLOOKUP(D2189,'LEAID Match'!$A$2:$B$184,2,FALSE),"")</f>
        <v>3704140</v>
      </c>
    </row>
    <row r="2190" spans="1:9" x14ac:dyDescent="0.2">
      <c r="A2190">
        <f t="shared" si="34"/>
        <v>3704140</v>
      </c>
      <c r="B2190" s="24">
        <v>2020</v>
      </c>
      <c r="C2190" t="s">
        <v>517</v>
      </c>
      <c r="D2190" t="s">
        <v>824</v>
      </c>
      <c r="E2190" t="s">
        <v>824</v>
      </c>
      <c r="F2190" s="11">
        <v>363456037</v>
      </c>
      <c r="G2190" s="18">
        <v>2.9340999999999998E-3</v>
      </c>
      <c r="H2190" s="11">
        <v>6029795.5574999992</v>
      </c>
      <c r="I2190" s="22">
        <f>IFERROR(VLOOKUP(D2190,'LEAID Match'!$A$2:$B$184,2,FALSE),"")</f>
        <v>3704140</v>
      </c>
    </row>
    <row r="2191" spans="1:9" x14ac:dyDescent="0.2">
      <c r="A2191">
        <f t="shared" si="34"/>
        <v>3704140</v>
      </c>
      <c r="B2191" s="24">
        <v>2021</v>
      </c>
      <c r="C2191" t="s">
        <v>517</v>
      </c>
      <c r="D2191" t="s">
        <v>824</v>
      </c>
      <c r="E2191" t="s">
        <v>824</v>
      </c>
      <c r="F2191" s="11">
        <v>344968239</v>
      </c>
      <c r="G2191" s="18">
        <v>2.7564E-3</v>
      </c>
      <c r="H2191" s="11">
        <v>6541631.8128000004</v>
      </c>
      <c r="I2191" s="22">
        <f>IFERROR(VLOOKUP(D2191,'LEAID Match'!$A$2:$B$184,2,FALSE),"")</f>
        <v>3704140</v>
      </c>
    </row>
    <row r="2192" spans="1:9" x14ac:dyDescent="0.2">
      <c r="A2192">
        <f t="shared" si="34"/>
        <v>3704140</v>
      </c>
      <c r="B2192" s="24">
        <v>2022</v>
      </c>
      <c r="C2192" t="s">
        <v>517</v>
      </c>
      <c r="D2192" t="s">
        <v>824</v>
      </c>
      <c r="E2192" t="s">
        <v>824</v>
      </c>
      <c r="F2192" s="11">
        <v>376067013</v>
      </c>
      <c r="G2192" s="18">
        <v>2.9818000000000002E-3</v>
      </c>
      <c r="H2192" s="11">
        <v>8235570.5828000009</v>
      </c>
      <c r="I2192" s="22">
        <f>IFERROR(VLOOKUP(D2192,'LEAID Match'!$A$2:$B$184,2,FALSE),"")</f>
        <v>3704140</v>
      </c>
    </row>
    <row r="2193" spans="1:9" x14ac:dyDescent="0.2">
      <c r="A2193">
        <f t="shared" si="34"/>
        <v>3704140</v>
      </c>
      <c r="B2193" s="24">
        <v>2023</v>
      </c>
      <c r="C2193" t="s">
        <v>517</v>
      </c>
      <c r="D2193" t="s">
        <v>824</v>
      </c>
      <c r="E2193" t="s">
        <v>824</v>
      </c>
      <c r="F2193" s="11">
        <v>386327059</v>
      </c>
      <c r="G2193" s="18">
        <v>2.9068000000000002E-3</v>
      </c>
      <c r="H2193" s="11">
        <v>8821838.5996000003</v>
      </c>
      <c r="I2193" s="22">
        <f>IFERROR(VLOOKUP(D2193,'LEAID Match'!$A$2:$B$184,2,FALSE),"")</f>
        <v>3704140</v>
      </c>
    </row>
    <row r="2194" spans="1:9" x14ac:dyDescent="0.2">
      <c r="A2194" t="str">
        <f t="shared" si="34"/>
        <v/>
      </c>
      <c r="B2194" s="24">
        <v>2015</v>
      </c>
      <c r="C2194" t="s">
        <v>518</v>
      </c>
      <c r="D2194" t="s">
        <v>825</v>
      </c>
      <c r="E2194" t="s">
        <v>464</v>
      </c>
      <c r="F2194" s="11">
        <v>52177541</v>
      </c>
      <c r="G2194" s="18">
        <v>4.5619999999999998E-4</v>
      </c>
      <c r="H2194" s="11">
        <v>576175.12559999991</v>
      </c>
      <c r="I2194" s="22" t="str">
        <f>IFERROR(VLOOKUP(D2194,'LEAID Match'!$A$2:$B$184,2,FALSE),"")</f>
        <v/>
      </c>
    </row>
    <row r="2195" spans="1:9" x14ac:dyDescent="0.2">
      <c r="A2195" t="str">
        <f t="shared" si="34"/>
        <v/>
      </c>
      <c r="B2195" s="24">
        <v>2016</v>
      </c>
      <c r="C2195" t="s">
        <v>518</v>
      </c>
      <c r="D2195" t="s">
        <v>825</v>
      </c>
      <c r="E2195" t="s">
        <v>825</v>
      </c>
      <c r="F2195" s="11">
        <v>49202866</v>
      </c>
      <c r="G2195" s="18">
        <v>4.5439999999999999E-4</v>
      </c>
      <c r="H2195" s="11">
        <v>579361.36320000002</v>
      </c>
      <c r="I2195" s="22" t="str">
        <f>IFERROR(VLOOKUP(D2195,'LEAID Match'!$A$2:$B$184,2,FALSE),"")</f>
        <v/>
      </c>
    </row>
    <row r="2196" spans="1:9" x14ac:dyDescent="0.2">
      <c r="A2196" t="str">
        <f t="shared" si="34"/>
        <v/>
      </c>
      <c r="B2196" s="24">
        <v>2017</v>
      </c>
      <c r="C2196" t="s">
        <v>518</v>
      </c>
      <c r="D2196" t="s">
        <v>825</v>
      </c>
      <c r="E2196" t="s">
        <v>825</v>
      </c>
      <c r="F2196" s="11">
        <v>51570288</v>
      </c>
      <c r="G2196" s="18">
        <v>4.6220000000000001E-4</v>
      </c>
      <c r="H2196" s="11">
        <v>666119.86680000008</v>
      </c>
      <c r="I2196" s="22" t="str">
        <f>IFERROR(VLOOKUP(D2196,'LEAID Match'!$A$2:$B$184,2,FALSE),"")</f>
        <v/>
      </c>
    </row>
    <row r="2197" spans="1:9" x14ac:dyDescent="0.2">
      <c r="A2197" t="str">
        <f t="shared" si="34"/>
        <v/>
      </c>
      <c r="B2197" s="24">
        <v>2018</v>
      </c>
      <c r="C2197" t="s">
        <v>518</v>
      </c>
      <c r="D2197" t="s">
        <v>825</v>
      </c>
      <c r="E2197" t="s">
        <v>825</v>
      </c>
      <c r="F2197" s="11">
        <v>51822435</v>
      </c>
      <c r="G2197" s="18">
        <v>4.459E-4</v>
      </c>
      <c r="H2197" s="11">
        <v>714733.55590000004</v>
      </c>
      <c r="I2197" s="22" t="str">
        <f>IFERROR(VLOOKUP(D2197,'LEAID Match'!$A$2:$B$184,2,FALSE),"")</f>
        <v/>
      </c>
    </row>
    <row r="2198" spans="1:9" x14ac:dyDescent="0.2">
      <c r="A2198" t="str">
        <f t="shared" si="34"/>
        <v/>
      </c>
      <c r="B2198" s="24">
        <v>2019</v>
      </c>
      <c r="C2198" t="s">
        <v>518</v>
      </c>
      <c r="D2198" t="s">
        <v>825</v>
      </c>
      <c r="E2198" t="s">
        <v>825</v>
      </c>
      <c r="F2198" s="11">
        <v>52439274</v>
      </c>
      <c r="G2198" s="18">
        <v>4.3520000000000001E-4</v>
      </c>
      <c r="H2198" s="11">
        <v>833471.5392</v>
      </c>
      <c r="I2198" s="22" t="str">
        <f>IFERROR(VLOOKUP(D2198,'LEAID Match'!$A$2:$B$184,2,FALSE),"")</f>
        <v/>
      </c>
    </row>
    <row r="2199" spans="1:9" x14ac:dyDescent="0.2">
      <c r="A2199" t="str">
        <f t="shared" si="34"/>
        <v/>
      </c>
      <c r="B2199" s="24">
        <v>2020</v>
      </c>
      <c r="C2199" t="s">
        <v>518</v>
      </c>
      <c r="D2199" t="s">
        <v>825</v>
      </c>
      <c r="E2199" t="s">
        <v>825</v>
      </c>
      <c r="F2199" s="11">
        <v>55965496</v>
      </c>
      <c r="G2199" s="18">
        <v>4.5179999999999998E-4</v>
      </c>
      <c r="H2199" s="11">
        <v>928482.88500000001</v>
      </c>
      <c r="I2199" s="22" t="str">
        <f>IFERROR(VLOOKUP(D2199,'LEAID Match'!$A$2:$B$184,2,FALSE),"")</f>
        <v/>
      </c>
    </row>
    <row r="2200" spans="1:9" x14ac:dyDescent="0.2">
      <c r="A2200" t="str">
        <f t="shared" si="34"/>
        <v/>
      </c>
      <c r="B2200" s="24">
        <v>2021</v>
      </c>
      <c r="C2200" t="s">
        <v>518</v>
      </c>
      <c r="D2200" t="s">
        <v>825</v>
      </c>
      <c r="E2200" t="s">
        <v>825</v>
      </c>
      <c r="F2200" s="11">
        <v>54552671</v>
      </c>
      <c r="G2200" s="18">
        <v>4.3590000000000002E-4</v>
      </c>
      <c r="H2200" s="11">
        <v>1034500.5468</v>
      </c>
      <c r="I2200" s="22" t="str">
        <f>IFERROR(VLOOKUP(D2200,'LEAID Match'!$A$2:$B$184,2,FALSE),"")</f>
        <v/>
      </c>
    </row>
    <row r="2201" spans="1:9" x14ac:dyDescent="0.2">
      <c r="A2201" t="str">
        <f t="shared" si="34"/>
        <v/>
      </c>
      <c r="B2201" s="24">
        <v>2022</v>
      </c>
      <c r="C2201" t="s">
        <v>518</v>
      </c>
      <c r="D2201" t="s">
        <v>825</v>
      </c>
      <c r="E2201" t="s">
        <v>825</v>
      </c>
      <c r="F2201" s="11">
        <v>53586528</v>
      </c>
      <c r="G2201" s="18">
        <v>4.2489999999999997E-4</v>
      </c>
      <c r="H2201" s="11">
        <v>1173550.8554</v>
      </c>
      <c r="I2201" s="22" t="str">
        <f>IFERROR(VLOOKUP(D2201,'LEAID Match'!$A$2:$B$184,2,FALSE),"")</f>
        <v/>
      </c>
    </row>
    <row r="2202" spans="1:9" x14ac:dyDescent="0.2">
      <c r="A2202" t="str">
        <f t="shared" si="34"/>
        <v/>
      </c>
      <c r="B2202" s="24">
        <v>2023</v>
      </c>
      <c r="C2202" t="s">
        <v>518</v>
      </c>
      <c r="D2202" t="s">
        <v>825</v>
      </c>
      <c r="E2202" t="s">
        <v>825</v>
      </c>
      <c r="F2202" s="11">
        <v>60371408</v>
      </c>
      <c r="G2202" s="18">
        <v>4.5419999999999998E-4</v>
      </c>
      <c r="H2202" s="11">
        <v>1378450.2174</v>
      </c>
      <c r="I2202" s="22" t="str">
        <f>IFERROR(VLOOKUP(D2202,'LEAID Match'!$A$2:$B$184,2,FALSE),"")</f>
        <v/>
      </c>
    </row>
    <row r="2203" spans="1:9" x14ac:dyDescent="0.2">
      <c r="A2203">
        <f t="shared" si="34"/>
        <v>3700930</v>
      </c>
      <c r="B2203" s="24">
        <v>2015</v>
      </c>
      <c r="C2203" t="s">
        <v>519</v>
      </c>
      <c r="D2203" t="s">
        <v>826</v>
      </c>
      <c r="E2203" t="s">
        <v>465</v>
      </c>
      <c r="F2203" s="11">
        <v>131359554</v>
      </c>
      <c r="G2203" s="18">
        <v>1.1485E-3</v>
      </c>
      <c r="H2203" s="11">
        <v>1450541.7180000001</v>
      </c>
      <c r="I2203" s="22">
        <f>IFERROR(VLOOKUP(D2203,'LEAID Match'!$A$2:$B$184,2,FALSE),"")</f>
        <v>3700930</v>
      </c>
    </row>
    <row r="2204" spans="1:9" x14ac:dyDescent="0.2">
      <c r="A2204">
        <f t="shared" si="34"/>
        <v>3700930</v>
      </c>
      <c r="B2204" s="24">
        <v>2016</v>
      </c>
      <c r="C2204" t="s">
        <v>519</v>
      </c>
      <c r="D2204" t="s">
        <v>826</v>
      </c>
      <c r="E2204" t="s">
        <v>826</v>
      </c>
      <c r="F2204" s="11">
        <v>127712156</v>
      </c>
      <c r="G2204" s="18">
        <v>1.1793000000000001E-3</v>
      </c>
      <c r="H2204" s="11">
        <v>1503611.0379000001</v>
      </c>
      <c r="I2204" s="22">
        <f>IFERROR(VLOOKUP(D2204,'LEAID Match'!$A$2:$B$184,2,FALSE),"")</f>
        <v>3700930</v>
      </c>
    </row>
    <row r="2205" spans="1:9" x14ac:dyDescent="0.2">
      <c r="A2205">
        <f t="shared" si="34"/>
        <v>3700930</v>
      </c>
      <c r="B2205" s="24">
        <v>2017</v>
      </c>
      <c r="C2205" t="s">
        <v>519</v>
      </c>
      <c r="D2205" t="s">
        <v>826</v>
      </c>
      <c r="E2205" t="s">
        <v>826</v>
      </c>
      <c r="F2205" s="11">
        <v>131283200</v>
      </c>
      <c r="G2205" s="18">
        <v>1.1766000000000001E-3</v>
      </c>
      <c r="H2205" s="11">
        <v>1695708.8604000001</v>
      </c>
      <c r="I2205" s="22">
        <f>IFERROR(VLOOKUP(D2205,'LEAID Match'!$A$2:$B$184,2,FALSE),"")</f>
        <v>3700930</v>
      </c>
    </row>
    <row r="2206" spans="1:9" x14ac:dyDescent="0.2">
      <c r="A2206">
        <f t="shared" si="34"/>
        <v>3700930</v>
      </c>
      <c r="B2206" s="24">
        <v>2018</v>
      </c>
      <c r="C2206" t="s">
        <v>519</v>
      </c>
      <c r="D2206" t="s">
        <v>826</v>
      </c>
      <c r="E2206" t="s">
        <v>826</v>
      </c>
      <c r="F2206" s="11">
        <v>138299686</v>
      </c>
      <c r="G2206" s="18">
        <v>1.1900999999999999E-3</v>
      </c>
      <c r="H2206" s="11">
        <v>1907612.4800999998</v>
      </c>
      <c r="I2206" s="22">
        <f>IFERROR(VLOOKUP(D2206,'LEAID Match'!$A$2:$B$184,2,FALSE),"")</f>
        <v>3700930</v>
      </c>
    </row>
    <row r="2207" spans="1:9" x14ac:dyDescent="0.2">
      <c r="A2207">
        <f t="shared" si="34"/>
        <v>3700930</v>
      </c>
      <c r="B2207" s="24">
        <v>2019</v>
      </c>
      <c r="C2207" t="s">
        <v>519</v>
      </c>
      <c r="D2207" t="s">
        <v>826</v>
      </c>
      <c r="E2207" t="s">
        <v>826</v>
      </c>
      <c r="F2207" s="11">
        <v>140235064</v>
      </c>
      <c r="G2207" s="18">
        <v>1.1640000000000001E-3</v>
      </c>
      <c r="H2207" s="11">
        <v>2229229.9440000001</v>
      </c>
      <c r="I2207" s="22">
        <f>IFERROR(VLOOKUP(D2207,'LEAID Match'!$A$2:$B$184,2,FALSE),"")</f>
        <v>3700930</v>
      </c>
    </row>
    <row r="2208" spans="1:9" x14ac:dyDescent="0.2">
      <c r="A2208">
        <f t="shared" si="34"/>
        <v>3700930</v>
      </c>
      <c r="B2208" s="24">
        <v>2020</v>
      </c>
      <c r="C2208" t="s">
        <v>519</v>
      </c>
      <c r="D2208" t="s">
        <v>826</v>
      </c>
      <c r="E2208" t="s">
        <v>826</v>
      </c>
      <c r="F2208" s="11">
        <v>136929406</v>
      </c>
      <c r="G2208" s="18">
        <v>1.1054000000000001E-3</v>
      </c>
      <c r="H2208" s="11">
        <v>2271679.9050000003</v>
      </c>
      <c r="I2208" s="22">
        <f>IFERROR(VLOOKUP(D2208,'LEAID Match'!$A$2:$B$184,2,FALSE),"")</f>
        <v>3700930</v>
      </c>
    </row>
    <row r="2209" spans="1:9" x14ac:dyDescent="0.2">
      <c r="A2209">
        <f t="shared" si="34"/>
        <v>3700930</v>
      </c>
      <c r="B2209" s="24">
        <v>2021</v>
      </c>
      <c r="C2209" t="s">
        <v>519</v>
      </c>
      <c r="D2209" t="s">
        <v>826</v>
      </c>
      <c r="E2209" t="s">
        <v>826</v>
      </c>
      <c r="F2209" s="11">
        <v>134325013</v>
      </c>
      <c r="G2209" s="18">
        <v>1.0732999999999999E-3</v>
      </c>
      <c r="H2209" s="11">
        <v>2547211.3715999997</v>
      </c>
      <c r="I2209" s="22">
        <f>IFERROR(VLOOKUP(D2209,'LEAID Match'!$A$2:$B$184,2,FALSE),"")</f>
        <v>3700930</v>
      </c>
    </row>
    <row r="2210" spans="1:9" x14ac:dyDescent="0.2">
      <c r="A2210">
        <f t="shared" si="34"/>
        <v>3700930</v>
      </c>
      <c r="B2210" s="24">
        <v>2022</v>
      </c>
      <c r="C2210" t="s">
        <v>519</v>
      </c>
      <c r="D2210" t="s">
        <v>826</v>
      </c>
      <c r="E2210" t="s">
        <v>826</v>
      </c>
      <c r="F2210" s="11">
        <v>147662071</v>
      </c>
      <c r="G2210" s="18">
        <v>1.1708000000000001E-3</v>
      </c>
      <c r="H2210" s="11">
        <v>3233686.3768000002</v>
      </c>
      <c r="I2210" s="22">
        <f>IFERROR(VLOOKUP(D2210,'LEAID Match'!$A$2:$B$184,2,FALSE),"")</f>
        <v>3700930</v>
      </c>
    </row>
    <row r="2211" spans="1:9" x14ac:dyDescent="0.2">
      <c r="A2211">
        <f t="shared" si="34"/>
        <v>3700930</v>
      </c>
      <c r="B2211" s="24">
        <v>2023</v>
      </c>
      <c r="C2211" t="s">
        <v>519</v>
      </c>
      <c r="D2211" t="s">
        <v>826</v>
      </c>
      <c r="E2211" t="s">
        <v>826</v>
      </c>
      <c r="F2211" s="11">
        <v>150860898</v>
      </c>
      <c r="G2211" s="18">
        <v>1.1351E-3</v>
      </c>
      <c r="H2211" s="11">
        <v>3444911.5847</v>
      </c>
      <c r="I2211" s="22">
        <f>IFERROR(VLOOKUP(D2211,'LEAID Match'!$A$2:$B$184,2,FALSE),"")</f>
        <v>3700930</v>
      </c>
    </row>
    <row r="2212" spans="1:9" x14ac:dyDescent="0.2">
      <c r="A2212">
        <f t="shared" si="34"/>
        <v>3704200</v>
      </c>
      <c r="B2212" s="24">
        <v>2015</v>
      </c>
      <c r="C2212" t="s">
        <v>520</v>
      </c>
      <c r="D2212" t="s">
        <v>827</v>
      </c>
      <c r="E2212" t="s">
        <v>466</v>
      </c>
      <c r="F2212" s="11">
        <v>288592281</v>
      </c>
      <c r="G2212" s="18">
        <v>2.5233E-3</v>
      </c>
      <c r="H2212" s="11">
        <v>3186897.6203999999</v>
      </c>
      <c r="I2212" s="22">
        <f>IFERROR(VLOOKUP(D2212,'LEAID Match'!$A$2:$B$184,2,FALSE),"")</f>
        <v>3704200</v>
      </c>
    </row>
    <row r="2213" spans="1:9" x14ac:dyDescent="0.2">
      <c r="A2213">
        <f t="shared" si="34"/>
        <v>3704200</v>
      </c>
      <c r="B2213" s="24">
        <v>2016</v>
      </c>
      <c r="C2213" t="s">
        <v>520</v>
      </c>
      <c r="D2213" t="s">
        <v>827</v>
      </c>
      <c r="E2213" t="s">
        <v>827</v>
      </c>
      <c r="F2213" s="11">
        <v>274202342</v>
      </c>
      <c r="G2213" s="18">
        <v>2.5320999999999998E-3</v>
      </c>
      <c r="H2213" s="11">
        <v>3228435.0962999999</v>
      </c>
      <c r="I2213" s="22">
        <f>IFERROR(VLOOKUP(D2213,'LEAID Match'!$A$2:$B$184,2,FALSE),"")</f>
        <v>3704200</v>
      </c>
    </row>
    <row r="2214" spans="1:9" x14ac:dyDescent="0.2">
      <c r="A2214">
        <f t="shared" si="34"/>
        <v>3704200</v>
      </c>
      <c r="B2214" s="24">
        <v>2017</v>
      </c>
      <c r="C2214" t="s">
        <v>520</v>
      </c>
      <c r="D2214" t="s">
        <v>827</v>
      </c>
      <c r="E2214" t="s">
        <v>827</v>
      </c>
      <c r="F2214" s="11">
        <v>274065577</v>
      </c>
      <c r="G2214" s="18">
        <v>2.4562E-3</v>
      </c>
      <c r="H2214" s="11">
        <v>3539860.7028000001</v>
      </c>
      <c r="I2214" s="22">
        <f>IFERROR(VLOOKUP(D2214,'LEAID Match'!$A$2:$B$184,2,FALSE),"")</f>
        <v>3704200</v>
      </c>
    </row>
    <row r="2215" spans="1:9" x14ac:dyDescent="0.2">
      <c r="A2215">
        <f t="shared" si="34"/>
        <v>3704200</v>
      </c>
      <c r="B2215" s="24">
        <v>2018</v>
      </c>
      <c r="C2215" t="s">
        <v>520</v>
      </c>
      <c r="D2215" t="s">
        <v>827</v>
      </c>
      <c r="E2215" t="s">
        <v>827</v>
      </c>
      <c r="F2215" s="11">
        <v>283930465</v>
      </c>
      <c r="G2215" s="18">
        <v>2.4432999999999998E-3</v>
      </c>
      <c r="H2215" s="11">
        <v>3916368.0132999998</v>
      </c>
      <c r="I2215" s="22">
        <f>IFERROR(VLOOKUP(D2215,'LEAID Match'!$A$2:$B$184,2,FALSE),"")</f>
        <v>3704200</v>
      </c>
    </row>
    <row r="2216" spans="1:9" x14ac:dyDescent="0.2">
      <c r="A2216">
        <f t="shared" si="34"/>
        <v>3704200</v>
      </c>
      <c r="B2216" s="24">
        <v>2019</v>
      </c>
      <c r="C2216" t="s">
        <v>520</v>
      </c>
      <c r="D2216" t="s">
        <v>827</v>
      </c>
      <c r="E2216" t="s">
        <v>827</v>
      </c>
      <c r="F2216" s="11">
        <v>284060209</v>
      </c>
      <c r="G2216" s="18">
        <v>2.3576999999999999E-3</v>
      </c>
      <c r="H2216" s="11">
        <v>4515339.7242000001</v>
      </c>
      <c r="I2216" s="22">
        <f>IFERROR(VLOOKUP(D2216,'LEAID Match'!$A$2:$B$184,2,FALSE),"")</f>
        <v>3704200</v>
      </c>
    </row>
    <row r="2217" spans="1:9" x14ac:dyDescent="0.2">
      <c r="A2217">
        <f t="shared" si="34"/>
        <v>3704200</v>
      </c>
      <c r="B2217" s="24">
        <v>2020</v>
      </c>
      <c r="C2217" t="s">
        <v>520</v>
      </c>
      <c r="D2217" t="s">
        <v>827</v>
      </c>
      <c r="E2217" t="s">
        <v>827</v>
      </c>
      <c r="F2217" s="11">
        <v>291546513</v>
      </c>
      <c r="G2217" s="18">
        <v>2.3536E-3</v>
      </c>
      <c r="H2217" s="11">
        <v>4836824.5199999996</v>
      </c>
      <c r="I2217" s="22">
        <f>IFERROR(VLOOKUP(D2217,'LEAID Match'!$A$2:$B$184,2,FALSE),"")</f>
        <v>3704200</v>
      </c>
    </row>
    <row r="2218" spans="1:9" x14ac:dyDescent="0.2">
      <c r="A2218">
        <f t="shared" si="34"/>
        <v>3704200</v>
      </c>
      <c r="B2218" s="24">
        <v>2021</v>
      </c>
      <c r="C2218" t="s">
        <v>520</v>
      </c>
      <c r="D2218" t="s">
        <v>827</v>
      </c>
      <c r="E2218" t="s">
        <v>827</v>
      </c>
      <c r="F2218" s="11">
        <v>275922039</v>
      </c>
      <c r="G2218" s="18">
        <v>2.2047E-3</v>
      </c>
      <c r="H2218" s="11">
        <v>5232308.6843999997</v>
      </c>
      <c r="I2218" s="22">
        <f>IFERROR(VLOOKUP(D2218,'LEAID Match'!$A$2:$B$184,2,FALSE),"")</f>
        <v>3704200</v>
      </c>
    </row>
    <row r="2219" spans="1:9" x14ac:dyDescent="0.2">
      <c r="A2219">
        <f t="shared" si="34"/>
        <v>3704200</v>
      </c>
      <c r="B2219" s="24">
        <v>2022</v>
      </c>
      <c r="C2219" t="s">
        <v>520</v>
      </c>
      <c r="D2219" t="s">
        <v>827</v>
      </c>
      <c r="E2219" t="s">
        <v>827</v>
      </c>
      <c r="F2219" s="11">
        <v>303592835</v>
      </c>
      <c r="G2219" s="18">
        <v>2.4072E-3</v>
      </c>
      <c r="H2219" s="11">
        <v>6648556.4112</v>
      </c>
      <c r="I2219" s="22">
        <f>IFERROR(VLOOKUP(D2219,'LEAID Match'!$A$2:$B$184,2,FALSE),"")</f>
        <v>3704200</v>
      </c>
    </row>
    <row r="2220" spans="1:9" x14ac:dyDescent="0.2">
      <c r="A2220">
        <f t="shared" si="34"/>
        <v>3704200</v>
      </c>
      <c r="B2220" s="24">
        <v>2023</v>
      </c>
      <c r="C2220" t="s">
        <v>520</v>
      </c>
      <c r="D2220" t="s">
        <v>827</v>
      </c>
      <c r="E2220" t="s">
        <v>827</v>
      </c>
      <c r="F2220" s="11">
        <v>300888406</v>
      </c>
      <c r="G2220" s="18">
        <v>2.264E-3</v>
      </c>
      <c r="H2220" s="11">
        <v>6871006.8080000002</v>
      </c>
      <c r="I2220" s="22">
        <f>IFERROR(VLOOKUP(D2220,'LEAID Match'!$A$2:$B$184,2,FALSE),"")</f>
        <v>3704200</v>
      </c>
    </row>
    <row r="2221" spans="1:9" x14ac:dyDescent="0.2">
      <c r="A2221">
        <f t="shared" si="34"/>
        <v>3704320</v>
      </c>
      <c r="B2221" s="24">
        <v>2015</v>
      </c>
      <c r="C2221" t="s">
        <v>521</v>
      </c>
      <c r="D2221" t="s">
        <v>828</v>
      </c>
      <c r="E2221" t="s">
        <v>467</v>
      </c>
      <c r="F2221" s="11">
        <v>366552118</v>
      </c>
      <c r="G2221" s="18">
        <v>3.2049000000000001E-3</v>
      </c>
      <c r="H2221" s="11">
        <v>4047750.2412</v>
      </c>
      <c r="I2221" s="22">
        <f>IFERROR(VLOOKUP(D2221,'LEAID Match'!$A$2:$B$184,2,FALSE),"")</f>
        <v>3704320</v>
      </c>
    </row>
    <row r="2222" spans="1:9" x14ac:dyDescent="0.2">
      <c r="A2222">
        <f t="shared" si="34"/>
        <v>3704320</v>
      </c>
      <c r="B2222" s="24">
        <v>2016</v>
      </c>
      <c r="C2222" t="s">
        <v>521</v>
      </c>
      <c r="D2222" t="s">
        <v>828</v>
      </c>
      <c r="E2222" t="s">
        <v>828</v>
      </c>
      <c r="F2222" s="11">
        <v>337374020</v>
      </c>
      <c r="G2222" s="18">
        <v>3.1153999999999999E-3</v>
      </c>
      <c r="H2222" s="11">
        <v>3972144.3462</v>
      </c>
      <c r="I2222" s="22">
        <f>IFERROR(VLOOKUP(D2222,'LEAID Match'!$A$2:$B$184,2,FALSE),"")</f>
        <v>3704320</v>
      </c>
    </row>
    <row r="2223" spans="1:9" x14ac:dyDescent="0.2">
      <c r="A2223">
        <f t="shared" si="34"/>
        <v>3704320</v>
      </c>
      <c r="B2223" s="24">
        <v>2017</v>
      </c>
      <c r="C2223" t="s">
        <v>521</v>
      </c>
      <c r="D2223" t="s">
        <v>828</v>
      </c>
      <c r="E2223" t="s">
        <v>828</v>
      </c>
      <c r="F2223" s="11">
        <v>336891388</v>
      </c>
      <c r="G2223" s="18">
        <v>3.0192000000000001E-3</v>
      </c>
      <c r="H2223" s="11">
        <v>4351252.9248000002</v>
      </c>
      <c r="I2223" s="22">
        <f>IFERROR(VLOOKUP(D2223,'LEAID Match'!$A$2:$B$184,2,FALSE),"")</f>
        <v>3704320</v>
      </c>
    </row>
    <row r="2224" spans="1:9" x14ac:dyDescent="0.2">
      <c r="A2224">
        <f t="shared" si="34"/>
        <v>3704320</v>
      </c>
      <c r="B2224" s="24">
        <v>2018</v>
      </c>
      <c r="C2224" t="s">
        <v>521</v>
      </c>
      <c r="D2224" t="s">
        <v>828</v>
      </c>
      <c r="E2224" t="s">
        <v>828</v>
      </c>
      <c r="F2224" s="11">
        <v>348140754</v>
      </c>
      <c r="G2224" s="18">
        <v>2.9957999999999999E-3</v>
      </c>
      <c r="H2224" s="11">
        <v>4801970.8158</v>
      </c>
      <c r="I2224" s="22">
        <f>IFERROR(VLOOKUP(D2224,'LEAID Match'!$A$2:$B$184,2,FALSE),"")</f>
        <v>3704320</v>
      </c>
    </row>
    <row r="2225" spans="1:9" x14ac:dyDescent="0.2">
      <c r="A2225">
        <f t="shared" si="34"/>
        <v>3704320</v>
      </c>
      <c r="B2225" s="24">
        <v>2019</v>
      </c>
      <c r="C2225" t="s">
        <v>521</v>
      </c>
      <c r="D2225" t="s">
        <v>828</v>
      </c>
      <c r="E2225" t="s">
        <v>828</v>
      </c>
      <c r="F2225" s="11">
        <v>346777111</v>
      </c>
      <c r="G2225" s="18">
        <v>2.8782999999999999E-3</v>
      </c>
      <c r="H2225" s="11">
        <v>5512364.7318000002</v>
      </c>
      <c r="I2225" s="22">
        <f>IFERROR(VLOOKUP(D2225,'LEAID Match'!$A$2:$B$184,2,FALSE),"")</f>
        <v>3704320</v>
      </c>
    </row>
    <row r="2226" spans="1:9" x14ac:dyDescent="0.2">
      <c r="A2226">
        <f t="shared" si="34"/>
        <v>3704320</v>
      </c>
      <c r="B2226" s="24">
        <v>2020</v>
      </c>
      <c r="C2226" t="s">
        <v>521</v>
      </c>
      <c r="D2226" t="s">
        <v>828</v>
      </c>
      <c r="E2226" t="s">
        <v>828</v>
      </c>
      <c r="F2226" s="11">
        <v>370937569</v>
      </c>
      <c r="G2226" s="18">
        <v>2.9945000000000002E-3</v>
      </c>
      <c r="H2226" s="11">
        <v>6153922.0875000004</v>
      </c>
      <c r="I2226" s="22">
        <f>IFERROR(VLOOKUP(D2226,'LEAID Match'!$A$2:$B$184,2,FALSE),"")</f>
        <v>3704320</v>
      </c>
    </row>
    <row r="2227" spans="1:9" x14ac:dyDescent="0.2">
      <c r="A2227">
        <f t="shared" si="34"/>
        <v>3704320</v>
      </c>
      <c r="B2227" s="24">
        <v>2021</v>
      </c>
      <c r="C2227" t="s">
        <v>521</v>
      </c>
      <c r="D2227" t="s">
        <v>828</v>
      </c>
      <c r="E2227" t="s">
        <v>828</v>
      </c>
      <c r="F2227" s="11">
        <v>354649262</v>
      </c>
      <c r="G2227" s="18">
        <v>2.8338E-3</v>
      </c>
      <c r="H2227" s="11">
        <v>6725321.5175999999</v>
      </c>
      <c r="I2227" s="22">
        <f>IFERROR(VLOOKUP(D2227,'LEAID Match'!$A$2:$B$184,2,FALSE),"")</f>
        <v>3704320</v>
      </c>
    </row>
    <row r="2228" spans="1:9" x14ac:dyDescent="0.2">
      <c r="A2228">
        <f t="shared" si="34"/>
        <v>3704320</v>
      </c>
      <c r="B2228" s="24">
        <v>2022</v>
      </c>
      <c r="C2228" t="s">
        <v>521</v>
      </c>
      <c r="D2228" t="s">
        <v>828</v>
      </c>
      <c r="E2228" t="s">
        <v>828</v>
      </c>
      <c r="F2228" s="11">
        <v>361635009</v>
      </c>
      <c r="G2228" s="18">
        <v>2.8674E-3</v>
      </c>
      <c r="H2228" s="11">
        <v>7919603.9604000002</v>
      </c>
      <c r="I2228" s="22">
        <f>IFERROR(VLOOKUP(D2228,'LEAID Match'!$A$2:$B$184,2,FALSE),"")</f>
        <v>3704320</v>
      </c>
    </row>
    <row r="2229" spans="1:9" x14ac:dyDescent="0.2">
      <c r="A2229">
        <f t="shared" si="34"/>
        <v>3704320</v>
      </c>
      <c r="B2229" s="24">
        <v>2023</v>
      </c>
      <c r="C2229" t="s">
        <v>521</v>
      </c>
      <c r="D2229" t="s">
        <v>828</v>
      </c>
      <c r="E2229" t="s">
        <v>828</v>
      </c>
      <c r="F2229" s="11">
        <v>392169713</v>
      </c>
      <c r="G2229" s="18">
        <v>2.9508E-3</v>
      </c>
      <c r="H2229" s="11">
        <v>8955374.0676000006</v>
      </c>
      <c r="I2229" s="22">
        <f>IFERROR(VLOOKUP(D2229,'LEAID Match'!$A$2:$B$184,2,FALSE),"")</f>
        <v>3704320</v>
      </c>
    </row>
    <row r="2230" spans="1:9" x14ac:dyDescent="0.2">
      <c r="A2230">
        <f t="shared" si="34"/>
        <v>3700128</v>
      </c>
      <c r="B2230" s="24">
        <v>2015</v>
      </c>
      <c r="C2230" t="s">
        <v>522</v>
      </c>
      <c r="D2230" t="s">
        <v>829</v>
      </c>
      <c r="E2230" t="s">
        <v>468</v>
      </c>
      <c r="F2230" s="11">
        <v>12419797</v>
      </c>
      <c r="G2230" s="18">
        <v>1.086E-4</v>
      </c>
      <c r="H2230" s="11">
        <v>137160.49679999999</v>
      </c>
      <c r="I2230" s="22">
        <f>IFERROR(VLOOKUP(D2230,'LEAID Match'!$A$2:$B$184,2,FALSE),"")</f>
        <v>3700128</v>
      </c>
    </row>
    <row r="2231" spans="1:9" x14ac:dyDescent="0.2">
      <c r="A2231">
        <f t="shared" si="34"/>
        <v>3700128</v>
      </c>
      <c r="B2231" s="24">
        <v>2016</v>
      </c>
      <c r="C2231" t="s">
        <v>522</v>
      </c>
      <c r="D2231" t="s">
        <v>829</v>
      </c>
      <c r="E2231" t="s">
        <v>829</v>
      </c>
      <c r="F2231" s="11">
        <v>11388663</v>
      </c>
      <c r="G2231" s="18">
        <v>1.052E-4</v>
      </c>
      <c r="H2231" s="11">
        <v>134130.3156</v>
      </c>
      <c r="I2231" s="22">
        <f>IFERROR(VLOOKUP(D2231,'LEAID Match'!$A$2:$B$184,2,FALSE),"")</f>
        <v>3700128</v>
      </c>
    </row>
    <row r="2232" spans="1:9" x14ac:dyDescent="0.2">
      <c r="A2232">
        <f t="shared" si="34"/>
        <v>3700128</v>
      </c>
      <c r="B2232" s="24">
        <v>2017</v>
      </c>
      <c r="C2232" t="s">
        <v>522</v>
      </c>
      <c r="D2232" t="s">
        <v>829</v>
      </c>
      <c r="E2232" t="s">
        <v>829</v>
      </c>
      <c r="F2232" s="11">
        <v>13718097</v>
      </c>
      <c r="G2232" s="18">
        <v>1.2290000000000001E-4</v>
      </c>
      <c r="H2232" s="11">
        <v>177122.7426</v>
      </c>
      <c r="I2232" s="22">
        <f>IFERROR(VLOOKUP(D2232,'LEAID Match'!$A$2:$B$184,2,FALSE),"")</f>
        <v>3700128</v>
      </c>
    </row>
    <row r="2233" spans="1:9" x14ac:dyDescent="0.2">
      <c r="A2233">
        <f t="shared" si="34"/>
        <v>3700128</v>
      </c>
      <c r="B2233" s="24">
        <v>2018</v>
      </c>
      <c r="C2233" t="s">
        <v>522</v>
      </c>
      <c r="D2233" t="s">
        <v>829</v>
      </c>
      <c r="E2233" t="s">
        <v>829</v>
      </c>
      <c r="F2233" s="11">
        <v>23445449</v>
      </c>
      <c r="G2233" s="18">
        <v>2.018E-4</v>
      </c>
      <c r="H2233" s="11">
        <v>323465.42180000001</v>
      </c>
      <c r="I2233" s="22">
        <f>IFERROR(VLOOKUP(D2233,'LEAID Match'!$A$2:$B$184,2,FALSE),"")</f>
        <v>3700128</v>
      </c>
    </row>
    <row r="2234" spans="1:9" x14ac:dyDescent="0.2">
      <c r="A2234">
        <f t="shared" si="34"/>
        <v>3700128</v>
      </c>
      <c r="B2234" s="24">
        <v>2019</v>
      </c>
      <c r="C2234" t="s">
        <v>522</v>
      </c>
      <c r="D2234" t="s">
        <v>829</v>
      </c>
      <c r="E2234" t="s">
        <v>829</v>
      </c>
      <c r="F2234" s="11">
        <v>26856190</v>
      </c>
      <c r="G2234" s="18">
        <v>2.229E-4</v>
      </c>
      <c r="H2234" s="11">
        <v>426886.04339999997</v>
      </c>
      <c r="I2234" s="22">
        <f>IFERROR(VLOOKUP(D2234,'LEAID Match'!$A$2:$B$184,2,FALSE),"")</f>
        <v>3700128</v>
      </c>
    </row>
    <row r="2235" spans="1:9" x14ac:dyDescent="0.2">
      <c r="A2235">
        <f t="shared" si="34"/>
        <v>3700128</v>
      </c>
      <c r="B2235" s="24">
        <v>2020</v>
      </c>
      <c r="C2235" t="s">
        <v>522</v>
      </c>
      <c r="D2235" t="s">
        <v>829</v>
      </c>
      <c r="E2235" t="s">
        <v>829</v>
      </c>
      <c r="F2235" s="11">
        <v>27450458</v>
      </c>
      <c r="G2235" s="18">
        <v>2.2159999999999999E-4</v>
      </c>
      <c r="H2235" s="11">
        <v>455404.62</v>
      </c>
      <c r="I2235" s="22">
        <f>IFERROR(VLOOKUP(D2235,'LEAID Match'!$A$2:$B$184,2,FALSE),"")</f>
        <v>3700128</v>
      </c>
    </row>
    <row r="2236" spans="1:9" x14ac:dyDescent="0.2">
      <c r="A2236">
        <f t="shared" si="34"/>
        <v>3700128</v>
      </c>
      <c r="B2236" s="24">
        <v>2021</v>
      </c>
      <c r="C2236" t="s">
        <v>522</v>
      </c>
      <c r="D2236" t="s">
        <v>829</v>
      </c>
      <c r="E2236" t="s">
        <v>829</v>
      </c>
      <c r="F2236" s="11">
        <v>26595412</v>
      </c>
      <c r="G2236" s="18">
        <v>2.1249999999999999E-4</v>
      </c>
      <c r="H2236" s="11">
        <v>504316.05</v>
      </c>
      <c r="I2236" s="22">
        <f>IFERROR(VLOOKUP(D2236,'LEAID Match'!$A$2:$B$184,2,FALSE),"")</f>
        <v>3700128</v>
      </c>
    </row>
    <row r="2237" spans="1:9" x14ac:dyDescent="0.2">
      <c r="A2237">
        <f t="shared" si="34"/>
        <v>3700128</v>
      </c>
      <c r="B2237" s="24">
        <v>2022</v>
      </c>
      <c r="C2237" t="s">
        <v>522</v>
      </c>
      <c r="D2237" t="s">
        <v>829</v>
      </c>
      <c r="E2237" t="s">
        <v>829</v>
      </c>
      <c r="F2237" s="11">
        <v>25880454</v>
      </c>
      <c r="G2237" s="18">
        <v>2.052E-4</v>
      </c>
      <c r="H2237" s="11">
        <v>566751.31920000003</v>
      </c>
      <c r="I2237" s="22">
        <f>IFERROR(VLOOKUP(D2237,'LEAID Match'!$A$2:$B$184,2,FALSE),"")</f>
        <v>3700128</v>
      </c>
    </row>
    <row r="2238" spans="1:9" x14ac:dyDescent="0.2">
      <c r="A2238">
        <f t="shared" si="34"/>
        <v>3700128</v>
      </c>
      <c r="B2238" s="24">
        <v>2023</v>
      </c>
      <c r="C2238" t="s">
        <v>522</v>
      </c>
      <c r="D2238" t="s">
        <v>829</v>
      </c>
      <c r="E2238" t="s">
        <v>829</v>
      </c>
      <c r="F2238" s="11">
        <v>27483791</v>
      </c>
      <c r="G2238" s="18">
        <v>2.0680000000000001E-4</v>
      </c>
      <c r="H2238" s="11">
        <v>627616.69960000005</v>
      </c>
      <c r="I2238" s="22">
        <f>IFERROR(VLOOKUP(D2238,'LEAID Match'!$A$2:$B$184,2,FALSE),"")</f>
        <v>3700128</v>
      </c>
    </row>
    <row r="2239" spans="1:9" x14ac:dyDescent="0.2">
      <c r="A2239" t="str">
        <f t="shared" si="34"/>
        <v/>
      </c>
      <c r="B2239" s="24">
        <v>2015</v>
      </c>
      <c r="C2239" t="s">
        <v>523</v>
      </c>
      <c r="D2239" t="s">
        <v>830</v>
      </c>
      <c r="E2239" t="s">
        <v>469</v>
      </c>
      <c r="F2239" s="11">
        <v>86613034</v>
      </c>
      <c r="G2239" s="18">
        <v>7.5730000000000003E-4</v>
      </c>
      <c r="H2239" s="11">
        <v>956460.81240000005</v>
      </c>
      <c r="I2239" s="22" t="str">
        <f>IFERROR(VLOOKUP(D2239,'LEAID Match'!$A$2:$B$184,2,FALSE),"")</f>
        <v/>
      </c>
    </row>
    <row r="2240" spans="1:9" x14ac:dyDescent="0.2">
      <c r="A2240" t="str">
        <f t="shared" si="34"/>
        <v/>
      </c>
      <c r="B2240" s="24">
        <v>2016</v>
      </c>
      <c r="C2240" t="s">
        <v>523</v>
      </c>
      <c r="D2240" t="s">
        <v>830</v>
      </c>
      <c r="E2240" t="s">
        <v>830</v>
      </c>
      <c r="F2240" s="11">
        <v>82706546</v>
      </c>
      <c r="G2240" s="18">
        <v>7.6369999999999997E-4</v>
      </c>
      <c r="H2240" s="11">
        <v>973719.79109999991</v>
      </c>
      <c r="I2240" s="22" t="str">
        <f>IFERROR(VLOOKUP(D2240,'LEAID Match'!$A$2:$B$184,2,FALSE),"")</f>
        <v/>
      </c>
    </row>
    <row r="2241" spans="1:9" x14ac:dyDescent="0.2">
      <c r="A2241" t="str">
        <f t="shared" si="34"/>
        <v/>
      </c>
      <c r="B2241" s="24">
        <v>2017</v>
      </c>
      <c r="C2241" t="s">
        <v>523</v>
      </c>
      <c r="D2241" t="s">
        <v>830</v>
      </c>
      <c r="E2241" t="s">
        <v>830</v>
      </c>
      <c r="F2241" s="11">
        <v>88469407</v>
      </c>
      <c r="G2241" s="18">
        <v>7.9290000000000003E-4</v>
      </c>
      <c r="H2241" s="11">
        <v>1142722.7226</v>
      </c>
      <c r="I2241" s="22" t="str">
        <f>IFERROR(VLOOKUP(D2241,'LEAID Match'!$A$2:$B$184,2,FALSE),"")</f>
        <v/>
      </c>
    </row>
    <row r="2242" spans="1:9" x14ac:dyDescent="0.2">
      <c r="A2242" t="str">
        <f t="shared" si="34"/>
        <v/>
      </c>
      <c r="B2242" s="24">
        <v>2018</v>
      </c>
      <c r="C2242" t="s">
        <v>523</v>
      </c>
      <c r="D2242" t="s">
        <v>830</v>
      </c>
      <c r="E2242" t="s">
        <v>830</v>
      </c>
      <c r="F2242" s="11">
        <v>95162714</v>
      </c>
      <c r="G2242" s="18">
        <v>8.1890000000000001E-4</v>
      </c>
      <c r="H2242" s="11">
        <v>1312615.6289000001</v>
      </c>
      <c r="I2242" s="22" t="str">
        <f>IFERROR(VLOOKUP(D2242,'LEAID Match'!$A$2:$B$184,2,FALSE),"")</f>
        <v/>
      </c>
    </row>
    <row r="2243" spans="1:9" x14ac:dyDescent="0.2">
      <c r="A2243" t="str">
        <f t="shared" ref="A2243:A2306" si="35">I2243</f>
        <v/>
      </c>
      <c r="B2243" s="24">
        <v>2019</v>
      </c>
      <c r="C2243" t="s">
        <v>523</v>
      </c>
      <c r="D2243" t="s">
        <v>830</v>
      </c>
      <c r="E2243" t="s">
        <v>830</v>
      </c>
      <c r="F2243" s="11">
        <v>88928795</v>
      </c>
      <c r="G2243" s="18">
        <v>7.381E-4</v>
      </c>
      <c r="H2243" s="11">
        <v>1413569.2626</v>
      </c>
      <c r="I2243" s="22" t="str">
        <f>IFERROR(VLOOKUP(D2243,'LEAID Match'!$A$2:$B$184,2,FALSE),"")</f>
        <v/>
      </c>
    </row>
    <row r="2244" spans="1:9" x14ac:dyDescent="0.2">
      <c r="A2244" t="str">
        <f t="shared" si="35"/>
        <v/>
      </c>
      <c r="B2244" s="24">
        <v>2020</v>
      </c>
      <c r="C2244" t="s">
        <v>523</v>
      </c>
      <c r="D2244" t="s">
        <v>830</v>
      </c>
      <c r="E2244" t="s">
        <v>830</v>
      </c>
      <c r="F2244" s="11">
        <v>88707280</v>
      </c>
      <c r="G2244" s="18">
        <v>7.161E-4</v>
      </c>
      <c r="H2244" s="11">
        <v>1471639.2075</v>
      </c>
      <c r="I2244" s="22" t="str">
        <f>IFERROR(VLOOKUP(D2244,'LEAID Match'!$A$2:$B$184,2,FALSE),"")</f>
        <v/>
      </c>
    </row>
    <row r="2245" spans="1:9" x14ac:dyDescent="0.2">
      <c r="A2245" t="str">
        <f t="shared" si="35"/>
        <v/>
      </c>
      <c r="B2245" s="24">
        <v>2021</v>
      </c>
      <c r="C2245" t="s">
        <v>523</v>
      </c>
      <c r="D2245" t="s">
        <v>830</v>
      </c>
      <c r="E2245" t="s">
        <v>830</v>
      </c>
      <c r="F2245" s="11">
        <v>88126458</v>
      </c>
      <c r="G2245" s="18">
        <v>7.0419999999999999E-4</v>
      </c>
      <c r="H2245" s="11">
        <v>1671244.0584</v>
      </c>
      <c r="I2245" s="22" t="str">
        <f>IFERROR(VLOOKUP(D2245,'LEAID Match'!$A$2:$B$184,2,FALSE),"")</f>
        <v/>
      </c>
    </row>
    <row r="2246" spans="1:9" x14ac:dyDescent="0.2">
      <c r="A2246" t="str">
        <f t="shared" si="35"/>
        <v/>
      </c>
      <c r="B2246" s="24">
        <v>2022</v>
      </c>
      <c r="C2246" t="s">
        <v>523</v>
      </c>
      <c r="D2246" t="s">
        <v>830</v>
      </c>
      <c r="E2246" t="s">
        <v>830</v>
      </c>
      <c r="F2246" s="11">
        <v>89043321</v>
      </c>
      <c r="G2246" s="18">
        <v>7.0600000000000003E-4</v>
      </c>
      <c r="H2246" s="11">
        <v>1949933.8760000002</v>
      </c>
      <c r="I2246" s="22" t="str">
        <f>IFERROR(VLOOKUP(D2246,'LEAID Match'!$A$2:$B$184,2,FALSE),"")</f>
        <v/>
      </c>
    </row>
    <row r="2247" spans="1:9" x14ac:dyDescent="0.2">
      <c r="A2247" t="str">
        <f t="shared" si="35"/>
        <v/>
      </c>
      <c r="B2247" s="24">
        <v>2023</v>
      </c>
      <c r="C2247" t="s">
        <v>523</v>
      </c>
      <c r="D2247" t="s">
        <v>830</v>
      </c>
      <c r="E2247" t="s">
        <v>830</v>
      </c>
      <c r="F2247" s="11">
        <v>94957023</v>
      </c>
      <c r="G2247" s="18">
        <v>7.1449999999999997E-4</v>
      </c>
      <c r="H2247" s="11">
        <v>2168433.9065</v>
      </c>
      <c r="I2247" s="22" t="str">
        <f>IFERROR(VLOOKUP(D2247,'LEAID Match'!$A$2:$B$184,2,FALSE),"")</f>
        <v/>
      </c>
    </row>
    <row r="2248" spans="1:9" x14ac:dyDescent="0.2">
      <c r="A2248">
        <f t="shared" si="35"/>
        <v>3704380</v>
      </c>
      <c r="B2248" s="24">
        <v>2015</v>
      </c>
      <c r="C2248" t="s">
        <v>524</v>
      </c>
      <c r="D2248" t="s">
        <v>831</v>
      </c>
      <c r="E2248" t="s">
        <v>470</v>
      </c>
      <c r="F2248" s="11">
        <v>294331465</v>
      </c>
      <c r="G2248" s="18">
        <v>2.5734E-3</v>
      </c>
      <c r="H2248" s="11">
        <v>3250173.3191999998</v>
      </c>
      <c r="I2248" s="22">
        <f>IFERROR(VLOOKUP(D2248,'LEAID Match'!$A$2:$B$184,2,FALSE),"")</f>
        <v>3704380</v>
      </c>
    </row>
    <row r="2249" spans="1:9" x14ac:dyDescent="0.2">
      <c r="A2249">
        <f t="shared" si="35"/>
        <v>3704380</v>
      </c>
      <c r="B2249" s="24">
        <v>2016</v>
      </c>
      <c r="C2249" t="s">
        <v>524</v>
      </c>
      <c r="D2249" t="s">
        <v>831</v>
      </c>
      <c r="E2249" t="s">
        <v>831</v>
      </c>
      <c r="F2249" s="11">
        <v>269891493</v>
      </c>
      <c r="G2249" s="18">
        <v>2.4922999999999998E-3</v>
      </c>
      <c r="H2249" s="11">
        <v>3177689.9768999997</v>
      </c>
      <c r="I2249" s="22">
        <f>IFERROR(VLOOKUP(D2249,'LEAID Match'!$A$2:$B$184,2,FALSE),"")</f>
        <v>3704380</v>
      </c>
    </row>
    <row r="2250" spans="1:9" x14ac:dyDescent="0.2">
      <c r="A2250">
        <f t="shared" si="35"/>
        <v>3704380</v>
      </c>
      <c r="B2250" s="24">
        <v>2017</v>
      </c>
      <c r="C2250" t="s">
        <v>524</v>
      </c>
      <c r="D2250" t="s">
        <v>831</v>
      </c>
      <c r="E2250" t="s">
        <v>831</v>
      </c>
      <c r="F2250" s="11">
        <v>260388909</v>
      </c>
      <c r="G2250" s="18">
        <v>2.3335999999999999E-3</v>
      </c>
      <c r="H2250" s="11">
        <v>3363170.3183999998</v>
      </c>
      <c r="I2250" s="22">
        <f>IFERROR(VLOOKUP(D2250,'LEAID Match'!$A$2:$B$184,2,FALSE),"")</f>
        <v>3704380</v>
      </c>
    </row>
    <row r="2251" spans="1:9" x14ac:dyDescent="0.2">
      <c r="A2251">
        <f t="shared" si="35"/>
        <v>3704380</v>
      </c>
      <c r="B2251" s="24">
        <v>2018</v>
      </c>
      <c r="C2251" t="s">
        <v>524</v>
      </c>
      <c r="D2251" t="s">
        <v>831</v>
      </c>
      <c r="E2251" t="s">
        <v>831</v>
      </c>
      <c r="F2251" s="11">
        <v>269099011</v>
      </c>
      <c r="G2251" s="18">
        <v>2.3157E-3</v>
      </c>
      <c r="H2251" s="11">
        <v>3711837.8456999999</v>
      </c>
      <c r="I2251" s="22">
        <f>IFERROR(VLOOKUP(D2251,'LEAID Match'!$A$2:$B$184,2,FALSE),"")</f>
        <v>3704380</v>
      </c>
    </row>
    <row r="2252" spans="1:9" x14ac:dyDescent="0.2">
      <c r="A2252">
        <f t="shared" si="35"/>
        <v>3704380</v>
      </c>
      <c r="B2252" s="24">
        <v>2019</v>
      </c>
      <c r="C2252" t="s">
        <v>524</v>
      </c>
      <c r="D2252" t="s">
        <v>831</v>
      </c>
      <c r="E2252" t="s">
        <v>831</v>
      </c>
      <c r="F2252" s="11">
        <v>266267742</v>
      </c>
      <c r="G2252" s="18">
        <v>2.2100000000000002E-3</v>
      </c>
      <c r="H2252" s="11">
        <v>4232472.66</v>
      </c>
      <c r="I2252" s="22">
        <f>IFERROR(VLOOKUP(D2252,'LEAID Match'!$A$2:$B$184,2,FALSE),"")</f>
        <v>3704380</v>
      </c>
    </row>
    <row r="2253" spans="1:9" x14ac:dyDescent="0.2">
      <c r="A2253">
        <f t="shared" si="35"/>
        <v>3704380</v>
      </c>
      <c r="B2253" s="24">
        <v>2020</v>
      </c>
      <c r="C2253" t="s">
        <v>524</v>
      </c>
      <c r="D2253" t="s">
        <v>831</v>
      </c>
      <c r="E2253" t="s">
        <v>831</v>
      </c>
      <c r="F2253" s="11">
        <v>275316976</v>
      </c>
      <c r="G2253" s="18">
        <v>2.2225999999999999E-3</v>
      </c>
      <c r="H2253" s="11">
        <v>4567609.6950000003</v>
      </c>
      <c r="I2253" s="22">
        <f>IFERROR(VLOOKUP(D2253,'LEAID Match'!$A$2:$B$184,2,FALSE),"")</f>
        <v>3704380</v>
      </c>
    </row>
    <row r="2254" spans="1:9" x14ac:dyDescent="0.2">
      <c r="A2254">
        <f t="shared" si="35"/>
        <v>3704380</v>
      </c>
      <c r="B2254" s="24">
        <v>2021</v>
      </c>
      <c r="C2254" t="s">
        <v>524</v>
      </c>
      <c r="D2254" t="s">
        <v>831</v>
      </c>
      <c r="E2254" t="s">
        <v>831</v>
      </c>
      <c r="F2254" s="11">
        <v>267988732</v>
      </c>
      <c r="G2254" s="18">
        <v>2.1413000000000001E-3</v>
      </c>
      <c r="H2254" s="11">
        <v>5081844.5076000001</v>
      </c>
      <c r="I2254" s="22">
        <f>IFERROR(VLOOKUP(D2254,'LEAID Match'!$A$2:$B$184,2,FALSE),"")</f>
        <v>3704380</v>
      </c>
    </row>
    <row r="2255" spans="1:9" x14ac:dyDescent="0.2">
      <c r="A2255">
        <f t="shared" si="35"/>
        <v>3704380</v>
      </c>
      <c r="B2255" s="24">
        <v>2022</v>
      </c>
      <c r="C2255" t="s">
        <v>524</v>
      </c>
      <c r="D2255" t="s">
        <v>831</v>
      </c>
      <c r="E2255" t="s">
        <v>831</v>
      </c>
      <c r="F2255" s="11">
        <v>287008281</v>
      </c>
      <c r="G2255" s="18">
        <v>2.2756999999999999E-3</v>
      </c>
      <c r="H2255" s="11">
        <v>6285360.5121999998</v>
      </c>
      <c r="I2255" s="22">
        <f>IFERROR(VLOOKUP(D2255,'LEAID Match'!$A$2:$B$184,2,FALSE),"")</f>
        <v>3704380</v>
      </c>
    </row>
    <row r="2256" spans="1:9" x14ac:dyDescent="0.2">
      <c r="A2256">
        <f t="shared" si="35"/>
        <v>3704380</v>
      </c>
      <c r="B2256" s="24">
        <v>2023</v>
      </c>
      <c r="C2256" t="s">
        <v>524</v>
      </c>
      <c r="D2256" t="s">
        <v>831</v>
      </c>
      <c r="E2256" t="s">
        <v>831</v>
      </c>
      <c r="F2256" s="11">
        <v>291734768</v>
      </c>
      <c r="G2256" s="18">
        <v>2.1951000000000002E-3</v>
      </c>
      <c r="H2256" s="11">
        <v>6661902.4047000008</v>
      </c>
      <c r="I2256" s="22">
        <f>IFERROR(VLOOKUP(D2256,'LEAID Match'!$A$2:$B$184,2,FALSE),"")</f>
        <v>3704380</v>
      </c>
    </row>
    <row r="2257" spans="1:9" x14ac:dyDescent="0.2">
      <c r="A2257">
        <f t="shared" si="35"/>
        <v>3704410</v>
      </c>
      <c r="B2257" s="24">
        <v>2015</v>
      </c>
      <c r="C2257" t="s">
        <v>525</v>
      </c>
      <c r="D2257" t="s">
        <v>832</v>
      </c>
      <c r="E2257" t="s">
        <v>471</v>
      </c>
      <c r="F2257" s="11">
        <v>358410908</v>
      </c>
      <c r="G2257" s="18">
        <v>3.1337000000000001E-3</v>
      </c>
      <c r="H2257" s="11">
        <v>3957825.4956</v>
      </c>
      <c r="I2257" s="22">
        <f>IFERROR(VLOOKUP(D2257,'LEAID Match'!$A$2:$B$184,2,FALSE),"")</f>
        <v>3704410</v>
      </c>
    </row>
    <row r="2258" spans="1:9" x14ac:dyDescent="0.2">
      <c r="A2258">
        <f t="shared" si="35"/>
        <v>3704410</v>
      </c>
      <c r="B2258" s="24">
        <v>2016</v>
      </c>
      <c r="C2258" t="s">
        <v>525</v>
      </c>
      <c r="D2258" t="s">
        <v>832</v>
      </c>
      <c r="E2258" t="s">
        <v>832</v>
      </c>
      <c r="F2258" s="11">
        <v>335284191</v>
      </c>
      <c r="G2258" s="18">
        <v>3.0961000000000001E-3</v>
      </c>
      <c r="H2258" s="11">
        <v>3947536.7883000001</v>
      </c>
      <c r="I2258" s="22">
        <f>IFERROR(VLOOKUP(D2258,'LEAID Match'!$A$2:$B$184,2,FALSE),"")</f>
        <v>3704410</v>
      </c>
    </row>
    <row r="2259" spans="1:9" x14ac:dyDescent="0.2">
      <c r="A2259">
        <f t="shared" si="35"/>
        <v>3704410</v>
      </c>
      <c r="B2259" s="24">
        <v>2017</v>
      </c>
      <c r="C2259" t="s">
        <v>525</v>
      </c>
      <c r="D2259" t="s">
        <v>832</v>
      </c>
      <c r="E2259" t="s">
        <v>832</v>
      </c>
      <c r="F2259" s="11">
        <v>340330820</v>
      </c>
      <c r="G2259" s="18">
        <v>3.0501E-3</v>
      </c>
      <c r="H2259" s="11">
        <v>4395785.8194000004</v>
      </c>
      <c r="I2259" s="22">
        <f>IFERROR(VLOOKUP(D2259,'LEAID Match'!$A$2:$B$184,2,FALSE),"")</f>
        <v>3704410</v>
      </c>
    </row>
    <row r="2260" spans="1:9" x14ac:dyDescent="0.2">
      <c r="A2260">
        <f t="shared" si="35"/>
        <v>3704410</v>
      </c>
      <c r="B2260" s="24">
        <v>2018</v>
      </c>
      <c r="C2260" t="s">
        <v>525</v>
      </c>
      <c r="D2260" t="s">
        <v>832</v>
      </c>
      <c r="E2260" t="s">
        <v>832</v>
      </c>
      <c r="F2260" s="11">
        <v>345526484</v>
      </c>
      <c r="G2260" s="18">
        <v>2.9732999999999999E-3</v>
      </c>
      <c r="H2260" s="11">
        <v>4765905.5433</v>
      </c>
      <c r="I2260" s="22">
        <f>IFERROR(VLOOKUP(D2260,'LEAID Match'!$A$2:$B$184,2,FALSE),"")</f>
        <v>3704410</v>
      </c>
    </row>
    <row r="2261" spans="1:9" x14ac:dyDescent="0.2">
      <c r="A2261">
        <f t="shared" si="35"/>
        <v>3704410</v>
      </c>
      <c r="B2261" s="24">
        <v>2019</v>
      </c>
      <c r="C2261" t="s">
        <v>525</v>
      </c>
      <c r="D2261" t="s">
        <v>832</v>
      </c>
      <c r="E2261" t="s">
        <v>832</v>
      </c>
      <c r="F2261" s="11">
        <v>352301847</v>
      </c>
      <c r="G2261" s="18">
        <v>2.9240999999999998E-3</v>
      </c>
      <c r="H2261" s="11">
        <v>5600078.4185999995</v>
      </c>
      <c r="I2261" s="22">
        <f>IFERROR(VLOOKUP(D2261,'LEAID Match'!$A$2:$B$184,2,FALSE),"")</f>
        <v>3704410</v>
      </c>
    </row>
    <row r="2262" spans="1:9" x14ac:dyDescent="0.2">
      <c r="A2262">
        <f t="shared" si="35"/>
        <v>3704410</v>
      </c>
      <c r="B2262" s="24">
        <v>2020</v>
      </c>
      <c r="C2262" t="s">
        <v>525</v>
      </c>
      <c r="D2262" t="s">
        <v>832</v>
      </c>
      <c r="E2262" t="s">
        <v>832</v>
      </c>
      <c r="F2262" s="11">
        <v>348840172</v>
      </c>
      <c r="G2262" s="18">
        <v>2.8161000000000002E-3</v>
      </c>
      <c r="H2262" s="11">
        <v>5787296.7075000005</v>
      </c>
      <c r="I2262" s="22">
        <f>IFERROR(VLOOKUP(D2262,'LEAID Match'!$A$2:$B$184,2,FALSE),"")</f>
        <v>3704410</v>
      </c>
    </row>
    <row r="2263" spans="1:9" x14ac:dyDescent="0.2">
      <c r="A2263">
        <f t="shared" si="35"/>
        <v>3704410</v>
      </c>
      <c r="B2263" s="24">
        <v>2021</v>
      </c>
      <c r="C2263" t="s">
        <v>525</v>
      </c>
      <c r="D2263" t="s">
        <v>832</v>
      </c>
      <c r="E2263" t="s">
        <v>832</v>
      </c>
      <c r="F2263" s="11">
        <v>332462926</v>
      </c>
      <c r="G2263" s="18">
        <v>2.6565E-3</v>
      </c>
      <c r="H2263" s="11">
        <v>6304543.9380000001</v>
      </c>
      <c r="I2263" s="22">
        <f>IFERROR(VLOOKUP(D2263,'LEAID Match'!$A$2:$B$184,2,FALSE),"")</f>
        <v>3704410</v>
      </c>
    </row>
    <row r="2264" spans="1:9" x14ac:dyDescent="0.2">
      <c r="A2264">
        <f t="shared" si="35"/>
        <v>3704410</v>
      </c>
      <c r="B2264" s="24">
        <v>2022</v>
      </c>
      <c r="C2264" t="s">
        <v>525</v>
      </c>
      <c r="D2264" t="s">
        <v>832</v>
      </c>
      <c r="E2264" t="s">
        <v>832</v>
      </c>
      <c r="F2264" s="11">
        <v>365307550</v>
      </c>
      <c r="G2264" s="18">
        <v>2.8965000000000002E-3</v>
      </c>
      <c r="H2264" s="11">
        <v>7999976.5890000006</v>
      </c>
      <c r="I2264" s="22">
        <f>IFERROR(VLOOKUP(D2264,'LEAID Match'!$A$2:$B$184,2,FALSE),"")</f>
        <v>3704410</v>
      </c>
    </row>
    <row r="2265" spans="1:9" x14ac:dyDescent="0.2">
      <c r="A2265">
        <f t="shared" si="35"/>
        <v>3704410</v>
      </c>
      <c r="B2265" s="24">
        <v>2023</v>
      </c>
      <c r="C2265" t="s">
        <v>525</v>
      </c>
      <c r="D2265" t="s">
        <v>832</v>
      </c>
      <c r="E2265" t="s">
        <v>832</v>
      </c>
      <c r="F2265" s="11">
        <v>371443201</v>
      </c>
      <c r="G2265" s="18">
        <v>2.7948000000000001E-3</v>
      </c>
      <c r="H2265" s="11">
        <v>8481930.1356000006</v>
      </c>
      <c r="I2265" s="22">
        <f>IFERROR(VLOOKUP(D2265,'LEAID Match'!$A$2:$B$184,2,FALSE),"")</f>
        <v>3704410</v>
      </c>
    </row>
    <row r="2266" spans="1:9" x14ac:dyDescent="0.2">
      <c r="A2266">
        <f t="shared" si="35"/>
        <v>3700041</v>
      </c>
      <c r="B2266" s="24">
        <v>2015</v>
      </c>
      <c r="C2266" t="s">
        <v>526</v>
      </c>
      <c r="D2266" t="s">
        <v>833</v>
      </c>
      <c r="E2266" t="s">
        <v>472</v>
      </c>
      <c r="F2266" s="11">
        <v>4620888</v>
      </c>
      <c r="G2266" s="18">
        <v>4.0399999999999999E-5</v>
      </c>
      <c r="H2266" s="11">
        <v>51024.715199999999</v>
      </c>
      <c r="I2266" s="22">
        <f>IFERROR(VLOOKUP(D2266,'LEAID Match'!$A$2:$B$184,2,FALSE),"")</f>
        <v>3700041</v>
      </c>
    </row>
    <row r="2267" spans="1:9" x14ac:dyDescent="0.2">
      <c r="A2267">
        <f t="shared" si="35"/>
        <v>3700041</v>
      </c>
      <c r="B2267" s="24">
        <v>2016</v>
      </c>
      <c r="C2267" t="s">
        <v>526</v>
      </c>
      <c r="D2267" t="s">
        <v>833</v>
      </c>
      <c r="E2267" t="s">
        <v>833</v>
      </c>
      <c r="F2267" s="11">
        <v>4469239</v>
      </c>
      <c r="G2267" s="18">
        <v>4.1300000000000001E-5</v>
      </c>
      <c r="H2267" s="11">
        <v>52657.623899999999</v>
      </c>
      <c r="I2267" s="22">
        <f>IFERROR(VLOOKUP(D2267,'LEAID Match'!$A$2:$B$184,2,FALSE),"")</f>
        <v>3700041</v>
      </c>
    </row>
    <row r="2268" spans="1:9" x14ac:dyDescent="0.2">
      <c r="A2268">
        <f t="shared" si="35"/>
        <v>3700041</v>
      </c>
      <c r="B2268" s="24">
        <v>2017</v>
      </c>
      <c r="C2268" t="s">
        <v>526</v>
      </c>
      <c r="D2268" t="s">
        <v>833</v>
      </c>
      <c r="E2268" t="s">
        <v>833</v>
      </c>
      <c r="F2268" s="11">
        <v>3895502</v>
      </c>
      <c r="G2268" s="18">
        <v>3.4900000000000001E-5</v>
      </c>
      <c r="H2268" s="11">
        <v>50297.670600000005</v>
      </c>
      <c r="I2268" s="22">
        <f>IFERROR(VLOOKUP(D2268,'LEAID Match'!$A$2:$B$184,2,FALSE),"")</f>
        <v>3700041</v>
      </c>
    </row>
    <row r="2269" spans="1:9" x14ac:dyDescent="0.2">
      <c r="A2269">
        <f t="shared" si="35"/>
        <v>3700041</v>
      </c>
      <c r="B2269" s="24">
        <v>2018</v>
      </c>
      <c r="C2269" t="s">
        <v>526</v>
      </c>
      <c r="D2269" t="s">
        <v>833</v>
      </c>
      <c r="E2269" t="s">
        <v>833</v>
      </c>
      <c r="F2269" s="11">
        <v>4758321</v>
      </c>
      <c r="G2269" s="18">
        <v>4.0899999999999998E-5</v>
      </c>
      <c r="H2269" s="11">
        <v>65558.650899999993</v>
      </c>
      <c r="I2269" s="22">
        <f>IFERROR(VLOOKUP(D2269,'LEAID Match'!$A$2:$B$184,2,FALSE),"")</f>
        <v>3700041</v>
      </c>
    </row>
    <row r="2270" spans="1:9" x14ac:dyDescent="0.2">
      <c r="A2270">
        <f t="shared" si="35"/>
        <v>3700041</v>
      </c>
      <c r="B2270" s="24">
        <v>2019</v>
      </c>
      <c r="C2270" t="s">
        <v>526</v>
      </c>
      <c r="D2270" t="s">
        <v>833</v>
      </c>
      <c r="E2270" t="s">
        <v>833</v>
      </c>
      <c r="F2270" s="11">
        <v>5057874</v>
      </c>
      <c r="G2270" s="18">
        <v>4.1999999999999998E-5</v>
      </c>
      <c r="H2270" s="11">
        <v>80436.131999999998</v>
      </c>
      <c r="I2270" s="22">
        <f>IFERROR(VLOOKUP(D2270,'LEAID Match'!$A$2:$B$184,2,FALSE),"")</f>
        <v>3700041</v>
      </c>
    </row>
    <row r="2271" spans="1:9" x14ac:dyDescent="0.2">
      <c r="A2271">
        <f t="shared" si="35"/>
        <v>3700041</v>
      </c>
      <c r="B2271" s="24">
        <v>2020</v>
      </c>
      <c r="C2271" t="s">
        <v>526</v>
      </c>
      <c r="D2271" t="s">
        <v>833</v>
      </c>
      <c r="E2271" t="s">
        <v>833</v>
      </c>
      <c r="F2271" s="11">
        <v>4990678</v>
      </c>
      <c r="G2271" s="18">
        <v>4.0299999999999997E-5</v>
      </c>
      <c r="H2271" s="11">
        <v>82819.522499999992</v>
      </c>
      <c r="I2271" s="22">
        <f>IFERROR(VLOOKUP(D2271,'LEAID Match'!$A$2:$B$184,2,FALSE),"")</f>
        <v>3700041</v>
      </c>
    </row>
    <row r="2272" spans="1:9" x14ac:dyDescent="0.2">
      <c r="A2272">
        <f t="shared" si="35"/>
        <v>3700041</v>
      </c>
      <c r="B2272" s="24">
        <v>2021</v>
      </c>
      <c r="C2272" t="s">
        <v>526</v>
      </c>
      <c r="D2272" t="s">
        <v>833</v>
      </c>
      <c r="E2272" t="s">
        <v>833</v>
      </c>
      <c r="F2272" s="11">
        <v>4928319</v>
      </c>
      <c r="G2272" s="18">
        <v>3.9400000000000002E-5</v>
      </c>
      <c r="H2272" s="11">
        <v>93506.128800000006</v>
      </c>
      <c r="I2272" s="22">
        <f>IFERROR(VLOOKUP(D2272,'LEAID Match'!$A$2:$B$184,2,FALSE),"")</f>
        <v>3700041</v>
      </c>
    </row>
    <row r="2273" spans="1:9" x14ac:dyDescent="0.2">
      <c r="A2273">
        <f t="shared" si="35"/>
        <v>3700111</v>
      </c>
      <c r="B2273" s="24">
        <v>2015</v>
      </c>
      <c r="C2273" t="s">
        <v>527</v>
      </c>
      <c r="D2273" t="s">
        <v>834</v>
      </c>
      <c r="E2273" t="s">
        <v>473</v>
      </c>
      <c r="F2273" s="11">
        <v>19639233</v>
      </c>
      <c r="G2273" s="18">
        <v>1.717E-4</v>
      </c>
      <c r="H2273" s="11">
        <v>216855.03959999999</v>
      </c>
      <c r="I2273" s="22">
        <f>IFERROR(VLOOKUP(D2273,'LEAID Match'!$A$2:$B$184,2,FALSE),"")</f>
        <v>3700111</v>
      </c>
    </row>
    <row r="2274" spans="1:9" x14ac:dyDescent="0.2">
      <c r="A2274">
        <f t="shared" si="35"/>
        <v>3700111</v>
      </c>
      <c r="B2274" s="24">
        <v>2016</v>
      </c>
      <c r="C2274" t="s">
        <v>527</v>
      </c>
      <c r="D2274" t="s">
        <v>834</v>
      </c>
      <c r="E2274" t="s">
        <v>834</v>
      </c>
      <c r="F2274" s="11">
        <v>19815817</v>
      </c>
      <c r="G2274" s="18">
        <v>1.83E-4</v>
      </c>
      <c r="H2274" s="11">
        <v>233325.549</v>
      </c>
      <c r="I2274" s="22">
        <f>IFERROR(VLOOKUP(D2274,'LEAID Match'!$A$2:$B$184,2,FALSE),"")</f>
        <v>3700111</v>
      </c>
    </row>
    <row r="2275" spans="1:9" x14ac:dyDescent="0.2">
      <c r="A2275">
        <f t="shared" si="35"/>
        <v>3700111</v>
      </c>
      <c r="B2275" s="24">
        <v>2017</v>
      </c>
      <c r="C2275" t="s">
        <v>527</v>
      </c>
      <c r="D2275" t="s">
        <v>834</v>
      </c>
      <c r="E2275" t="s">
        <v>834</v>
      </c>
      <c r="F2275" s="11">
        <v>25080178</v>
      </c>
      <c r="G2275" s="18">
        <v>2.2479999999999999E-4</v>
      </c>
      <c r="H2275" s="11">
        <v>323980.41119999997</v>
      </c>
      <c r="I2275" s="22">
        <f>IFERROR(VLOOKUP(D2275,'LEAID Match'!$A$2:$B$184,2,FALSE),"")</f>
        <v>3700111</v>
      </c>
    </row>
    <row r="2276" spans="1:9" x14ac:dyDescent="0.2">
      <c r="A2276">
        <f t="shared" si="35"/>
        <v>3700111</v>
      </c>
      <c r="B2276" s="24">
        <v>2018</v>
      </c>
      <c r="C2276" t="s">
        <v>527</v>
      </c>
      <c r="D2276" t="s">
        <v>834</v>
      </c>
      <c r="E2276" t="s">
        <v>834</v>
      </c>
      <c r="F2276" s="11">
        <v>29629714</v>
      </c>
      <c r="G2276" s="18">
        <v>2.5500000000000002E-4</v>
      </c>
      <c r="H2276" s="11">
        <v>408739.755</v>
      </c>
      <c r="I2276" s="22">
        <f>IFERROR(VLOOKUP(D2276,'LEAID Match'!$A$2:$B$184,2,FALSE),"")</f>
        <v>3700111</v>
      </c>
    </row>
    <row r="2277" spans="1:9" x14ac:dyDescent="0.2">
      <c r="A2277">
        <f t="shared" si="35"/>
        <v>3700111</v>
      </c>
      <c r="B2277" s="24">
        <v>2019</v>
      </c>
      <c r="C2277" t="s">
        <v>527</v>
      </c>
      <c r="D2277" t="s">
        <v>834</v>
      </c>
      <c r="E2277" t="s">
        <v>834</v>
      </c>
      <c r="F2277" s="11">
        <v>29122633</v>
      </c>
      <c r="G2277" s="18">
        <v>2.4169999999999999E-4</v>
      </c>
      <c r="H2277" s="11">
        <v>462890.78820000001</v>
      </c>
      <c r="I2277" s="22">
        <f>IFERROR(VLOOKUP(D2277,'LEAID Match'!$A$2:$B$184,2,FALSE),"")</f>
        <v>3700111</v>
      </c>
    </row>
    <row r="2278" spans="1:9" x14ac:dyDescent="0.2">
      <c r="A2278">
        <f t="shared" si="35"/>
        <v>3700111</v>
      </c>
      <c r="B2278" s="24">
        <v>2020</v>
      </c>
      <c r="C2278" t="s">
        <v>527</v>
      </c>
      <c r="D2278" t="s">
        <v>834</v>
      </c>
      <c r="E2278" t="s">
        <v>834</v>
      </c>
      <c r="F2278" s="11">
        <v>30112102</v>
      </c>
      <c r="G2278" s="18">
        <v>2.431E-4</v>
      </c>
      <c r="H2278" s="11">
        <v>499588.73249999998</v>
      </c>
      <c r="I2278" s="22">
        <f>IFERROR(VLOOKUP(D2278,'LEAID Match'!$A$2:$B$184,2,FALSE),"")</f>
        <v>3700111</v>
      </c>
    </row>
    <row r="2279" spans="1:9" x14ac:dyDescent="0.2">
      <c r="A2279">
        <f t="shared" si="35"/>
        <v>3700111</v>
      </c>
      <c r="B2279" s="24">
        <v>2021</v>
      </c>
      <c r="C2279" t="s">
        <v>527</v>
      </c>
      <c r="D2279" t="s">
        <v>834</v>
      </c>
      <c r="E2279" t="s">
        <v>834</v>
      </c>
      <c r="F2279" s="11">
        <v>30587224</v>
      </c>
      <c r="G2279" s="18">
        <v>2.4439999999999998E-4</v>
      </c>
      <c r="H2279" s="11">
        <v>580022.78879999998</v>
      </c>
      <c r="I2279" s="22">
        <f>IFERROR(VLOOKUP(D2279,'LEAID Match'!$A$2:$B$184,2,FALSE),"")</f>
        <v>3700111</v>
      </c>
    </row>
    <row r="2280" spans="1:9" x14ac:dyDescent="0.2">
      <c r="A2280">
        <f t="shared" si="35"/>
        <v>3700111</v>
      </c>
      <c r="B2280" s="24">
        <v>2022</v>
      </c>
      <c r="C2280" t="s">
        <v>527</v>
      </c>
      <c r="D2280" t="s">
        <v>834</v>
      </c>
      <c r="E2280" t="s">
        <v>834</v>
      </c>
      <c r="F2280" s="11">
        <v>29636679</v>
      </c>
      <c r="G2280" s="18">
        <v>2.3499999999999999E-4</v>
      </c>
      <c r="H2280" s="11">
        <v>649057.30999999994</v>
      </c>
      <c r="I2280" s="22">
        <f>IFERROR(VLOOKUP(D2280,'LEAID Match'!$A$2:$B$184,2,FALSE),"")</f>
        <v>3700111</v>
      </c>
    </row>
    <row r="2281" spans="1:9" x14ac:dyDescent="0.2">
      <c r="A2281">
        <f t="shared" si="35"/>
        <v>3700111</v>
      </c>
      <c r="B2281" s="24">
        <v>2023</v>
      </c>
      <c r="C2281" t="s">
        <v>527</v>
      </c>
      <c r="D2281" t="s">
        <v>834</v>
      </c>
      <c r="E2281" t="s">
        <v>834</v>
      </c>
      <c r="F2281" s="11">
        <v>28497959</v>
      </c>
      <c r="G2281" s="18">
        <v>2.1440000000000001E-4</v>
      </c>
      <c r="H2281" s="11">
        <v>650681.91680000001</v>
      </c>
      <c r="I2281" s="22">
        <f>IFERROR(VLOOKUP(D2281,'LEAID Match'!$A$2:$B$184,2,FALSE),"")</f>
        <v>3700111</v>
      </c>
    </row>
    <row r="2282" spans="1:9" x14ac:dyDescent="0.2">
      <c r="A2282" t="str">
        <f t="shared" si="35"/>
        <v/>
      </c>
      <c r="B2282" s="24">
        <v>2015</v>
      </c>
      <c r="C2282" t="s">
        <v>528</v>
      </c>
      <c r="D2282" t="s">
        <v>835</v>
      </c>
      <c r="E2282" t="s">
        <v>474</v>
      </c>
      <c r="F2282" s="11">
        <v>96476573</v>
      </c>
      <c r="G2282" s="18">
        <v>8.4349999999999996E-4</v>
      </c>
      <c r="H2282" s="11">
        <v>1065330.378</v>
      </c>
      <c r="I2282" s="22" t="str">
        <f>IFERROR(VLOOKUP(D2282,'LEAID Match'!$A$2:$B$184,2,FALSE),"")</f>
        <v/>
      </c>
    </row>
    <row r="2283" spans="1:9" x14ac:dyDescent="0.2">
      <c r="A2283" t="str">
        <f t="shared" si="35"/>
        <v/>
      </c>
      <c r="B2283" s="24">
        <v>2016</v>
      </c>
      <c r="C2283" t="s">
        <v>528</v>
      </c>
      <c r="D2283" t="s">
        <v>835</v>
      </c>
      <c r="E2283" t="s">
        <v>835</v>
      </c>
      <c r="F2283" s="11">
        <v>92119157</v>
      </c>
      <c r="G2283" s="18">
        <v>8.5070000000000002E-4</v>
      </c>
      <c r="H2283" s="11">
        <v>1084645.0521</v>
      </c>
      <c r="I2283" s="22" t="str">
        <f>IFERROR(VLOOKUP(D2283,'LEAID Match'!$A$2:$B$184,2,FALSE),"")</f>
        <v/>
      </c>
    </row>
    <row r="2284" spans="1:9" x14ac:dyDescent="0.2">
      <c r="A2284" t="str">
        <f t="shared" si="35"/>
        <v/>
      </c>
      <c r="B2284" s="24">
        <v>2017</v>
      </c>
      <c r="C2284" t="s">
        <v>528</v>
      </c>
      <c r="D2284" t="s">
        <v>835</v>
      </c>
      <c r="E2284" t="s">
        <v>835</v>
      </c>
      <c r="F2284" s="11">
        <v>93915966</v>
      </c>
      <c r="G2284" s="18">
        <v>8.4170000000000002E-4</v>
      </c>
      <c r="H2284" s="11">
        <v>1213052.9898000001</v>
      </c>
      <c r="I2284" s="22" t="str">
        <f>IFERROR(VLOOKUP(D2284,'LEAID Match'!$A$2:$B$184,2,FALSE),"")</f>
        <v/>
      </c>
    </row>
    <row r="2285" spans="1:9" x14ac:dyDescent="0.2">
      <c r="A2285" t="str">
        <f t="shared" si="35"/>
        <v/>
      </c>
      <c r="B2285" s="24">
        <v>2018</v>
      </c>
      <c r="C2285" t="s">
        <v>528</v>
      </c>
      <c r="D2285" t="s">
        <v>835</v>
      </c>
      <c r="E2285" t="s">
        <v>835</v>
      </c>
      <c r="F2285" s="11">
        <v>92675861</v>
      </c>
      <c r="G2285" s="18">
        <v>7.9750000000000003E-4</v>
      </c>
      <c r="H2285" s="11">
        <v>1278313.5475000001</v>
      </c>
      <c r="I2285" s="22" t="str">
        <f>IFERROR(VLOOKUP(D2285,'LEAID Match'!$A$2:$B$184,2,FALSE),"")</f>
        <v/>
      </c>
    </row>
    <row r="2286" spans="1:9" x14ac:dyDescent="0.2">
      <c r="A2286" t="str">
        <f t="shared" si="35"/>
        <v/>
      </c>
      <c r="B2286" s="24">
        <v>2019</v>
      </c>
      <c r="C2286" t="s">
        <v>528</v>
      </c>
      <c r="D2286" t="s">
        <v>835</v>
      </c>
      <c r="E2286" t="s">
        <v>835</v>
      </c>
      <c r="F2286" s="11">
        <v>91340325</v>
      </c>
      <c r="G2286" s="18">
        <v>7.5810000000000005E-4</v>
      </c>
      <c r="H2286" s="11">
        <v>1451872.1826000002</v>
      </c>
      <c r="I2286" s="22" t="str">
        <f>IFERROR(VLOOKUP(D2286,'LEAID Match'!$A$2:$B$184,2,FALSE),"")</f>
        <v/>
      </c>
    </row>
    <row r="2287" spans="1:9" x14ac:dyDescent="0.2">
      <c r="A2287" t="str">
        <f t="shared" si="35"/>
        <v/>
      </c>
      <c r="B2287" s="24">
        <v>2020</v>
      </c>
      <c r="C2287" t="s">
        <v>528</v>
      </c>
      <c r="D2287" t="s">
        <v>835</v>
      </c>
      <c r="E2287" t="s">
        <v>835</v>
      </c>
      <c r="F2287" s="11">
        <v>89514189</v>
      </c>
      <c r="G2287" s="18">
        <v>7.226E-4</v>
      </c>
      <c r="H2287" s="11">
        <v>1484997.1950000001</v>
      </c>
      <c r="I2287" s="22" t="str">
        <f>IFERROR(VLOOKUP(D2287,'LEAID Match'!$A$2:$B$184,2,FALSE),"")</f>
        <v/>
      </c>
    </row>
    <row r="2288" spans="1:9" x14ac:dyDescent="0.2">
      <c r="A2288" t="str">
        <f t="shared" si="35"/>
        <v/>
      </c>
      <c r="B2288" s="24">
        <v>2021</v>
      </c>
      <c r="C2288" t="s">
        <v>528</v>
      </c>
      <c r="D2288" t="s">
        <v>835</v>
      </c>
      <c r="E2288" t="s">
        <v>835</v>
      </c>
      <c r="F2288" s="11">
        <v>93267012</v>
      </c>
      <c r="G2288" s="18">
        <v>7.4520000000000001E-4</v>
      </c>
      <c r="H2288" s="11">
        <v>1768547.3903999999</v>
      </c>
      <c r="I2288" s="22" t="str">
        <f>IFERROR(VLOOKUP(D2288,'LEAID Match'!$A$2:$B$184,2,FALSE),"")</f>
        <v/>
      </c>
    </row>
    <row r="2289" spans="1:9" x14ac:dyDescent="0.2">
      <c r="A2289" t="str">
        <f t="shared" si="35"/>
        <v/>
      </c>
      <c r="B2289" s="24">
        <v>2022</v>
      </c>
      <c r="C2289" t="s">
        <v>528</v>
      </c>
      <c r="D2289" t="s">
        <v>835</v>
      </c>
      <c r="E2289" t="s">
        <v>835</v>
      </c>
      <c r="F2289" s="11">
        <v>95493852</v>
      </c>
      <c r="G2289" s="18">
        <v>7.5719999999999997E-4</v>
      </c>
      <c r="H2289" s="11">
        <v>2091345.5111999998</v>
      </c>
      <c r="I2289" s="22" t="str">
        <f>IFERROR(VLOOKUP(D2289,'LEAID Match'!$A$2:$B$184,2,FALSE),"")</f>
        <v/>
      </c>
    </row>
    <row r="2290" spans="1:9" x14ac:dyDescent="0.2">
      <c r="A2290" t="str">
        <f t="shared" si="35"/>
        <v/>
      </c>
      <c r="B2290" s="24">
        <v>2023</v>
      </c>
      <c r="C2290" t="s">
        <v>528</v>
      </c>
      <c r="D2290" t="s">
        <v>835</v>
      </c>
      <c r="E2290" t="s">
        <v>835</v>
      </c>
      <c r="F2290" s="11">
        <v>94776703</v>
      </c>
      <c r="G2290" s="18">
        <v>7.1310000000000004E-4</v>
      </c>
      <c r="H2290" s="11">
        <v>2164185.0507</v>
      </c>
      <c r="I2290" s="22" t="str">
        <f>IFERROR(VLOOKUP(D2290,'LEAID Match'!$A$2:$B$184,2,FALSE),"")</f>
        <v/>
      </c>
    </row>
    <row r="2291" spans="1:9" x14ac:dyDescent="0.2">
      <c r="A2291">
        <f t="shared" si="35"/>
        <v>3703210</v>
      </c>
      <c r="B2291" s="24">
        <v>2015</v>
      </c>
      <c r="C2291" t="s">
        <v>529</v>
      </c>
      <c r="D2291" t="s">
        <v>836</v>
      </c>
      <c r="E2291" t="s">
        <v>475</v>
      </c>
      <c r="F2291" s="11">
        <v>73213907</v>
      </c>
      <c r="G2291" s="18">
        <v>6.401E-4</v>
      </c>
      <c r="H2291" s="11">
        <v>808438.61880000005</v>
      </c>
      <c r="I2291" s="22">
        <f>IFERROR(VLOOKUP(D2291,'LEAID Match'!$A$2:$B$184,2,FALSE),"")</f>
        <v>3703210</v>
      </c>
    </row>
    <row r="2292" spans="1:9" x14ac:dyDescent="0.2">
      <c r="A2292">
        <f t="shared" si="35"/>
        <v>3703210</v>
      </c>
      <c r="B2292" s="24">
        <v>2016</v>
      </c>
      <c r="C2292" t="s">
        <v>529</v>
      </c>
      <c r="D2292" t="s">
        <v>836</v>
      </c>
      <c r="E2292" t="s">
        <v>836</v>
      </c>
      <c r="F2292" s="11">
        <v>67814780</v>
      </c>
      <c r="G2292" s="18">
        <v>6.2620000000000004E-4</v>
      </c>
      <c r="H2292" s="11">
        <v>798406.87860000005</v>
      </c>
      <c r="I2292" s="22">
        <f>IFERROR(VLOOKUP(D2292,'LEAID Match'!$A$2:$B$184,2,FALSE),"")</f>
        <v>3703210</v>
      </c>
    </row>
    <row r="2293" spans="1:9" x14ac:dyDescent="0.2">
      <c r="A2293">
        <f t="shared" si="35"/>
        <v>3703210</v>
      </c>
      <c r="B2293" s="24">
        <v>2017</v>
      </c>
      <c r="C2293" t="s">
        <v>529</v>
      </c>
      <c r="D2293" t="s">
        <v>836</v>
      </c>
      <c r="E2293" t="s">
        <v>836</v>
      </c>
      <c r="F2293" s="11">
        <v>66265136</v>
      </c>
      <c r="G2293" s="18">
        <v>5.9389999999999996E-4</v>
      </c>
      <c r="H2293" s="11">
        <v>855925.11659999995</v>
      </c>
      <c r="I2293" s="22">
        <f>IFERROR(VLOOKUP(D2293,'LEAID Match'!$A$2:$B$184,2,FALSE),"")</f>
        <v>3703210</v>
      </c>
    </row>
    <row r="2294" spans="1:9" x14ac:dyDescent="0.2">
      <c r="A2294">
        <f t="shared" si="35"/>
        <v>3703210</v>
      </c>
      <c r="B2294" s="24">
        <v>2018</v>
      </c>
      <c r="C2294" t="s">
        <v>529</v>
      </c>
      <c r="D2294" t="s">
        <v>836</v>
      </c>
      <c r="E2294" t="s">
        <v>836</v>
      </c>
      <c r="F2294" s="11">
        <v>70028652</v>
      </c>
      <c r="G2294" s="18">
        <v>6.0260000000000001E-4</v>
      </c>
      <c r="H2294" s="11">
        <v>965908.14260000002</v>
      </c>
      <c r="I2294" s="22">
        <f>IFERROR(VLOOKUP(D2294,'LEAID Match'!$A$2:$B$184,2,FALSE),"")</f>
        <v>3703210</v>
      </c>
    </row>
    <row r="2295" spans="1:9" x14ac:dyDescent="0.2">
      <c r="A2295">
        <f t="shared" si="35"/>
        <v>3703210</v>
      </c>
      <c r="B2295" s="24">
        <v>2019</v>
      </c>
      <c r="C2295" t="s">
        <v>529</v>
      </c>
      <c r="D2295" t="s">
        <v>836</v>
      </c>
      <c r="E2295" t="s">
        <v>836</v>
      </c>
      <c r="F2295" s="11">
        <v>77000112</v>
      </c>
      <c r="G2295" s="18">
        <v>6.3909999999999998E-4</v>
      </c>
      <c r="H2295" s="11">
        <v>1223969.8085999999</v>
      </c>
      <c r="I2295" s="22">
        <f>IFERROR(VLOOKUP(D2295,'LEAID Match'!$A$2:$B$184,2,FALSE),"")</f>
        <v>3703210</v>
      </c>
    </row>
    <row r="2296" spans="1:9" x14ac:dyDescent="0.2">
      <c r="A2296">
        <f t="shared" si="35"/>
        <v>3703210</v>
      </c>
      <c r="B2296" s="24">
        <v>2020</v>
      </c>
      <c r="C2296" t="s">
        <v>529</v>
      </c>
      <c r="D2296" t="s">
        <v>836</v>
      </c>
      <c r="E2296" t="s">
        <v>836</v>
      </c>
      <c r="F2296" s="11">
        <v>83167373</v>
      </c>
      <c r="G2296" s="18">
        <v>6.7139999999999995E-4</v>
      </c>
      <c r="H2296" s="11">
        <v>1379777.355</v>
      </c>
      <c r="I2296" s="22">
        <f>IFERROR(VLOOKUP(D2296,'LEAID Match'!$A$2:$B$184,2,FALSE),"")</f>
        <v>3703210</v>
      </c>
    </row>
    <row r="2297" spans="1:9" x14ac:dyDescent="0.2">
      <c r="A2297">
        <f t="shared" si="35"/>
        <v>3703210</v>
      </c>
      <c r="B2297" s="24">
        <v>2021</v>
      </c>
      <c r="C2297" t="s">
        <v>529</v>
      </c>
      <c r="D2297" t="s">
        <v>836</v>
      </c>
      <c r="E2297" t="s">
        <v>836</v>
      </c>
      <c r="F2297" s="11">
        <v>82017171</v>
      </c>
      <c r="G2297" s="18">
        <v>6.5530000000000004E-4</v>
      </c>
      <c r="H2297" s="11">
        <v>1555192.0356000001</v>
      </c>
      <c r="I2297" s="22">
        <f>IFERROR(VLOOKUP(D2297,'LEAID Match'!$A$2:$B$184,2,FALSE),"")</f>
        <v>3703210</v>
      </c>
    </row>
    <row r="2298" spans="1:9" x14ac:dyDescent="0.2">
      <c r="A2298">
        <f t="shared" si="35"/>
        <v>3703210</v>
      </c>
      <c r="B2298" s="24">
        <v>2022</v>
      </c>
      <c r="C2298" t="s">
        <v>529</v>
      </c>
      <c r="D2298" t="s">
        <v>836</v>
      </c>
      <c r="E2298" t="s">
        <v>836</v>
      </c>
      <c r="F2298" s="11">
        <v>86353706</v>
      </c>
      <c r="G2298" s="18">
        <v>6.847E-4</v>
      </c>
      <c r="H2298" s="11">
        <v>1891104.4262000001</v>
      </c>
      <c r="I2298" s="22">
        <f>IFERROR(VLOOKUP(D2298,'LEAID Match'!$A$2:$B$184,2,FALSE),"")</f>
        <v>3703210</v>
      </c>
    </row>
    <row r="2299" spans="1:9" x14ac:dyDescent="0.2">
      <c r="A2299">
        <f t="shared" si="35"/>
        <v>3703210</v>
      </c>
      <c r="B2299" s="24">
        <v>2023</v>
      </c>
      <c r="C2299" t="s">
        <v>529</v>
      </c>
      <c r="D2299" t="s">
        <v>836</v>
      </c>
      <c r="E2299" t="s">
        <v>836</v>
      </c>
      <c r="F2299" s="11">
        <v>97615474</v>
      </c>
      <c r="G2299" s="18">
        <v>7.3450000000000002E-4</v>
      </c>
      <c r="H2299" s="11">
        <v>2229131.8465</v>
      </c>
      <c r="I2299" s="22">
        <f>IFERROR(VLOOKUP(D2299,'LEAID Match'!$A$2:$B$184,2,FALSE),"")</f>
        <v>3703210</v>
      </c>
    </row>
    <row r="2300" spans="1:9" x14ac:dyDescent="0.2">
      <c r="A2300">
        <f t="shared" si="35"/>
        <v>3701380</v>
      </c>
      <c r="B2300" s="24">
        <v>2015</v>
      </c>
      <c r="C2300" t="s">
        <v>530</v>
      </c>
      <c r="D2300" t="s">
        <v>837</v>
      </c>
      <c r="E2300" t="s">
        <v>476</v>
      </c>
      <c r="F2300" s="11">
        <v>60292754</v>
      </c>
      <c r="G2300" s="18">
        <v>5.2720000000000002E-4</v>
      </c>
      <c r="H2300" s="11">
        <v>665847.27360000007</v>
      </c>
      <c r="I2300" s="22">
        <f>IFERROR(VLOOKUP(D2300,'LEAID Match'!$A$2:$B$184,2,FALSE),"")</f>
        <v>3701380</v>
      </c>
    </row>
    <row r="2301" spans="1:9" x14ac:dyDescent="0.2">
      <c r="A2301">
        <f t="shared" si="35"/>
        <v>3701380</v>
      </c>
      <c r="B2301" s="24">
        <v>2016</v>
      </c>
      <c r="C2301" t="s">
        <v>530</v>
      </c>
      <c r="D2301" t="s">
        <v>837</v>
      </c>
      <c r="E2301" t="s">
        <v>837</v>
      </c>
      <c r="F2301" s="11">
        <v>57917410</v>
      </c>
      <c r="G2301" s="18">
        <v>5.3479999999999999E-4</v>
      </c>
      <c r="H2301" s="11">
        <v>681871.60439999995</v>
      </c>
      <c r="I2301" s="22">
        <f>IFERROR(VLOOKUP(D2301,'LEAID Match'!$A$2:$B$184,2,FALSE),"")</f>
        <v>3701380</v>
      </c>
    </row>
    <row r="2302" spans="1:9" x14ac:dyDescent="0.2">
      <c r="A2302">
        <f t="shared" si="35"/>
        <v>3701380</v>
      </c>
      <c r="B2302" s="24">
        <v>2017</v>
      </c>
      <c r="C2302" t="s">
        <v>530</v>
      </c>
      <c r="D2302" t="s">
        <v>837</v>
      </c>
      <c r="E2302" t="s">
        <v>837</v>
      </c>
      <c r="F2302" s="11">
        <v>55365942</v>
      </c>
      <c r="G2302" s="18">
        <v>4.9620000000000003E-4</v>
      </c>
      <c r="H2302" s="11">
        <v>715120.4628000001</v>
      </c>
      <c r="I2302" s="22">
        <f>IFERROR(VLOOKUP(D2302,'LEAID Match'!$A$2:$B$184,2,FALSE),"")</f>
        <v>3701380</v>
      </c>
    </row>
    <row r="2303" spans="1:9" x14ac:dyDescent="0.2">
      <c r="A2303">
        <f t="shared" si="35"/>
        <v>3701380</v>
      </c>
      <c r="B2303" s="24">
        <v>2018</v>
      </c>
      <c r="C2303" t="s">
        <v>530</v>
      </c>
      <c r="D2303" t="s">
        <v>837</v>
      </c>
      <c r="E2303" t="s">
        <v>837</v>
      </c>
      <c r="F2303" s="11">
        <v>55101436</v>
      </c>
      <c r="G2303" s="18">
        <v>4.7419999999999998E-4</v>
      </c>
      <c r="H2303" s="11">
        <v>760095.65419999999</v>
      </c>
      <c r="I2303" s="22">
        <f>IFERROR(VLOOKUP(D2303,'LEAID Match'!$A$2:$B$184,2,FALSE),"")</f>
        <v>3701380</v>
      </c>
    </row>
    <row r="2304" spans="1:9" x14ac:dyDescent="0.2">
      <c r="A2304">
        <f t="shared" si="35"/>
        <v>3701380</v>
      </c>
      <c r="B2304" s="24">
        <v>2019</v>
      </c>
      <c r="C2304" t="s">
        <v>530</v>
      </c>
      <c r="D2304" t="s">
        <v>837</v>
      </c>
      <c r="E2304" t="s">
        <v>837</v>
      </c>
      <c r="F2304" s="11">
        <v>54523824</v>
      </c>
      <c r="G2304" s="18">
        <v>4.5249999999999999E-4</v>
      </c>
      <c r="H2304" s="11">
        <v>866603.56499999994</v>
      </c>
      <c r="I2304" s="22">
        <f>IFERROR(VLOOKUP(D2304,'LEAID Match'!$A$2:$B$184,2,FALSE),"")</f>
        <v>3701380</v>
      </c>
    </row>
    <row r="2305" spans="1:9" x14ac:dyDescent="0.2">
      <c r="A2305">
        <f t="shared" si="35"/>
        <v>3701380</v>
      </c>
      <c r="B2305" s="24">
        <v>2020</v>
      </c>
      <c r="C2305" t="s">
        <v>530</v>
      </c>
      <c r="D2305" t="s">
        <v>837</v>
      </c>
      <c r="E2305" t="s">
        <v>837</v>
      </c>
      <c r="F2305" s="11">
        <v>57593622</v>
      </c>
      <c r="G2305" s="18">
        <v>4.6490000000000002E-4</v>
      </c>
      <c r="H2305" s="11">
        <v>955404.36750000005</v>
      </c>
      <c r="I2305" s="22">
        <f>IFERROR(VLOOKUP(D2305,'LEAID Match'!$A$2:$B$184,2,FALSE),"")</f>
        <v>3701380</v>
      </c>
    </row>
    <row r="2306" spans="1:9" x14ac:dyDescent="0.2">
      <c r="A2306">
        <f t="shared" si="35"/>
        <v>3701380</v>
      </c>
      <c r="B2306" s="24">
        <v>2021</v>
      </c>
      <c r="C2306" t="s">
        <v>530</v>
      </c>
      <c r="D2306" t="s">
        <v>837</v>
      </c>
      <c r="E2306" t="s">
        <v>837</v>
      </c>
      <c r="F2306" s="11">
        <v>56776415</v>
      </c>
      <c r="G2306" s="18">
        <v>4.5370000000000002E-4</v>
      </c>
      <c r="H2306" s="11">
        <v>1076744.4324</v>
      </c>
      <c r="I2306" s="22">
        <f>IFERROR(VLOOKUP(D2306,'LEAID Match'!$A$2:$B$184,2,FALSE),"")</f>
        <v>3701380</v>
      </c>
    </row>
    <row r="2307" spans="1:9" x14ac:dyDescent="0.2">
      <c r="A2307">
        <f t="shared" ref="A2307:A2370" si="36">I2307</f>
        <v>3701380</v>
      </c>
      <c r="B2307" s="24">
        <v>2022</v>
      </c>
      <c r="C2307" t="s">
        <v>530</v>
      </c>
      <c r="D2307" t="s">
        <v>837</v>
      </c>
      <c r="E2307" t="s">
        <v>837</v>
      </c>
      <c r="F2307" s="11">
        <v>64742965</v>
      </c>
      <c r="G2307" s="18">
        <v>5.1329999999999995E-4</v>
      </c>
      <c r="H2307" s="11">
        <v>1417706.8817999999</v>
      </c>
      <c r="I2307" s="22">
        <f>IFERROR(VLOOKUP(D2307,'LEAID Match'!$A$2:$B$184,2,FALSE),"")</f>
        <v>3701380</v>
      </c>
    </row>
    <row r="2308" spans="1:9" x14ac:dyDescent="0.2">
      <c r="A2308">
        <f t="shared" si="36"/>
        <v>3701380</v>
      </c>
      <c r="B2308" s="24">
        <v>2023</v>
      </c>
      <c r="C2308" t="s">
        <v>530</v>
      </c>
      <c r="D2308" t="s">
        <v>837</v>
      </c>
      <c r="E2308" t="s">
        <v>837</v>
      </c>
      <c r="F2308" s="11">
        <v>68906690</v>
      </c>
      <c r="G2308" s="18">
        <v>5.1849999999999997E-4</v>
      </c>
      <c r="H2308" s="11">
        <v>1573594.0944999999</v>
      </c>
      <c r="I2308" s="22">
        <f>IFERROR(VLOOKUP(D2308,'LEAID Match'!$A$2:$B$184,2,FALSE),"")</f>
        <v>3701380</v>
      </c>
    </row>
    <row r="2309" spans="1:9" x14ac:dyDescent="0.2">
      <c r="A2309">
        <f t="shared" si="36"/>
        <v>3704440</v>
      </c>
      <c r="B2309" s="24">
        <v>2015</v>
      </c>
      <c r="C2309" t="s">
        <v>531</v>
      </c>
      <c r="D2309" t="s">
        <v>838</v>
      </c>
      <c r="E2309" t="s">
        <v>477</v>
      </c>
      <c r="F2309" s="11">
        <v>102733440</v>
      </c>
      <c r="G2309" s="18">
        <v>8.9820000000000004E-4</v>
      </c>
      <c r="H2309" s="11">
        <v>1134415.8216000001</v>
      </c>
      <c r="I2309" s="22">
        <f>IFERROR(VLOOKUP(D2309,'LEAID Match'!$A$2:$B$184,2,FALSE),"")</f>
        <v>3704440</v>
      </c>
    </row>
    <row r="2310" spans="1:9" x14ac:dyDescent="0.2">
      <c r="A2310">
        <f t="shared" si="36"/>
        <v>3704440</v>
      </c>
      <c r="B2310" s="24">
        <v>2016</v>
      </c>
      <c r="C2310" t="s">
        <v>531</v>
      </c>
      <c r="D2310" t="s">
        <v>838</v>
      </c>
      <c r="E2310" t="s">
        <v>838</v>
      </c>
      <c r="F2310" s="11">
        <v>99270587</v>
      </c>
      <c r="G2310" s="18">
        <v>9.167E-4</v>
      </c>
      <c r="H2310" s="11">
        <v>1168795.2501000001</v>
      </c>
      <c r="I2310" s="22">
        <f>IFERROR(VLOOKUP(D2310,'LEAID Match'!$A$2:$B$184,2,FALSE),"")</f>
        <v>3704440</v>
      </c>
    </row>
    <row r="2311" spans="1:9" x14ac:dyDescent="0.2">
      <c r="A2311">
        <f t="shared" si="36"/>
        <v>3704440</v>
      </c>
      <c r="B2311" s="24">
        <v>2017</v>
      </c>
      <c r="C2311" t="s">
        <v>531</v>
      </c>
      <c r="D2311" t="s">
        <v>838</v>
      </c>
      <c r="E2311" t="s">
        <v>838</v>
      </c>
      <c r="F2311" s="11">
        <v>101390078</v>
      </c>
      <c r="G2311" s="18">
        <v>9.0870000000000002E-4</v>
      </c>
      <c r="H2311" s="11">
        <v>1309612.9878</v>
      </c>
      <c r="I2311" s="22">
        <f>IFERROR(VLOOKUP(D2311,'LEAID Match'!$A$2:$B$184,2,FALSE),"")</f>
        <v>3704440</v>
      </c>
    </row>
    <row r="2312" spans="1:9" x14ac:dyDescent="0.2">
      <c r="A2312">
        <f t="shared" si="36"/>
        <v>3704440</v>
      </c>
      <c r="B2312" s="24">
        <v>2018</v>
      </c>
      <c r="C2312" t="s">
        <v>531</v>
      </c>
      <c r="D2312" t="s">
        <v>838</v>
      </c>
      <c r="E2312" t="s">
        <v>838</v>
      </c>
      <c r="F2312" s="11">
        <v>101900762</v>
      </c>
      <c r="G2312" s="18">
        <v>8.7690000000000001E-4</v>
      </c>
      <c r="H2312" s="11">
        <v>1405583.8869</v>
      </c>
      <c r="I2312" s="22">
        <f>IFERROR(VLOOKUP(D2312,'LEAID Match'!$A$2:$B$184,2,FALSE),"")</f>
        <v>3704440</v>
      </c>
    </row>
    <row r="2313" spans="1:9" x14ac:dyDescent="0.2">
      <c r="A2313">
        <f t="shared" si="36"/>
        <v>3704440</v>
      </c>
      <c r="B2313" s="24">
        <v>2019</v>
      </c>
      <c r="C2313" t="s">
        <v>531</v>
      </c>
      <c r="D2313" t="s">
        <v>838</v>
      </c>
      <c r="E2313" t="s">
        <v>838</v>
      </c>
      <c r="F2313" s="11">
        <v>106498879</v>
      </c>
      <c r="G2313" s="18">
        <v>8.8389999999999996E-4</v>
      </c>
      <c r="H2313" s="11">
        <v>1692797.5493999999</v>
      </c>
      <c r="I2313" s="22">
        <f>IFERROR(VLOOKUP(D2313,'LEAID Match'!$A$2:$B$184,2,FALSE),"")</f>
        <v>3704440</v>
      </c>
    </row>
    <row r="2314" spans="1:9" x14ac:dyDescent="0.2">
      <c r="A2314">
        <f t="shared" si="36"/>
        <v>3704440</v>
      </c>
      <c r="B2314" s="24">
        <v>2020</v>
      </c>
      <c r="C2314" t="s">
        <v>531</v>
      </c>
      <c r="D2314" t="s">
        <v>838</v>
      </c>
      <c r="E2314" t="s">
        <v>838</v>
      </c>
      <c r="F2314" s="11">
        <v>107950543</v>
      </c>
      <c r="G2314" s="18">
        <v>8.7149999999999999E-4</v>
      </c>
      <c r="H2314" s="11">
        <v>1790997.8625</v>
      </c>
      <c r="I2314" s="22">
        <f>IFERROR(VLOOKUP(D2314,'LEAID Match'!$A$2:$B$184,2,FALSE),"")</f>
        <v>3704440</v>
      </c>
    </row>
    <row r="2315" spans="1:9" x14ac:dyDescent="0.2">
      <c r="A2315">
        <f t="shared" si="36"/>
        <v>3704440</v>
      </c>
      <c r="B2315" s="24">
        <v>2021</v>
      </c>
      <c r="C2315" t="s">
        <v>531</v>
      </c>
      <c r="D2315" t="s">
        <v>838</v>
      </c>
      <c r="E2315" t="s">
        <v>838</v>
      </c>
      <c r="F2315" s="11">
        <v>105067747</v>
      </c>
      <c r="G2315" s="18">
        <v>8.3949999999999997E-4</v>
      </c>
      <c r="H2315" s="11">
        <v>1992345.054</v>
      </c>
      <c r="I2315" s="22">
        <f>IFERROR(VLOOKUP(D2315,'LEAID Match'!$A$2:$B$184,2,FALSE),"")</f>
        <v>3704440</v>
      </c>
    </row>
    <row r="2316" spans="1:9" x14ac:dyDescent="0.2">
      <c r="A2316">
        <f t="shared" si="36"/>
        <v>3704440</v>
      </c>
      <c r="B2316" s="24">
        <v>2022</v>
      </c>
      <c r="C2316" t="s">
        <v>531</v>
      </c>
      <c r="D2316" t="s">
        <v>838</v>
      </c>
      <c r="E2316" t="s">
        <v>838</v>
      </c>
      <c r="F2316" s="11">
        <v>110225434</v>
      </c>
      <c r="G2316" s="18">
        <v>8.7399999999999999E-4</v>
      </c>
      <c r="H2316" s="11">
        <v>2413940.804</v>
      </c>
      <c r="I2316" s="22">
        <f>IFERROR(VLOOKUP(D2316,'LEAID Match'!$A$2:$B$184,2,FALSE),"")</f>
        <v>3704440</v>
      </c>
    </row>
    <row r="2317" spans="1:9" x14ac:dyDescent="0.2">
      <c r="A2317">
        <f t="shared" si="36"/>
        <v>3704440</v>
      </c>
      <c r="B2317" s="24">
        <v>2023</v>
      </c>
      <c r="C2317" t="s">
        <v>531</v>
      </c>
      <c r="D2317" t="s">
        <v>838</v>
      </c>
      <c r="E2317" t="s">
        <v>838</v>
      </c>
      <c r="F2317" s="11">
        <v>122668538</v>
      </c>
      <c r="G2317" s="18">
        <v>9.2299999999999999E-4</v>
      </c>
      <c r="H2317" s="11">
        <v>2801209.9309999999</v>
      </c>
      <c r="I2317" s="22">
        <f>IFERROR(VLOOKUP(D2317,'LEAID Match'!$A$2:$B$184,2,FALSE),"")</f>
        <v>3704440</v>
      </c>
    </row>
    <row r="2318" spans="1:9" x14ac:dyDescent="0.2">
      <c r="A2318">
        <f t="shared" si="36"/>
        <v>3700129</v>
      </c>
      <c r="B2318" s="24">
        <v>2015</v>
      </c>
      <c r="C2318" t="s">
        <v>532</v>
      </c>
      <c r="D2318" t="s">
        <v>914</v>
      </c>
      <c r="E2318" t="s">
        <v>478</v>
      </c>
      <c r="F2318" s="11">
        <v>6876197</v>
      </c>
      <c r="G2318" s="18">
        <v>6.0099999999999997E-5</v>
      </c>
      <c r="H2318" s="11">
        <v>75905.578800000003</v>
      </c>
      <c r="I2318" s="22">
        <f>IFERROR(VLOOKUP(D2318,'LEAID Match'!$A$2:$B$184,2,FALSE),"")</f>
        <v>3700129</v>
      </c>
    </row>
    <row r="2319" spans="1:9" x14ac:dyDescent="0.2">
      <c r="A2319">
        <f t="shared" si="36"/>
        <v>3700129</v>
      </c>
      <c r="B2319" s="24">
        <v>2016</v>
      </c>
      <c r="C2319" t="s">
        <v>532</v>
      </c>
      <c r="D2319" t="s">
        <v>914</v>
      </c>
      <c r="E2319" t="s">
        <v>839</v>
      </c>
      <c r="F2319" s="11">
        <v>6806978</v>
      </c>
      <c r="G2319" s="18">
        <v>6.2899999999999997E-5</v>
      </c>
      <c r="H2319" s="11">
        <v>80197.688699999999</v>
      </c>
      <c r="I2319" s="22">
        <f>IFERROR(VLOOKUP(D2319,'LEAID Match'!$A$2:$B$184,2,FALSE),"")</f>
        <v>3700129</v>
      </c>
    </row>
    <row r="2320" spans="1:9" x14ac:dyDescent="0.2">
      <c r="A2320">
        <f t="shared" si="36"/>
        <v>3700129</v>
      </c>
      <c r="B2320" s="24">
        <v>2017</v>
      </c>
      <c r="C2320" t="s">
        <v>532</v>
      </c>
      <c r="D2320" t="s">
        <v>914</v>
      </c>
      <c r="E2320" t="s">
        <v>914</v>
      </c>
      <c r="F2320" s="11">
        <v>5823545</v>
      </c>
      <c r="G2320" s="18">
        <v>5.2200000000000002E-5</v>
      </c>
      <c r="H2320" s="11">
        <v>75230.326799999995</v>
      </c>
      <c r="I2320" s="22">
        <f>IFERROR(VLOOKUP(D2320,'LEAID Match'!$A$2:$B$184,2,FALSE),"")</f>
        <v>3700129</v>
      </c>
    </row>
    <row r="2321" spans="1:9" x14ac:dyDescent="0.2">
      <c r="A2321">
        <f t="shared" si="36"/>
        <v>3700129</v>
      </c>
      <c r="B2321" s="24">
        <v>2018</v>
      </c>
      <c r="C2321" t="s">
        <v>532</v>
      </c>
      <c r="D2321" t="s">
        <v>914</v>
      </c>
      <c r="E2321" t="s">
        <v>914</v>
      </c>
      <c r="F2321" s="11">
        <v>6340300</v>
      </c>
      <c r="G2321" s="18">
        <v>5.4599999999999999E-5</v>
      </c>
      <c r="H2321" s="11">
        <v>87518.3946</v>
      </c>
      <c r="I2321" s="22">
        <f>IFERROR(VLOOKUP(D2321,'LEAID Match'!$A$2:$B$184,2,FALSE),"")</f>
        <v>3700129</v>
      </c>
    </row>
    <row r="2322" spans="1:9" x14ac:dyDescent="0.2">
      <c r="A2322">
        <f t="shared" si="36"/>
        <v>3700129</v>
      </c>
      <c r="B2322" s="24">
        <v>2019</v>
      </c>
      <c r="C2322" t="s">
        <v>532</v>
      </c>
      <c r="D2322" t="s">
        <v>914</v>
      </c>
      <c r="E2322" t="s">
        <v>914</v>
      </c>
      <c r="F2322" s="11">
        <v>6581651</v>
      </c>
      <c r="G2322" s="18">
        <v>5.4599999999999999E-5</v>
      </c>
      <c r="H2322" s="11">
        <v>104566.9716</v>
      </c>
      <c r="I2322" s="22">
        <f>IFERROR(VLOOKUP(D2322,'LEAID Match'!$A$2:$B$184,2,FALSE),"")</f>
        <v>3700129</v>
      </c>
    </row>
    <row r="2323" spans="1:9" x14ac:dyDescent="0.2">
      <c r="A2323">
        <f t="shared" si="36"/>
        <v>3700129</v>
      </c>
      <c r="B2323" s="24">
        <v>2020</v>
      </c>
      <c r="C2323" t="s">
        <v>532</v>
      </c>
      <c r="D2323" t="s">
        <v>914</v>
      </c>
      <c r="E2323" t="s">
        <v>914</v>
      </c>
      <c r="F2323" s="11">
        <v>7179322</v>
      </c>
      <c r="G2323" s="18">
        <v>5.8E-5</v>
      </c>
      <c r="H2323" s="11">
        <v>119194.35</v>
      </c>
      <c r="I2323" s="22">
        <f>IFERROR(VLOOKUP(D2323,'LEAID Match'!$A$2:$B$184,2,FALSE),"")</f>
        <v>3700129</v>
      </c>
    </row>
    <row r="2324" spans="1:9" x14ac:dyDescent="0.2">
      <c r="A2324">
        <f t="shared" si="36"/>
        <v>3700129</v>
      </c>
      <c r="B2324" s="24">
        <v>2021</v>
      </c>
      <c r="C2324" t="s">
        <v>532</v>
      </c>
      <c r="D2324" t="s">
        <v>914</v>
      </c>
      <c r="E2324" t="s">
        <v>914</v>
      </c>
      <c r="F2324" s="11">
        <v>8088561</v>
      </c>
      <c r="G2324" s="18">
        <v>6.4599999999999998E-5</v>
      </c>
      <c r="H2324" s="11">
        <v>153312.07920000001</v>
      </c>
      <c r="I2324" s="22">
        <f>IFERROR(VLOOKUP(D2324,'LEAID Match'!$A$2:$B$184,2,FALSE),"")</f>
        <v>3700129</v>
      </c>
    </row>
    <row r="2325" spans="1:9" x14ac:dyDescent="0.2">
      <c r="A2325">
        <f t="shared" si="36"/>
        <v>3700129</v>
      </c>
      <c r="B2325" s="24">
        <v>2022</v>
      </c>
      <c r="C2325" t="s">
        <v>532</v>
      </c>
      <c r="D2325" t="s">
        <v>914</v>
      </c>
      <c r="E2325" t="s">
        <v>914</v>
      </c>
      <c r="F2325" s="11">
        <v>7562161</v>
      </c>
      <c r="G2325" s="18">
        <v>6.0000000000000002E-5</v>
      </c>
      <c r="H2325" s="11">
        <v>165716.76</v>
      </c>
      <c r="I2325" s="22">
        <f>IFERROR(VLOOKUP(D2325,'LEAID Match'!$A$2:$B$184,2,FALSE),"")</f>
        <v>3700129</v>
      </c>
    </row>
    <row r="2326" spans="1:9" x14ac:dyDescent="0.2">
      <c r="A2326">
        <f t="shared" si="36"/>
        <v>3700129</v>
      </c>
      <c r="B2326" s="24">
        <v>2023</v>
      </c>
      <c r="C2326" t="s">
        <v>532</v>
      </c>
      <c r="D2326" t="s">
        <v>914</v>
      </c>
      <c r="E2326" t="s">
        <v>914</v>
      </c>
      <c r="F2326" s="11">
        <v>9605799</v>
      </c>
      <c r="G2326" s="18">
        <v>7.2299999999999996E-5</v>
      </c>
      <c r="H2326" s="11">
        <v>219423.05309999999</v>
      </c>
      <c r="I2326" s="22">
        <f>IFERROR(VLOOKUP(D2326,'LEAID Match'!$A$2:$B$184,2,FALSE),"")</f>
        <v>3700129</v>
      </c>
    </row>
    <row r="2327" spans="1:9" x14ac:dyDescent="0.2">
      <c r="A2327">
        <f t="shared" si="36"/>
        <v>3704530</v>
      </c>
      <c r="B2327" s="24">
        <v>2015</v>
      </c>
      <c r="C2327" t="s">
        <v>533</v>
      </c>
      <c r="D2327" t="s">
        <v>840</v>
      </c>
      <c r="E2327" t="s">
        <v>479</v>
      </c>
      <c r="F2327" s="11">
        <v>177546862</v>
      </c>
      <c r="G2327" s="18">
        <v>1.5524E-3</v>
      </c>
      <c r="H2327" s="11">
        <v>1960662.5711999999</v>
      </c>
      <c r="I2327" s="22">
        <f>IFERROR(VLOOKUP(D2327,'LEAID Match'!$A$2:$B$184,2,FALSE),"")</f>
        <v>3704530</v>
      </c>
    </row>
    <row r="2328" spans="1:9" x14ac:dyDescent="0.2">
      <c r="A2328">
        <f t="shared" si="36"/>
        <v>3704530</v>
      </c>
      <c r="B2328" s="24">
        <v>2016</v>
      </c>
      <c r="C2328" t="s">
        <v>533</v>
      </c>
      <c r="D2328" t="s">
        <v>840</v>
      </c>
      <c r="E2328" t="s">
        <v>840</v>
      </c>
      <c r="F2328" s="11">
        <v>170375956</v>
      </c>
      <c r="G2328" s="18">
        <v>1.5732999999999999E-3</v>
      </c>
      <c r="H2328" s="11">
        <v>2005962.2198999999</v>
      </c>
      <c r="I2328" s="22">
        <f>IFERROR(VLOOKUP(D2328,'LEAID Match'!$A$2:$B$184,2,FALSE),"")</f>
        <v>3704530</v>
      </c>
    </row>
    <row r="2329" spans="1:9" x14ac:dyDescent="0.2">
      <c r="A2329">
        <f t="shared" si="36"/>
        <v>3704530</v>
      </c>
      <c r="B2329" s="24">
        <v>2017</v>
      </c>
      <c r="C2329" t="s">
        <v>533</v>
      </c>
      <c r="D2329" t="s">
        <v>840</v>
      </c>
      <c r="E2329" t="s">
        <v>840</v>
      </c>
      <c r="F2329" s="11">
        <v>171805284</v>
      </c>
      <c r="G2329" s="18">
        <v>1.5397E-3</v>
      </c>
      <c r="H2329" s="11">
        <v>2219006.4018000001</v>
      </c>
      <c r="I2329" s="22">
        <f>IFERROR(VLOOKUP(D2329,'LEAID Match'!$A$2:$B$184,2,FALSE),"")</f>
        <v>3704530</v>
      </c>
    </row>
    <row r="2330" spans="1:9" x14ac:dyDescent="0.2">
      <c r="A2330">
        <f t="shared" si="36"/>
        <v>3704530</v>
      </c>
      <c r="B2330" s="24">
        <v>2018</v>
      </c>
      <c r="C2330" t="s">
        <v>533</v>
      </c>
      <c r="D2330" t="s">
        <v>840</v>
      </c>
      <c r="E2330" t="s">
        <v>840</v>
      </c>
      <c r="F2330" s="11">
        <v>176902134</v>
      </c>
      <c r="G2330" s="18">
        <v>1.5223000000000001E-3</v>
      </c>
      <c r="H2330" s="11">
        <v>2440096.1923000002</v>
      </c>
      <c r="I2330" s="22">
        <f>IFERROR(VLOOKUP(D2330,'LEAID Match'!$A$2:$B$184,2,FALSE),"")</f>
        <v>3704530</v>
      </c>
    </row>
    <row r="2331" spans="1:9" x14ac:dyDescent="0.2">
      <c r="A2331">
        <f t="shared" si="36"/>
        <v>3704530</v>
      </c>
      <c r="B2331" s="24">
        <v>2019</v>
      </c>
      <c r="C2331" t="s">
        <v>533</v>
      </c>
      <c r="D2331" t="s">
        <v>840</v>
      </c>
      <c r="E2331" t="s">
        <v>840</v>
      </c>
      <c r="F2331" s="11">
        <v>179193402</v>
      </c>
      <c r="G2331" s="18">
        <v>1.4873E-3</v>
      </c>
      <c r="H2331" s="11">
        <v>2848396.6458000001</v>
      </c>
      <c r="I2331" s="22">
        <f>IFERROR(VLOOKUP(D2331,'LEAID Match'!$A$2:$B$184,2,FALSE),"")</f>
        <v>3704530</v>
      </c>
    </row>
    <row r="2332" spans="1:9" x14ac:dyDescent="0.2">
      <c r="A2332">
        <f t="shared" si="36"/>
        <v>3704530</v>
      </c>
      <c r="B2332" s="24">
        <v>2020</v>
      </c>
      <c r="C2332" t="s">
        <v>533</v>
      </c>
      <c r="D2332" t="s">
        <v>840</v>
      </c>
      <c r="E2332" t="s">
        <v>840</v>
      </c>
      <c r="F2332" s="11">
        <v>185693958</v>
      </c>
      <c r="G2332" s="18">
        <v>1.4991E-3</v>
      </c>
      <c r="H2332" s="11">
        <v>3080762.9325000001</v>
      </c>
      <c r="I2332" s="22">
        <f>IFERROR(VLOOKUP(D2332,'LEAID Match'!$A$2:$B$184,2,FALSE),"")</f>
        <v>3704530</v>
      </c>
    </row>
    <row r="2333" spans="1:9" x14ac:dyDescent="0.2">
      <c r="A2333">
        <f t="shared" si="36"/>
        <v>3704530</v>
      </c>
      <c r="B2333" s="24">
        <v>2021</v>
      </c>
      <c r="C2333" t="s">
        <v>533</v>
      </c>
      <c r="D2333" t="s">
        <v>840</v>
      </c>
      <c r="E2333" t="s">
        <v>840</v>
      </c>
      <c r="F2333" s="11">
        <v>182374740</v>
      </c>
      <c r="G2333" s="18">
        <v>1.4572000000000001E-3</v>
      </c>
      <c r="H2333" s="11">
        <v>3458302.8144</v>
      </c>
      <c r="I2333" s="22">
        <f>IFERROR(VLOOKUP(D2333,'LEAID Match'!$A$2:$B$184,2,FALSE),"")</f>
        <v>3704530</v>
      </c>
    </row>
    <row r="2334" spans="1:9" x14ac:dyDescent="0.2">
      <c r="A2334">
        <f t="shared" si="36"/>
        <v>3704530</v>
      </c>
      <c r="B2334" s="24">
        <v>2022</v>
      </c>
      <c r="C2334" t="s">
        <v>533</v>
      </c>
      <c r="D2334" t="s">
        <v>840</v>
      </c>
      <c r="E2334" t="s">
        <v>840</v>
      </c>
      <c r="F2334" s="11">
        <v>202170891</v>
      </c>
      <c r="G2334" s="18">
        <v>1.603E-3</v>
      </c>
      <c r="H2334" s="11">
        <v>4427399.4380000001</v>
      </c>
      <c r="I2334" s="22">
        <f>IFERROR(VLOOKUP(D2334,'LEAID Match'!$A$2:$B$184,2,FALSE),"")</f>
        <v>3704530</v>
      </c>
    </row>
    <row r="2335" spans="1:9" x14ac:dyDescent="0.2">
      <c r="A2335">
        <f t="shared" si="36"/>
        <v>3704530</v>
      </c>
      <c r="B2335" s="24">
        <v>2023</v>
      </c>
      <c r="C2335" t="s">
        <v>533</v>
      </c>
      <c r="D2335" t="s">
        <v>840</v>
      </c>
      <c r="E2335" t="s">
        <v>840</v>
      </c>
      <c r="F2335" s="11">
        <v>209068553</v>
      </c>
      <c r="G2335" s="18">
        <v>1.5731E-3</v>
      </c>
      <c r="H2335" s="11">
        <v>4774196.4707000004</v>
      </c>
      <c r="I2335" s="22">
        <f>IFERROR(VLOOKUP(D2335,'LEAID Match'!$A$2:$B$184,2,FALSE),"")</f>
        <v>3704530</v>
      </c>
    </row>
    <row r="2336" spans="1:9" x14ac:dyDescent="0.2">
      <c r="A2336">
        <f t="shared" si="36"/>
        <v>3700068</v>
      </c>
      <c r="B2336" s="24">
        <v>2015</v>
      </c>
      <c r="C2336" t="s">
        <v>534</v>
      </c>
      <c r="D2336" t="s">
        <v>841</v>
      </c>
      <c r="E2336" t="s">
        <v>480</v>
      </c>
      <c r="F2336" s="11">
        <v>10094366</v>
      </c>
      <c r="G2336" s="18">
        <v>8.8300000000000005E-5</v>
      </c>
      <c r="H2336" s="11">
        <v>111521.8404</v>
      </c>
      <c r="I2336" s="22">
        <f>IFERROR(VLOOKUP(D2336,'LEAID Match'!$A$2:$B$184,2,FALSE),"")</f>
        <v>3700068</v>
      </c>
    </row>
    <row r="2337" spans="1:9" x14ac:dyDescent="0.2">
      <c r="A2337">
        <f t="shared" si="36"/>
        <v>3700068</v>
      </c>
      <c r="B2337" s="24">
        <v>2016</v>
      </c>
      <c r="C2337" t="s">
        <v>534</v>
      </c>
      <c r="D2337" t="s">
        <v>841</v>
      </c>
      <c r="E2337" t="s">
        <v>841</v>
      </c>
      <c r="F2337" s="11">
        <v>11991597</v>
      </c>
      <c r="G2337" s="18">
        <v>1.1069999999999999E-4</v>
      </c>
      <c r="H2337" s="11">
        <v>141142.8321</v>
      </c>
      <c r="I2337" s="22">
        <f>IFERROR(VLOOKUP(D2337,'LEAID Match'!$A$2:$B$184,2,FALSE),"")</f>
        <v>3700068</v>
      </c>
    </row>
    <row r="2338" spans="1:9" x14ac:dyDescent="0.2">
      <c r="A2338">
        <f t="shared" si="36"/>
        <v>3700068</v>
      </c>
      <c r="B2338" s="24">
        <v>2017</v>
      </c>
      <c r="C2338" t="s">
        <v>534</v>
      </c>
      <c r="D2338" t="s">
        <v>841</v>
      </c>
      <c r="E2338" t="s">
        <v>841</v>
      </c>
      <c r="F2338" s="11">
        <v>14068295</v>
      </c>
      <c r="G2338" s="18">
        <v>1.261E-4</v>
      </c>
      <c r="H2338" s="11">
        <v>181734.56340000001</v>
      </c>
      <c r="I2338" s="22">
        <f>IFERROR(VLOOKUP(D2338,'LEAID Match'!$A$2:$B$184,2,FALSE),"")</f>
        <v>3700068</v>
      </c>
    </row>
    <row r="2339" spans="1:9" x14ac:dyDescent="0.2">
      <c r="A2339">
        <f t="shared" si="36"/>
        <v>3700068</v>
      </c>
      <c r="B2339" s="24">
        <v>2018</v>
      </c>
      <c r="C2339" t="s">
        <v>534</v>
      </c>
      <c r="D2339" t="s">
        <v>841</v>
      </c>
      <c r="E2339" t="s">
        <v>841</v>
      </c>
      <c r="F2339" s="11">
        <v>15981375</v>
      </c>
      <c r="G2339" s="18">
        <v>1.3750000000000001E-4</v>
      </c>
      <c r="H2339" s="11">
        <v>220398.88750000001</v>
      </c>
      <c r="I2339" s="22">
        <f>IFERROR(VLOOKUP(D2339,'LEAID Match'!$A$2:$B$184,2,FALSE),"")</f>
        <v>3700068</v>
      </c>
    </row>
    <row r="2340" spans="1:9" x14ac:dyDescent="0.2">
      <c r="A2340">
        <f t="shared" si="36"/>
        <v>3700068</v>
      </c>
      <c r="B2340" s="24">
        <v>2019</v>
      </c>
      <c r="C2340" t="s">
        <v>534</v>
      </c>
      <c r="D2340" t="s">
        <v>841</v>
      </c>
      <c r="E2340" t="s">
        <v>841</v>
      </c>
      <c r="F2340" s="11">
        <v>13360438</v>
      </c>
      <c r="G2340" s="18">
        <v>1.109E-4</v>
      </c>
      <c r="H2340" s="11">
        <v>212389.69140000001</v>
      </c>
      <c r="I2340" s="22">
        <f>IFERROR(VLOOKUP(D2340,'LEAID Match'!$A$2:$B$184,2,FALSE),"")</f>
        <v>3700068</v>
      </c>
    </row>
    <row r="2341" spans="1:9" x14ac:dyDescent="0.2">
      <c r="A2341">
        <f t="shared" si="36"/>
        <v>3700068</v>
      </c>
      <c r="B2341" s="24">
        <v>2020</v>
      </c>
      <c r="C2341" t="s">
        <v>534</v>
      </c>
      <c r="D2341" t="s">
        <v>841</v>
      </c>
      <c r="E2341" t="s">
        <v>841</v>
      </c>
      <c r="F2341" s="11">
        <v>17638324</v>
      </c>
      <c r="G2341" s="18">
        <v>1.4239999999999999E-4</v>
      </c>
      <c r="H2341" s="11">
        <v>292642.68</v>
      </c>
      <c r="I2341" s="22">
        <f>IFERROR(VLOOKUP(D2341,'LEAID Match'!$A$2:$B$184,2,FALSE),"")</f>
        <v>3700068</v>
      </c>
    </row>
    <row r="2342" spans="1:9" x14ac:dyDescent="0.2">
      <c r="A2342">
        <f t="shared" si="36"/>
        <v>3700068</v>
      </c>
      <c r="B2342" s="24">
        <v>2021</v>
      </c>
      <c r="C2342" t="s">
        <v>534</v>
      </c>
      <c r="D2342" t="s">
        <v>841</v>
      </c>
      <c r="E2342" t="s">
        <v>841</v>
      </c>
      <c r="F2342" s="11">
        <v>16643393</v>
      </c>
      <c r="G2342" s="18">
        <v>1.3300000000000001E-4</v>
      </c>
      <c r="H2342" s="11">
        <v>315642.516</v>
      </c>
      <c r="I2342" s="22">
        <f>IFERROR(VLOOKUP(D2342,'LEAID Match'!$A$2:$B$184,2,FALSE),"")</f>
        <v>3700068</v>
      </c>
    </row>
    <row r="2343" spans="1:9" x14ac:dyDescent="0.2">
      <c r="A2343">
        <f t="shared" si="36"/>
        <v>3700068</v>
      </c>
      <c r="B2343" s="24">
        <v>2022</v>
      </c>
      <c r="C2343" t="s">
        <v>534</v>
      </c>
      <c r="D2343" t="s">
        <v>841</v>
      </c>
      <c r="E2343" t="s">
        <v>841</v>
      </c>
      <c r="F2343" s="11">
        <v>22082883</v>
      </c>
      <c r="G2343" s="18">
        <v>1.751E-4</v>
      </c>
      <c r="H2343" s="11">
        <v>483616.74459999998</v>
      </c>
      <c r="I2343" s="22">
        <f>IFERROR(VLOOKUP(D2343,'LEAID Match'!$A$2:$B$184,2,FALSE),"")</f>
        <v>3700068</v>
      </c>
    </row>
    <row r="2344" spans="1:9" x14ac:dyDescent="0.2">
      <c r="A2344">
        <f t="shared" si="36"/>
        <v>3700068</v>
      </c>
      <c r="B2344" s="24">
        <v>2023</v>
      </c>
      <c r="C2344" t="s">
        <v>534</v>
      </c>
      <c r="D2344" t="s">
        <v>841</v>
      </c>
      <c r="E2344" t="s">
        <v>841</v>
      </c>
      <c r="F2344" s="11">
        <v>19523067</v>
      </c>
      <c r="G2344" s="18">
        <v>1.4689999999999999E-4</v>
      </c>
      <c r="H2344" s="11">
        <v>445826.36929999996</v>
      </c>
      <c r="I2344" s="22">
        <f>IFERROR(VLOOKUP(D2344,'LEAID Match'!$A$2:$B$184,2,FALSE),"")</f>
        <v>3700068</v>
      </c>
    </row>
    <row r="2345" spans="1:9" x14ac:dyDescent="0.2">
      <c r="A2345">
        <f t="shared" si="36"/>
        <v>3704590</v>
      </c>
      <c r="B2345" s="24">
        <v>2015</v>
      </c>
      <c r="C2345" t="s">
        <v>535</v>
      </c>
      <c r="D2345" t="s">
        <v>842</v>
      </c>
      <c r="E2345" t="s">
        <v>481</v>
      </c>
      <c r="F2345" s="11">
        <v>38035851</v>
      </c>
      <c r="G2345" s="18">
        <v>3.3260000000000001E-4</v>
      </c>
      <c r="H2345" s="11">
        <v>420069.8088</v>
      </c>
      <c r="I2345" s="22">
        <f>IFERROR(VLOOKUP(D2345,'LEAID Match'!$A$2:$B$184,2,FALSE),"")</f>
        <v>3704590</v>
      </c>
    </row>
    <row r="2346" spans="1:9" x14ac:dyDescent="0.2">
      <c r="A2346">
        <f t="shared" si="36"/>
        <v>3704590</v>
      </c>
      <c r="B2346" s="24">
        <v>2016</v>
      </c>
      <c r="C2346" t="s">
        <v>535</v>
      </c>
      <c r="D2346" t="s">
        <v>842</v>
      </c>
      <c r="E2346" t="s">
        <v>842</v>
      </c>
      <c r="F2346" s="11">
        <v>38919582</v>
      </c>
      <c r="G2346" s="18">
        <v>3.5940000000000001E-4</v>
      </c>
      <c r="H2346" s="11">
        <v>458236.07819999999</v>
      </c>
      <c r="I2346" s="22">
        <f>IFERROR(VLOOKUP(D2346,'LEAID Match'!$A$2:$B$184,2,FALSE),"")</f>
        <v>3704590</v>
      </c>
    </row>
    <row r="2347" spans="1:9" x14ac:dyDescent="0.2">
      <c r="A2347">
        <f t="shared" si="36"/>
        <v>3704590</v>
      </c>
      <c r="B2347" s="24">
        <v>2017</v>
      </c>
      <c r="C2347" t="s">
        <v>535</v>
      </c>
      <c r="D2347" t="s">
        <v>842</v>
      </c>
      <c r="E2347" t="s">
        <v>842</v>
      </c>
      <c r="F2347" s="11">
        <v>37607345</v>
      </c>
      <c r="G2347" s="18">
        <v>3.3700000000000001E-4</v>
      </c>
      <c r="H2347" s="11">
        <v>485682.37800000003</v>
      </c>
      <c r="I2347" s="22">
        <f>IFERROR(VLOOKUP(D2347,'LEAID Match'!$A$2:$B$184,2,FALSE),"")</f>
        <v>3704590</v>
      </c>
    </row>
    <row r="2348" spans="1:9" x14ac:dyDescent="0.2">
      <c r="A2348">
        <f t="shared" si="36"/>
        <v>3704590</v>
      </c>
      <c r="B2348" s="24">
        <v>2018</v>
      </c>
      <c r="C2348" t="s">
        <v>535</v>
      </c>
      <c r="D2348" t="s">
        <v>842</v>
      </c>
      <c r="E2348" t="s">
        <v>842</v>
      </c>
      <c r="F2348" s="11">
        <v>38382915</v>
      </c>
      <c r="G2348" s="18">
        <v>3.3030000000000001E-4</v>
      </c>
      <c r="H2348" s="11">
        <v>529438.20030000003</v>
      </c>
      <c r="I2348" s="22">
        <f>IFERROR(VLOOKUP(D2348,'LEAID Match'!$A$2:$B$184,2,FALSE),"")</f>
        <v>3704590</v>
      </c>
    </row>
    <row r="2349" spans="1:9" x14ac:dyDescent="0.2">
      <c r="A2349">
        <f t="shared" si="36"/>
        <v>3704590</v>
      </c>
      <c r="B2349" s="24">
        <v>2019</v>
      </c>
      <c r="C2349" t="s">
        <v>535</v>
      </c>
      <c r="D2349" t="s">
        <v>842</v>
      </c>
      <c r="E2349" t="s">
        <v>842</v>
      </c>
      <c r="F2349" s="11">
        <v>40109140</v>
      </c>
      <c r="G2349" s="18">
        <v>3.3290000000000001E-4</v>
      </c>
      <c r="H2349" s="11">
        <v>637552.10340000002</v>
      </c>
      <c r="I2349" s="22">
        <f>IFERROR(VLOOKUP(D2349,'LEAID Match'!$A$2:$B$184,2,FALSE),"")</f>
        <v>3704590</v>
      </c>
    </row>
    <row r="2350" spans="1:9" x14ac:dyDescent="0.2">
      <c r="A2350">
        <f t="shared" si="36"/>
        <v>3704590</v>
      </c>
      <c r="B2350" s="24">
        <v>2020</v>
      </c>
      <c r="C2350" t="s">
        <v>535</v>
      </c>
      <c r="D2350" t="s">
        <v>842</v>
      </c>
      <c r="E2350" t="s">
        <v>842</v>
      </c>
      <c r="F2350" s="11">
        <v>41818299</v>
      </c>
      <c r="G2350" s="18">
        <v>3.3760000000000002E-4</v>
      </c>
      <c r="H2350" s="11">
        <v>693793.32000000007</v>
      </c>
      <c r="I2350" s="22">
        <f>IFERROR(VLOOKUP(D2350,'LEAID Match'!$A$2:$B$184,2,FALSE),"")</f>
        <v>3704590</v>
      </c>
    </row>
    <row r="2351" spans="1:9" x14ac:dyDescent="0.2">
      <c r="A2351">
        <f t="shared" si="36"/>
        <v>3704590</v>
      </c>
      <c r="B2351" s="24">
        <v>2021</v>
      </c>
      <c r="C2351" t="s">
        <v>535</v>
      </c>
      <c r="D2351" t="s">
        <v>842</v>
      </c>
      <c r="E2351" t="s">
        <v>842</v>
      </c>
      <c r="F2351" s="11">
        <v>42686069</v>
      </c>
      <c r="G2351" s="18">
        <v>3.411E-4</v>
      </c>
      <c r="H2351" s="11">
        <v>809516.25719999999</v>
      </c>
      <c r="I2351" s="22">
        <f>IFERROR(VLOOKUP(D2351,'LEAID Match'!$A$2:$B$184,2,FALSE),"")</f>
        <v>3704590</v>
      </c>
    </row>
    <row r="2352" spans="1:9" x14ac:dyDescent="0.2">
      <c r="A2352">
        <f t="shared" si="36"/>
        <v>3704590</v>
      </c>
      <c r="B2352" s="24">
        <v>2022</v>
      </c>
      <c r="C2352" t="s">
        <v>535</v>
      </c>
      <c r="D2352" t="s">
        <v>842</v>
      </c>
      <c r="E2352" t="s">
        <v>842</v>
      </c>
      <c r="F2352" s="11">
        <v>44107305</v>
      </c>
      <c r="G2352" s="18">
        <v>3.4969999999999999E-4</v>
      </c>
      <c r="H2352" s="11">
        <v>965852.51619999995</v>
      </c>
      <c r="I2352" s="22">
        <f>IFERROR(VLOOKUP(D2352,'LEAID Match'!$A$2:$B$184,2,FALSE),"")</f>
        <v>3704590</v>
      </c>
    </row>
    <row r="2353" spans="1:9" x14ac:dyDescent="0.2">
      <c r="A2353">
        <f t="shared" si="36"/>
        <v>3704590</v>
      </c>
      <c r="B2353" s="24">
        <v>2023</v>
      </c>
      <c r="C2353" t="s">
        <v>535</v>
      </c>
      <c r="D2353" t="s">
        <v>842</v>
      </c>
      <c r="E2353" t="s">
        <v>842</v>
      </c>
      <c r="F2353" s="11">
        <v>43205322</v>
      </c>
      <c r="G2353" s="18">
        <v>3.2509999999999999E-4</v>
      </c>
      <c r="H2353" s="11">
        <v>986645.01469999994</v>
      </c>
      <c r="I2353" s="22">
        <f>IFERROR(VLOOKUP(D2353,'LEAID Match'!$A$2:$B$184,2,FALSE),"")</f>
        <v>3704590</v>
      </c>
    </row>
    <row r="2354" spans="1:9" x14ac:dyDescent="0.2">
      <c r="A2354">
        <f t="shared" si="36"/>
        <v>3704620</v>
      </c>
      <c r="B2354" s="24">
        <v>2015</v>
      </c>
      <c r="C2354" t="s">
        <v>536</v>
      </c>
      <c r="D2354" t="s">
        <v>843</v>
      </c>
      <c r="E2354" t="s">
        <v>482</v>
      </c>
      <c r="F2354" s="11">
        <v>1799122514</v>
      </c>
      <c r="G2354" s="18">
        <v>1.5730299999999999E-2</v>
      </c>
      <c r="H2354" s="11">
        <v>19867180.136399999</v>
      </c>
      <c r="I2354" s="22">
        <f>IFERROR(VLOOKUP(D2354,'LEAID Match'!$A$2:$B$184,2,FALSE),"")</f>
        <v>3704620</v>
      </c>
    </row>
    <row r="2355" spans="1:9" x14ac:dyDescent="0.2">
      <c r="A2355">
        <f t="shared" si="36"/>
        <v>3704620</v>
      </c>
      <c r="B2355" s="24">
        <v>2016</v>
      </c>
      <c r="C2355" t="s">
        <v>536</v>
      </c>
      <c r="D2355" t="s">
        <v>843</v>
      </c>
      <c r="E2355" t="s">
        <v>843</v>
      </c>
      <c r="F2355" s="11">
        <v>1714268848</v>
      </c>
      <c r="G2355" s="18">
        <v>1.5830199999999999E-2</v>
      </c>
      <c r="H2355" s="11">
        <v>20183552.490599997</v>
      </c>
      <c r="I2355" s="22">
        <f>IFERROR(VLOOKUP(D2355,'LEAID Match'!$A$2:$B$184,2,FALSE),"")</f>
        <v>3704620</v>
      </c>
    </row>
    <row r="2356" spans="1:9" x14ac:dyDescent="0.2">
      <c r="A2356">
        <f t="shared" si="36"/>
        <v>3704620</v>
      </c>
      <c r="B2356" s="24">
        <v>2017</v>
      </c>
      <c r="C2356" t="s">
        <v>536</v>
      </c>
      <c r="D2356" t="s">
        <v>843</v>
      </c>
      <c r="E2356" t="s">
        <v>843</v>
      </c>
      <c r="F2356" s="11">
        <v>1780858105</v>
      </c>
      <c r="G2356" s="18">
        <v>1.5960100000000001E-2</v>
      </c>
      <c r="H2356" s="11">
        <v>23001600.3594</v>
      </c>
      <c r="I2356" s="22">
        <f>IFERROR(VLOOKUP(D2356,'LEAID Match'!$A$2:$B$184,2,FALSE),"")</f>
        <v>3704620</v>
      </c>
    </row>
    <row r="2357" spans="1:9" x14ac:dyDescent="0.2">
      <c r="A2357">
        <f t="shared" si="36"/>
        <v>3704620</v>
      </c>
      <c r="B2357" s="24">
        <v>2018</v>
      </c>
      <c r="C2357" t="s">
        <v>536</v>
      </c>
      <c r="D2357" t="s">
        <v>843</v>
      </c>
      <c r="E2357" t="s">
        <v>843</v>
      </c>
      <c r="F2357" s="11">
        <v>1808613489</v>
      </c>
      <c r="G2357" s="18">
        <v>1.55636E-2</v>
      </c>
      <c r="H2357" s="11">
        <v>24946910.003600001</v>
      </c>
      <c r="I2357" s="22">
        <f>IFERROR(VLOOKUP(D2357,'LEAID Match'!$A$2:$B$184,2,FALSE),"")</f>
        <v>3704620</v>
      </c>
    </row>
    <row r="2358" spans="1:9" x14ac:dyDescent="0.2">
      <c r="A2358">
        <f t="shared" si="36"/>
        <v>3704620</v>
      </c>
      <c r="B2358" s="24">
        <v>2019</v>
      </c>
      <c r="C2358" t="s">
        <v>536</v>
      </c>
      <c r="D2358" t="s">
        <v>843</v>
      </c>
      <c r="E2358" t="s">
        <v>843</v>
      </c>
      <c r="F2358" s="11">
        <v>1906241231</v>
      </c>
      <c r="G2358" s="18">
        <v>1.58218E-2</v>
      </c>
      <c r="H2358" s="11">
        <v>30301056.982799999</v>
      </c>
      <c r="I2358" s="22">
        <f>IFERROR(VLOOKUP(D2358,'LEAID Match'!$A$2:$B$184,2,FALSE),"")</f>
        <v>3704620</v>
      </c>
    </row>
    <row r="2359" spans="1:9" x14ac:dyDescent="0.2">
      <c r="A2359">
        <f t="shared" si="36"/>
        <v>3704620</v>
      </c>
      <c r="B2359" s="24">
        <v>2020</v>
      </c>
      <c r="C2359" t="s">
        <v>536</v>
      </c>
      <c r="D2359" t="s">
        <v>843</v>
      </c>
      <c r="E2359" t="s">
        <v>843</v>
      </c>
      <c r="F2359" s="11">
        <v>1965373379</v>
      </c>
      <c r="G2359" s="18">
        <v>1.58662E-2</v>
      </c>
      <c r="H2359" s="11">
        <v>32606230.965</v>
      </c>
      <c r="I2359" s="22">
        <f>IFERROR(VLOOKUP(D2359,'LEAID Match'!$A$2:$B$184,2,FALSE),"")</f>
        <v>3704620</v>
      </c>
    </row>
    <row r="2360" spans="1:9" x14ac:dyDescent="0.2">
      <c r="A2360">
        <f t="shared" si="36"/>
        <v>3704620</v>
      </c>
      <c r="B2360" s="24">
        <v>2021</v>
      </c>
      <c r="C2360" t="s">
        <v>536</v>
      </c>
      <c r="D2360" t="s">
        <v>843</v>
      </c>
      <c r="E2360" t="s">
        <v>843</v>
      </c>
      <c r="F2360" s="11">
        <v>1834227004</v>
      </c>
      <c r="G2360" s="18">
        <v>1.4656199999999999E-2</v>
      </c>
      <c r="H2360" s="11">
        <v>34782855.962399997</v>
      </c>
      <c r="I2360" s="22">
        <f>IFERROR(VLOOKUP(D2360,'LEAID Match'!$A$2:$B$184,2,FALSE),"")</f>
        <v>3704620</v>
      </c>
    </row>
    <row r="2361" spans="1:9" x14ac:dyDescent="0.2">
      <c r="A2361">
        <f t="shared" si="36"/>
        <v>3704620</v>
      </c>
      <c r="B2361" s="24">
        <v>2022</v>
      </c>
      <c r="C2361" t="s">
        <v>536</v>
      </c>
      <c r="D2361" t="s">
        <v>843</v>
      </c>
      <c r="E2361" t="s">
        <v>843</v>
      </c>
      <c r="F2361" s="11">
        <v>1931630676</v>
      </c>
      <c r="G2361" s="18">
        <v>1.53159E-2</v>
      </c>
      <c r="H2361" s="11">
        <v>42301688.741400003</v>
      </c>
      <c r="I2361" s="22">
        <f>IFERROR(VLOOKUP(D2361,'LEAID Match'!$A$2:$B$184,2,FALSE),"")</f>
        <v>3704620</v>
      </c>
    </row>
    <row r="2362" spans="1:9" x14ac:dyDescent="0.2">
      <c r="A2362">
        <f t="shared" si="36"/>
        <v>3704620</v>
      </c>
      <c r="B2362" s="24">
        <v>2023</v>
      </c>
      <c r="C2362" t="s">
        <v>536</v>
      </c>
      <c r="D2362" t="s">
        <v>843</v>
      </c>
      <c r="E2362" t="s">
        <v>843</v>
      </c>
      <c r="F2362" s="11">
        <v>2037523903</v>
      </c>
      <c r="G2362" s="18">
        <v>1.53309E-2</v>
      </c>
      <c r="H2362" s="11">
        <v>46527702.417300001</v>
      </c>
      <c r="I2362" s="22">
        <f>IFERROR(VLOOKUP(D2362,'LEAID Match'!$A$2:$B$184,2,FALSE),"")</f>
        <v>3704620</v>
      </c>
    </row>
    <row r="2363" spans="1:9" x14ac:dyDescent="0.2">
      <c r="A2363">
        <f t="shared" si="36"/>
        <v>3704650</v>
      </c>
      <c r="B2363" s="24">
        <v>2015</v>
      </c>
      <c r="C2363" t="s">
        <v>537</v>
      </c>
      <c r="D2363" t="s">
        <v>844</v>
      </c>
      <c r="E2363" t="s">
        <v>483</v>
      </c>
      <c r="F2363" s="11">
        <v>286249074</v>
      </c>
      <c r="G2363" s="18">
        <v>2.5027999999999999E-3</v>
      </c>
      <c r="H2363" s="11">
        <v>3161006.3663999997</v>
      </c>
      <c r="I2363" s="22">
        <f>IFERROR(VLOOKUP(D2363,'LEAID Match'!$A$2:$B$184,2,FALSE),"")</f>
        <v>3704650</v>
      </c>
    </row>
    <row r="2364" spans="1:9" x14ac:dyDescent="0.2">
      <c r="A2364">
        <f t="shared" si="36"/>
        <v>3704650</v>
      </c>
      <c r="B2364" s="24">
        <v>2016</v>
      </c>
      <c r="C2364" t="s">
        <v>537</v>
      </c>
      <c r="D2364" t="s">
        <v>844</v>
      </c>
      <c r="E2364" t="s">
        <v>844</v>
      </c>
      <c r="F2364" s="11">
        <v>266657559</v>
      </c>
      <c r="G2364" s="18">
        <v>2.4624E-3</v>
      </c>
      <c r="H2364" s="11">
        <v>3139567.3872000002</v>
      </c>
      <c r="I2364" s="22">
        <f>IFERROR(VLOOKUP(D2364,'LEAID Match'!$A$2:$B$184,2,FALSE),"")</f>
        <v>3704650</v>
      </c>
    </row>
    <row r="2365" spans="1:9" x14ac:dyDescent="0.2">
      <c r="A2365">
        <f t="shared" si="36"/>
        <v>3704650</v>
      </c>
      <c r="B2365" s="24">
        <v>2017</v>
      </c>
      <c r="C2365" t="s">
        <v>537</v>
      </c>
      <c r="D2365" t="s">
        <v>844</v>
      </c>
      <c r="E2365" t="s">
        <v>844</v>
      </c>
      <c r="F2365" s="11">
        <v>262064743</v>
      </c>
      <c r="G2365" s="18">
        <v>2.3486000000000002E-3</v>
      </c>
      <c r="H2365" s="11">
        <v>3384788.2284000004</v>
      </c>
      <c r="I2365" s="22">
        <f>IFERROR(VLOOKUP(D2365,'LEAID Match'!$A$2:$B$184,2,FALSE),"")</f>
        <v>3704650</v>
      </c>
    </row>
    <row r="2366" spans="1:9" x14ac:dyDescent="0.2">
      <c r="A2366">
        <f t="shared" si="36"/>
        <v>3704650</v>
      </c>
      <c r="B2366" s="24">
        <v>2018</v>
      </c>
      <c r="C2366" t="s">
        <v>537</v>
      </c>
      <c r="D2366" t="s">
        <v>844</v>
      </c>
      <c r="E2366" t="s">
        <v>844</v>
      </c>
      <c r="F2366" s="11">
        <v>255009241</v>
      </c>
      <c r="G2366" s="18">
        <v>2.1944E-3</v>
      </c>
      <c r="H2366" s="11">
        <v>3517405.9544000002</v>
      </c>
      <c r="I2366" s="22">
        <f>IFERROR(VLOOKUP(D2366,'LEAID Match'!$A$2:$B$184,2,FALSE),"")</f>
        <v>3704650</v>
      </c>
    </row>
    <row r="2367" spans="1:9" x14ac:dyDescent="0.2">
      <c r="A2367">
        <f t="shared" si="36"/>
        <v>3704650</v>
      </c>
      <c r="B2367" s="24">
        <v>2019</v>
      </c>
      <c r="C2367" t="s">
        <v>537</v>
      </c>
      <c r="D2367" t="s">
        <v>844</v>
      </c>
      <c r="E2367" t="s">
        <v>844</v>
      </c>
      <c r="F2367" s="11">
        <v>248446603</v>
      </c>
      <c r="G2367" s="18">
        <v>2.0620999999999999E-3</v>
      </c>
      <c r="H2367" s="11">
        <v>3949222.5665999996</v>
      </c>
      <c r="I2367" s="22">
        <f>IFERROR(VLOOKUP(D2367,'LEAID Match'!$A$2:$B$184,2,FALSE),"")</f>
        <v>3704650</v>
      </c>
    </row>
    <row r="2368" spans="1:9" x14ac:dyDescent="0.2">
      <c r="A2368">
        <f t="shared" si="36"/>
        <v>3704650</v>
      </c>
      <c r="B2368" s="24">
        <v>2020</v>
      </c>
      <c r="C2368" t="s">
        <v>537</v>
      </c>
      <c r="D2368" t="s">
        <v>844</v>
      </c>
      <c r="E2368" t="s">
        <v>844</v>
      </c>
      <c r="F2368" s="11">
        <v>236431829</v>
      </c>
      <c r="G2368" s="18">
        <v>1.9086999999999999E-3</v>
      </c>
      <c r="H2368" s="11">
        <v>3922521.6524999999</v>
      </c>
      <c r="I2368" s="22">
        <f>IFERROR(VLOOKUP(D2368,'LEAID Match'!$A$2:$B$184,2,FALSE),"")</f>
        <v>3704650</v>
      </c>
    </row>
    <row r="2369" spans="1:9" x14ac:dyDescent="0.2">
      <c r="A2369">
        <f t="shared" si="36"/>
        <v>3704650</v>
      </c>
      <c r="B2369" s="24">
        <v>2021</v>
      </c>
      <c r="C2369" t="s">
        <v>537</v>
      </c>
      <c r="D2369" t="s">
        <v>844</v>
      </c>
      <c r="E2369" t="s">
        <v>844</v>
      </c>
      <c r="F2369" s="11">
        <v>216251279</v>
      </c>
      <c r="G2369" s="18">
        <v>1.7279000000000001E-3</v>
      </c>
      <c r="H2369" s="11">
        <v>4100742.1308000004</v>
      </c>
      <c r="I2369" s="22">
        <f>IFERROR(VLOOKUP(D2369,'LEAID Match'!$A$2:$B$184,2,FALSE),"")</f>
        <v>3704650</v>
      </c>
    </row>
    <row r="2370" spans="1:9" x14ac:dyDescent="0.2">
      <c r="A2370">
        <f t="shared" si="36"/>
        <v>3704650</v>
      </c>
      <c r="B2370" s="24">
        <v>2022</v>
      </c>
      <c r="C2370" t="s">
        <v>537</v>
      </c>
      <c r="D2370" t="s">
        <v>844</v>
      </c>
      <c r="E2370" t="s">
        <v>844</v>
      </c>
      <c r="F2370" s="11">
        <v>217113071</v>
      </c>
      <c r="G2370" s="18">
        <v>1.7214999999999999E-3</v>
      </c>
      <c r="H2370" s="11">
        <v>4754690.0389999999</v>
      </c>
      <c r="I2370" s="22">
        <f>IFERROR(VLOOKUP(D2370,'LEAID Match'!$A$2:$B$184,2,FALSE),"")</f>
        <v>3704650</v>
      </c>
    </row>
    <row r="2371" spans="1:9" x14ac:dyDescent="0.2">
      <c r="A2371">
        <f t="shared" ref="A2371:A2434" si="37">I2371</f>
        <v>3704650</v>
      </c>
      <c r="B2371" s="24">
        <v>2023</v>
      </c>
      <c r="C2371" t="s">
        <v>537</v>
      </c>
      <c r="D2371" t="s">
        <v>844</v>
      </c>
      <c r="E2371" t="s">
        <v>844</v>
      </c>
      <c r="F2371" s="11">
        <v>240767494</v>
      </c>
      <c r="G2371" s="18">
        <v>1.8116E-3</v>
      </c>
      <c r="H2371" s="11">
        <v>5498019.4051999999</v>
      </c>
      <c r="I2371" s="22">
        <f>IFERROR(VLOOKUP(D2371,'LEAID Match'!$A$2:$B$184,2,FALSE),"")</f>
        <v>3704650</v>
      </c>
    </row>
    <row r="2372" spans="1:9" x14ac:dyDescent="0.2">
      <c r="A2372">
        <f t="shared" si="37"/>
        <v>3700096</v>
      </c>
      <c r="B2372" s="24">
        <v>2015</v>
      </c>
      <c r="C2372" t="s">
        <v>538</v>
      </c>
      <c r="D2372" t="s">
        <v>845</v>
      </c>
      <c r="E2372" t="s">
        <v>484</v>
      </c>
      <c r="F2372" s="11">
        <v>20014831</v>
      </c>
      <c r="G2372" s="18">
        <v>1.75E-4</v>
      </c>
      <c r="H2372" s="11">
        <v>221022.9</v>
      </c>
      <c r="I2372" s="22">
        <f>IFERROR(VLOOKUP(D2372,'LEAID Match'!$A$2:$B$184,2,FALSE),"")</f>
        <v>3700096</v>
      </c>
    </row>
    <row r="2373" spans="1:9" x14ac:dyDescent="0.2">
      <c r="A2373">
        <f t="shared" si="37"/>
        <v>3700096</v>
      </c>
      <c r="B2373" s="24">
        <v>2016</v>
      </c>
      <c r="C2373" t="s">
        <v>538</v>
      </c>
      <c r="D2373" t="s">
        <v>845</v>
      </c>
      <c r="E2373" t="s">
        <v>845</v>
      </c>
      <c r="F2373" s="11">
        <v>19020626</v>
      </c>
      <c r="G2373" s="18">
        <v>1.7560000000000001E-4</v>
      </c>
      <c r="H2373" s="11">
        <v>223890.52680000002</v>
      </c>
      <c r="I2373" s="22">
        <f>IFERROR(VLOOKUP(D2373,'LEAID Match'!$A$2:$B$184,2,FALSE),"")</f>
        <v>3700096</v>
      </c>
    </row>
    <row r="2374" spans="1:9" x14ac:dyDescent="0.2">
      <c r="A2374">
        <f t="shared" si="37"/>
        <v>3700096</v>
      </c>
      <c r="B2374" s="24">
        <v>2017</v>
      </c>
      <c r="C2374" t="s">
        <v>538</v>
      </c>
      <c r="D2374" t="s">
        <v>845</v>
      </c>
      <c r="E2374" t="s">
        <v>845</v>
      </c>
      <c r="F2374" s="11">
        <v>21851133</v>
      </c>
      <c r="G2374" s="18">
        <v>1.9579999999999999E-4</v>
      </c>
      <c r="H2374" s="11">
        <v>282185.78519999998</v>
      </c>
      <c r="I2374" s="22">
        <f>IFERROR(VLOOKUP(D2374,'LEAID Match'!$A$2:$B$184,2,FALSE),"")</f>
        <v>3700096</v>
      </c>
    </row>
    <row r="2375" spans="1:9" x14ac:dyDescent="0.2">
      <c r="A2375">
        <f t="shared" si="37"/>
        <v>3700096</v>
      </c>
      <c r="B2375" s="24">
        <v>2018</v>
      </c>
      <c r="C2375" t="s">
        <v>538</v>
      </c>
      <c r="D2375" t="s">
        <v>845</v>
      </c>
      <c r="E2375" t="s">
        <v>845</v>
      </c>
      <c r="F2375" s="11">
        <v>26717085</v>
      </c>
      <c r="G2375" s="18">
        <v>2.299E-4</v>
      </c>
      <c r="H2375" s="11">
        <v>368506.9399</v>
      </c>
      <c r="I2375" s="22">
        <f>IFERROR(VLOOKUP(D2375,'LEAID Match'!$A$2:$B$184,2,FALSE),"")</f>
        <v>3700096</v>
      </c>
    </row>
    <row r="2376" spans="1:9" x14ac:dyDescent="0.2">
      <c r="A2376">
        <f t="shared" si="37"/>
        <v>3700096</v>
      </c>
      <c r="B2376" s="24">
        <v>2019</v>
      </c>
      <c r="C2376" t="s">
        <v>538</v>
      </c>
      <c r="D2376" t="s">
        <v>845</v>
      </c>
      <c r="E2376" t="s">
        <v>845</v>
      </c>
      <c r="F2376" s="11">
        <v>30582136</v>
      </c>
      <c r="G2376" s="18">
        <v>2.5379999999999999E-4</v>
      </c>
      <c r="H2376" s="11">
        <v>486064.05479999998</v>
      </c>
      <c r="I2376" s="22">
        <f>IFERROR(VLOOKUP(D2376,'LEAID Match'!$A$2:$B$184,2,FALSE),"")</f>
        <v>3700096</v>
      </c>
    </row>
    <row r="2377" spans="1:9" x14ac:dyDescent="0.2">
      <c r="A2377">
        <f t="shared" si="37"/>
        <v>3700096</v>
      </c>
      <c r="B2377" s="24">
        <v>2020</v>
      </c>
      <c r="C2377" t="s">
        <v>538</v>
      </c>
      <c r="D2377" t="s">
        <v>845</v>
      </c>
      <c r="E2377" t="s">
        <v>845</v>
      </c>
      <c r="F2377" s="11">
        <v>33918541</v>
      </c>
      <c r="G2377" s="18">
        <v>2.7379999999999999E-4</v>
      </c>
      <c r="H2377" s="11">
        <v>562679.53499999992</v>
      </c>
      <c r="I2377" s="22">
        <f>IFERROR(VLOOKUP(D2377,'LEAID Match'!$A$2:$B$184,2,FALSE),"")</f>
        <v>3700096</v>
      </c>
    </row>
    <row r="2378" spans="1:9" x14ac:dyDescent="0.2">
      <c r="A2378">
        <f t="shared" si="37"/>
        <v>3700096</v>
      </c>
      <c r="B2378" s="24">
        <v>2021</v>
      </c>
      <c r="C2378" t="s">
        <v>538</v>
      </c>
      <c r="D2378" t="s">
        <v>845</v>
      </c>
      <c r="E2378" t="s">
        <v>845</v>
      </c>
      <c r="F2378" s="11">
        <v>35671629</v>
      </c>
      <c r="G2378" s="18">
        <v>2.8499999999999999E-4</v>
      </c>
      <c r="H2378" s="11">
        <v>676376.82</v>
      </c>
      <c r="I2378" s="22">
        <f>IFERROR(VLOOKUP(D2378,'LEAID Match'!$A$2:$B$184,2,FALSE),"")</f>
        <v>3700096</v>
      </c>
    </row>
    <row r="2379" spans="1:9" x14ac:dyDescent="0.2">
      <c r="A2379">
        <f t="shared" si="37"/>
        <v>3700096</v>
      </c>
      <c r="B2379" s="24">
        <v>2022</v>
      </c>
      <c r="C2379" t="s">
        <v>538</v>
      </c>
      <c r="D2379" t="s">
        <v>845</v>
      </c>
      <c r="E2379" t="s">
        <v>845</v>
      </c>
      <c r="F2379" s="11">
        <v>35373218</v>
      </c>
      <c r="G2379" s="18">
        <v>2.8049999999999999E-4</v>
      </c>
      <c r="H2379" s="11">
        <v>774725.853</v>
      </c>
      <c r="I2379" s="22">
        <f>IFERROR(VLOOKUP(D2379,'LEAID Match'!$A$2:$B$184,2,FALSE),"")</f>
        <v>3700096</v>
      </c>
    </row>
    <row r="2380" spans="1:9" x14ac:dyDescent="0.2">
      <c r="A2380">
        <f t="shared" si="37"/>
        <v>3700096</v>
      </c>
      <c r="B2380" s="24">
        <v>2023</v>
      </c>
      <c r="C2380" t="s">
        <v>538</v>
      </c>
      <c r="D2380" t="s">
        <v>845</v>
      </c>
      <c r="E2380" t="s">
        <v>845</v>
      </c>
      <c r="F2380" s="11">
        <v>37576979</v>
      </c>
      <c r="G2380" s="18">
        <v>2.8269999999999999E-4</v>
      </c>
      <c r="H2380" s="11">
        <v>857965.38189999992</v>
      </c>
      <c r="I2380" s="22">
        <f>IFERROR(VLOOKUP(D2380,'LEAID Match'!$A$2:$B$184,2,FALSE),"")</f>
        <v>3700096</v>
      </c>
    </row>
    <row r="2381" spans="1:9" x14ac:dyDescent="0.2">
      <c r="A2381" t="str">
        <f t="shared" si="37"/>
        <v/>
      </c>
      <c r="B2381" s="24">
        <v>2015</v>
      </c>
      <c r="C2381" t="s">
        <v>539</v>
      </c>
      <c r="D2381" t="s">
        <v>846</v>
      </c>
      <c r="E2381" t="s">
        <v>485</v>
      </c>
      <c r="F2381" s="11">
        <v>118655243</v>
      </c>
      <c r="G2381" s="18">
        <v>1.0374E-3</v>
      </c>
      <c r="H2381" s="11">
        <v>1310223.7512000001</v>
      </c>
      <c r="I2381" s="22" t="str">
        <f>IFERROR(VLOOKUP(D2381,'LEAID Match'!$A$2:$B$184,2,FALSE),"")</f>
        <v/>
      </c>
    </row>
    <row r="2382" spans="1:9" x14ac:dyDescent="0.2">
      <c r="A2382" t="str">
        <f t="shared" si="37"/>
        <v/>
      </c>
      <c r="B2382" s="24">
        <v>2016</v>
      </c>
      <c r="C2382" t="s">
        <v>539</v>
      </c>
      <c r="D2382" t="s">
        <v>846</v>
      </c>
      <c r="E2382" t="s">
        <v>846</v>
      </c>
      <c r="F2382" s="11">
        <v>109317798</v>
      </c>
      <c r="G2382" s="18">
        <v>1.0095E-3</v>
      </c>
      <c r="H2382" s="11">
        <v>1287115.5285</v>
      </c>
      <c r="I2382" s="22" t="str">
        <f>IFERROR(VLOOKUP(D2382,'LEAID Match'!$A$2:$B$184,2,FALSE),"")</f>
        <v/>
      </c>
    </row>
    <row r="2383" spans="1:9" x14ac:dyDescent="0.2">
      <c r="A2383" t="str">
        <f t="shared" si="37"/>
        <v/>
      </c>
      <c r="B2383" s="24">
        <v>2017</v>
      </c>
      <c r="C2383" t="s">
        <v>539</v>
      </c>
      <c r="D2383" t="s">
        <v>846</v>
      </c>
      <c r="E2383" t="s">
        <v>846</v>
      </c>
      <c r="F2383" s="11">
        <v>108255672</v>
      </c>
      <c r="G2383" s="18">
        <v>9.7019999999999995E-4</v>
      </c>
      <c r="H2383" s="11">
        <v>1398246.4187999999</v>
      </c>
      <c r="I2383" s="22" t="str">
        <f>IFERROR(VLOOKUP(D2383,'LEAID Match'!$A$2:$B$184,2,FALSE),"")</f>
        <v/>
      </c>
    </row>
    <row r="2384" spans="1:9" x14ac:dyDescent="0.2">
      <c r="A2384" t="str">
        <f t="shared" si="37"/>
        <v/>
      </c>
      <c r="B2384" s="24">
        <v>2018</v>
      </c>
      <c r="C2384" t="s">
        <v>539</v>
      </c>
      <c r="D2384" t="s">
        <v>846</v>
      </c>
      <c r="E2384" t="s">
        <v>846</v>
      </c>
      <c r="F2384" s="11">
        <v>100037734</v>
      </c>
      <c r="G2384" s="18">
        <v>8.6089999999999995E-4</v>
      </c>
      <c r="H2384" s="11">
        <v>1379937.4708999998</v>
      </c>
      <c r="I2384" s="22" t="str">
        <f>IFERROR(VLOOKUP(D2384,'LEAID Match'!$A$2:$B$184,2,FALSE),"")</f>
        <v/>
      </c>
    </row>
    <row r="2385" spans="1:9" x14ac:dyDescent="0.2">
      <c r="A2385" t="str">
        <f t="shared" si="37"/>
        <v/>
      </c>
      <c r="B2385" s="24">
        <v>2019</v>
      </c>
      <c r="C2385" t="s">
        <v>539</v>
      </c>
      <c r="D2385" t="s">
        <v>846</v>
      </c>
      <c r="E2385" t="s">
        <v>846</v>
      </c>
      <c r="F2385" s="11">
        <v>88598724</v>
      </c>
      <c r="G2385" s="18">
        <v>7.3539999999999999E-4</v>
      </c>
      <c r="H2385" s="11">
        <v>1408398.3684</v>
      </c>
      <c r="I2385" s="22" t="str">
        <f>IFERROR(VLOOKUP(D2385,'LEAID Match'!$A$2:$B$184,2,FALSE),"")</f>
        <v/>
      </c>
    </row>
    <row r="2386" spans="1:9" x14ac:dyDescent="0.2">
      <c r="A2386" t="str">
        <f t="shared" si="37"/>
        <v/>
      </c>
      <c r="B2386" s="24">
        <v>2020</v>
      </c>
      <c r="C2386" t="s">
        <v>539</v>
      </c>
      <c r="D2386" t="s">
        <v>846</v>
      </c>
      <c r="E2386" t="s">
        <v>846</v>
      </c>
      <c r="F2386" s="11">
        <v>90561283</v>
      </c>
      <c r="G2386" s="18">
        <v>7.3110000000000004E-4</v>
      </c>
      <c r="H2386" s="11">
        <v>1502465.3325</v>
      </c>
      <c r="I2386" s="22" t="str">
        <f>IFERROR(VLOOKUP(D2386,'LEAID Match'!$A$2:$B$184,2,FALSE),"")</f>
        <v/>
      </c>
    </row>
    <row r="2387" spans="1:9" x14ac:dyDescent="0.2">
      <c r="A2387" t="str">
        <f t="shared" si="37"/>
        <v/>
      </c>
      <c r="B2387" s="24">
        <v>2021</v>
      </c>
      <c r="C2387" t="s">
        <v>539</v>
      </c>
      <c r="D2387" t="s">
        <v>846</v>
      </c>
      <c r="E2387" t="s">
        <v>846</v>
      </c>
      <c r="F2387" s="11">
        <v>90639170</v>
      </c>
      <c r="G2387" s="18">
        <v>7.2420000000000004E-4</v>
      </c>
      <c r="H2387" s="11">
        <v>1718709.0984</v>
      </c>
      <c r="I2387" s="22" t="str">
        <f>IFERROR(VLOOKUP(D2387,'LEAID Match'!$A$2:$B$184,2,FALSE),"")</f>
        <v/>
      </c>
    </row>
    <row r="2388" spans="1:9" x14ac:dyDescent="0.2">
      <c r="A2388" t="str">
        <f t="shared" si="37"/>
        <v/>
      </c>
      <c r="B2388" s="24">
        <v>2022</v>
      </c>
      <c r="C2388" t="s">
        <v>539</v>
      </c>
      <c r="D2388" t="s">
        <v>846</v>
      </c>
      <c r="E2388" t="s">
        <v>846</v>
      </c>
      <c r="F2388" s="11">
        <v>82149616</v>
      </c>
      <c r="G2388" s="18">
        <v>6.514E-4</v>
      </c>
      <c r="H2388" s="11">
        <v>1799131.6244000001</v>
      </c>
      <c r="I2388" s="22" t="str">
        <f>IFERROR(VLOOKUP(D2388,'LEAID Match'!$A$2:$B$184,2,FALSE),"")</f>
        <v/>
      </c>
    </row>
    <row r="2389" spans="1:9" x14ac:dyDescent="0.2">
      <c r="A2389" t="str">
        <f t="shared" si="37"/>
        <v/>
      </c>
      <c r="B2389" s="24">
        <v>2023</v>
      </c>
      <c r="C2389" t="s">
        <v>539</v>
      </c>
      <c r="D2389" t="s">
        <v>846</v>
      </c>
      <c r="E2389" t="s">
        <v>846</v>
      </c>
      <c r="F2389" s="11">
        <v>88760286</v>
      </c>
      <c r="G2389" s="18">
        <v>6.6790000000000003E-4</v>
      </c>
      <c r="H2389" s="11">
        <v>2027007.7063000002</v>
      </c>
      <c r="I2389" s="22" t="str">
        <f>IFERROR(VLOOKUP(D2389,'LEAID Match'!$A$2:$B$184,2,FALSE),"")</f>
        <v/>
      </c>
    </row>
    <row r="2390" spans="1:9" x14ac:dyDescent="0.2">
      <c r="A2390">
        <f t="shared" si="37"/>
        <v>3704720</v>
      </c>
      <c r="B2390" s="24">
        <v>2015</v>
      </c>
      <c r="C2390" t="s">
        <v>540</v>
      </c>
      <c r="D2390" t="s">
        <v>847</v>
      </c>
      <c r="E2390" t="s">
        <v>486</v>
      </c>
      <c r="F2390" s="11">
        <v>7045570845</v>
      </c>
      <c r="G2390" s="18">
        <v>6.1601799999999998E-2</v>
      </c>
      <c r="H2390" s="11">
        <v>77802334.178399995</v>
      </c>
      <c r="I2390" s="22">
        <f>IFERROR(VLOOKUP(D2390,'LEAID Match'!$A$2:$B$184,2,FALSE),"")</f>
        <v>3704720</v>
      </c>
    </row>
    <row r="2391" spans="1:9" x14ac:dyDescent="0.2">
      <c r="A2391">
        <f t="shared" si="37"/>
        <v>3704720</v>
      </c>
      <c r="B2391" s="24">
        <v>2016</v>
      </c>
      <c r="C2391" t="s">
        <v>540</v>
      </c>
      <c r="D2391" t="s">
        <v>847</v>
      </c>
      <c r="E2391" t="s">
        <v>847</v>
      </c>
      <c r="F2391" s="11">
        <v>6968581386</v>
      </c>
      <c r="G2391" s="18">
        <v>6.4350400000000002E-2</v>
      </c>
      <c r="H2391" s="11">
        <v>82046953.051200002</v>
      </c>
      <c r="I2391" s="22">
        <f>IFERROR(VLOOKUP(D2391,'LEAID Match'!$A$2:$B$184,2,FALSE),"")</f>
        <v>3704720</v>
      </c>
    </row>
    <row r="2392" spans="1:9" x14ac:dyDescent="0.2">
      <c r="A2392">
        <f t="shared" si="37"/>
        <v>3704720</v>
      </c>
      <c r="B2392" s="24">
        <v>2017</v>
      </c>
      <c r="C2392" t="s">
        <v>540</v>
      </c>
      <c r="D2392" t="s">
        <v>847</v>
      </c>
      <c r="E2392" t="s">
        <v>915</v>
      </c>
      <c r="F2392" s="11">
        <v>7325370371</v>
      </c>
      <c r="G2392" s="18">
        <v>6.5650399999999998E-2</v>
      </c>
      <c r="H2392" s="11">
        <v>94614962.577600002</v>
      </c>
      <c r="I2392" s="22">
        <f>IFERROR(VLOOKUP(D2392,'LEAID Match'!$A$2:$B$184,2,FALSE),"")</f>
        <v>3704720</v>
      </c>
    </row>
    <row r="2393" spans="1:9" x14ac:dyDescent="0.2">
      <c r="A2393">
        <f t="shared" si="37"/>
        <v>3704720</v>
      </c>
      <c r="B2393" s="24">
        <v>2018</v>
      </c>
      <c r="C2393" t="s">
        <v>540</v>
      </c>
      <c r="D2393" t="s">
        <v>847</v>
      </c>
      <c r="E2393" t="s">
        <v>915</v>
      </c>
      <c r="F2393" s="11">
        <v>7711997343</v>
      </c>
      <c r="G2393" s="18">
        <v>6.6363800000000001E-2</v>
      </c>
      <c r="H2393" s="11">
        <v>106374601.3838</v>
      </c>
      <c r="I2393" s="22">
        <f>IFERROR(VLOOKUP(D2393,'LEAID Match'!$A$2:$B$184,2,FALSE),"")</f>
        <v>3704720</v>
      </c>
    </row>
    <row r="2394" spans="1:9" x14ac:dyDescent="0.2">
      <c r="A2394">
        <f t="shared" si="37"/>
        <v>3704720</v>
      </c>
      <c r="B2394" s="24">
        <v>2019</v>
      </c>
      <c r="C2394" t="s">
        <v>540</v>
      </c>
      <c r="D2394" t="s">
        <v>847</v>
      </c>
      <c r="E2394" t="s">
        <v>915</v>
      </c>
      <c r="F2394" s="11">
        <v>8030610099</v>
      </c>
      <c r="G2394" s="18">
        <v>6.6654099999999994E-2</v>
      </c>
      <c r="H2394" s="11">
        <v>127652332.99859999</v>
      </c>
      <c r="I2394" s="22">
        <f>IFERROR(VLOOKUP(D2394,'LEAID Match'!$A$2:$B$184,2,FALSE),"")</f>
        <v>3704720</v>
      </c>
    </row>
    <row r="2395" spans="1:9" x14ac:dyDescent="0.2">
      <c r="A2395">
        <f t="shared" si="37"/>
        <v>3704720</v>
      </c>
      <c r="B2395" s="24">
        <v>2020</v>
      </c>
      <c r="C2395" t="s">
        <v>540</v>
      </c>
      <c r="D2395" t="s">
        <v>847</v>
      </c>
      <c r="E2395" t="s">
        <v>847</v>
      </c>
      <c r="F2395" s="11">
        <v>8302138895</v>
      </c>
      <c r="G2395" s="18">
        <v>6.7022100000000001E-2</v>
      </c>
      <c r="H2395" s="11">
        <v>137735442.1575</v>
      </c>
      <c r="I2395" s="22">
        <f>IFERROR(VLOOKUP(D2395,'LEAID Match'!$A$2:$B$184,2,FALSE),"")</f>
        <v>3704720</v>
      </c>
    </row>
    <row r="2396" spans="1:9" x14ac:dyDescent="0.2">
      <c r="A2396">
        <f t="shared" si="37"/>
        <v>3704720</v>
      </c>
      <c r="B2396" s="24">
        <v>2021</v>
      </c>
      <c r="C2396" t="s">
        <v>540</v>
      </c>
      <c r="D2396" t="s">
        <v>847</v>
      </c>
      <c r="E2396" t="s">
        <v>847</v>
      </c>
      <c r="F2396" s="11">
        <v>8348332175</v>
      </c>
      <c r="G2396" s="18">
        <v>6.6706500000000002E-2</v>
      </c>
      <c r="H2396" s="11">
        <v>158311334.53800002</v>
      </c>
      <c r="I2396" s="22">
        <f>IFERROR(VLOOKUP(D2396,'LEAID Match'!$A$2:$B$184,2,FALSE),"")</f>
        <v>3704720</v>
      </c>
    </row>
    <row r="2397" spans="1:9" x14ac:dyDescent="0.2">
      <c r="A2397">
        <f t="shared" si="37"/>
        <v>3704720</v>
      </c>
      <c r="B2397" s="24">
        <v>2022</v>
      </c>
      <c r="C2397" t="s">
        <v>540</v>
      </c>
      <c r="D2397" t="s">
        <v>847</v>
      </c>
      <c r="E2397" t="s">
        <v>847</v>
      </c>
      <c r="F2397" s="11">
        <v>8366018068</v>
      </c>
      <c r="G2397" s="18">
        <v>6.6333799999999998E-2</v>
      </c>
      <c r="H2397" s="11">
        <v>183210373.57479998</v>
      </c>
      <c r="I2397" s="22">
        <f>IFERROR(VLOOKUP(D2397,'LEAID Match'!$A$2:$B$184,2,FALSE),"")</f>
        <v>3704720</v>
      </c>
    </row>
    <row r="2398" spans="1:9" x14ac:dyDescent="0.2">
      <c r="A2398">
        <f t="shared" si="37"/>
        <v>3704720</v>
      </c>
      <c r="B2398" s="24">
        <v>2023</v>
      </c>
      <c r="C2398" t="s">
        <v>540</v>
      </c>
      <c r="D2398" t="s">
        <v>847</v>
      </c>
      <c r="E2398" t="s">
        <v>847</v>
      </c>
      <c r="F2398" s="11">
        <v>8975619778</v>
      </c>
      <c r="G2398" s="18">
        <v>6.7534800000000006E-2</v>
      </c>
      <c r="H2398" s="11">
        <v>204961161.91560003</v>
      </c>
      <c r="I2398" s="22">
        <f>IFERROR(VLOOKUP(D2398,'LEAID Match'!$A$2:$B$184,2,FALSE),"")</f>
        <v>3704720</v>
      </c>
    </row>
    <row r="2399" spans="1:9" x14ac:dyDescent="0.2">
      <c r="A2399">
        <f t="shared" si="37"/>
        <v>3700314</v>
      </c>
      <c r="B2399" s="24">
        <v>2015</v>
      </c>
      <c r="C2399" t="s">
        <v>541</v>
      </c>
      <c r="D2399" t="s">
        <v>848</v>
      </c>
      <c r="E2399" t="s">
        <v>487</v>
      </c>
      <c r="F2399" s="11">
        <v>21714131</v>
      </c>
      <c r="G2399" s="18">
        <v>1.8990000000000001E-4</v>
      </c>
      <c r="H2399" s="11">
        <v>239841.42120000001</v>
      </c>
      <c r="I2399" s="22">
        <f>IFERROR(VLOOKUP(D2399,'LEAID Match'!$A$2:$B$184,2,FALSE),"")</f>
        <v>3700314</v>
      </c>
    </row>
    <row r="2400" spans="1:9" x14ac:dyDescent="0.2">
      <c r="A2400">
        <f t="shared" si="37"/>
        <v>3700314</v>
      </c>
      <c r="B2400" s="24">
        <v>2016</v>
      </c>
      <c r="C2400" t="s">
        <v>541</v>
      </c>
      <c r="D2400" t="s">
        <v>848</v>
      </c>
      <c r="E2400" t="s">
        <v>848</v>
      </c>
      <c r="F2400" s="11">
        <v>21009544</v>
      </c>
      <c r="G2400" s="18">
        <v>1.94E-4</v>
      </c>
      <c r="H2400" s="11">
        <v>247350.58199999999</v>
      </c>
      <c r="I2400" s="22">
        <f>IFERROR(VLOOKUP(D2400,'LEAID Match'!$A$2:$B$184,2,FALSE),"")</f>
        <v>3700314</v>
      </c>
    </row>
    <row r="2401" spans="1:9" x14ac:dyDescent="0.2">
      <c r="A2401">
        <f t="shared" si="37"/>
        <v>3700314</v>
      </c>
      <c r="B2401" s="24">
        <v>2017</v>
      </c>
      <c r="C2401" t="s">
        <v>541</v>
      </c>
      <c r="D2401" t="s">
        <v>848</v>
      </c>
      <c r="E2401" t="s">
        <v>848</v>
      </c>
      <c r="F2401" s="11">
        <v>21651915</v>
      </c>
      <c r="G2401" s="18">
        <v>1.94E-4</v>
      </c>
      <c r="H2401" s="11">
        <v>279591.636</v>
      </c>
      <c r="I2401" s="22">
        <f>IFERROR(VLOOKUP(D2401,'LEAID Match'!$A$2:$B$184,2,FALSE),"")</f>
        <v>3700314</v>
      </c>
    </row>
    <row r="2402" spans="1:9" x14ac:dyDescent="0.2">
      <c r="A2402">
        <f t="shared" si="37"/>
        <v>3700314</v>
      </c>
      <c r="B2402" s="24">
        <v>2018</v>
      </c>
      <c r="C2402" t="s">
        <v>541</v>
      </c>
      <c r="D2402" t="s">
        <v>848</v>
      </c>
      <c r="E2402" t="s">
        <v>848</v>
      </c>
      <c r="F2402" s="11">
        <v>23182929</v>
      </c>
      <c r="G2402" s="18">
        <v>1.995E-4</v>
      </c>
      <c r="H2402" s="11">
        <v>319778.74949999998</v>
      </c>
      <c r="I2402" s="22">
        <f>IFERROR(VLOOKUP(D2402,'LEAID Match'!$A$2:$B$184,2,FALSE),"")</f>
        <v>3700314</v>
      </c>
    </row>
    <row r="2403" spans="1:9" x14ac:dyDescent="0.2">
      <c r="A2403">
        <f t="shared" si="37"/>
        <v>3700314</v>
      </c>
      <c r="B2403" s="24">
        <v>2019</v>
      </c>
      <c r="C2403" t="s">
        <v>541</v>
      </c>
      <c r="D2403" t="s">
        <v>848</v>
      </c>
      <c r="E2403" t="s">
        <v>848</v>
      </c>
      <c r="F2403" s="11">
        <v>22883923</v>
      </c>
      <c r="G2403" s="18">
        <v>1.8990000000000001E-4</v>
      </c>
      <c r="H2403" s="11">
        <v>363686.2254</v>
      </c>
      <c r="I2403" s="22">
        <f>IFERROR(VLOOKUP(D2403,'LEAID Match'!$A$2:$B$184,2,FALSE),"")</f>
        <v>3700314</v>
      </c>
    </row>
    <row r="2404" spans="1:9" x14ac:dyDescent="0.2">
      <c r="A2404">
        <f t="shared" si="37"/>
        <v>3700314</v>
      </c>
      <c r="B2404" s="24">
        <v>2020</v>
      </c>
      <c r="C2404" t="s">
        <v>541</v>
      </c>
      <c r="D2404" t="s">
        <v>848</v>
      </c>
      <c r="E2404" t="s">
        <v>848</v>
      </c>
      <c r="F2404" s="11">
        <v>22649714</v>
      </c>
      <c r="G2404" s="18">
        <v>1.828E-4</v>
      </c>
      <c r="H2404" s="11">
        <v>375667.71</v>
      </c>
      <c r="I2404" s="22">
        <f>IFERROR(VLOOKUP(D2404,'LEAID Match'!$A$2:$B$184,2,FALSE),"")</f>
        <v>3700314</v>
      </c>
    </row>
    <row r="2405" spans="1:9" x14ac:dyDescent="0.2">
      <c r="A2405">
        <f t="shared" si="37"/>
        <v>3700314</v>
      </c>
      <c r="B2405" s="24">
        <v>2021</v>
      </c>
      <c r="C2405" t="s">
        <v>541</v>
      </c>
      <c r="D2405" t="s">
        <v>848</v>
      </c>
      <c r="E2405" t="s">
        <v>848</v>
      </c>
      <c r="F2405" s="11">
        <v>23546006</v>
      </c>
      <c r="G2405" s="18">
        <v>1.8809999999999999E-4</v>
      </c>
      <c r="H2405" s="11">
        <v>446408.70119999995</v>
      </c>
      <c r="I2405" s="22">
        <f>IFERROR(VLOOKUP(D2405,'LEAID Match'!$A$2:$B$184,2,FALSE),"")</f>
        <v>3700314</v>
      </c>
    </row>
    <row r="2406" spans="1:9" x14ac:dyDescent="0.2">
      <c r="A2406">
        <f t="shared" si="37"/>
        <v>3700314</v>
      </c>
      <c r="B2406" s="24">
        <v>2022</v>
      </c>
      <c r="C2406" t="s">
        <v>541</v>
      </c>
      <c r="D2406" t="s">
        <v>848</v>
      </c>
      <c r="E2406" t="s">
        <v>848</v>
      </c>
      <c r="F2406" s="11">
        <v>33369235</v>
      </c>
      <c r="G2406" s="18">
        <v>2.6459999999999998E-4</v>
      </c>
      <c r="H2406" s="11">
        <v>730810.91159999999</v>
      </c>
      <c r="I2406" s="22">
        <f>IFERROR(VLOOKUP(D2406,'LEAID Match'!$A$2:$B$184,2,FALSE),"")</f>
        <v>3700314</v>
      </c>
    </row>
    <row r="2407" spans="1:9" x14ac:dyDescent="0.2">
      <c r="A2407">
        <f t="shared" si="37"/>
        <v>3700314</v>
      </c>
      <c r="B2407" s="24">
        <v>2023</v>
      </c>
      <c r="C2407" t="s">
        <v>541</v>
      </c>
      <c r="D2407" t="s">
        <v>848</v>
      </c>
      <c r="E2407" t="s">
        <v>848</v>
      </c>
      <c r="F2407" s="11">
        <v>39645494</v>
      </c>
      <c r="G2407" s="18">
        <v>2.9829999999999999E-4</v>
      </c>
      <c r="H2407" s="11">
        <v>905309.77509999997</v>
      </c>
      <c r="I2407" s="22">
        <f>IFERROR(VLOOKUP(D2407,'LEAID Match'!$A$2:$B$184,2,FALSE),"")</f>
        <v>3700314</v>
      </c>
    </row>
    <row r="2408" spans="1:9" x14ac:dyDescent="0.2">
      <c r="A2408">
        <f t="shared" si="37"/>
        <v>3700114</v>
      </c>
      <c r="B2408" s="24">
        <v>2015</v>
      </c>
      <c r="C2408" t="s">
        <v>542</v>
      </c>
      <c r="D2408" t="s">
        <v>849</v>
      </c>
      <c r="E2408" t="s">
        <v>488</v>
      </c>
      <c r="F2408" s="11">
        <v>13343102</v>
      </c>
      <c r="G2408" s="18">
        <v>1.167E-4</v>
      </c>
      <c r="H2408" s="11">
        <v>147390.69959999999</v>
      </c>
      <c r="I2408" s="22">
        <f>IFERROR(VLOOKUP(D2408,'LEAID Match'!$A$2:$B$184,2,FALSE),"")</f>
        <v>3700114</v>
      </c>
    </row>
    <row r="2409" spans="1:9" x14ac:dyDescent="0.2">
      <c r="A2409">
        <f t="shared" si="37"/>
        <v>3700114</v>
      </c>
      <c r="B2409" s="24">
        <v>2016</v>
      </c>
      <c r="C2409" t="s">
        <v>542</v>
      </c>
      <c r="D2409" t="s">
        <v>849</v>
      </c>
      <c r="E2409" t="s">
        <v>849</v>
      </c>
      <c r="F2409" s="11">
        <v>14467135</v>
      </c>
      <c r="G2409" s="18">
        <v>1.3359999999999999E-4</v>
      </c>
      <c r="H2409" s="11">
        <v>170340.4008</v>
      </c>
      <c r="I2409" s="22">
        <f>IFERROR(VLOOKUP(D2409,'LEAID Match'!$A$2:$B$184,2,FALSE),"")</f>
        <v>3700114</v>
      </c>
    </row>
    <row r="2410" spans="1:9" x14ac:dyDescent="0.2">
      <c r="A2410">
        <f t="shared" si="37"/>
        <v>3700114</v>
      </c>
      <c r="B2410" s="24">
        <v>2017</v>
      </c>
      <c r="C2410" t="s">
        <v>542</v>
      </c>
      <c r="D2410" t="s">
        <v>849</v>
      </c>
      <c r="E2410" t="s">
        <v>849</v>
      </c>
      <c r="F2410" s="11">
        <v>20086123</v>
      </c>
      <c r="G2410" s="18">
        <v>1.8000000000000001E-4</v>
      </c>
      <c r="H2410" s="11">
        <v>259414.92</v>
      </c>
      <c r="I2410" s="22">
        <f>IFERROR(VLOOKUP(D2410,'LEAID Match'!$A$2:$B$184,2,FALSE),"")</f>
        <v>3700114</v>
      </c>
    </row>
    <row r="2411" spans="1:9" x14ac:dyDescent="0.2">
      <c r="A2411">
        <f t="shared" si="37"/>
        <v>3700114</v>
      </c>
      <c r="B2411" s="24">
        <v>2018</v>
      </c>
      <c r="C2411" t="s">
        <v>542</v>
      </c>
      <c r="D2411" t="s">
        <v>849</v>
      </c>
      <c r="E2411" t="s">
        <v>849</v>
      </c>
      <c r="F2411" s="11">
        <v>26472443</v>
      </c>
      <c r="G2411" s="18">
        <v>2.2780000000000001E-4</v>
      </c>
      <c r="H2411" s="11">
        <v>365140.84779999999</v>
      </c>
      <c r="I2411" s="22">
        <f>IFERROR(VLOOKUP(D2411,'LEAID Match'!$A$2:$B$184,2,FALSE),"")</f>
        <v>3700114</v>
      </c>
    </row>
    <row r="2412" spans="1:9" x14ac:dyDescent="0.2">
      <c r="A2412">
        <f t="shared" si="37"/>
        <v>3700114</v>
      </c>
      <c r="B2412" s="24">
        <v>2019</v>
      </c>
      <c r="C2412" t="s">
        <v>542</v>
      </c>
      <c r="D2412" t="s">
        <v>849</v>
      </c>
      <c r="E2412" t="s">
        <v>849</v>
      </c>
      <c r="F2412" s="11">
        <v>32870875</v>
      </c>
      <c r="G2412" s="18">
        <v>2.7280000000000002E-4</v>
      </c>
      <c r="H2412" s="11">
        <v>522451.82880000002</v>
      </c>
      <c r="I2412" s="22">
        <f>IFERROR(VLOOKUP(D2412,'LEAID Match'!$A$2:$B$184,2,FALSE),"")</f>
        <v>3700114</v>
      </c>
    </row>
    <row r="2413" spans="1:9" x14ac:dyDescent="0.2">
      <c r="A2413">
        <f t="shared" si="37"/>
        <v>3700114</v>
      </c>
      <c r="B2413" s="24">
        <v>2020</v>
      </c>
      <c r="C2413" t="s">
        <v>542</v>
      </c>
      <c r="D2413" t="s">
        <v>849</v>
      </c>
      <c r="E2413" t="s">
        <v>849</v>
      </c>
      <c r="F2413" s="11">
        <v>39027170</v>
      </c>
      <c r="G2413" s="18">
        <v>3.1510000000000002E-4</v>
      </c>
      <c r="H2413" s="11">
        <v>647554.13250000007</v>
      </c>
      <c r="I2413" s="22">
        <f>IFERROR(VLOOKUP(D2413,'LEAID Match'!$A$2:$B$184,2,FALSE),"")</f>
        <v>3700114</v>
      </c>
    </row>
    <row r="2414" spans="1:9" x14ac:dyDescent="0.2">
      <c r="A2414">
        <f t="shared" si="37"/>
        <v>3700114</v>
      </c>
      <c r="B2414" s="24">
        <v>2021</v>
      </c>
      <c r="C2414" t="s">
        <v>542</v>
      </c>
      <c r="D2414" t="s">
        <v>849</v>
      </c>
      <c r="E2414" t="s">
        <v>849</v>
      </c>
      <c r="F2414" s="11">
        <v>31563025</v>
      </c>
      <c r="G2414" s="18">
        <v>2.522E-4</v>
      </c>
      <c r="H2414" s="11">
        <v>598534.1544</v>
      </c>
      <c r="I2414" s="22">
        <f>IFERROR(VLOOKUP(D2414,'LEAID Match'!$A$2:$B$184,2,FALSE),"")</f>
        <v>3700114</v>
      </c>
    </row>
    <row r="2415" spans="1:9" x14ac:dyDescent="0.2">
      <c r="A2415">
        <f t="shared" si="37"/>
        <v>3700114</v>
      </c>
      <c r="B2415" s="24">
        <v>2022</v>
      </c>
      <c r="C2415" t="s">
        <v>542</v>
      </c>
      <c r="D2415" t="s">
        <v>849</v>
      </c>
      <c r="E2415" t="s">
        <v>849</v>
      </c>
      <c r="F2415" s="11">
        <v>38959135</v>
      </c>
      <c r="G2415" s="18">
        <v>3.0889999999999997E-4</v>
      </c>
      <c r="H2415" s="11">
        <v>853165.11939999997</v>
      </c>
      <c r="I2415" s="22">
        <f>IFERROR(VLOOKUP(D2415,'LEAID Match'!$A$2:$B$184,2,FALSE),"")</f>
        <v>3700114</v>
      </c>
    </row>
    <row r="2416" spans="1:9" x14ac:dyDescent="0.2">
      <c r="A2416">
        <f t="shared" si="37"/>
        <v>3700114</v>
      </c>
      <c r="B2416" s="24">
        <v>2023</v>
      </c>
      <c r="C2416" t="s">
        <v>542</v>
      </c>
      <c r="D2416" t="s">
        <v>849</v>
      </c>
      <c r="E2416" t="s">
        <v>849</v>
      </c>
      <c r="F2416" s="11">
        <v>37346684</v>
      </c>
      <c r="G2416" s="18">
        <v>2.81E-4</v>
      </c>
      <c r="H2416" s="11">
        <v>852806.05700000003</v>
      </c>
      <c r="I2416" s="22">
        <f>IFERROR(VLOOKUP(D2416,'LEAID Match'!$A$2:$B$184,2,FALSE),"")</f>
        <v>3700114</v>
      </c>
    </row>
    <row r="2417" spans="1:9" x14ac:dyDescent="0.2">
      <c r="A2417" t="str">
        <f t="shared" si="37"/>
        <v/>
      </c>
      <c r="B2417" s="24">
        <v>2015</v>
      </c>
      <c r="C2417" t="s">
        <v>543</v>
      </c>
      <c r="D2417" t="s">
        <v>851</v>
      </c>
      <c r="E2417" t="s">
        <v>489</v>
      </c>
      <c r="F2417" s="11">
        <v>559133002</v>
      </c>
      <c r="G2417" s="18">
        <v>4.8887000000000002E-3</v>
      </c>
      <c r="H2417" s="11">
        <v>6174369.4356000004</v>
      </c>
      <c r="I2417" s="22" t="str">
        <f>IFERROR(VLOOKUP(D2417,'LEAID Match'!$A$2:$B$184,2,FALSE),"")</f>
        <v/>
      </c>
    </row>
    <row r="2418" spans="1:9" x14ac:dyDescent="0.2">
      <c r="A2418" t="str">
        <f t="shared" si="37"/>
        <v/>
      </c>
      <c r="B2418" s="24">
        <v>2016</v>
      </c>
      <c r="C2418" t="s">
        <v>543</v>
      </c>
      <c r="D2418" t="s">
        <v>851</v>
      </c>
      <c r="E2418" t="s">
        <v>851</v>
      </c>
      <c r="F2418" s="11">
        <v>548915634</v>
      </c>
      <c r="G2418" s="18">
        <v>5.0689000000000003E-3</v>
      </c>
      <c r="H2418" s="11">
        <v>6462862.7067</v>
      </c>
      <c r="I2418" s="22" t="str">
        <f>IFERROR(VLOOKUP(D2418,'LEAID Match'!$A$2:$B$184,2,FALSE),"")</f>
        <v/>
      </c>
    </row>
    <row r="2419" spans="1:9" x14ac:dyDescent="0.2">
      <c r="A2419" t="str">
        <f t="shared" si="37"/>
        <v/>
      </c>
      <c r="B2419" s="24">
        <v>2017</v>
      </c>
      <c r="C2419" t="s">
        <v>543</v>
      </c>
      <c r="D2419" t="s">
        <v>851</v>
      </c>
      <c r="E2419" t="s">
        <v>851</v>
      </c>
      <c r="F2419" s="11">
        <v>604103593</v>
      </c>
      <c r="G2419" s="18">
        <v>5.4140000000000004E-3</v>
      </c>
      <c r="H2419" s="11">
        <v>7802624.3160000006</v>
      </c>
      <c r="I2419" s="22" t="str">
        <f>IFERROR(VLOOKUP(D2419,'LEAID Match'!$A$2:$B$184,2,FALSE),"")</f>
        <v/>
      </c>
    </row>
    <row r="2420" spans="1:9" x14ac:dyDescent="0.2">
      <c r="A2420" t="str">
        <f t="shared" si="37"/>
        <v/>
      </c>
      <c r="B2420" s="24">
        <v>2018</v>
      </c>
      <c r="C2420" t="s">
        <v>543</v>
      </c>
      <c r="D2420" t="s">
        <v>851</v>
      </c>
      <c r="E2420" t="s">
        <v>851</v>
      </c>
      <c r="F2420" s="11">
        <v>621722520</v>
      </c>
      <c r="G2420" s="18">
        <v>5.3501E-3</v>
      </c>
      <c r="H2420" s="11">
        <v>8575680.6401000004</v>
      </c>
      <c r="I2420" s="22" t="str">
        <f>IFERROR(VLOOKUP(D2420,'LEAID Match'!$A$2:$B$184,2,FALSE),"")</f>
        <v/>
      </c>
    </row>
    <row r="2421" spans="1:9" x14ac:dyDescent="0.2">
      <c r="A2421" t="str">
        <f t="shared" si="37"/>
        <v/>
      </c>
      <c r="B2421" s="24">
        <v>2019</v>
      </c>
      <c r="C2421" t="s">
        <v>543</v>
      </c>
      <c r="D2421" t="s">
        <v>851</v>
      </c>
      <c r="E2421" t="s">
        <v>851</v>
      </c>
      <c r="F2421" s="11">
        <v>676764662</v>
      </c>
      <c r="G2421" s="18">
        <v>5.6172000000000001E-3</v>
      </c>
      <c r="H2421" s="11">
        <v>10757758.111200001</v>
      </c>
      <c r="I2421" s="22" t="str">
        <f>IFERROR(VLOOKUP(D2421,'LEAID Match'!$A$2:$B$184,2,FALSE),"")</f>
        <v/>
      </c>
    </row>
    <row r="2422" spans="1:9" x14ac:dyDescent="0.2">
      <c r="A2422" t="str">
        <f t="shared" si="37"/>
        <v/>
      </c>
      <c r="B2422" s="24">
        <v>2020</v>
      </c>
      <c r="C2422" t="s">
        <v>543</v>
      </c>
      <c r="D2422" t="s">
        <v>851</v>
      </c>
      <c r="E2422" t="s">
        <v>851</v>
      </c>
      <c r="F2422" s="11">
        <v>679361326</v>
      </c>
      <c r="G2422" s="18">
        <v>5.4844000000000004E-3</v>
      </c>
      <c r="H2422" s="11">
        <v>11270853.33</v>
      </c>
      <c r="I2422" s="22" t="str">
        <f>IFERROR(VLOOKUP(D2422,'LEAID Match'!$A$2:$B$184,2,FALSE),"")</f>
        <v/>
      </c>
    </row>
    <row r="2423" spans="1:9" x14ac:dyDescent="0.2">
      <c r="A2423" t="str">
        <f t="shared" si="37"/>
        <v/>
      </c>
      <c r="B2423" s="24">
        <v>2021</v>
      </c>
      <c r="C2423" t="s">
        <v>543</v>
      </c>
      <c r="D2423" t="s">
        <v>851</v>
      </c>
      <c r="E2423" t="s">
        <v>851</v>
      </c>
      <c r="F2423" s="11">
        <v>714259346</v>
      </c>
      <c r="G2423" s="18">
        <v>5.7071999999999999E-3</v>
      </c>
      <c r="H2423" s="11">
        <v>13544623.8144</v>
      </c>
      <c r="I2423" s="22" t="str">
        <f>IFERROR(VLOOKUP(D2423,'LEAID Match'!$A$2:$B$184,2,FALSE),"")</f>
        <v/>
      </c>
    </row>
    <row r="2424" spans="1:9" x14ac:dyDescent="0.2">
      <c r="A2424" t="str">
        <f t="shared" si="37"/>
        <v/>
      </c>
      <c r="B2424" s="24">
        <v>2022</v>
      </c>
      <c r="C2424" t="s">
        <v>543</v>
      </c>
      <c r="D2424" t="s">
        <v>851</v>
      </c>
      <c r="E2424" t="s">
        <v>851</v>
      </c>
      <c r="F2424" s="11">
        <v>705770664</v>
      </c>
      <c r="G2424" s="18">
        <v>5.5960000000000003E-3</v>
      </c>
      <c r="H2424" s="11">
        <v>15455849.816000002</v>
      </c>
      <c r="I2424" s="22" t="str">
        <f>IFERROR(VLOOKUP(D2424,'LEAID Match'!$A$2:$B$184,2,FALSE),"")</f>
        <v/>
      </c>
    </row>
    <row r="2425" spans="1:9" x14ac:dyDescent="0.2">
      <c r="A2425" t="str">
        <f t="shared" si="37"/>
        <v/>
      </c>
      <c r="B2425" s="24">
        <v>2023</v>
      </c>
      <c r="C2425" t="s">
        <v>543</v>
      </c>
      <c r="D2425" t="s">
        <v>851</v>
      </c>
      <c r="E2425" t="s">
        <v>851</v>
      </c>
      <c r="F2425" s="11">
        <v>781829793</v>
      </c>
      <c r="G2425" s="18">
        <v>5.8827000000000003E-3</v>
      </c>
      <c r="H2425" s="11">
        <v>17853388.581900001</v>
      </c>
      <c r="I2425" s="22" t="str">
        <f>IFERROR(VLOOKUP(D2425,'LEAID Match'!$A$2:$B$184,2,FALSE),"")</f>
        <v/>
      </c>
    </row>
    <row r="2426" spans="1:9" x14ac:dyDescent="0.2">
      <c r="A2426">
        <f t="shared" si="37"/>
        <v>3700070</v>
      </c>
      <c r="B2426" s="24">
        <v>2015</v>
      </c>
      <c r="C2426" t="s">
        <v>561</v>
      </c>
      <c r="D2426" t="s">
        <v>852</v>
      </c>
      <c r="E2426" t="s">
        <v>544</v>
      </c>
      <c r="F2426" s="11">
        <v>44904455</v>
      </c>
      <c r="G2426" s="18">
        <v>3.926E-4</v>
      </c>
      <c r="H2426" s="11">
        <v>495849.08880000003</v>
      </c>
      <c r="I2426" s="22">
        <f>IFERROR(VLOOKUP(D2426,'LEAID Match'!$A$2:$B$184,2,FALSE),"")</f>
        <v>3700070</v>
      </c>
    </row>
    <row r="2427" spans="1:9" x14ac:dyDescent="0.2">
      <c r="A2427">
        <f t="shared" si="37"/>
        <v>3700070</v>
      </c>
      <c r="B2427" s="24">
        <v>2016</v>
      </c>
      <c r="C2427" t="s">
        <v>561</v>
      </c>
      <c r="D2427" t="s">
        <v>852</v>
      </c>
      <c r="E2427" t="s">
        <v>852</v>
      </c>
      <c r="F2427" s="11">
        <v>43819283</v>
      </c>
      <c r="G2427" s="18">
        <v>4.0460000000000002E-4</v>
      </c>
      <c r="H2427" s="11">
        <v>515866.21380000003</v>
      </c>
      <c r="I2427" s="22">
        <f>IFERROR(VLOOKUP(D2427,'LEAID Match'!$A$2:$B$184,2,FALSE),"")</f>
        <v>3700070</v>
      </c>
    </row>
    <row r="2428" spans="1:9" x14ac:dyDescent="0.2">
      <c r="A2428">
        <f t="shared" si="37"/>
        <v>3700070</v>
      </c>
      <c r="B2428" s="24">
        <v>2017</v>
      </c>
      <c r="C2428" t="s">
        <v>561</v>
      </c>
      <c r="D2428" t="s">
        <v>852</v>
      </c>
      <c r="E2428" t="s">
        <v>916</v>
      </c>
      <c r="F2428" s="11">
        <v>42789747</v>
      </c>
      <c r="G2428" s="18">
        <v>3.835E-4</v>
      </c>
      <c r="H2428" s="11">
        <v>552697.89899999998</v>
      </c>
      <c r="I2428" s="22">
        <f>IFERROR(VLOOKUP(D2428,'LEAID Match'!$A$2:$B$184,2,FALSE),"")</f>
        <v>3700070</v>
      </c>
    </row>
    <row r="2429" spans="1:9" x14ac:dyDescent="0.2">
      <c r="A2429">
        <f t="shared" si="37"/>
        <v>3700070</v>
      </c>
      <c r="B2429" s="24">
        <v>2018</v>
      </c>
      <c r="C2429" t="s">
        <v>561</v>
      </c>
      <c r="D2429" t="s">
        <v>852</v>
      </c>
      <c r="E2429" t="s">
        <v>916</v>
      </c>
      <c r="F2429" s="11">
        <v>45492292</v>
      </c>
      <c r="G2429" s="18">
        <v>3.9149999999999998E-4</v>
      </c>
      <c r="H2429" s="11">
        <v>627535.7415</v>
      </c>
      <c r="I2429" s="22">
        <f>IFERROR(VLOOKUP(D2429,'LEAID Match'!$A$2:$B$184,2,FALSE),"")</f>
        <v>3700070</v>
      </c>
    </row>
    <row r="2430" spans="1:9" x14ac:dyDescent="0.2">
      <c r="A2430">
        <f t="shared" si="37"/>
        <v>3700070</v>
      </c>
      <c r="B2430" s="24">
        <v>2019</v>
      </c>
      <c r="C2430" t="s">
        <v>561</v>
      </c>
      <c r="D2430" t="s">
        <v>852</v>
      </c>
      <c r="E2430" t="s">
        <v>916</v>
      </c>
      <c r="F2430" s="11">
        <v>48472761</v>
      </c>
      <c r="G2430" s="18">
        <v>4.0230000000000002E-4</v>
      </c>
      <c r="H2430" s="11">
        <v>770463.23580000002</v>
      </c>
      <c r="I2430" s="22">
        <f>IFERROR(VLOOKUP(D2430,'LEAID Match'!$A$2:$B$184,2,FALSE),"")</f>
        <v>3700070</v>
      </c>
    </row>
    <row r="2431" spans="1:9" x14ac:dyDescent="0.2">
      <c r="A2431">
        <f t="shared" si="37"/>
        <v>3700070</v>
      </c>
      <c r="B2431" s="24">
        <v>2020</v>
      </c>
      <c r="C2431" t="s">
        <v>561</v>
      </c>
      <c r="D2431" t="s">
        <v>852</v>
      </c>
      <c r="E2431" t="s">
        <v>852</v>
      </c>
      <c r="F2431" s="11">
        <v>51947514</v>
      </c>
      <c r="G2431" s="18">
        <v>4.194E-4</v>
      </c>
      <c r="H2431" s="11">
        <v>861898.45499999996</v>
      </c>
      <c r="I2431" s="22">
        <f>IFERROR(VLOOKUP(D2431,'LEAID Match'!$A$2:$B$184,2,FALSE),"")</f>
        <v>3700070</v>
      </c>
    </row>
    <row r="2432" spans="1:9" x14ac:dyDescent="0.2">
      <c r="A2432">
        <f t="shared" si="37"/>
        <v>3700070</v>
      </c>
      <c r="B2432" s="24">
        <v>2021</v>
      </c>
      <c r="C2432" t="s">
        <v>561</v>
      </c>
      <c r="D2432" t="s">
        <v>852</v>
      </c>
      <c r="E2432" t="s">
        <v>852</v>
      </c>
      <c r="F2432" s="11">
        <v>49046092</v>
      </c>
      <c r="G2432" s="18">
        <v>3.9189999999999998E-4</v>
      </c>
      <c r="H2432" s="11">
        <v>930077.45880000002</v>
      </c>
      <c r="I2432" s="22">
        <f>IFERROR(VLOOKUP(D2432,'LEAID Match'!$A$2:$B$184,2,FALSE),"")</f>
        <v>3700070</v>
      </c>
    </row>
    <row r="2433" spans="1:9" x14ac:dyDescent="0.2">
      <c r="A2433">
        <f t="shared" si="37"/>
        <v>3700070</v>
      </c>
      <c r="B2433" s="24">
        <v>2022</v>
      </c>
      <c r="C2433" t="s">
        <v>561</v>
      </c>
      <c r="D2433" t="s">
        <v>852</v>
      </c>
      <c r="E2433" t="s">
        <v>852</v>
      </c>
      <c r="F2433" s="11">
        <v>50778095</v>
      </c>
      <c r="G2433" s="18">
        <v>4.0259999999999997E-4</v>
      </c>
      <c r="H2433" s="11">
        <v>1111959.4595999999</v>
      </c>
      <c r="I2433" s="22">
        <f>IFERROR(VLOOKUP(D2433,'LEAID Match'!$A$2:$B$184,2,FALSE),"")</f>
        <v>3700070</v>
      </c>
    </row>
    <row r="2434" spans="1:9" x14ac:dyDescent="0.2">
      <c r="A2434">
        <f t="shared" si="37"/>
        <v>3700070</v>
      </c>
      <c r="B2434" s="24">
        <v>2023</v>
      </c>
      <c r="C2434" t="s">
        <v>561</v>
      </c>
      <c r="D2434" t="s">
        <v>852</v>
      </c>
      <c r="E2434" t="s">
        <v>852</v>
      </c>
      <c r="F2434" s="11">
        <v>55146751</v>
      </c>
      <c r="G2434" s="18">
        <v>4.149E-4</v>
      </c>
      <c r="H2434" s="11">
        <v>1259178.7653000001</v>
      </c>
      <c r="I2434" s="22">
        <f>IFERROR(VLOOKUP(D2434,'LEAID Match'!$A$2:$B$184,2,FALSE),"")</f>
        <v>3700070</v>
      </c>
    </row>
    <row r="2435" spans="1:9" x14ac:dyDescent="0.2">
      <c r="A2435">
        <f t="shared" ref="A2435:A2498" si="38">I2435</f>
        <v>3700131</v>
      </c>
      <c r="B2435" s="24">
        <v>2015</v>
      </c>
      <c r="C2435" t="s">
        <v>562</v>
      </c>
      <c r="D2435" t="s">
        <v>853</v>
      </c>
      <c r="E2435" t="s">
        <v>545</v>
      </c>
      <c r="F2435" s="11">
        <v>20362024</v>
      </c>
      <c r="G2435" s="18">
        <v>1.7799999999999999E-4</v>
      </c>
      <c r="H2435" s="11">
        <v>224811.864</v>
      </c>
      <c r="I2435" s="22">
        <f>IFERROR(VLOOKUP(D2435,'LEAID Match'!$A$2:$B$184,2,FALSE),"")</f>
        <v>3700131</v>
      </c>
    </row>
    <row r="2436" spans="1:9" x14ac:dyDescent="0.2">
      <c r="A2436">
        <f t="shared" si="38"/>
        <v>3700131</v>
      </c>
      <c r="B2436" s="24">
        <v>2016</v>
      </c>
      <c r="C2436" t="s">
        <v>562</v>
      </c>
      <c r="D2436" t="s">
        <v>853</v>
      </c>
      <c r="E2436" t="s">
        <v>853</v>
      </c>
      <c r="F2436" s="11">
        <v>22058089</v>
      </c>
      <c r="G2436" s="18">
        <v>2.0369999999999999E-4</v>
      </c>
      <c r="H2436" s="11">
        <v>259718.11109999998</v>
      </c>
      <c r="I2436" s="22">
        <f>IFERROR(VLOOKUP(D2436,'LEAID Match'!$A$2:$B$184,2,FALSE),"")</f>
        <v>3700131</v>
      </c>
    </row>
    <row r="2437" spans="1:9" x14ac:dyDescent="0.2">
      <c r="A2437">
        <f t="shared" si="38"/>
        <v>3700131</v>
      </c>
      <c r="B2437" s="24">
        <v>2017</v>
      </c>
      <c r="C2437" t="s">
        <v>562</v>
      </c>
      <c r="D2437" t="s">
        <v>853</v>
      </c>
      <c r="E2437" t="s">
        <v>853</v>
      </c>
      <c r="F2437" s="11">
        <v>23852049</v>
      </c>
      <c r="G2437" s="18">
        <v>2.1379999999999999E-4</v>
      </c>
      <c r="H2437" s="11">
        <v>308127.27720000001</v>
      </c>
      <c r="I2437" s="22">
        <f>IFERROR(VLOOKUP(D2437,'LEAID Match'!$A$2:$B$184,2,FALSE),"")</f>
        <v>3700131</v>
      </c>
    </row>
    <row r="2438" spans="1:9" x14ac:dyDescent="0.2">
      <c r="A2438">
        <f t="shared" si="38"/>
        <v>3700131</v>
      </c>
      <c r="B2438" s="24">
        <v>2018</v>
      </c>
      <c r="C2438" t="s">
        <v>562</v>
      </c>
      <c r="D2438" t="s">
        <v>853</v>
      </c>
      <c r="E2438" t="s">
        <v>853</v>
      </c>
      <c r="F2438" s="11">
        <v>22883059</v>
      </c>
      <c r="G2438" s="18">
        <v>1.9689999999999999E-4</v>
      </c>
      <c r="H2438" s="11">
        <v>315611.20689999999</v>
      </c>
      <c r="I2438" s="22">
        <f>IFERROR(VLOOKUP(D2438,'LEAID Match'!$A$2:$B$184,2,FALSE),"")</f>
        <v>3700131</v>
      </c>
    </row>
    <row r="2439" spans="1:9" x14ac:dyDescent="0.2">
      <c r="A2439">
        <f t="shared" si="38"/>
        <v>3700131</v>
      </c>
      <c r="B2439" s="24">
        <v>2019</v>
      </c>
      <c r="C2439" t="s">
        <v>562</v>
      </c>
      <c r="D2439" t="s">
        <v>853</v>
      </c>
      <c r="E2439" t="s">
        <v>853</v>
      </c>
      <c r="F2439" s="11">
        <v>23544836</v>
      </c>
      <c r="G2439" s="18">
        <v>1.9540000000000001E-4</v>
      </c>
      <c r="H2439" s="11">
        <v>374219.52840000001</v>
      </c>
      <c r="I2439" s="22">
        <f>IFERROR(VLOOKUP(D2439,'LEAID Match'!$A$2:$B$184,2,FALSE),"")</f>
        <v>3700131</v>
      </c>
    </row>
    <row r="2440" spans="1:9" x14ac:dyDescent="0.2">
      <c r="A2440">
        <f t="shared" si="38"/>
        <v>3700131</v>
      </c>
      <c r="B2440" s="24">
        <v>2020</v>
      </c>
      <c r="C2440" t="s">
        <v>562</v>
      </c>
      <c r="D2440" t="s">
        <v>853</v>
      </c>
      <c r="E2440" t="s">
        <v>853</v>
      </c>
      <c r="F2440" s="11">
        <v>21905314</v>
      </c>
      <c r="G2440" s="18">
        <v>1.7679999999999999E-4</v>
      </c>
      <c r="H2440" s="11">
        <v>363337.25999999995</v>
      </c>
      <c r="I2440" s="22">
        <f>IFERROR(VLOOKUP(D2440,'LEAID Match'!$A$2:$B$184,2,FALSE),"")</f>
        <v>3700131</v>
      </c>
    </row>
    <row r="2441" spans="1:9" x14ac:dyDescent="0.2">
      <c r="A2441">
        <f t="shared" si="38"/>
        <v>3700131</v>
      </c>
      <c r="B2441" s="24">
        <v>2021</v>
      </c>
      <c r="C2441" t="s">
        <v>562</v>
      </c>
      <c r="D2441" t="s">
        <v>853</v>
      </c>
      <c r="E2441" t="s">
        <v>853</v>
      </c>
      <c r="F2441" s="11">
        <v>24308922</v>
      </c>
      <c r="G2441" s="18">
        <v>1.942E-4</v>
      </c>
      <c r="H2441" s="11">
        <v>460885.53840000002</v>
      </c>
      <c r="I2441" s="22">
        <f>IFERROR(VLOOKUP(D2441,'LEAID Match'!$A$2:$B$184,2,FALSE),"")</f>
        <v>3700131</v>
      </c>
    </row>
    <row r="2442" spans="1:9" x14ac:dyDescent="0.2">
      <c r="A2442">
        <f t="shared" si="38"/>
        <v>3700442</v>
      </c>
      <c r="B2442" s="24">
        <v>2019</v>
      </c>
      <c r="C2442" t="s">
        <v>933</v>
      </c>
      <c r="D2442" t="s">
        <v>932</v>
      </c>
      <c r="E2442" t="s">
        <v>932</v>
      </c>
      <c r="F2442" s="11">
        <v>7647983</v>
      </c>
      <c r="G2442" s="18">
        <v>6.3499999999999999E-5</v>
      </c>
      <c r="H2442" s="11">
        <v>121611.77099999999</v>
      </c>
      <c r="I2442" s="22">
        <f>IFERROR(VLOOKUP(D2442,'LEAID Match'!$A$2:$B$184,2,FALSE),"")</f>
        <v>3700442</v>
      </c>
    </row>
    <row r="2443" spans="1:9" x14ac:dyDescent="0.2">
      <c r="A2443">
        <f t="shared" si="38"/>
        <v>3700442</v>
      </c>
      <c r="B2443" s="24">
        <v>2020</v>
      </c>
      <c r="C2443" t="s">
        <v>933</v>
      </c>
      <c r="D2443" t="s">
        <v>932</v>
      </c>
      <c r="E2443" t="s">
        <v>932</v>
      </c>
      <c r="F2443" s="11">
        <v>8418146</v>
      </c>
      <c r="G2443" s="18">
        <v>6.7999999999999999E-5</v>
      </c>
      <c r="H2443" s="11">
        <v>139745.1</v>
      </c>
      <c r="I2443" s="22">
        <f>IFERROR(VLOOKUP(D2443,'LEAID Match'!$A$2:$B$184,2,FALSE),"")</f>
        <v>3700442</v>
      </c>
    </row>
    <row r="2444" spans="1:9" x14ac:dyDescent="0.2">
      <c r="A2444">
        <f t="shared" si="38"/>
        <v>3700442</v>
      </c>
      <c r="B2444" s="24">
        <v>2021</v>
      </c>
      <c r="C2444" t="s">
        <v>933</v>
      </c>
      <c r="D2444" t="s">
        <v>932</v>
      </c>
      <c r="E2444" t="s">
        <v>932</v>
      </c>
      <c r="F2444" s="11">
        <v>8248834</v>
      </c>
      <c r="G2444" s="18">
        <v>6.5900000000000003E-5</v>
      </c>
      <c r="H2444" s="11">
        <v>156397.30680000002</v>
      </c>
      <c r="I2444" s="22">
        <f>IFERROR(VLOOKUP(D2444,'LEAID Match'!$A$2:$B$184,2,FALSE),"")</f>
        <v>3700442</v>
      </c>
    </row>
    <row r="2445" spans="1:9" x14ac:dyDescent="0.2">
      <c r="A2445">
        <f t="shared" si="38"/>
        <v>3700442</v>
      </c>
      <c r="B2445" s="24">
        <v>2022</v>
      </c>
      <c r="C2445" t="s">
        <v>933</v>
      </c>
      <c r="D2445" t="s">
        <v>932</v>
      </c>
      <c r="E2445" t="s">
        <v>932</v>
      </c>
      <c r="F2445" s="11">
        <v>10126880</v>
      </c>
      <c r="G2445" s="18">
        <v>8.03E-5</v>
      </c>
      <c r="H2445" s="11">
        <v>221784.26380000002</v>
      </c>
      <c r="I2445" s="22">
        <f>IFERROR(VLOOKUP(D2445,'LEAID Match'!$A$2:$B$184,2,FALSE),"")</f>
        <v>3700442</v>
      </c>
    </row>
    <row r="2446" spans="1:9" x14ac:dyDescent="0.2">
      <c r="A2446">
        <f t="shared" si="38"/>
        <v>3704740</v>
      </c>
      <c r="B2446" s="24">
        <v>2015</v>
      </c>
      <c r="C2446" t="s">
        <v>563</v>
      </c>
      <c r="D2446" t="s">
        <v>854</v>
      </c>
      <c r="E2446" t="s">
        <v>546</v>
      </c>
      <c r="F2446" s="11">
        <v>108861122</v>
      </c>
      <c r="G2446" s="18">
        <v>9.5180000000000004E-4</v>
      </c>
      <c r="H2446" s="11">
        <v>1202111.9784000001</v>
      </c>
      <c r="I2446" s="22">
        <f>IFERROR(VLOOKUP(D2446,'LEAID Match'!$A$2:$B$184,2,FALSE),"")</f>
        <v>3704740</v>
      </c>
    </row>
    <row r="2447" spans="1:9" x14ac:dyDescent="0.2">
      <c r="A2447">
        <f t="shared" si="38"/>
        <v>3704740</v>
      </c>
      <c r="B2447" s="24">
        <v>2016</v>
      </c>
      <c r="C2447" t="s">
        <v>563</v>
      </c>
      <c r="D2447" t="s">
        <v>854</v>
      </c>
      <c r="E2447" t="s">
        <v>854</v>
      </c>
      <c r="F2447" s="11">
        <v>103776093</v>
      </c>
      <c r="G2447" s="18">
        <v>9.5830000000000004E-4</v>
      </c>
      <c r="H2447" s="11">
        <v>1221835.3748999999</v>
      </c>
      <c r="I2447" s="22">
        <f>IFERROR(VLOOKUP(D2447,'LEAID Match'!$A$2:$B$184,2,FALSE),"")</f>
        <v>3704740</v>
      </c>
    </row>
    <row r="2448" spans="1:9" x14ac:dyDescent="0.2">
      <c r="A2448">
        <f t="shared" si="38"/>
        <v>3704740</v>
      </c>
      <c r="B2448" s="24">
        <v>2017</v>
      </c>
      <c r="C2448" t="s">
        <v>563</v>
      </c>
      <c r="D2448" t="s">
        <v>854</v>
      </c>
      <c r="E2448" t="s">
        <v>854</v>
      </c>
      <c r="F2448" s="11">
        <v>96315767</v>
      </c>
      <c r="G2448" s="18">
        <v>8.6319999999999995E-4</v>
      </c>
      <c r="H2448" s="11">
        <v>1244038.6608</v>
      </c>
      <c r="I2448" s="22">
        <f>IFERROR(VLOOKUP(D2448,'LEAID Match'!$A$2:$B$184,2,FALSE),"")</f>
        <v>3704740</v>
      </c>
    </row>
    <row r="2449" spans="1:9" x14ac:dyDescent="0.2">
      <c r="A2449">
        <f t="shared" si="38"/>
        <v>3704740</v>
      </c>
      <c r="B2449" s="24">
        <v>2018</v>
      </c>
      <c r="C2449" t="s">
        <v>563</v>
      </c>
      <c r="D2449" t="s">
        <v>854</v>
      </c>
      <c r="E2449" t="s">
        <v>854</v>
      </c>
      <c r="F2449" s="11">
        <v>95319383</v>
      </c>
      <c r="G2449" s="18">
        <v>8.2019999999999999E-4</v>
      </c>
      <c r="H2449" s="11">
        <v>1314699.4002</v>
      </c>
      <c r="I2449" s="22">
        <f>IFERROR(VLOOKUP(D2449,'LEAID Match'!$A$2:$B$184,2,FALSE),"")</f>
        <v>3704740</v>
      </c>
    </row>
    <row r="2450" spans="1:9" x14ac:dyDescent="0.2">
      <c r="A2450">
        <f t="shared" si="38"/>
        <v>3704740</v>
      </c>
      <c r="B2450" s="24">
        <v>2019</v>
      </c>
      <c r="C2450" t="s">
        <v>563</v>
      </c>
      <c r="D2450" t="s">
        <v>854</v>
      </c>
      <c r="E2450" t="s">
        <v>854</v>
      </c>
      <c r="F2450" s="11">
        <v>94492746</v>
      </c>
      <c r="G2450" s="18">
        <v>7.8430000000000004E-4</v>
      </c>
      <c r="H2450" s="11">
        <v>1502049.0078</v>
      </c>
      <c r="I2450" s="22">
        <f>IFERROR(VLOOKUP(D2450,'LEAID Match'!$A$2:$B$184,2,FALSE),"")</f>
        <v>3704740</v>
      </c>
    </row>
    <row r="2451" spans="1:9" x14ac:dyDescent="0.2">
      <c r="A2451">
        <f t="shared" si="38"/>
        <v>3704740</v>
      </c>
      <c r="B2451" s="24">
        <v>2020</v>
      </c>
      <c r="C2451" t="s">
        <v>563</v>
      </c>
      <c r="D2451" t="s">
        <v>854</v>
      </c>
      <c r="E2451" t="s">
        <v>854</v>
      </c>
      <c r="F2451" s="11">
        <v>85315136</v>
      </c>
      <c r="G2451" s="18">
        <v>6.8869999999999999E-4</v>
      </c>
      <c r="H2451" s="11">
        <v>1415330.1525000001</v>
      </c>
      <c r="I2451" s="22">
        <f>IFERROR(VLOOKUP(D2451,'LEAID Match'!$A$2:$B$184,2,FALSE),"")</f>
        <v>3704740</v>
      </c>
    </row>
    <row r="2452" spans="1:9" x14ac:dyDescent="0.2">
      <c r="A2452">
        <f t="shared" si="38"/>
        <v>3704740</v>
      </c>
      <c r="B2452" s="24">
        <v>2021</v>
      </c>
      <c r="C2452" t="s">
        <v>563</v>
      </c>
      <c r="D2452" t="s">
        <v>854</v>
      </c>
      <c r="E2452" t="s">
        <v>854</v>
      </c>
      <c r="F2452" s="11">
        <v>81572103</v>
      </c>
      <c r="G2452" s="18">
        <v>6.5180000000000001E-4</v>
      </c>
      <c r="H2452" s="11">
        <v>1546885.6536000001</v>
      </c>
      <c r="I2452" s="22">
        <f>IFERROR(VLOOKUP(D2452,'LEAID Match'!$A$2:$B$184,2,FALSE),"")</f>
        <v>3704740</v>
      </c>
    </row>
    <row r="2453" spans="1:9" x14ac:dyDescent="0.2">
      <c r="A2453">
        <f t="shared" si="38"/>
        <v>3704740</v>
      </c>
      <c r="B2453" s="24">
        <v>2022</v>
      </c>
      <c r="C2453" t="s">
        <v>563</v>
      </c>
      <c r="D2453" t="s">
        <v>854</v>
      </c>
      <c r="E2453" t="s">
        <v>854</v>
      </c>
      <c r="F2453" s="11">
        <v>83555418</v>
      </c>
      <c r="G2453" s="18">
        <v>6.625E-4</v>
      </c>
      <c r="H2453" s="11">
        <v>1829789.2250000001</v>
      </c>
      <c r="I2453" s="22">
        <f>IFERROR(VLOOKUP(D2453,'LEAID Match'!$A$2:$B$184,2,FALSE),"")</f>
        <v>3704740</v>
      </c>
    </row>
    <row r="2454" spans="1:9" x14ac:dyDescent="0.2">
      <c r="A2454">
        <f t="shared" si="38"/>
        <v>3704740</v>
      </c>
      <c r="B2454" s="24">
        <v>2023</v>
      </c>
      <c r="C2454" t="s">
        <v>563</v>
      </c>
      <c r="D2454" t="s">
        <v>854</v>
      </c>
      <c r="E2454" t="s">
        <v>854</v>
      </c>
      <c r="F2454" s="11">
        <v>102759986</v>
      </c>
      <c r="G2454" s="18">
        <v>7.7320000000000004E-4</v>
      </c>
      <c r="H2454" s="11">
        <v>2346582.3604000001</v>
      </c>
      <c r="I2454" s="22">
        <f>IFERROR(VLOOKUP(D2454,'LEAID Match'!$A$2:$B$184,2,FALSE),"")</f>
        <v>3704740</v>
      </c>
    </row>
    <row r="2455" spans="1:9" x14ac:dyDescent="0.2">
      <c r="A2455">
        <f t="shared" si="38"/>
        <v>3700115</v>
      </c>
      <c r="B2455" s="24">
        <v>2015</v>
      </c>
      <c r="C2455" t="s">
        <v>564</v>
      </c>
      <c r="D2455" t="s">
        <v>855</v>
      </c>
      <c r="E2455" t="s">
        <v>547</v>
      </c>
      <c r="F2455" s="11">
        <v>7380653</v>
      </c>
      <c r="G2455" s="18">
        <v>6.4499999999999996E-5</v>
      </c>
      <c r="H2455" s="11">
        <v>81462.725999999995</v>
      </c>
      <c r="I2455" s="22">
        <f>IFERROR(VLOOKUP(D2455,'LEAID Match'!$A$2:$B$184,2,FALSE),"")</f>
        <v>3700115</v>
      </c>
    </row>
    <row r="2456" spans="1:9" x14ac:dyDescent="0.2">
      <c r="A2456">
        <f t="shared" si="38"/>
        <v>3700115</v>
      </c>
      <c r="B2456" s="24">
        <v>2016</v>
      </c>
      <c r="C2456" t="s">
        <v>564</v>
      </c>
      <c r="D2456" t="s">
        <v>855</v>
      </c>
      <c r="E2456" t="s">
        <v>855</v>
      </c>
      <c r="F2456" s="11">
        <v>5658234</v>
      </c>
      <c r="G2456" s="18">
        <v>5.2299999999999997E-5</v>
      </c>
      <c r="H2456" s="11">
        <v>66682.656900000002</v>
      </c>
      <c r="I2456" s="22">
        <f>IFERROR(VLOOKUP(D2456,'LEAID Match'!$A$2:$B$184,2,FALSE),"")</f>
        <v>3700115</v>
      </c>
    </row>
    <row r="2457" spans="1:9" x14ac:dyDescent="0.2">
      <c r="A2457">
        <f t="shared" si="38"/>
        <v>3700115</v>
      </c>
      <c r="B2457" s="24">
        <v>2017</v>
      </c>
      <c r="C2457" t="s">
        <v>564</v>
      </c>
      <c r="D2457" t="s">
        <v>855</v>
      </c>
      <c r="E2457" t="s">
        <v>855</v>
      </c>
      <c r="F2457" s="11">
        <v>6702694</v>
      </c>
      <c r="G2457" s="18">
        <v>6.0099999999999997E-5</v>
      </c>
      <c r="H2457" s="11">
        <v>86615.759399999995</v>
      </c>
      <c r="I2457" s="22">
        <f>IFERROR(VLOOKUP(D2457,'LEAID Match'!$A$2:$B$184,2,FALSE),"")</f>
        <v>3700115</v>
      </c>
    </row>
    <row r="2458" spans="1:9" x14ac:dyDescent="0.2">
      <c r="A2458">
        <f t="shared" si="38"/>
        <v>3700115</v>
      </c>
      <c r="B2458" s="24">
        <v>2018</v>
      </c>
      <c r="C2458" t="s">
        <v>564</v>
      </c>
      <c r="D2458" t="s">
        <v>855</v>
      </c>
      <c r="E2458" t="s">
        <v>855</v>
      </c>
      <c r="F2458" s="11">
        <v>4498329</v>
      </c>
      <c r="G2458" s="18">
        <v>3.8699999999999999E-5</v>
      </c>
      <c r="H2458" s="11">
        <v>62032.268700000001</v>
      </c>
      <c r="I2458" s="22">
        <f>IFERROR(VLOOKUP(D2458,'LEAID Match'!$A$2:$B$184,2,FALSE),"")</f>
        <v>3700115</v>
      </c>
    </row>
    <row r="2459" spans="1:9" x14ac:dyDescent="0.2">
      <c r="A2459">
        <f t="shared" si="38"/>
        <v>3700115</v>
      </c>
      <c r="B2459" s="24">
        <v>2019</v>
      </c>
      <c r="C2459" t="s">
        <v>564</v>
      </c>
      <c r="D2459" t="s">
        <v>855</v>
      </c>
      <c r="E2459" t="s">
        <v>855</v>
      </c>
      <c r="F2459" s="11">
        <v>3919910</v>
      </c>
      <c r="G2459" s="18">
        <v>3.2499999999999997E-5</v>
      </c>
      <c r="H2459" s="11">
        <v>62242.244999999995</v>
      </c>
      <c r="I2459" s="22">
        <f>IFERROR(VLOOKUP(D2459,'LEAID Match'!$A$2:$B$184,2,FALSE),"")</f>
        <v>3700115</v>
      </c>
    </row>
    <row r="2460" spans="1:9" x14ac:dyDescent="0.2">
      <c r="A2460">
        <f t="shared" si="38"/>
        <v>3700115</v>
      </c>
      <c r="B2460" s="24">
        <v>2020</v>
      </c>
      <c r="C2460" t="s">
        <v>564</v>
      </c>
      <c r="D2460" t="s">
        <v>855</v>
      </c>
      <c r="E2460" t="s">
        <v>855</v>
      </c>
      <c r="F2460" s="11">
        <v>3473289</v>
      </c>
      <c r="G2460" s="18">
        <v>2.8E-5</v>
      </c>
      <c r="H2460" s="11">
        <v>57542.1</v>
      </c>
      <c r="I2460" s="22">
        <f>IFERROR(VLOOKUP(D2460,'LEAID Match'!$A$2:$B$184,2,FALSE),"")</f>
        <v>3700115</v>
      </c>
    </row>
    <row r="2461" spans="1:9" x14ac:dyDescent="0.2">
      <c r="A2461">
        <f t="shared" si="38"/>
        <v>3700115</v>
      </c>
      <c r="B2461" s="24">
        <v>2021</v>
      </c>
      <c r="C2461" t="s">
        <v>564</v>
      </c>
      <c r="D2461" t="s">
        <v>855</v>
      </c>
      <c r="E2461" t="s">
        <v>855</v>
      </c>
      <c r="F2461" s="11">
        <v>4784031</v>
      </c>
      <c r="G2461" s="18">
        <v>3.82E-5</v>
      </c>
      <c r="H2461" s="11">
        <v>90658.2264</v>
      </c>
      <c r="I2461" s="22">
        <f>IFERROR(VLOOKUP(D2461,'LEAID Match'!$A$2:$B$184,2,FALSE),"")</f>
        <v>3700115</v>
      </c>
    </row>
    <row r="2462" spans="1:9" x14ac:dyDescent="0.2">
      <c r="A2462">
        <f t="shared" si="38"/>
        <v>3700115</v>
      </c>
      <c r="B2462" s="24">
        <v>2022</v>
      </c>
      <c r="C2462" t="s">
        <v>564</v>
      </c>
      <c r="D2462" t="s">
        <v>855</v>
      </c>
      <c r="E2462" t="s">
        <v>855</v>
      </c>
      <c r="F2462" s="11">
        <v>5558670</v>
      </c>
      <c r="G2462" s="18">
        <v>4.4100000000000001E-5</v>
      </c>
      <c r="H2462" s="11">
        <v>121801.8186</v>
      </c>
      <c r="I2462" s="22">
        <f>IFERROR(VLOOKUP(D2462,'LEAID Match'!$A$2:$B$184,2,FALSE),"")</f>
        <v>3700115</v>
      </c>
    </row>
    <row r="2463" spans="1:9" x14ac:dyDescent="0.2">
      <c r="A2463">
        <f t="shared" si="38"/>
        <v>3700115</v>
      </c>
      <c r="B2463" s="24">
        <v>2023</v>
      </c>
      <c r="C2463" t="s">
        <v>564</v>
      </c>
      <c r="D2463" t="s">
        <v>855</v>
      </c>
      <c r="E2463" t="s">
        <v>855</v>
      </c>
      <c r="F2463" s="11">
        <v>8373607</v>
      </c>
      <c r="G2463" s="18">
        <v>6.3E-5</v>
      </c>
      <c r="H2463" s="11">
        <v>191198.511</v>
      </c>
      <c r="I2463" s="22">
        <f>IFERROR(VLOOKUP(D2463,'LEAID Match'!$A$2:$B$184,2,FALSE),"")</f>
        <v>3700115</v>
      </c>
    </row>
    <row r="2464" spans="1:9" x14ac:dyDescent="0.2">
      <c r="A2464">
        <f t="shared" si="38"/>
        <v>3704800</v>
      </c>
      <c r="B2464" s="24">
        <v>2015</v>
      </c>
      <c r="C2464" t="s">
        <v>565</v>
      </c>
      <c r="D2464" t="s">
        <v>856</v>
      </c>
      <c r="E2464" t="s">
        <v>548</v>
      </c>
      <c r="F2464" s="11">
        <v>78352518</v>
      </c>
      <c r="G2464" s="18">
        <v>6.8510000000000001E-4</v>
      </c>
      <c r="H2464" s="11">
        <v>865273.07880000002</v>
      </c>
      <c r="I2464" s="22">
        <f>IFERROR(VLOOKUP(D2464,'LEAID Match'!$A$2:$B$184,2,FALSE),"")</f>
        <v>3704800</v>
      </c>
    </row>
    <row r="2465" spans="1:9" x14ac:dyDescent="0.2">
      <c r="A2465">
        <f t="shared" si="38"/>
        <v>3704800</v>
      </c>
      <c r="B2465" s="24">
        <v>2016</v>
      </c>
      <c r="C2465" t="s">
        <v>565</v>
      </c>
      <c r="D2465" t="s">
        <v>856</v>
      </c>
      <c r="E2465" t="s">
        <v>856</v>
      </c>
      <c r="F2465" s="11">
        <v>71390008</v>
      </c>
      <c r="G2465" s="18">
        <v>6.5919999999999998E-4</v>
      </c>
      <c r="H2465" s="11">
        <v>840481.97759999998</v>
      </c>
      <c r="I2465" s="22">
        <f>IFERROR(VLOOKUP(D2465,'LEAID Match'!$A$2:$B$184,2,FALSE),"")</f>
        <v>3704800</v>
      </c>
    </row>
    <row r="2466" spans="1:9" x14ac:dyDescent="0.2">
      <c r="A2466">
        <f t="shared" si="38"/>
        <v>3704800</v>
      </c>
      <c r="B2466" s="24">
        <v>2017</v>
      </c>
      <c r="C2466" t="s">
        <v>565</v>
      </c>
      <c r="D2466" t="s">
        <v>856</v>
      </c>
      <c r="E2466" t="s">
        <v>856</v>
      </c>
      <c r="F2466" s="11">
        <v>69028583</v>
      </c>
      <c r="G2466" s="18">
        <v>6.1859999999999997E-4</v>
      </c>
      <c r="H2466" s="11">
        <v>891522.60839999991</v>
      </c>
      <c r="I2466" s="22">
        <f>IFERROR(VLOOKUP(D2466,'LEAID Match'!$A$2:$B$184,2,FALSE),"")</f>
        <v>3704800</v>
      </c>
    </row>
    <row r="2467" spans="1:9" x14ac:dyDescent="0.2">
      <c r="A2467">
        <f t="shared" si="38"/>
        <v>3704800</v>
      </c>
      <c r="B2467" s="24">
        <v>2018</v>
      </c>
      <c r="C2467" t="s">
        <v>565</v>
      </c>
      <c r="D2467" t="s">
        <v>856</v>
      </c>
      <c r="E2467" t="s">
        <v>856</v>
      </c>
      <c r="F2467" s="11">
        <v>70556010</v>
      </c>
      <c r="G2467" s="18">
        <v>6.0720000000000001E-4</v>
      </c>
      <c r="H2467" s="11">
        <v>973281.48719999997</v>
      </c>
      <c r="I2467" s="22">
        <f>IFERROR(VLOOKUP(D2467,'LEAID Match'!$A$2:$B$184,2,FALSE),"")</f>
        <v>3704800</v>
      </c>
    </row>
    <row r="2468" spans="1:9" x14ac:dyDescent="0.2">
      <c r="A2468">
        <f t="shared" si="38"/>
        <v>3704800</v>
      </c>
      <c r="B2468" s="24">
        <v>2019</v>
      </c>
      <c r="C2468" t="s">
        <v>565</v>
      </c>
      <c r="D2468" t="s">
        <v>856</v>
      </c>
      <c r="E2468" t="s">
        <v>856</v>
      </c>
      <c r="F2468" s="11">
        <v>68112020</v>
      </c>
      <c r="G2468" s="18">
        <v>5.6530000000000003E-4</v>
      </c>
      <c r="H2468" s="11">
        <v>1082632.0338000001</v>
      </c>
      <c r="I2468" s="22">
        <f>IFERROR(VLOOKUP(D2468,'LEAID Match'!$A$2:$B$184,2,FALSE),"")</f>
        <v>3704800</v>
      </c>
    </row>
    <row r="2469" spans="1:9" x14ac:dyDescent="0.2">
      <c r="A2469">
        <f t="shared" si="38"/>
        <v>3704800</v>
      </c>
      <c r="B2469" s="24">
        <v>2020</v>
      </c>
      <c r="C2469" t="s">
        <v>565</v>
      </c>
      <c r="D2469" t="s">
        <v>856</v>
      </c>
      <c r="E2469" t="s">
        <v>856</v>
      </c>
      <c r="F2469" s="11">
        <v>61241153</v>
      </c>
      <c r="G2469" s="18">
        <v>4.9439999999999998E-4</v>
      </c>
      <c r="H2469" s="11">
        <v>1016029.08</v>
      </c>
      <c r="I2469" s="22">
        <f>IFERROR(VLOOKUP(D2469,'LEAID Match'!$A$2:$B$184,2,FALSE),"")</f>
        <v>3704800</v>
      </c>
    </row>
    <row r="2470" spans="1:9" x14ac:dyDescent="0.2">
      <c r="A2470">
        <f t="shared" si="38"/>
        <v>3704800</v>
      </c>
      <c r="B2470" s="24">
        <v>2021</v>
      </c>
      <c r="C2470" t="s">
        <v>565</v>
      </c>
      <c r="D2470" t="s">
        <v>856</v>
      </c>
      <c r="E2470" t="s">
        <v>856</v>
      </c>
      <c r="F2470" s="11">
        <v>57438094</v>
      </c>
      <c r="G2470" s="18">
        <v>4.5899999999999999E-4</v>
      </c>
      <c r="H2470" s="11">
        <v>1089322.6680000001</v>
      </c>
      <c r="I2470" s="22">
        <f>IFERROR(VLOOKUP(D2470,'LEAID Match'!$A$2:$B$184,2,FALSE),"")</f>
        <v>3704800</v>
      </c>
    </row>
    <row r="2471" spans="1:9" x14ac:dyDescent="0.2">
      <c r="A2471">
        <f t="shared" si="38"/>
        <v>3704800</v>
      </c>
      <c r="B2471" s="24">
        <v>2022</v>
      </c>
      <c r="C2471" t="s">
        <v>565</v>
      </c>
      <c r="D2471" t="s">
        <v>856</v>
      </c>
      <c r="E2471" t="s">
        <v>856</v>
      </c>
      <c r="F2471" s="11">
        <v>53905957</v>
      </c>
      <c r="G2471" s="18">
        <v>4.2739999999999998E-4</v>
      </c>
      <c r="H2471" s="11">
        <v>1180455.7204</v>
      </c>
      <c r="I2471" s="22">
        <f>IFERROR(VLOOKUP(D2471,'LEAID Match'!$A$2:$B$184,2,FALSE),"")</f>
        <v>3704800</v>
      </c>
    </row>
    <row r="2472" spans="1:9" x14ac:dyDescent="0.2">
      <c r="A2472">
        <f t="shared" si="38"/>
        <v>3704800</v>
      </c>
      <c r="B2472" s="24">
        <v>2023</v>
      </c>
      <c r="C2472" t="s">
        <v>565</v>
      </c>
      <c r="D2472" t="s">
        <v>856</v>
      </c>
      <c r="E2472" t="s">
        <v>856</v>
      </c>
      <c r="F2472" s="11">
        <v>58891192</v>
      </c>
      <c r="G2472" s="18">
        <v>4.4309999999999998E-4</v>
      </c>
      <c r="H2472" s="11">
        <v>1344762.8606999998</v>
      </c>
      <c r="I2472" s="22">
        <f>IFERROR(VLOOKUP(D2472,'LEAID Match'!$A$2:$B$184,2,FALSE),"")</f>
        <v>3704800</v>
      </c>
    </row>
    <row r="2473" spans="1:9" x14ac:dyDescent="0.2">
      <c r="A2473">
        <f t="shared" si="38"/>
        <v>3700319</v>
      </c>
      <c r="B2473" s="24">
        <v>2015</v>
      </c>
      <c r="C2473" t="s">
        <v>566</v>
      </c>
      <c r="D2473" t="s">
        <v>857</v>
      </c>
      <c r="E2473" t="s">
        <v>549</v>
      </c>
      <c r="F2473" s="11">
        <v>19163447</v>
      </c>
      <c r="G2473" s="18">
        <v>1.6760000000000001E-4</v>
      </c>
      <c r="H2473" s="11">
        <v>211676.78880000001</v>
      </c>
      <c r="I2473" s="22">
        <f>IFERROR(VLOOKUP(D2473,'LEAID Match'!$A$2:$B$184,2,FALSE),"")</f>
        <v>3700319</v>
      </c>
    </row>
    <row r="2474" spans="1:9" x14ac:dyDescent="0.2">
      <c r="A2474">
        <f t="shared" si="38"/>
        <v>3700319</v>
      </c>
      <c r="B2474" s="24">
        <v>2016</v>
      </c>
      <c r="C2474" t="s">
        <v>566</v>
      </c>
      <c r="D2474" t="s">
        <v>857</v>
      </c>
      <c r="E2474" t="s">
        <v>857</v>
      </c>
      <c r="F2474" s="11">
        <v>24043826</v>
      </c>
      <c r="G2474" s="18">
        <v>2.22E-4</v>
      </c>
      <c r="H2474" s="11">
        <v>283050.66600000003</v>
      </c>
      <c r="I2474" s="22">
        <f>IFERROR(VLOOKUP(D2474,'LEAID Match'!$A$2:$B$184,2,FALSE),"")</f>
        <v>3700319</v>
      </c>
    </row>
    <row r="2475" spans="1:9" x14ac:dyDescent="0.2">
      <c r="A2475">
        <f t="shared" si="38"/>
        <v>3700319</v>
      </c>
      <c r="B2475" s="24">
        <v>2017</v>
      </c>
      <c r="C2475" t="s">
        <v>566</v>
      </c>
      <c r="D2475" t="s">
        <v>857</v>
      </c>
      <c r="E2475" t="s">
        <v>857</v>
      </c>
      <c r="F2475" s="11">
        <v>35854146</v>
      </c>
      <c r="G2475" s="18">
        <v>3.213E-4</v>
      </c>
      <c r="H2475" s="11">
        <v>463055.63219999999</v>
      </c>
      <c r="I2475" s="22">
        <f>IFERROR(VLOOKUP(D2475,'LEAID Match'!$A$2:$B$184,2,FALSE),"")</f>
        <v>3700319</v>
      </c>
    </row>
    <row r="2476" spans="1:9" x14ac:dyDescent="0.2">
      <c r="A2476">
        <f t="shared" si="38"/>
        <v>3700319</v>
      </c>
      <c r="B2476" s="24">
        <v>2018</v>
      </c>
      <c r="C2476" t="s">
        <v>566</v>
      </c>
      <c r="D2476" t="s">
        <v>857</v>
      </c>
      <c r="E2476" t="s">
        <v>857</v>
      </c>
      <c r="F2476" s="11">
        <v>44335566</v>
      </c>
      <c r="G2476" s="18">
        <v>3.815E-4</v>
      </c>
      <c r="H2476" s="11">
        <v>611506.73149999999</v>
      </c>
      <c r="I2476" s="22">
        <f>IFERROR(VLOOKUP(D2476,'LEAID Match'!$A$2:$B$184,2,FALSE),"")</f>
        <v>3700319</v>
      </c>
    </row>
    <row r="2477" spans="1:9" x14ac:dyDescent="0.2">
      <c r="A2477">
        <f t="shared" si="38"/>
        <v>3700319</v>
      </c>
      <c r="B2477" s="24">
        <v>2019</v>
      </c>
      <c r="C2477" t="s">
        <v>566</v>
      </c>
      <c r="D2477" t="s">
        <v>857</v>
      </c>
      <c r="E2477" t="s">
        <v>857</v>
      </c>
      <c r="F2477" s="11">
        <v>51943168</v>
      </c>
      <c r="G2477" s="18">
        <v>4.3110000000000002E-4</v>
      </c>
      <c r="H2477" s="11">
        <v>825619.44060000009</v>
      </c>
      <c r="I2477" s="22">
        <f>IFERROR(VLOOKUP(D2477,'LEAID Match'!$A$2:$B$184,2,FALSE),"")</f>
        <v>3700319</v>
      </c>
    </row>
    <row r="2478" spans="1:9" x14ac:dyDescent="0.2">
      <c r="A2478">
        <f t="shared" si="38"/>
        <v>3700319</v>
      </c>
      <c r="B2478" s="24">
        <v>2020</v>
      </c>
      <c r="C2478" t="s">
        <v>566</v>
      </c>
      <c r="D2478" t="s">
        <v>857</v>
      </c>
      <c r="E2478" t="s">
        <v>857</v>
      </c>
      <c r="F2478" s="11">
        <v>59750271</v>
      </c>
      <c r="G2478" s="18">
        <v>4.8240000000000002E-4</v>
      </c>
      <c r="H2478" s="11">
        <v>991368.18</v>
      </c>
      <c r="I2478" s="22">
        <f>IFERROR(VLOOKUP(D2478,'LEAID Match'!$A$2:$B$184,2,FALSE),"")</f>
        <v>3700319</v>
      </c>
    </row>
    <row r="2479" spans="1:9" x14ac:dyDescent="0.2">
      <c r="A2479">
        <f t="shared" si="38"/>
        <v>3700319</v>
      </c>
      <c r="B2479" s="24">
        <v>2021</v>
      </c>
      <c r="C2479" t="s">
        <v>566</v>
      </c>
      <c r="D2479" t="s">
        <v>857</v>
      </c>
      <c r="E2479" t="s">
        <v>857</v>
      </c>
      <c r="F2479" s="11">
        <v>63112183</v>
      </c>
      <c r="G2479" s="18">
        <v>5.0429999999999995E-4</v>
      </c>
      <c r="H2479" s="11">
        <v>1196830.9835999999</v>
      </c>
      <c r="I2479" s="22">
        <f>IFERROR(VLOOKUP(D2479,'LEAID Match'!$A$2:$B$184,2,FALSE),"")</f>
        <v>3700319</v>
      </c>
    </row>
    <row r="2480" spans="1:9" x14ac:dyDescent="0.2">
      <c r="A2480">
        <f t="shared" si="38"/>
        <v>3700319</v>
      </c>
      <c r="B2480" s="24">
        <v>2022</v>
      </c>
      <c r="C2480" t="s">
        <v>566</v>
      </c>
      <c r="D2480" t="s">
        <v>857</v>
      </c>
      <c r="E2480" t="s">
        <v>857</v>
      </c>
      <c r="F2480" s="11">
        <v>62747498</v>
      </c>
      <c r="G2480" s="18">
        <v>4.975E-4</v>
      </c>
      <c r="H2480" s="11">
        <v>1374068.135</v>
      </c>
      <c r="I2480" s="22">
        <f>IFERROR(VLOOKUP(D2480,'LEAID Match'!$A$2:$B$184,2,FALSE),"")</f>
        <v>3700319</v>
      </c>
    </row>
    <row r="2481" spans="1:9" x14ac:dyDescent="0.2">
      <c r="A2481">
        <f t="shared" si="38"/>
        <v>3700319</v>
      </c>
      <c r="B2481" s="24">
        <v>2023</v>
      </c>
      <c r="C2481" t="s">
        <v>566</v>
      </c>
      <c r="D2481" t="s">
        <v>857</v>
      </c>
      <c r="E2481" t="s">
        <v>857</v>
      </c>
      <c r="F2481" s="11">
        <v>67624261</v>
      </c>
      <c r="G2481" s="18">
        <v>5.0880000000000001E-4</v>
      </c>
      <c r="H2481" s="11">
        <v>1544155.5936</v>
      </c>
      <c r="I2481" s="22">
        <f>IFERROR(VLOOKUP(D2481,'LEAID Match'!$A$2:$B$184,2,FALSE),"")</f>
        <v>3700319</v>
      </c>
    </row>
    <row r="2482" spans="1:9" x14ac:dyDescent="0.2">
      <c r="A2482">
        <f t="shared" si="38"/>
        <v>3704830</v>
      </c>
      <c r="B2482" s="24">
        <v>2015</v>
      </c>
      <c r="C2482" t="s">
        <v>567</v>
      </c>
      <c r="D2482" t="s">
        <v>858</v>
      </c>
      <c r="E2482" t="s">
        <v>550</v>
      </c>
      <c r="F2482" s="11">
        <v>223687955</v>
      </c>
      <c r="G2482" s="18">
        <v>1.9558000000000002E-3</v>
      </c>
      <c r="H2482" s="11">
        <v>2470151.9304000004</v>
      </c>
      <c r="I2482" s="22">
        <f>IFERROR(VLOOKUP(D2482,'LEAID Match'!$A$2:$B$184,2,FALSE),"")</f>
        <v>3704830</v>
      </c>
    </row>
    <row r="2483" spans="1:9" x14ac:dyDescent="0.2">
      <c r="A2483">
        <f t="shared" si="38"/>
        <v>3704830</v>
      </c>
      <c r="B2483" s="24">
        <v>2016</v>
      </c>
      <c r="C2483" t="s">
        <v>567</v>
      </c>
      <c r="D2483" t="s">
        <v>858</v>
      </c>
      <c r="E2483" t="s">
        <v>858</v>
      </c>
      <c r="F2483" s="11">
        <v>214967259</v>
      </c>
      <c r="G2483" s="18">
        <v>1.9851000000000001E-3</v>
      </c>
      <c r="H2483" s="11">
        <v>2531008.4553</v>
      </c>
      <c r="I2483" s="22">
        <f>IFERROR(VLOOKUP(D2483,'LEAID Match'!$A$2:$B$184,2,FALSE),"")</f>
        <v>3704830</v>
      </c>
    </row>
    <row r="2484" spans="1:9" x14ac:dyDescent="0.2">
      <c r="A2484">
        <f t="shared" si="38"/>
        <v>3704830</v>
      </c>
      <c r="B2484" s="24">
        <v>2017</v>
      </c>
      <c r="C2484" t="s">
        <v>567</v>
      </c>
      <c r="D2484" t="s">
        <v>858</v>
      </c>
      <c r="E2484" t="s">
        <v>858</v>
      </c>
      <c r="F2484" s="11">
        <v>220229617</v>
      </c>
      <c r="G2484" s="18">
        <v>1.9737000000000001E-3</v>
      </c>
      <c r="H2484" s="11">
        <v>2844484.5978000001</v>
      </c>
      <c r="I2484" s="22">
        <f>IFERROR(VLOOKUP(D2484,'LEAID Match'!$A$2:$B$184,2,FALSE),"")</f>
        <v>3704830</v>
      </c>
    </row>
    <row r="2485" spans="1:9" x14ac:dyDescent="0.2">
      <c r="A2485">
        <f t="shared" si="38"/>
        <v>3704830</v>
      </c>
      <c r="B2485" s="24">
        <v>2018</v>
      </c>
      <c r="C2485" t="s">
        <v>567</v>
      </c>
      <c r="D2485" t="s">
        <v>858</v>
      </c>
      <c r="E2485" t="s">
        <v>858</v>
      </c>
      <c r="F2485" s="11">
        <v>231916397</v>
      </c>
      <c r="G2485" s="18">
        <v>1.9957E-3</v>
      </c>
      <c r="H2485" s="11">
        <v>3198909.5257000001</v>
      </c>
      <c r="I2485" s="22">
        <f>IFERROR(VLOOKUP(D2485,'LEAID Match'!$A$2:$B$184,2,FALSE),"")</f>
        <v>3704830</v>
      </c>
    </row>
    <row r="2486" spans="1:9" x14ac:dyDescent="0.2">
      <c r="A2486">
        <f t="shared" si="38"/>
        <v>3704830</v>
      </c>
      <c r="B2486" s="24">
        <v>2019</v>
      </c>
      <c r="C2486" t="s">
        <v>567</v>
      </c>
      <c r="D2486" t="s">
        <v>858</v>
      </c>
      <c r="E2486" t="s">
        <v>858</v>
      </c>
      <c r="F2486" s="11">
        <v>249016319</v>
      </c>
      <c r="G2486" s="18">
        <v>2.0668000000000001E-3</v>
      </c>
      <c r="H2486" s="11">
        <v>3958223.7528000004</v>
      </c>
      <c r="I2486" s="22">
        <f>IFERROR(VLOOKUP(D2486,'LEAID Match'!$A$2:$B$184,2,FALSE),"")</f>
        <v>3704830</v>
      </c>
    </row>
    <row r="2487" spans="1:9" x14ac:dyDescent="0.2">
      <c r="A2487">
        <f t="shared" si="38"/>
        <v>3704830</v>
      </c>
      <c r="B2487" s="24">
        <v>2020</v>
      </c>
      <c r="C2487" t="s">
        <v>567</v>
      </c>
      <c r="D2487" t="s">
        <v>858</v>
      </c>
      <c r="E2487" t="s">
        <v>858</v>
      </c>
      <c r="F2487" s="11">
        <v>255608747</v>
      </c>
      <c r="G2487" s="18">
        <v>2.0634999999999998E-3</v>
      </c>
      <c r="H2487" s="11">
        <v>4240647.2624999993</v>
      </c>
      <c r="I2487" s="22">
        <f>IFERROR(VLOOKUP(D2487,'LEAID Match'!$A$2:$B$184,2,FALSE),"")</f>
        <v>3704830</v>
      </c>
    </row>
    <row r="2488" spans="1:9" x14ac:dyDescent="0.2">
      <c r="A2488">
        <f t="shared" si="38"/>
        <v>3704830</v>
      </c>
      <c r="B2488" s="24">
        <v>2021</v>
      </c>
      <c r="C2488" t="s">
        <v>567</v>
      </c>
      <c r="D2488" t="s">
        <v>858</v>
      </c>
      <c r="E2488" t="s">
        <v>858</v>
      </c>
      <c r="F2488" s="11">
        <v>253844203</v>
      </c>
      <c r="G2488" s="18">
        <v>2.0282999999999998E-3</v>
      </c>
      <c r="H2488" s="11">
        <v>4813667.0315999994</v>
      </c>
      <c r="I2488" s="22">
        <f>IFERROR(VLOOKUP(D2488,'LEAID Match'!$A$2:$B$184,2,FALSE),"")</f>
        <v>3704830</v>
      </c>
    </row>
    <row r="2489" spans="1:9" x14ac:dyDescent="0.2">
      <c r="A2489">
        <f t="shared" si="38"/>
        <v>3704830</v>
      </c>
      <c r="B2489" s="24">
        <v>2022</v>
      </c>
      <c r="C2489" t="s">
        <v>567</v>
      </c>
      <c r="D2489" t="s">
        <v>858</v>
      </c>
      <c r="E2489" t="s">
        <v>858</v>
      </c>
      <c r="F2489" s="11">
        <v>295654984</v>
      </c>
      <c r="G2489" s="18">
        <v>2.3441999999999998E-3</v>
      </c>
      <c r="H2489" s="11">
        <v>6474553.8131999997</v>
      </c>
      <c r="I2489" s="22">
        <f>IFERROR(VLOOKUP(D2489,'LEAID Match'!$A$2:$B$184,2,FALSE),"")</f>
        <v>3704830</v>
      </c>
    </row>
    <row r="2490" spans="1:9" x14ac:dyDescent="0.2">
      <c r="A2490">
        <f t="shared" si="38"/>
        <v>3704830</v>
      </c>
      <c r="B2490" s="24">
        <v>2023</v>
      </c>
      <c r="C2490" t="s">
        <v>567</v>
      </c>
      <c r="D2490" t="s">
        <v>858</v>
      </c>
      <c r="E2490" t="s">
        <v>858</v>
      </c>
      <c r="F2490" s="11">
        <v>293924523</v>
      </c>
      <c r="G2490" s="18">
        <v>2.2116000000000002E-3</v>
      </c>
      <c r="H2490" s="11">
        <v>6711978.2052000007</v>
      </c>
      <c r="I2490" s="22">
        <f>IFERROR(VLOOKUP(D2490,'LEAID Match'!$A$2:$B$184,2,FALSE),"")</f>
        <v>3704830</v>
      </c>
    </row>
    <row r="2491" spans="1:9" x14ac:dyDescent="0.2">
      <c r="A2491">
        <f t="shared" si="38"/>
        <v>3700138</v>
      </c>
      <c r="B2491" s="24">
        <v>2015</v>
      </c>
      <c r="C2491" t="s">
        <v>568</v>
      </c>
      <c r="D2491" t="s">
        <v>917</v>
      </c>
      <c r="E2491" t="s">
        <v>551</v>
      </c>
      <c r="F2491" s="11">
        <v>7685476</v>
      </c>
      <c r="G2491" s="18">
        <v>6.7199999999999994E-5</v>
      </c>
      <c r="H2491" s="11">
        <v>84872.79359999999</v>
      </c>
      <c r="I2491" s="22">
        <f>IFERROR(VLOOKUP(D2491,'LEAID Match'!$A$2:$B$184,2,FALSE),"")</f>
        <v>3700138</v>
      </c>
    </row>
    <row r="2492" spans="1:9" x14ac:dyDescent="0.2">
      <c r="A2492">
        <f t="shared" si="38"/>
        <v>3700138</v>
      </c>
      <c r="B2492" s="24">
        <v>2016</v>
      </c>
      <c r="C2492" t="s">
        <v>568</v>
      </c>
      <c r="D2492" t="s">
        <v>917</v>
      </c>
      <c r="E2492" t="s">
        <v>859</v>
      </c>
      <c r="F2492" s="11">
        <v>6937940</v>
      </c>
      <c r="G2492" s="18">
        <v>6.41E-5</v>
      </c>
      <c r="H2492" s="11">
        <v>81727.692299999995</v>
      </c>
      <c r="I2492" s="22">
        <f>IFERROR(VLOOKUP(D2492,'LEAID Match'!$A$2:$B$184,2,FALSE),"")</f>
        <v>3700138</v>
      </c>
    </row>
    <row r="2493" spans="1:9" x14ac:dyDescent="0.2">
      <c r="A2493">
        <f t="shared" si="38"/>
        <v>3700138</v>
      </c>
      <c r="B2493" s="24">
        <v>2017</v>
      </c>
      <c r="C2493" t="s">
        <v>568</v>
      </c>
      <c r="D2493" t="s">
        <v>917</v>
      </c>
      <c r="E2493" t="s">
        <v>917</v>
      </c>
      <c r="F2493" s="11">
        <v>7537769</v>
      </c>
      <c r="G2493" s="18">
        <v>6.7600000000000003E-5</v>
      </c>
      <c r="H2493" s="11">
        <v>97424.714400000012</v>
      </c>
      <c r="I2493" s="22">
        <f>IFERROR(VLOOKUP(D2493,'LEAID Match'!$A$2:$B$184,2,FALSE),"")</f>
        <v>3700138</v>
      </c>
    </row>
    <row r="2494" spans="1:9" x14ac:dyDescent="0.2">
      <c r="A2494">
        <f t="shared" si="38"/>
        <v>3700138</v>
      </c>
      <c r="B2494" s="24">
        <v>2018</v>
      </c>
      <c r="C2494" t="s">
        <v>568</v>
      </c>
      <c r="D2494" t="s">
        <v>917</v>
      </c>
      <c r="E2494" t="s">
        <v>917</v>
      </c>
      <c r="F2494" s="11">
        <v>6713523</v>
      </c>
      <c r="G2494" s="18">
        <v>5.7800000000000002E-5</v>
      </c>
      <c r="H2494" s="11">
        <v>92647.677800000005</v>
      </c>
      <c r="I2494" s="22">
        <f>IFERROR(VLOOKUP(D2494,'LEAID Match'!$A$2:$B$184,2,FALSE),"")</f>
        <v>3700138</v>
      </c>
    </row>
    <row r="2495" spans="1:9" x14ac:dyDescent="0.2">
      <c r="A2495">
        <f t="shared" si="38"/>
        <v>3700138</v>
      </c>
      <c r="B2495" s="24">
        <v>2019</v>
      </c>
      <c r="C2495" t="s">
        <v>568</v>
      </c>
      <c r="D2495" t="s">
        <v>917</v>
      </c>
      <c r="E2495" t="s">
        <v>917</v>
      </c>
      <c r="F2495" s="11">
        <v>6887239</v>
      </c>
      <c r="G2495" s="18">
        <v>5.7200000000000001E-5</v>
      </c>
      <c r="H2495" s="11">
        <v>109546.3512</v>
      </c>
      <c r="I2495" s="22">
        <f>IFERROR(VLOOKUP(D2495,'LEAID Match'!$A$2:$B$184,2,FALSE),"")</f>
        <v>3700138</v>
      </c>
    </row>
    <row r="2496" spans="1:9" x14ac:dyDescent="0.2">
      <c r="A2496">
        <f t="shared" si="38"/>
        <v>3700138</v>
      </c>
      <c r="B2496" s="24">
        <v>2020</v>
      </c>
      <c r="C2496" t="s">
        <v>568</v>
      </c>
      <c r="D2496" t="s">
        <v>917</v>
      </c>
      <c r="E2496" t="s">
        <v>917</v>
      </c>
      <c r="F2496" s="11">
        <v>7538989</v>
      </c>
      <c r="G2496" s="18">
        <v>6.0900000000000003E-5</v>
      </c>
      <c r="H2496" s="11">
        <v>125154.0675</v>
      </c>
      <c r="I2496" s="22">
        <f>IFERROR(VLOOKUP(D2496,'LEAID Match'!$A$2:$B$184,2,FALSE),"")</f>
        <v>3700138</v>
      </c>
    </row>
    <row r="2497" spans="1:9" x14ac:dyDescent="0.2">
      <c r="A2497">
        <f t="shared" si="38"/>
        <v>3700138</v>
      </c>
      <c r="B2497" s="24">
        <v>2021</v>
      </c>
      <c r="C2497" t="s">
        <v>568</v>
      </c>
      <c r="D2497" t="s">
        <v>917</v>
      </c>
      <c r="E2497" t="s">
        <v>917</v>
      </c>
      <c r="F2497" s="11">
        <v>7271787</v>
      </c>
      <c r="G2497" s="18">
        <v>5.8100000000000003E-5</v>
      </c>
      <c r="H2497" s="11">
        <v>137885.9412</v>
      </c>
      <c r="I2497" s="22">
        <f>IFERROR(VLOOKUP(D2497,'LEAID Match'!$A$2:$B$184,2,FALSE),"")</f>
        <v>3700138</v>
      </c>
    </row>
    <row r="2498" spans="1:9" x14ac:dyDescent="0.2">
      <c r="A2498">
        <f t="shared" si="38"/>
        <v>3700138</v>
      </c>
      <c r="B2498" s="24">
        <v>2022</v>
      </c>
      <c r="C2498" t="s">
        <v>568</v>
      </c>
      <c r="D2498" t="s">
        <v>917</v>
      </c>
      <c r="E2498" t="s">
        <v>917</v>
      </c>
      <c r="F2498" s="11">
        <v>7446436</v>
      </c>
      <c r="G2498" s="18">
        <v>5.8999999999999998E-5</v>
      </c>
      <c r="H2498" s="11">
        <v>162954.81399999998</v>
      </c>
      <c r="I2498" s="22">
        <f>IFERROR(VLOOKUP(D2498,'LEAID Match'!$A$2:$B$184,2,FALSE),"")</f>
        <v>3700138</v>
      </c>
    </row>
    <row r="2499" spans="1:9" x14ac:dyDescent="0.2">
      <c r="A2499">
        <f t="shared" ref="A2499:A2562" si="39">I2499</f>
        <v>3700138</v>
      </c>
      <c r="B2499" s="24">
        <v>2023</v>
      </c>
      <c r="C2499" t="s">
        <v>568</v>
      </c>
      <c r="D2499" t="s">
        <v>917</v>
      </c>
      <c r="E2499" t="s">
        <v>917</v>
      </c>
      <c r="F2499" s="11">
        <v>7396104</v>
      </c>
      <c r="G2499" s="18">
        <v>5.5699999999999999E-5</v>
      </c>
      <c r="H2499" s="11">
        <v>169043.7629</v>
      </c>
      <c r="I2499" s="22">
        <f>IFERROR(VLOOKUP(D2499,'LEAID Match'!$A$2:$B$184,2,FALSE),"")</f>
        <v>3700138</v>
      </c>
    </row>
    <row r="2500" spans="1:9" x14ac:dyDescent="0.2">
      <c r="A2500">
        <f t="shared" si="39"/>
        <v>3704880</v>
      </c>
      <c r="B2500" s="24">
        <v>2015</v>
      </c>
      <c r="C2500" t="s">
        <v>569</v>
      </c>
      <c r="D2500" t="s">
        <v>860</v>
      </c>
      <c r="E2500" t="s">
        <v>552</v>
      </c>
      <c r="F2500" s="11">
        <v>741746499</v>
      </c>
      <c r="G2500" s="18">
        <v>6.4853000000000003E-3</v>
      </c>
      <c r="H2500" s="11">
        <v>8190856.0764000006</v>
      </c>
      <c r="I2500" s="22">
        <f>IFERROR(VLOOKUP(D2500,'LEAID Match'!$A$2:$B$184,2,FALSE),"")</f>
        <v>3704880</v>
      </c>
    </row>
    <row r="2501" spans="1:9" x14ac:dyDescent="0.2">
      <c r="A2501">
        <f t="shared" si="39"/>
        <v>3704880</v>
      </c>
      <c r="B2501" s="24">
        <v>2016</v>
      </c>
      <c r="C2501" t="s">
        <v>569</v>
      </c>
      <c r="D2501" t="s">
        <v>860</v>
      </c>
      <c r="E2501" t="s">
        <v>860</v>
      </c>
      <c r="F2501" s="11">
        <v>704581044</v>
      </c>
      <c r="G2501" s="18">
        <v>6.5063999999999999E-3</v>
      </c>
      <c r="H2501" s="11">
        <v>8295679.5192</v>
      </c>
      <c r="I2501" s="22">
        <f>IFERROR(VLOOKUP(D2501,'LEAID Match'!$A$2:$B$184,2,FALSE),"")</f>
        <v>3704880</v>
      </c>
    </row>
    <row r="2502" spans="1:9" x14ac:dyDescent="0.2">
      <c r="A2502">
        <f t="shared" si="39"/>
        <v>3704880</v>
      </c>
      <c r="B2502" s="24">
        <v>2017</v>
      </c>
      <c r="C2502" t="s">
        <v>569</v>
      </c>
      <c r="D2502" t="s">
        <v>860</v>
      </c>
      <c r="E2502" t="s">
        <v>860</v>
      </c>
      <c r="F2502" s="11">
        <v>726545459</v>
      </c>
      <c r="G2502" s="18">
        <v>6.5113000000000002E-3</v>
      </c>
      <c r="H2502" s="11">
        <v>9384046.4922000002</v>
      </c>
      <c r="I2502" s="22">
        <f>IFERROR(VLOOKUP(D2502,'LEAID Match'!$A$2:$B$184,2,FALSE),"")</f>
        <v>3704880</v>
      </c>
    </row>
    <row r="2503" spans="1:9" x14ac:dyDescent="0.2">
      <c r="A2503">
        <f t="shared" si="39"/>
        <v>3704880</v>
      </c>
      <c r="B2503" s="24">
        <v>2018</v>
      </c>
      <c r="C2503" t="s">
        <v>569</v>
      </c>
      <c r="D2503" t="s">
        <v>860</v>
      </c>
      <c r="E2503" t="s">
        <v>860</v>
      </c>
      <c r="F2503" s="11">
        <v>755440198</v>
      </c>
      <c r="G2503" s="18">
        <v>6.5008000000000002E-3</v>
      </c>
      <c r="H2503" s="11">
        <v>10420138.820800001</v>
      </c>
      <c r="I2503" s="22">
        <f>IFERROR(VLOOKUP(D2503,'LEAID Match'!$A$2:$B$184,2,FALSE),"")</f>
        <v>3704880</v>
      </c>
    </row>
    <row r="2504" spans="1:9" x14ac:dyDescent="0.2">
      <c r="A2504">
        <f t="shared" si="39"/>
        <v>3704880</v>
      </c>
      <c r="B2504" s="24">
        <v>2019</v>
      </c>
      <c r="C2504" t="s">
        <v>569</v>
      </c>
      <c r="D2504" t="s">
        <v>860</v>
      </c>
      <c r="E2504" t="s">
        <v>860</v>
      </c>
      <c r="F2504" s="11">
        <v>779521268</v>
      </c>
      <c r="G2504" s="18">
        <v>6.4700000000000001E-3</v>
      </c>
      <c r="H2504" s="11">
        <v>12390994.619999999</v>
      </c>
      <c r="I2504" s="22">
        <f>IFERROR(VLOOKUP(D2504,'LEAID Match'!$A$2:$B$184,2,FALSE),"")</f>
        <v>3704880</v>
      </c>
    </row>
    <row r="2505" spans="1:9" x14ac:dyDescent="0.2">
      <c r="A2505">
        <f t="shared" si="39"/>
        <v>3704880</v>
      </c>
      <c r="B2505" s="24">
        <v>2020</v>
      </c>
      <c r="C2505" t="s">
        <v>569</v>
      </c>
      <c r="D2505" t="s">
        <v>860</v>
      </c>
      <c r="E2505" t="s">
        <v>860</v>
      </c>
      <c r="F2505" s="11">
        <v>803068701</v>
      </c>
      <c r="G2505" s="18">
        <v>6.4831000000000003E-3</v>
      </c>
      <c r="H2505" s="11">
        <v>13323256.7325</v>
      </c>
      <c r="I2505" s="22">
        <f>IFERROR(VLOOKUP(D2505,'LEAID Match'!$A$2:$B$184,2,FALSE),"")</f>
        <v>3704880</v>
      </c>
    </row>
    <row r="2506" spans="1:9" x14ac:dyDescent="0.2">
      <c r="A2506">
        <f t="shared" si="39"/>
        <v>3704880</v>
      </c>
      <c r="B2506" s="24">
        <v>2021</v>
      </c>
      <c r="C2506" t="s">
        <v>569</v>
      </c>
      <c r="D2506" t="s">
        <v>860</v>
      </c>
      <c r="E2506" t="s">
        <v>860</v>
      </c>
      <c r="F2506" s="11">
        <v>731889678</v>
      </c>
      <c r="G2506" s="18">
        <v>5.8481000000000002E-3</v>
      </c>
      <c r="H2506" s="11">
        <v>13879015.021200001</v>
      </c>
      <c r="I2506" s="22">
        <f>IFERROR(VLOOKUP(D2506,'LEAID Match'!$A$2:$B$184,2,FALSE),"")</f>
        <v>3704880</v>
      </c>
    </row>
    <row r="2507" spans="1:9" x14ac:dyDescent="0.2">
      <c r="A2507">
        <f t="shared" si="39"/>
        <v>3704880</v>
      </c>
      <c r="B2507" s="24">
        <v>2022</v>
      </c>
      <c r="C2507" t="s">
        <v>569</v>
      </c>
      <c r="D2507" t="s">
        <v>860</v>
      </c>
      <c r="E2507" t="s">
        <v>860</v>
      </c>
      <c r="F2507" s="11">
        <v>736350239</v>
      </c>
      <c r="G2507" s="18">
        <v>5.8384999999999999E-3</v>
      </c>
      <c r="H2507" s="11">
        <v>16125621.720999999</v>
      </c>
      <c r="I2507" s="22">
        <f>IFERROR(VLOOKUP(D2507,'LEAID Match'!$A$2:$B$184,2,FALSE),"")</f>
        <v>3704880</v>
      </c>
    </row>
    <row r="2508" spans="1:9" x14ac:dyDescent="0.2">
      <c r="A2508">
        <f t="shared" si="39"/>
        <v>3704880</v>
      </c>
      <c r="B2508" s="24">
        <v>2023</v>
      </c>
      <c r="C2508" t="s">
        <v>569</v>
      </c>
      <c r="D2508" t="s">
        <v>860</v>
      </c>
      <c r="E2508" t="s">
        <v>860</v>
      </c>
      <c r="F2508" s="11">
        <v>783613457</v>
      </c>
      <c r="G2508" s="18">
        <v>5.8960999999999996E-3</v>
      </c>
      <c r="H2508" s="11">
        <v>17894056.201699998</v>
      </c>
      <c r="I2508" s="22">
        <f>IFERROR(VLOOKUP(D2508,'LEAID Match'!$A$2:$B$184,2,FALSE),"")</f>
        <v>3704880</v>
      </c>
    </row>
    <row r="2509" spans="1:9" x14ac:dyDescent="0.2">
      <c r="A2509" t="str">
        <f t="shared" si="39"/>
        <v/>
      </c>
      <c r="B2509" s="24">
        <v>2015</v>
      </c>
      <c r="C2509" t="s">
        <v>570</v>
      </c>
      <c r="D2509" t="s">
        <v>861</v>
      </c>
      <c r="E2509" t="s">
        <v>553</v>
      </c>
      <c r="F2509" s="11">
        <v>109251896</v>
      </c>
      <c r="G2509" s="18">
        <v>9.5520000000000002E-4</v>
      </c>
      <c r="H2509" s="11">
        <v>1206406.1376</v>
      </c>
      <c r="I2509" s="22" t="str">
        <f>IFERROR(VLOOKUP(D2509,'LEAID Match'!$A$2:$B$184,2,FALSE),"")</f>
        <v/>
      </c>
    </row>
    <row r="2510" spans="1:9" x14ac:dyDescent="0.2">
      <c r="A2510" t="str">
        <f t="shared" si="39"/>
        <v/>
      </c>
      <c r="B2510" s="24">
        <v>2016</v>
      </c>
      <c r="C2510" t="s">
        <v>570</v>
      </c>
      <c r="D2510" t="s">
        <v>861</v>
      </c>
      <c r="E2510" t="s">
        <v>861</v>
      </c>
      <c r="F2510" s="11">
        <v>101814743</v>
      </c>
      <c r="G2510" s="18">
        <v>9.4019999999999998E-4</v>
      </c>
      <c r="H2510" s="11">
        <v>1198757.8206</v>
      </c>
      <c r="I2510" s="22" t="str">
        <f>IFERROR(VLOOKUP(D2510,'LEAID Match'!$A$2:$B$184,2,FALSE),"")</f>
        <v/>
      </c>
    </row>
    <row r="2511" spans="1:9" x14ac:dyDescent="0.2">
      <c r="A2511" t="str">
        <f t="shared" si="39"/>
        <v/>
      </c>
      <c r="B2511" s="24">
        <v>2017</v>
      </c>
      <c r="C2511" t="s">
        <v>570</v>
      </c>
      <c r="D2511" t="s">
        <v>861</v>
      </c>
      <c r="E2511" t="s">
        <v>861</v>
      </c>
      <c r="F2511" s="11">
        <v>107136679</v>
      </c>
      <c r="G2511" s="18">
        <v>9.6020000000000003E-4</v>
      </c>
      <c r="H2511" s="11">
        <v>1383834.4788000002</v>
      </c>
      <c r="I2511" s="22" t="str">
        <f>IFERROR(VLOOKUP(D2511,'LEAID Match'!$A$2:$B$184,2,FALSE),"")</f>
        <v/>
      </c>
    </row>
    <row r="2512" spans="1:9" x14ac:dyDescent="0.2">
      <c r="A2512" t="str">
        <f t="shared" si="39"/>
        <v/>
      </c>
      <c r="B2512" s="24">
        <v>2018</v>
      </c>
      <c r="C2512" t="s">
        <v>570</v>
      </c>
      <c r="D2512" t="s">
        <v>861</v>
      </c>
      <c r="E2512" t="s">
        <v>861</v>
      </c>
      <c r="F2512" s="11">
        <v>113965387</v>
      </c>
      <c r="G2512" s="18">
        <v>9.8069999999999993E-4</v>
      </c>
      <c r="H2512" s="11">
        <v>1571965.0107</v>
      </c>
      <c r="I2512" s="22" t="str">
        <f>IFERROR(VLOOKUP(D2512,'LEAID Match'!$A$2:$B$184,2,FALSE),"")</f>
        <v/>
      </c>
    </row>
    <row r="2513" spans="1:9" x14ac:dyDescent="0.2">
      <c r="A2513" t="str">
        <f t="shared" si="39"/>
        <v/>
      </c>
      <c r="B2513" s="24">
        <v>2019</v>
      </c>
      <c r="C2513" t="s">
        <v>570</v>
      </c>
      <c r="D2513" t="s">
        <v>861</v>
      </c>
      <c r="E2513" t="s">
        <v>861</v>
      </c>
      <c r="F2513" s="11">
        <v>114223559</v>
      </c>
      <c r="G2513" s="18">
        <v>9.4810000000000001E-4</v>
      </c>
      <c r="H2513" s="11">
        <v>1815749.9225999999</v>
      </c>
      <c r="I2513" s="22" t="str">
        <f>IFERROR(VLOOKUP(D2513,'LEAID Match'!$A$2:$B$184,2,FALSE),"")</f>
        <v/>
      </c>
    </row>
    <row r="2514" spans="1:9" x14ac:dyDescent="0.2">
      <c r="A2514" t="str">
        <f t="shared" si="39"/>
        <v/>
      </c>
      <c r="B2514" s="24">
        <v>2020</v>
      </c>
      <c r="C2514" t="s">
        <v>570</v>
      </c>
      <c r="D2514" t="s">
        <v>861</v>
      </c>
      <c r="E2514" t="s">
        <v>861</v>
      </c>
      <c r="F2514" s="11">
        <v>117008995</v>
      </c>
      <c r="G2514" s="18">
        <v>9.4459999999999998E-4</v>
      </c>
      <c r="H2514" s="11">
        <v>1941223.845</v>
      </c>
      <c r="I2514" s="22" t="str">
        <f>IFERROR(VLOOKUP(D2514,'LEAID Match'!$A$2:$B$184,2,FALSE),"")</f>
        <v/>
      </c>
    </row>
    <row r="2515" spans="1:9" x14ac:dyDescent="0.2">
      <c r="A2515" t="str">
        <f t="shared" si="39"/>
        <v/>
      </c>
      <c r="B2515" s="24">
        <v>2021</v>
      </c>
      <c r="C2515" t="s">
        <v>570</v>
      </c>
      <c r="D2515" t="s">
        <v>861</v>
      </c>
      <c r="E2515" t="s">
        <v>861</v>
      </c>
      <c r="F2515" s="11">
        <v>120057568</v>
      </c>
      <c r="G2515" s="18">
        <v>9.5929999999999995E-4</v>
      </c>
      <c r="H2515" s="11">
        <v>2276660.6436000001</v>
      </c>
      <c r="I2515" s="22" t="str">
        <f>IFERROR(VLOOKUP(D2515,'LEAID Match'!$A$2:$B$184,2,FALSE),"")</f>
        <v/>
      </c>
    </row>
    <row r="2516" spans="1:9" x14ac:dyDescent="0.2">
      <c r="A2516" t="str">
        <f t="shared" si="39"/>
        <v/>
      </c>
      <c r="B2516" s="24">
        <v>2022</v>
      </c>
      <c r="C2516" t="s">
        <v>570</v>
      </c>
      <c r="D2516" t="s">
        <v>861</v>
      </c>
      <c r="E2516" t="s">
        <v>861</v>
      </c>
      <c r="F2516" s="11">
        <v>117005130</v>
      </c>
      <c r="G2516" s="18">
        <v>9.2770000000000005E-4</v>
      </c>
      <c r="H2516" s="11">
        <v>2562257.3042000001</v>
      </c>
      <c r="I2516" s="22" t="str">
        <f>IFERROR(VLOOKUP(D2516,'LEAID Match'!$A$2:$B$184,2,FALSE),"")</f>
        <v/>
      </c>
    </row>
    <row r="2517" spans="1:9" x14ac:dyDescent="0.2">
      <c r="A2517" t="str">
        <f t="shared" si="39"/>
        <v/>
      </c>
      <c r="B2517" s="24">
        <v>2023</v>
      </c>
      <c r="C2517" t="s">
        <v>570</v>
      </c>
      <c r="D2517" t="s">
        <v>861</v>
      </c>
      <c r="E2517" t="s">
        <v>861</v>
      </c>
      <c r="F2517" s="11">
        <v>115024772</v>
      </c>
      <c r="G2517" s="18">
        <v>8.6549999999999995E-4</v>
      </c>
      <c r="H2517" s="11">
        <v>2626703.3534999997</v>
      </c>
      <c r="I2517" s="22" t="str">
        <f>IFERROR(VLOOKUP(D2517,'LEAID Match'!$A$2:$B$184,2,FALSE),"")</f>
        <v/>
      </c>
    </row>
    <row r="2518" spans="1:9" x14ac:dyDescent="0.2">
      <c r="A2518">
        <f t="shared" si="39"/>
        <v>3704950</v>
      </c>
      <c r="B2518" s="24">
        <v>2015</v>
      </c>
      <c r="C2518" t="s">
        <v>571</v>
      </c>
      <c r="D2518" t="s">
        <v>862</v>
      </c>
      <c r="E2518" t="s">
        <v>554</v>
      </c>
      <c r="F2518" s="11">
        <v>451667226</v>
      </c>
      <c r="G2518" s="18">
        <v>3.9490999999999997E-3</v>
      </c>
      <c r="H2518" s="11">
        <v>4987665.9107999997</v>
      </c>
      <c r="I2518" s="22">
        <f>IFERROR(VLOOKUP(D2518,'LEAID Match'!$A$2:$B$184,2,FALSE),"")</f>
        <v>3704950</v>
      </c>
    </row>
    <row r="2519" spans="1:9" x14ac:dyDescent="0.2">
      <c r="A2519">
        <f t="shared" si="39"/>
        <v>3704950</v>
      </c>
      <c r="B2519" s="24">
        <v>2016</v>
      </c>
      <c r="C2519" t="s">
        <v>571</v>
      </c>
      <c r="D2519" t="s">
        <v>862</v>
      </c>
      <c r="E2519" t="s">
        <v>862</v>
      </c>
      <c r="F2519" s="11">
        <v>421764450</v>
      </c>
      <c r="G2519" s="18">
        <v>3.8947000000000001E-3</v>
      </c>
      <c r="H2519" s="11">
        <v>4965754.1841000002</v>
      </c>
      <c r="I2519" s="22">
        <f>IFERROR(VLOOKUP(D2519,'LEAID Match'!$A$2:$B$184,2,FALSE),"")</f>
        <v>3704950</v>
      </c>
    </row>
    <row r="2520" spans="1:9" x14ac:dyDescent="0.2">
      <c r="A2520">
        <f t="shared" si="39"/>
        <v>3704950</v>
      </c>
      <c r="B2520" s="24">
        <v>2017</v>
      </c>
      <c r="C2520" t="s">
        <v>571</v>
      </c>
      <c r="D2520" t="s">
        <v>862</v>
      </c>
      <c r="E2520" t="s">
        <v>862</v>
      </c>
      <c r="F2520" s="11">
        <v>419629405</v>
      </c>
      <c r="G2520" s="18">
        <v>3.7607000000000001E-3</v>
      </c>
      <c r="H2520" s="11">
        <v>5419898.2757999999</v>
      </c>
      <c r="I2520" s="22">
        <f>IFERROR(VLOOKUP(D2520,'LEAID Match'!$A$2:$B$184,2,FALSE),"")</f>
        <v>3704950</v>
      </c>
    </row>
    <row r="2521" spans="1:9" x14ac:dyDescent="0.2">
      <c r="A2521">
        <f t="shared" si="39"/>
        <v>3704950</v>
      </c>
      <c r="B2521" s="24">
        <v>2018</v>
      </c>
      <c r="C2521" t="s">
        <v>571</v>
      </c>
      <c r="D2521" t="s">
        <v>862</v>
      </c>
      <c r="E2521" t="s">
        <v>862</v>
      </c>
      <c r="F2521" s="11">
        <v>420700773</v>
      </c>
      <c r="G2521" s="18">
        <v>3.6202000000000001E-3</v>
      </c>
      <c r="H2521" s="11">
        <v>5802822.2001999998</v>
      </c>
      <c r="I2521" s="22">
        <f>IFERROR(VLOOKUP(D2521,'LEAID Match'!$A$2:$B$184,2,FALSE),"")</f>
        <v>3704950</v>
      </c>
    </row>
    <row r="2522" spans="1:9" x14ac:dyDescent="0.2">
      <c r="A2522">
        <f t="shared" si="39"/>
        <v>3704950</v>
      </c>
      <c r="B2522" s="24">
        <v>2019</v>
      </c>
      <c r="C2522" t="s">
        <v>571</v>
      </c>
      <c r="D2522" t="s">
        <v>862</v>
      </c>
      <c r="E2522" t="s">
        <v>862</v>
      </c>
      <c r="F2522" s="11">
        <v>433396969</v>
      </c>
      <c r="G2522" s="18">
        <v>3.5972000000000001E-3</v>
      </c>
      <c r="H2522" s="11">
        <v>6889163.1912000002</v>
      </c>
      <c r="I2522" s="22">
        <f>IFERROR(VLOOKUP(D2522,'LEAID Match'!$A$2:$B$184,2,FALSE),"")</f>
        <v>3704950</v>
      </c>
    </row>
    <row r="2523" spans="1:9" x14ac:dyDescent="0.2">
      <c r="A2523">
        <f t="shared" si="39"/>
        <v>3704950</v>
      </c>
      <c r="B2523" s="24">
        <v>2020</v>
      </c>
      <c r="C2523" t="s">
        <v>571</v>
      </c>
      <c r="D2523" t="s">
        <v>862</v>
      </c>
      <c r="E2523" t="s">
        <v>862</v>
      </c>
      <c r="F2523" s="11">
        <v>438817959</v>
      </c>
      <c r="G2523" s="18">
        <v>3.5425000000000001E-3</v>
      </c>
      <c r="H2523" s="11">
        <v>7280103.1875</v>
      </c>
      <c r="I2523" s="22">
        <f>IFERROR(VLOOKUP(D2523,'LEAID Match'!$A$2:$B$184,2,FALSE),"")</f>
        <v>3704950</v>
      </c>
    </row>
    <row r="2524" spans="1:9" x14ac:dyDescent="0.2">
      <c r="A2524">
        <f t="shared" si="39"/>
        <v>3704950</v>
      </c>
      <c r="B2524" s="24">
        <v>2021</v>
      </c>
      <c r="C2524" t="s">
        <v>571</v>
      </c>
      <c r="D2524" t="s">
        <v>862</v>
      </c>
      <c r="E2524" t="s">
        <v>862</v>
      </c>
      <c r="F2524" s="11">
        <v>422697854</v>
      </c>
      <c r="G2524" s="18">
        <v>3.3774999999999999E-3</v>
      </c>
      <c r="H2524" s="11">
        <v>8015658.6299999999</v>
      </c>
      <c r="I2524" s="22">
        <f>IFERROR(VLOOKUP(D2524,'LEAID Match'!$A$2:$B$184,2,FALSE),"")</f>
        <v>3704950</v>
      </c>
    </row>
    <row r="2525" spans="1:9" x14ac:dyDescent="0.2">
      <c r="A2525">
        <f t="shared" si="39"/>
        <v>3704950</v>
      </c>
      <c r="B2525" s="24">
        <v>2022</v>
      </c>
      <c r="C2525" t="s">
        <v>571</v>
      </c>
      <c r="D2525" t="s">
        <v>862</v>
      </c>
      <c r="E2525" t="s">
        <v>862</v>
      </c>
      <c r="F2525" s="11">
        <v>431933886</v>
      </c>
      <c r="G2525" s="18">
        <v>3.4248E-3</v>
      </c>
      <c r="H2525" s="11">
        <v>9459112.6608000007</v>
      </c>
      <c r="I2525" s="22">
        <f>IFERROR(VLOOKUP(D2525,'LEAID Match'!$A$2:$B$184,2,FALSE),"")</f>
        <v>3704950</v>
      </c>
    </row>
    <row r="2526" spans="1:9" x14ac:dyDescent="0.2">
      <c r="A2526">
        <f t="shared" si="39"/>
        <v>3704950</v>
      </c>
      <c r="B2526" s="24">
        <v>2023</v>
      </c>
      <c r="C2526" t="s">
        <v>571</v>
      </c>
      <c r="D2526" t="s">
        <v>862</v>
      </c>
      <c r="E2526" t="s">
        <v>862</v>
      </c>
      <c r="F2526" s="11">
        <v>439937491</v>
      </c>
      <c r="G2526" s="18">
        <v>3.3102000000000001E-3</v>
      </c>
      <c r="H2526" s="11">
        <v>10046116.0494</v>
      </c>
      <c r="I2526" s="22">
        <f>IFERROR(VLOOKUP(D2526,'LEAID Match'!$A$2:$B$184,2,FALSE),"")</f>
        <v>3704950</v>
      </c>
    </row>
    <row r="2527" spans="1:9" x14ac:dyDescent="0.2">
      <c r="A2527">
        <f t="shared" si="39"/>
        <v>3700353</v>
      </c>
      <c r="B2527" s="24">
        <v>2015</v>
      </c>
      <c r="C2527" t="s">
        <v>572</v>
      </c>
      <c r="D2527" t="s">
        <v>863</v>
      </c>
      <c r="E2527" t="s">
        <v>555</v>
      </c>
      <c r="F2527" s="11">
        <v>9917620</v>
      </c>
      <c r="G2527" s="18">
        <v>8.6700000000000007E-5</v>
      </c>
      <c r="H2527" s="11">
        <v>109501.05960000001</v>
      </c>
      <c r="I2527" s="22">
        <f>IFERROR(VLOOKUP(D2527,'LEAID Match'!$A$2:$B$184,2,FALSE),"")</f>
        <v>3700353</v>
      </c>
    </row>
    <row r="2528" spans="1:9" x14ac:dyDescent="0.2">
      <c r="A2528">
        <f t="shared" si="39"/>
        <v>3700353</v>
      </c>
      <c r="B2528" s="24">
        <v>2016</v>
      </c>
      <c r="C2528" t="s">
        <v>572</v>
      </c>
      <c r="D2528" t="s">
        <v>863</v>
      </c>
      <c r="E2528" t="s">
        <v>863</v>
      </c>
      <c r="F2528" s="11">
        <v>12979387</v>
      </c>
      <c r="G2528" s="18">
        <v>1.199E-4</v>
      </c>
      <c r="H2528" s="11">
        <v>152872.8597</v>
      </c>
      <c r="I2528" s="22">
        <f>IFERROR(VLOOKUP(D2528,'LEAID Match'!$A$2:$B$184,2,FALSE),"")</f>
        <v>3700353</v>
      </c>
    </row>
    <row r="2529" spans="1:9" x14ac:dyDescent="0.2">
      <c r="A2529">
        <f t="shared" si="39"/>
        <v>3700353</v>
      </c>
      <c r="B2529" s="24">
        <v>2017</v>
      </c>
      <c r="C2529" t="s">
        <v>572</v>
      </c>
      <c r="D2529" t="s">
        <v>863</v>
      </c>
      <c r="E2529" t="s">
        <v>863</v>
      </c>
      <c r="F2529" s="11">
        <v>17363539</v>
      </c>
      <c r="G2529" s="18">
        <v>1.5559999999999999E-4</v>
      </c>
      <c r="H2529" s="11">
        <v>224249.78639999998</v>
      </c>
      <c r="I2529" s="22">
        <f>IFERROR(VLOOKUP(D2529,'LEAID Match'!$A$2:$B$184,2,FALSE),"")</f>
        <v>3700353</v>
      </c>
    </row>
    <row r="2530" spans="1:9" x14ac:dyDescent="0.2">
      <c r="A2530">
        <f t="shared" si="39"/>
        <v>3700353</v>
      </c>
      <c r="B2530" s="24">
        <v>2018</v>
      </c>
      <c r="C2530" t="s">
        <v>572</v>
      </c>
      <c r="D2530" t="s">
        <v>863</v>
      </c>
      <c r="E2530" t="s">
        <v>863</v>
      </c>
      <c r="F2530" s="11">
        <v>25885574</v>
      </c>
      <c r="G2530" s="18">
        <v>2.2279999999999999E-4</v>
      </c>
      <c r="H2530" s="11">
        <v>357126.34279999998</v>
      </c>
      <c r="I2530" s="22">
        <f>IFERROR(VLOOKUP(D2530,'LEAID Match'!$A$2:$B$184,2,FALSE),"")</f>
        <v>3700353</v>
      </c>
    </row>
    <row r="2531" spans="1:9" x14ac:dyDescent="0.2">
      <c r="A2531">
        <f t="shared" si="39"/>
        <v>3700353</v>
      </c>
      <c r="B2531" s="24">
        <v>2019</v>
      </c>
      <c r="C2531" t="s">
        <v>572</v>
      </c>
      <c r="D2531" t="s">
        <v>863</v>
      </c>
      <c r="E2531" t="s">
        <v>863</v>
      </c>
      <c r="F2531" s="11">
        <v>30422081</v>
      </c>
      <c r="G2531" s="18">
        <v>2.5250000000000001E-4</v>
      </c>
      <c r="H2531" s="11">
        <v>483574.36500000005</v>
      </c>
      <c r="I2531" s="22">
        <f>IFERROR(VLOOKUP(D2531,'LEAID Match'!$A$2:$B$184,2,FALSE),"")</f>
        <v>3700353</v>
      </c>
    </row>
    <row r="2532" spans="1:9" x14ac:dyDescent="0.2">
      <c r="A2532">
        <f t="shared" si="39"/>
        <v>3700353</v>
      </c>
      <c r="B2532" s="24">
        <v>2020</v>
      </c>
      <c r="C2532" t="s">
        <v>572</v>
      </c>
      <c r="D2532" t="s">
        <v>863</v>
      </c>
      <c r="E2532" t="s">
        <v>863</v>
      </c>
      <c r="F2532" s="11">
        <v>30490062</v>
      </c>
      <c r="G2532" s="18">
        <v>2.4610000000000002E-4</v>
      </c>
      <c r="H2532" s="11">
        <v>505753.95750000002</v>
      </c>
      <c r="I2532" s="22">
        <f>IFERROR(VLOOKUP(D2532,'LEAID Match'!$A$2:$B$184,2,FALSE),"")</f>
        <v>3700353</v>
      </c>
    </row>
    <row r="2533" spans="1:9" x14ac:dyDescent="0.2">
      <c r="A2533">
        <f t="shared" si="39"/>
        <v>3700353</v>
      </c>
      <c r="B2533" s="24">
        <v>2021</v>
      </c>
      <c r="C2533" t="s">
        <v>572</v>
      </c>
      <c r="D2533" t="s">
        <v>863</v>
      </c>
      <c r="E2533" t="s">
        <v>863</v>
      </c>
      <c r="F2533" s="11">
        <v>31441959</v>
      </c>
      <c r="G2533" s="18">
        <v>2.5119999999999998E-4</v>
      </c>
      <c r="H2533" s="11">
        <v>596160.9023999999</v>
      </c>
      <c r="I2533" s="22">
        <f>IFERROR(VLOOKUP(D2533,'LEAID Match'!$A$2:$B$184,2,FALSE),"")</f>
        <v>3700353</v>
      </c>
    </row>
    <row r="2534" spans="1:9" x14ac:dyDescent="0.2">
      <c r="A2534">
        <f t="shared" si="39"/>
        <v>3700353</v>
      </c>
      <c r="B2534" s="24">
        <v>2022</v>
      </c>
      <c r="C2534" t="s">
        <v>572</v>
      </c>
      <c r="D2534" t="s">
        <v>863</v>
      </c>
      <c r="E2534" t="s">
        <v>863</v>
      </c>
      <c r="F2534" s="11">
        <v>32439818</v>
      </c>
      <c r="G2534" s="18">
        <v>2.5720000000000002E-4</v>
      </c>
      <c r="H2534" s="11">
        <v>710372.51120000007</v>
      </c>
      <c r="I2534" s="22">
        <f>IFERROR(VLOOKUP(D2534,'LEAID Match'!$A$2:$B$184,2,FALSE),"")</f>
        <v>3700353</v>
      </c>
    </row>
    <row r="2535" spans="1:9" x14ac:dyDescent="0.2">
      <c r="A2535">
        <f t="shared" si="39"/>
        <v>3700353</v>
      </c>
      <c r="B2535" s="24">
        <v>2023</v>
      </c>
      <c r="C2535" t="s">
        <v>572</v>
      </c>
      <c r="D2535" t="s">
        <v>863</v>
      </c>
      <c r="E2535" t="s">
        <v>863</v>
      </c>
      <c r="F2535" s="11">
        <v>33103575</v>
      </c>
      <c r="G2535" s="18">
        <v>2.4909999999999998E-4</v>
      </c>
      <c r="H2535" s="11">
        <v>755992.84269999992</v>
      </c>
      <c r="I2535" s="22">
        <f>IFERROR(VLOOKUP(D2535,'LEAID Match'!$A$2:$B$184,2,FALSE),"")</f>
        <v>3700353</v>
      </c>
    </row>
    <row r="2536" spans="1:9" x14ac:dyDescent="0.2">
      <c r="A2536" t="str">
        <f t="shared" si="39"/>
        <v/>
      </c>
      <c r="B2536" s="24">
        <v>2015</v>
      </c>
      <c r="C2536" t="s">
        <v>573</v>
      </c>
      <c r="D2536" t="s">
        <v>864</v>
      </c>
      <c r="E2536" t="s">
        <v>556</v>
      </c>
      <c r="F2536" s="11">
        <v>104557191</v>
      </c>
      <c r="G2536" s="18">
        <v>9.142E-4</v>
      </c>
      <c r="H2536" s="11">
        <v>1154623.6296000001</v>
      </c>
      <c r="I2536" s="22" t="str">
        <f>IFERROR(VLOOKUP(D2536,'LEAID Match'!$A$2:$B$184,2,FALSE),"")</f>
        <v/>
      </c>
    </row>
    <row r="2537" spans="1:9" x14ac:dyDescent="0.2">
      <c r="A2537" t="str">
        <f t="shared" si="39"/>
        <v/>
      </c>
      <c r="B2537" s="24">
        <v>2016</v>
      </c>
      <c r="C2537" t="s">
        <v>573</v>
      </c>
      <c r="D2537" t="s">
        <v>864</v>
      </c>
      <c r="E2537" t="s">
        <v>864</v>
      </c>
      <c r="F2537" s="11">
        <v>98469715</v>
      </c>
      <c r="G2537" s="18">
        <v>9.0930000000000004E-4</v>
      </c>
      <c r="H2537" s="11">
        <v>1159360.2279000001</v>
      </c>
      <c r="I2537" s="22" t="str">
        <f>IFERROR(VLOOKUP(D2537,'LEAID Match'!$A$2:$B$184,2,FALSE),"")</f>
        <v/>
      </c>
    </row>
    <row r="2538" spans="1:9" x14ac:dyDescent="0.2">
      <c r="A2538" t="str">
        <f t="shared" si="39"/>
        <v/>
      </c>
      <c r="B2538" s="24">
        <v>2017</v>
      </c>
      <c r="C2538" t="s">
        <v>573</v>
      </c>
      <c r="D2538" t="s">
        <v>864</v>
      </c>
      <c r="E2538" t="s">
        <v>864</v>
      </c>
      <c r="F2538" s="11">
        <v>100820123</v>
      </c>
      <c r="G2538" s="18">
        <v>9.0359999999999995E-4</v>
      </c>
      <c r="H2538" s="11">
        <v>1302262.8983999998</v>
      </c>
      <c r="I2538" s="22" t="str">
        <f>IFERROR(VLOOKUP(D2538,'LEAID Match'!$A$2:$B$184,2,FALSE),"")</f>
        <v/>
      </c>
    </row>
    <row r="2539" spans="1:9" x14ac:dyDescent="0.2">
      <c r="A2539" t="str">
        <f t="shared" si="39"/>
        <v/>
      </c>
      <c r="B2539" s="24">
        <v>2018</v>
      </c>
      <c r="C2539" t="s">
        <v>573</v>
      </c>
      <c r="D2539" t="s">
        <v>864</v>
      </c>
      <c r="E2539" t="s">
        <v>864</v>
      </c>
      <c r="F2539" s="11">
        <v>102291964</v>
      </c>
      <c r="G2539" s="18">
        <v>8.8020000000000004E-4</v>
      </c>
      <c r="H2539" s="11">
        <v>1410873.4602000001</v>
      </c>
      <c r="I2539" s="22" t="str">
        <f>IFERROR(VLOOKUP(D2539,'LEAID Match'!$A$2:$B$184,2,FALSE),"")</f>
        <v/>
      </c>
    </row>
    <row r="2540" spans="1:9" x14ac:dyDescent="0.2">
      <c r="A2540" t="str">
        <f t="shared" si="39"/>
        <v/>
      </c>
      <c r="B2540" s="24">
        <v>2019</v>
      </c>
      <c r="C2540" t="s">
        <v>573</v>
      </c>
      <c r="D2540" t="s">
        <v>864</v>
      </c>
      <c r="E2540" t="s">
        <v>864</v>
      </c>
      <c r="F2540" s="11">
        <v>109252146</v>
      </c>
      <c r="G2540" s="18">
        <v>9.0680000000000003E-4</v>
      </c>
      <c r="H2540" s="11">
        <v>1736654.3928</v>
      </c>
      <c r="I2540" s="22" t="str">
        <f>IFERROR(VLOOKUP(D2540,'LEAID Match'!$A$2:$B$184,2,FALSE),"")</f>
        <v/>
      </c>
    </row>
    <row r="2541" spans="1:9" x14ac:dyDescent="0.2">
      <c r="A2541" t="str">
        <f t="shared" si="39"/>
        <v/>
      </c>
      <c r="B2541" s="24">
        <v>2020</v>
      </c>
      <c r="C2541" t="s">
        <v>573</v>
      </c>
      <c r="D2541" t="s">
        <v>864</v>
      </c>
      <c r="E2541" t="s">
        <v>864</v>
      </c>
      <c r="F2541" s="11">
        <v>110232215</v>
      </c>
      <c r="G2541" s="18">
        <v>8.899E-4</v>
      </c>
      <c r="H2541" s="11">
        <v>1828811.2424999999</v>
      </c>
      <c r="I2541" s="22" t="str">
        <f>IFERROR(VLOOKUP(D2541,'LEAID Match'!$A$2:$B$184,2,FALSE),"")</f>
        <v/>
      </c>
    </row>
    <row r="2542" spans="1:9" x14ac:dyDescent="0.2">
      <c r="A2542" t="str">
        <f t="shared" si="39"/>
        <v/>
      </c>
      <c r="B2542" s="24">
        <v>2021</v>
      </c>
      <c r="C2542" t="s">
        <v>573</v>
      </c>
      <c r="D2542" t="s">
        <v>864</v>
      </c>
      <c r="E2542" t="s">
        <v>864</v>
      </c>
      <c r="F2542" s="11">
        <v>108637980</v>
      </c>
      <c r="G2542" s="18">
        <v>8.6810000000000001E-4</v>
      </c>
      <c r="H2542" s="11">
        <v>2060220.0612000001</v>
      </c>
      <c r="I2542" s="22" t="str">
        <f>IFERROR(VLOOKUP(D2542,'LEAID Match'!$A$2:$B$184,2,FALSE),"")</f>
        <v/>
      </c>
    </row>
    <row r="2543" spans="1:9" x14ac:dyDescent="0.2">
      <c r="A2543" t="str">
        <f t="shared" si="39"/>
        <v/>
      </c>
      <c r="B2543" s="24">
        <v>2022</v>
      </c>
      <c r="C2543" t="s">
        <v>573</v>
      </c>
      <c r="D2543" t="s">
        <v>864</v>
      </c>
      <c r="E2543" t="s">
        <v>864</v>
      </c>
      <c r="F2543" s="11">
        <v>112130104</v>
      </c>
      <c r="G2543" s="18">
        <v>8.8909999999999998E-4</v>
      </c>
      <c r="H2543" s="11">
        <v>2455646.1886</v>
      </c>
      <c r="I2543" s="22" t="str">
        <f>IFERROR(VLOOKUP(D2543,'LEAID Match'!$A$2:$B$184,2,FALSE),"")</f>
        <v/>
      </c>
    </row>
    <row r="2544" spans="1:9" x14ac:dyDescent="0.2">
      <c r="A2544" t="str">
        <f t="shared" si="39"/>
        <v/>
      </c>
      <c r="B2544" s="24">
        <v>2023</v>
      </c>
      <c r="C2544" t="s">
        <v>573</v>
      </c>
      <c r="D2544" t="s">
        <v>864</v>
      </c>
      <c r="E2544" t="s">
        <v>864</v>
      </c>
      <c r="F2544" s="11">
        <v>117153701</v>
      </c>
      <c r="G2544" s="18">
        <v>8.8150000000000001E-4</v>
      </c>
      <c r="H2544" s="11">
        <v>2675261.7055000002</v>
      </c>
      <c r="I2544" s="22" t="str">
        <f>IFERROR(VLOOKUP(D2544,'LEAID Match'!$A$2:$B$184,2,FALSE),"")</f>
        <v/>
      </c>
    </row>
    <row r="2545" spans="1:9" x14ac:dyDescent="0.2">
      <c r="A2545">
        <f t="shared" si="39"/>
        <v>3705020</v>
      </c>
      <c r="B2545" s="24">
        <v>2015</v>
      </c>
      <c r="C2545" t="s">
        <v>574</v>
      </c>
      <c r="D2545" t="s">
        <v>865</v>
      </c>
      <c r="E2545" t="s">
        <v>557</v>
      </c>
      <c r="F2545" s="11">
        <v>500166789</v>
      </c>
      <c r="G2545" s="18">
        <v>4.3731000000000004E-3</v>
      </c>
      <c r="H2545" s="11">
        <v>5523172.8228000002</v>
      </c>
      <c r="I2545" s="22">
        <f>IFERROR(VLOOKUP(D2545,'LEAID Match'!$A$2:$B$184,2,FALSE),"")</f>
        <v>3705020</v>
      </c>
    </row>
    <row r="2546" spans="1:9" x14ac:dyDescent="0.2">
      <c r="A2546">
        <f t="shared" si="39"/>
        <v>3705020</v>
      </c>
      <c r="B2546" s="24">
        <v>2016</v>
      </c>
      <c r="C2546" t="s">
        <v>574</v>
      </c>
      <c r="D2546" t="s">
        <v>865</v>
      </c>
      <c r="E2546" t="s">
        <v>865</v>
      </c>
      <c r="F2546" s="11">
        <v>466399143</v>
      </c>
      <c r="G2546" s="18">
        <v>4.3068999999999998E-3</v>
      </c>
      <c r="H2546" s="11">
        <v>5491310.4206999997</v>
      </c>
      <c r="I2546" s="22">
        <f>IFERROR(VLOOKUP(D2546,'LEAID Match'!$A$2:$B$184,2,FALSE),"")</f>
        <v>3705020</v>
      </c>
    </row>
    <row r="2547" spans="1:9" x14ac:dyDescent="0.2">
      <c r="A2547">
        <f t="shared" si="39"/>
        <v>3705020</v>
      </c>
      <c r="B2547" s="24">
        <v>2017</v>
      </c>
      <c r="C2547" t="s">
        <v>574</v>
      </c>
      <c r="D2547" t="s">
        <v>865</v>
      </c>
      <c r="E2547" t="s">
        <v>865</v>
      </c>
      <c r="F2547" s="11">
        <v>473185542</v>
      </c>
      <c r="G2547" s="18">
        <v>4.2407E-3</v>
      </c>
      <c r="H2547" s="11">
        <v>6111671.3958000001</v>
      </c>
      <c r="I2547" s="22">
        <f>IFERROR(VLOOKUP(D2547,'LEAID Match'!$A$2:$B$184,2,FALSE),"")</f>
        <v>3705020</v>
      </c>
    </row>
    <row r="2548" spans="1:9" x14ac:dyDescent="0.2">
      <c r="A2548">
        <f t="shared" si="39"/>
        <v>3705020</v>
      </c>
      <c r="B2548" s="24">
        <v>2018</v>
      </c>
      <c r="C2548" t="s">
        <v>574</v>
      </c>
      <c r="D2548" t="s">
        <v>865</v>
      </c>
      <c r="E2548" t="s">
        <v>865</v>
      </c>
      <c r="F2548" s="11">
        <v>493723475</v>
      </c>
      <c r="G2548" s="18">
        <v>4.2485999999999999E-3</v>
      </c>
      <c r="H2548" s="11">
        <v>6810085.1886</v>
      </c>
      <c r="I2548" s="22">
        <f>IFERROR(VLOOKUP(D2548,'LEAID Match'!$A$2:$B$184,2,FALSE),"")</f>
        <v>3705020</v>
      </c>
    </row>
    <row r="2549" spans="1:9" x14ac:dyDescent="0.2">
      <c r="A2549">
        <f t="shared" si="39"/>
        <v>3705020</v>
      </c>
      <c r="B2549" s="24">
        <v>2019</v>
      </c>
      <c r="C2549" t="s">
        <v>574</v>
      </c>
      <c r="D2549" t="s">
        <v>865</v>
      </c>
      <c r="E2549" t="s">
        <v>865</v>
      </c>
      <c r="F2549" s="11">
        <v>481776151</v>
      </c>
      <c r="G2549" s="18">
        <v>3.9987E-3</v>
      </c>
      <c r="H2549" s="11">
        <v>7658094.3102000002</v>
      </c>
      <c r="I2549" s="22">
        <f>IFERROR(VLOOKUP(D2549,'LEAID Match'!$A$2:$B$184,2,FALSE),"")</f>
        <v>3705020</v>
      </c>
    </row>
    <row r="2550" spans="1:9" x14ac:dyDescent="0.2">
      <c r="A2550">
        <f t="shared" si="39"/>
        <v>3705020</v>
      </c>
      <c r="B2550" s="24">
        <v>2020</v>
      </c>
      <c r="C2550" t="s">
        <v>574</v>
      </c>
      <c r="D2550" t="s">
        <v>865</v>
      </c>
      <c r="E2550" t="s">
        <v>865</v>
      </c>
      <c r="F2550" s="11">
        <v>481356502</v>
      </c>
      <c r="G2550" s="18">
        <v>3.8858999999999999E-3</v>
      </c>
      <c r="H2550" s="11">
        <v>7985815.9424999999</v>
      </c>
      <c r="I2550" s="22">
        <f>IFERROR(VLOOKUP(D2550,'LEAID Match'!$A$2:$B$184,2,FALSE),"")</f>
        <v>3705020</v>
      </c>
    </row>
    <row r="2551" spans="1:9" x14ac:dyDescent="0.2">
      <c r="A2551">
        <f t="shared" si="39"/>
        <v>3705020</v>
      </c>
      <c r="B2551" s="24">
        <v>2021</v>
      </c>
      <c r="C2551" t="s">
        <v>574</v>
      </c>
      <c r="D2551" t="s">
        <v>865</v>
      </c>
      <c r="E2551" t="s">
        <v>865</v>
      </c>
      <c r="F2551" s="11">
        <v>467462837</v>
      </c>
      <c r="G2551" s="18">
        <v>3.7352000000000002E-3</v>
      </c>
      <c r="H2551" s="11">
        <v>8864570.8704000004</v>
      </c>
      <c r="I2551" s="22">
        <f>IFERROR(VLOOKUP(D2551,'LEAID Match'!$A$2:$B$184,2,FALSE),"")</f>
        <v>3705020</v>
      </c>
    </row>
    <row r="2552" spans="1:9" ht="17" customHeight="1" x14ac:dyDescent="0.2">
      <c r="A2552">
        <f t="shared" si="39"/>
        <v>3705020</v>
      </c>
      <c r="B2552" s="24">
        <v>2022</v>
      </c>
      <c r="C2552" t="s">
        <v>574</v>
      </c>
      <c r="D2552" t="s">
        <v>865</v>
      </c>
      <c r="E2552" t="s">
        <v>865</v>
      </c>
      <c r="F2552" s="11">
        <v>469900913</v>
      </c>
      <c r="G2552" s="18">
        <v>3.7258E-3</v>
      </c>
      <c r="H2552" s="11">
        <v>10290458.4068</v>
      </c>
      <c r="I2552" s="22">
        <f>IFERROR(VLOOKUP(D2552,'LEAID Match'!$A$2:$B$184,2,FALSE),"")</f>
        <v>3705020</v>
      </c>
    </row>
    <row r="2553" spans="1:9" x14ac:dyDescent="0.2">
      <c r="A2553">
        <f t="shared" si="39"/>
        <v>3705020</v>
      </c>
      <c r="B2553" s="24">
        <v>2023</v>
      </c>
      <c r="C2553" t="s">
        <v>574</v>
      </c>
      <c r="D2553" t="s">
        <v>865</v>
      </c>
      <c r="E2553" t="s">
        <v>865</v>
      </c>
      <c r="F2553" s="11">
        <v>492746351</v>
      </c>
      <c r="G2553" s="18">
        <v>3.7074999999999999E-3</v>
      </c>
      <c r="H2553" s="11">
        <v>11251880.627499999</v>
      </c>
      <c r="I2553" s="22">
        <f>IFERROR(VLOOKUP(D2553,'LEAID Match'!$A$2:$B$184,2,FALSE),"")</f>
        <v>3705020</v>
      </c>
    </row>
    <row r="2554" spans="1:9" x14ac:dyDescent="0.2">
      <c r="A2554" t="str">
        <f t="shared" si="39"/>
        <v/>
      </c>
      <c r="B2554" s="24">
        <v>2015</v>
      </c>
      <c r="C2554" t="s">
        <v>575</v>
      </c>
      <c r="D2554" t="s">
        <v>866</v>
      </c>
      <c r="E2554" t="s">
        <v>558</v>
      </c>
      <c r="F2554" s="11">
        <v>55965273</v>
      </c>
      <c r="G2554" s="18">
        <v>4.8930000000000002E-4</v>
      </c>
      <c r="H2554" s="11">
        <v>617980.02840000007</v>
      </c>
      <c r="I2554" s="22" t="str">
        <f>IFERROR(VLOOKUP(D2554,'LEAID Match'!$A$2:$B$184,2,FALSE),"")</f>
        <v/>
      </c>
    </row>
    <row r="2555" spans="1:9" x14ac:dyDescent="0.2">
      <c r="A2555" t="str">
        <f t="shared" si="39"/>
        <v/>
      </c>
      <c r="B2555" s="24">
        <v>2016</v>
      </c>
      <c r="C2555" t="s">
        <v>575</v>
      </c>
      <c r="D2555" t="s">
        <v>866</v>
      </c>
      <c r="E2555" t="s">
        <v>866</v>
      </c>
      <c r="F2555" s="11">
        <v>52751555</v>
      </c>
      <c r="G2555" s="18">
        <v>4.8710000000000002E-4</v>
      </c>
      <c r="H2555" s="11">
        <v>621053.96130000008</v>
      </c>
      <c r="I2555" s="22" t="str">
        <f>IFERROR(VLOOKUP(D2555,'LEAID Match'!$A$2:$B$184,2,FALSE),"")</f>
        <v/>
      </c>
    </row>
    <row r="2556" spans="1:9" x14ac:dyDescent="0.2">
      <c r="A2556" t="str">
        <f t="shared" si="39"/>
        <v/>
      </c>
      <c r="B2556" s="24">
        <v>2017</v>
      </c>
      <c r="C2556" t="s">
        <v>575</v>
      </c>
      <c r="D2556" t="s">
        <v>866</v>
      </c>
      <c r="E2556" t="s">
        <v>866</v>
      </c>
      <c r="F2556" s="11">
        <v>56445641</v>
      </c>
      <c r="G2556" s="18">
        <v>5.0589999999999999E-4</v>
      </c>
      <c r="H2556" s="11">
        <v>729100.04460000002</v>
      </c>
      <c r="I2556" s="22" t="str">
        <f>IFERROR(VLOOKUP(D2556,'LEAID Match'!$A$2:$B$184,2,FALSE),"")</f>
        <v/>
      </c>
    </row>
    <row r="2557" spans="1:9" x14ac:dyDescent="0.2">
      <c r="A2557" t="str">
        <f t="shared" si="39"/>
        <v/>
      </c>
      <c r="B2557" s="24">
        <v>2018</v>
      </c>
      <c r="C2557" t="s">
        <v>575</v>
      </c>
      <c r="D2557" t="s">
        <v>866</v>
      </c>
      <c r="E2557" t="s">
        <v>866</v>
      </c>
      <c r="F2557" s="11">
        <v>54910539</v>
      </c>
      <c r="G2557" s="18">
        <v>4.7249999999999999E-4</v>
      </c>
      <c r="H2557" s="11">
        <v>757370.72250000003</v>
      </c>
      <c r="I2557" s="22" t="str">
        <f>IFERROR(VLOOKUP(D2557,'LEAID Match'!$A$2:$B$184,2,FALSE),"")</f>
        <v/>
      </c>
    </row>
    <row r="2558" spans="1:9" x14ac:dyDescent="0.2">
      <c r="A2558" t="str">
        <f t="shared" si="39"/>
        <v/>
      </c>
      <c r="B2558" s="24">
        <v>2019</v>
      </c>
      <c r="C2558" t="s">
        <v>575</v>
      </c>
      <c r="D2558" t="s">
        <v>866</v>
      </c>
      <c r="E2558" t="s">
        <v>866</v>
      </c>
      <c r="F2558" s="11">
        <v>58157848</v>
      </c>
      <c r="G2558" s="18">
        <v>4.8270000000000002E-4</v>
      </c>
      <c r="H2558" s="11">
        <v>924440.97420000006</v>
      </c>
      <c r="I2558" s="22" t="str">
        <f>IFERROR(VLOOKUP(D2558,'LEAID Match'!$A$2:$B$184,2,FALSE),"")</f>
        <v/>
      </c>
    </row>
    <row r="2559" spans="1:9" x14ac:dyDescent="0.2">
      <c r="A2559" t="str">
        <f t="shared" si="39"/>
        <v/>
      </c>
      <c r="B2559" s="24">
        <v>2020</v>
      </c>
      <c r="C2559" t="s">
        <v>575</v>
      </c>
      <c r="D2559" t="s">
        <v>866</v>
      </c>
      <c r="E2559" t="s">
        <v>866</v>
      </c>
      <c r="F2559" s="11">
        <v>56764373</v>
      </c>
      <c r="G2559" s="18">
        <v>4.5830000000000003E-4</v>
      </c>
      <c r="H2559" s="11">
        <v>941840.87250000006</v>
      </c>
      <c r="I2559" s="22" t="str">
        <f>IFERROR(VLOOKUP(D2559,'LEAID Match'!$A$2:$B$184,2,FALSE),"")</f>
        <v/>
      </c>
    </row>
    <row r="2560" spans="1:9" x14ac:dyDescent="0.2">
      <c r="A2560" t="str">
        <f t="shared" si="39"/>
        <v/>
      </c>
      <c r="B2560" s="24">
        <v>2021</v>
      </c>
      <c r="C2560" t="s">
        <v>575</v>
      </c>
      <c r="D2560" t="s">
        <v>866</v>
      </c>
      <c r="E2560" t="s">
        <v>866</v>
      </c>
      <c r="F2560" s="11">
        <v>56304892</v>
      </c>
      <c r="G2560" s="18">
        <v>4.4989999999999999E-4</v>
      </c>
      <c r="H2560" s="11">
        <v>1067726.0748000001</v>
      </c>
      <c r="I2560" s="22" t="str">
        <f>IFERROR(VLOOKUP(D2560,'LEAID Match'!$A$2:$B$184,2,FALSE),"")</f>
        <v/>
      </c>
    </row>
    <row r="2561" spans="1:9" x14ac:dyDescent="0.2">
      <c r="A2561" t="str">
        <f t="shared" si="39"/>
        <v/>
      </c>
      <c r="B2561" s="24">
        <v>2022</v>
      </c>
      <c r="C2561" t="s">
        <v>575</v>
      </c>
      <c r="D2561" t="s">
        <v>866</v>
      </c>
      <c r="E2561" t="s">
        <v>866</v>
      </c>
      <c r="F2561" s="11">
        <v>56158766</v>
      </c>
      <c r="G2561" s="18">
        <v>4.4529999999999998E-4</v>
      </c>
      <c r="H2561" s="11">
        <v>1229894.5537999999</v>
      </c>
      <c r="I2561" s="22" t="str">
        <f>IFERROR(VLOOKUP(D2561,'LEAID Match'!$A$2:$B$184,2,FALSE),"")</f>
        <v/>
      </c>
    </row>
    <row r="2562" spans="1:9" x14ac:dyDescent="0.2">
      <c r="A2562" t="str">
        <f t="shared" si="39"/>
        <v/>
      </c>
      <c r="B2562" s="24">
        <v>2023</v>
      </c>
      <c r="C2562" t="s">
        <v>575</v>
      </c>
      <c r="D2562" t="s">
        <v>866</v>
      </c>
      <c r="E2562" t="s">
        <v>866</v>
      </c>
      <c r="F2562" s="11">
        <v>56824478</v>
      </c>
      <c r="G2562" s="18">
        <v>4.2759999999999999E-4</v>
      </c>
      <c r="H2562" s="11">
        <v>1297721.9572000001</v>
      </c>
      <c r="I2562" s="22" t="str">
        <f>IFERROR(VLOOKUP(D2562,'LEAID Match'!$A$2:$B$184,2,FALSE),"")</f>
        <v/>
      </c>
    </row>
    <row r="2563" spans="1:9" x14ac:dyDescent="0.2">
      <c r="A2563">
        <f t="shared" ref="A2563:A2596" si="40">I2563</f>
        <v>3705040</v>
      </c>
      <c r="B2563" s="24">
        <v>2015</v>
      </c>
      <c r="C2563" t="s">
        <v>576</v>
      </c>
      <c r="D2563" t="s">
        <v>867</v>
      </c>
      <c r="E2563" t="s">
        <v>559</v>
      </c>
      <c r="F2563" s="11">
        <v>246645688</v>
      </c>
      <c r="G2563" s="18">
        <v>2.1565E-3</v>
      </c>
      <c r="H2563" s="11">
        <v>2723633.622</v>
      </c>
      <c r="I2563" s="22">
        <f>IFERROR(VLOOKUP(D2563,'LEAID Match'!$A$2:$B$184,2,FALSE),"")</f>
        <v>3705040</v>
      </c>
    </row>
    <row r="2564" spans="1:9" x14ac:dyDescent="0.2">
      <c r="A2564">
        <f t="shared" si="40"/>
        <v>3705040</v>
      </c>
      <c r="B2564" s="24">
        <v>2016</v>
      </c>
      <c r="C2564" t="s">
        <v>576</v>
      </c>
      <c r="D2564" t="s">
        <v>867</v>
      </c>
      <c r="E2564" t="s">
        <v>867</v>
      </c>
      <c r="F2564" s="11">
        <v>232463492</v>
      </c>
      <c r="G2564" s="18">
        <v>2.1467000000000001E-3</v>
      </c>
      <c r="H2564" s="11">
        <v>2737048.9401000002</v>
      </c>
      <c r="I2564" s="22">
        <f>IFERROR(VLOOKUP(D2564,'LEAID Match'!$A$2:$B$184,2,FALSE),"")</f>
        <v>3705040</v>
      </c>
    </row>
    <row r="2565" spans="1:9" x14ac:dyDescent="0.2">
      <c r="A2565">
        <f t="shared" si="40"/>
        <v>3705040</v>
      </c>
      <c r="B2565" s="24">
        <v>2017</v>
      </c>
      <c r="C2565" t="s">
        <v>576</v>
      </c>
      <c r="D2565" t="s">
        <v>867</v>
      </c>
      <c r="E2565" t="s">
        <v>867</v>
      </c>
      <c r="F2565" s="11">
        <v>238568407</v>
      </c>
      <c r="G2565" s="18">
        <v>2.1381E-3</v>
      </c>
      <c r="H2565" s="11">
        <v>3081416.8914000001</v>
      </c>
      <c r="I2565" s="22">
        <f>IFERROR(VLOOKUP(D2565,'LEAID Match'!$A$2:$B$184,2,FALSE),"")</f>
        <v>3705040</v>
      </c>
    </row>
    <row r="2566" spans="1:9" x14ac:dyDescent="0.2">
      <c r="A2566">
        <f t="shared" si="40"/>
        <v>3705040</v>
      </c>
      <c r="B2566" s="24">
        <v>2018</v>
      </c>
      <c r="C2566" t="s">
        <v>576</v>
      </c>
      <c r="D2566" t="s">
        <v>867</v>
      </c>
      <c r="E2566" t="s">
        <v>867</v>
      </c>
      <c r="F2566" s="11">
        <v>240898697</v>
      </c>
      <c r="G2566" s="18">
        <v>2.0730000000000002E-3</v>
      </c>
      <c r="H2566" s="11">
        <v>3322813.7730000005</v>
      </c>
      <c r="I2566" s="22">
        <f>IFERROR(VLOOKUP(D2566,'LEAID Match'!$A$2:$B$184,2,FALSE),"")</f>
        <v>3705040</v>
      </c>
    </row>
    <row r="2567" spans="1:9" x14ac:dyDescent="0.2">
      <c r="A2567">
        <f t="shared" si="40"/>
        <v>3705040</v>
      </c>
      <c r="B2567" s="24">
        <v>2019</v>
      </c>
      <c r="C2567" t="s">
        <v>576</v>
      </c>
      <c r="D2567" t="s">
        <v>867</v>
      </c>
      <c r="E2567" t="s">
        <v>867</v>
      </c>
      <c r="F2567" s="11">
        <v>243977859</v>
      </c>
      <c r="G2567" s="18">
        <v>2.0249999999999999E-3</v>
      </c>
      <c r="H2567" s="11">
        <v>3878170.65</v>
      </c>
      <c r="I2567" s="22">
        <f>IFERROR(VLOOKUP(D2567,'LEAID Match'!$A$2:$B$184,2,FALSE),"")</f>
        <v>3705040</v>
      </c>
    </row>
    <row r="2568" spans="1:9" x14ac:dyDescent="0.2">
      <c r="A2568">
        <f t="shared" si="40"/>
        <v>3705040</v>
      </c>
      <c r="B2568" s="24">
        <v>2020</v>
      </c>
      <c r="C2568" t="s">
        <v>576</v>
      </c>
      <c r="D2568" t="s">
        <v>867</v>
      </c>
      <c r="E2568" t="s">
        <v>867</v>
      </c>
      <c r="F2568" s="11">
        <v>241523142</v>
      </c>
      <c r="G2568" s="18">
        <v>1.9498E-3</v>
      </c>
      <c r="H2568" s="11">
        <v>4006985.2349999999</v>
      </c>
      <c r="I2568" s="22">
        <f>IFERROR(VLOOKUP(D2568,'LEAID Match'!$A$2:$B$184,2,FALSE),"")</f>
        <v>3705040</v>
      </c>
    </row>
    <row r="2569" spans="1:9" x14ac:dyDescent="0.2">
      <c r="A2569">
        <f t="shared" si="40"/>
        <v>3705040</v>
      </c>
      <c r="B2569" s="24">
        <v>2021</v>
      </c>
      <c r="C2569" t="s">
        <v>576</v>
      </c>
      <c r="D2569" t="s">
        <v>867</v>
      </c>
      <c r="E2569" t="s">
        <v>867</v>
      </c>
      <c r="F2569" s="11">
        <v>231678242</v>
      </c>
      <c r="G2569" s="18">
        <v>1.8511999999999999E-3</v>
      </c>
      <c r="H2569" s="11">
        <v>4393364.1024000002</v>
      </c>
      <c r="I2569" s="22">
        <f>IFERROR(VLOOKUP(D2569,'LEAID Match'!$A$2:$B$184,2,FALSE),"")</f>
        <v>3705040</v>
      </c>
    </row>
    <row r="2570" spans="1:9" x14ac:dyDescent="0.2">
      <c r="A2570">
        <f t="shared" si="40"/>
        <v>3705040</v>
      </c>
      <c r="B2570" s="24">
        <v>2022</v>
      </c>
      <c r="C2570" t="s">
        <v>576</v>
      </c>
      <c r="D2570" t="s">
        <v>867</v>
      </c>
      <c r="E2570" t="s">
        <v>867</v>
      </c>
      <c r="F2570" s="11">
        <v>257379044</v>
      </c>
      <c r="G2570" s="18">
        <v>2.0408000000000002E-3</v>
      </c>
      <c r="H2570" s="11">
        <v>5636579.3968000002</v>
      </c>
      <c r="I2570" s="22">
        <f>IFERROR(VLOOKUP(D2570,'LEAID Match'!$A$2:$B$184,2,FALSE),"")</f>
        <v>3705040</v>
      </c>
    </row>
    <row r="2571" spans="1:9" x14ac:dyDescent="0.2">
      <c r="A2571">
        <f t="shared" si="40"/>
        <v>3705040</v>
      </c>
      <c r="B2571" s="24">
        <v>2023</v>
      </c>
      <c r="C2571" t="s">
        <v>576</v>
      </c>
      <c r="D2571" t="s">
        <v>867</v>
      </c>
      <c r="E2571" t="s">
        <v>867</v>
      </c>
      <c r="F2571" s="11">
        <v>267898623</v>
      </c>
      <c r="G2571" s="18">
        <v>2.0157E-3</v>
      </c>
      <c r="H2571" s="11">
        <v>6117441.8829000005</v>
      </c>
      <c r="I2571" s="22">
        <f>IFERROR(VLOOKUP(D2571,'LEAID Match'!$A$2:$B$184,2,FALSE),"")</f>
        <v>3705040</v>
      </c>
    </row>
    <row r="2572" spans="1:9" x14ac:dyDescent="0.2">
      <c r="A2572" t="str">
        <f t="shared" si="40"/>
        <v/>
      </c>
      <c r="B2572" s="24">
        <v>2015</v>
      </c>
      <c r="C2572" t="s">
        <v>577</v>
      </c>
      <c r="D2572" t="s">
        <v>868</v>
      </c>
      <c r="E2572" t="s">
        <v>560</v>
      </c>
      <c r="F2572" s="11">
        <v>4110518545</v>
      </c>
      <c r="G2572" s="18">
        <v>3.5939600000000002E-2</v>
      </c>
      <c r="H2572" s="11">
        <v>45391283.524800003</v>
      </c>
      <c r="I2572" s="22" t="str">
        <f>IFERROR(VLOOKUP(D2572,'LEAID Match'!$A$2:$B$184,2,FALSE),"")</f>
        <v/>
      </c>
    </row>
    <row r="2573" spans="1:9" x14ac:dyDescent="0.2">
      <c r="A2573" t="str">
        <f t="shared" si="40"/>
        <v/>
      </c>
      <c r="B2573" s="24">
        <v>2016</v>
      </c>
      <c r="C2573" t="s">
        <v>577</v>
      </c>
      <c r="D2573" t="s">
        <v>868</v>
      </c>
      <c r="E2573" t="s">
        <v>868</v>
      </c>
      <c r="F2573" s="11">
        <v>3652158654</v>
      </c>
      <c r="G2573" s="18">
        <v>3.3725400000000003E-2</v>
      </c>
      <c r="H2573" s="11">
        <v>42999986.176200002</v>
      </c>
      <c r="I2573" s="22" t="str">
        <f>IFERROR(VLOOKUP(D2573,'LEAID Match'!$A$2:$B$184,2,FALSE),"")</f>
        <v/>
      </c>
    </row>
    <row r="2574" spans="1:9" x14ac:dyDescent="0.2">
      <c r="A2574" t="str">
        <f t="shared" si="40"/>
        <v/>
      </c>
      <c r="B2574" s="24">
        <v>2017</v>
      </c>
      <c r="C2574" t="s">
        <v>577</v>
      </c>
      <c r="D2574" t="s">
        <v>868</v>
      </c>
      <c r="E2574" t="s">
        <v>918</v>
      </c>
      <c r="F2574" s="11">
        <v>3396919503</v>
      </c>
      <c r="G2574" s="18">
        <v>3.04433E-2</v>
      </c>
      <c r="H2574" s="11">
        <v>43874701.3002</v>
      </c>
      <c r="I2574" s="22" t="str">
        <f>IFERROR(VLOOKUP(D2574,'LEAID Match'!$A$2:$B$184,2,FALSE),"")</f>
        <v/>
      </c>
    </row>
    <row r="2575" spans="1:9" x14ac:dyDescent="0.2">
      <c r="A2575" t="str">
        <f t="shared" si="40"/>
        <v/>
      </c>
      <c r="B2575" s="24">
        <v>2018</v>
      </c>
      <c r="C2575" t="s">
        <v>577</v>
      </c>
      <c r="D2575" t="s">
        <v>868</v>
      </c>
      <c r="E2575" t="s">
        <v>868</v>
      </c>
      <c r="F2575" s="11">
        <v>3407067309</v>
      </c>
      <c r="G2575" s="18">
        <v>2.93187E-2</v>
      </c>
      <c r="H2575" s="11">
        <v>46994973.548699997</v>
      </c>
      <c r="I2575" s="22" t="str">
        <f>IFERROR(VLOOKUP(D2575,'LEAID Match'!$A$2:$B$184,2,FALSE),"")</f>
        <v/>
      </c>
    </row>
    <row r="2576" spans="1:9" x14ac:dyDescent="0.2">
      <c r="A2576" t="str">
        <f t="shared" si="40"/>
        <v/>
      </c>
      <c r="B2576" s="24">
        <v>2019</v>
      </c>
      <c r="C2576" t="s">
        <v>577</v>
      </c>
      <c r="D2576" t="s">
        <v>868</v>
      </c>
      <c r="E2576" t="s">
        <v>868</v>
      </c>
      <c r="F2576" s="11">
        <v>3407847365</v>
      </c>
      <c r="G2576" s="18">
        <v>2.82852E-2</v>
      </c>
      <c r="H2576" s="11">
        <v>54170287.639200002</v>
      </c>
      <c r="I2576" s="22" t="str">
        <f>IFERROR(VLOOKUP(D2576,'LEAID Match'!$A$2:$B$184,2,FALSE),"")</f>
        <v/>
      </c>
    </row>
    <row r="2577" spans="1:9" x14ac:dyDescent="0.2">
      <c r="A2577" t="str">
        <f t="shared" si="40"/>
        <v/>
      </c>
      <c r="B2577" s="24">
        <v>2020</v>
      </c>
      <c r="C2577" t="s">
        <v>577</v>
      </c>
      <c r="D2577" t="s">
        <v>868</v>
      </c>
      <c r="E2577" t="s">
        <v>868</v>
      </c>
      <c r="F2577" s="11">
        <v>3829928224</v>
      </c>
      <c r="G2577" s="18">
        <v>3.0918500000000002E-2</v>
      </c>
      <c r="H2577" s="11">
        <v>63539836.387500003</v>
      </c>
      <c r="I2577" s="22" t="str">
        <f>IFERROR(VLOOKUP(D2577,'LEAID Match'!$A$2:$B$184,2,FALSE),"")</f>
        <v/>
      </c>
    </row>
    <row r="2578" spans="1:9" x14ac:dyDescent="0.2">
      <c r="A2578" t="str">
        <f t="shared" si="40"/>
        <v/>
      </c>
      <c r="B2578" s="24">
        <v>2021</v>
      </c>
      <c r="C2578" t="s">
        <v>577</v>
      </c>
      <c r="D2578" t="s">
        <v>868</v>
      </c>
      <c r="E2578" t="s">
        <v>868</v>
      </c>
      <c r="F2578" s="11">
        <v>3600486386</v>
      </c>
      <c r="G2578" s="18">
        <v>2.8769300000000001E-2</v>
      </c>
      <c r="H2578" s="11">
        <v>68276798.763600007</v>
      </c>
      <c r="I2578" s="22" t="str">
        <f>IFERROR(VLOOKUP(D2578,'LEAID Match'!$A$2:$B$184,2,FALSE),"")</f>
        <v/>
      </c>
    </row>
    <row r="2579" spans="1:9" x14ac:dyDescent="0.2">
      <c r="A2579" t="str">
        <f t="shared" si="40"/>
        <v/>
      </c>
      <c r="B2579" s="24">
        <v>2022</v>
      </c>
      <c r="C2579" t="s">
        <v>577</v>
      </c>
      <c r="D2579" t="s">
        <v>868</v>
      </c>
      <c r="E2579" t="s">
        <v>940</v>
      </c>
      <c r="F2579" s="11">
        <v>3547919413</v>
      </c>
      <c r="G2579" s="18">
        <v>2.8131400000000001E-2</v>
      </c>
      <c r="H2579" s="11">
        <v>77697407.704400003</v>
      </c>
      <c r="I2579" s="22" t="str">
        <f>IFERROR(VLOOKUP(D2579,'LEAID Match'!$A$2:$B$184,2,FALSE),"")</f>
        <v/>
      </c>
    </row>
    <row r="2580" spans="1:9" x14ac:dyDescent="0.2">
      <c r="A2580" t="str">
        <f t="shared" si="40"/>
        <v/>
      </c>
      <c r="B2580" s="24">
        <v>2023</v>
      </c>
      <c r="C2580" t="s">
        <v>577</v>
      </c>
      <c r="D2580" t="s">
        <v>868</v>
      </c>
      <c r="E2580" t="s">
        <v>868</v>
      </c>
      <c r="F2580" s="11">
        <v>3746741625</v>
      </c>
      <c r="G2580" s="18">
        <v>2.8191399999999998E-2</v>
      </c>
      <c r="H2580" s="11">
        <v>85557995.285799995</v>
      </c>
      <c r="I2580" s="22" t="str">
        <f>IFERROR(VLOOKUP(D2580,'LEAID Match'!$A$2:$B$184,2,FALSE),"")</f>
        <v/>
      </c>
    </row>
    <row r="2581" spans="1:9" x14ac:dyDescent="0.2">
      <c r="A2581" t="str">
        <f t="shared" si="40"/>
        <v/>
      </c>
      <c r="B2581" s="24">
        <v>2016</v>
      </c>
      <c r="C2581" t="s">
        <v>871</v>
      </c>
      <c r="D2581" t="s">
        <v>869</v>
      </c>
      <c r="E2581" t="s">
        <v>869</v>
      </c>
      <c r="F2581" s="11">
        <v>2535583</v>
      </c>
      <c r="G2581" s="18">
        <v>2.34E-5</v>
      </c>
      <c r="H2581" s="11">
        <v>29835.070199999998</v>
      </c>
      <c r="I2581" s="22" t="str">
        <f>IFERROR(VLOOKUP(D2581,'LEAID Match'!$A$2:$B$184,2,FALSE),"")</f>
        <v/>
      </c>
    </row>
    <row r="2582" spans="1:9" x14ac:dyDescent="0.2">
      <c r="A2582" t="str">
        <f t="shared" si="40"/>
        <v/>
      </c>
      <c r="B2582" s="24">
        <v>2017</v>
      </c>
      <c r="C2582" t="s">
        <v>871</v>
      </c>
      <c r="D2582" t="s">
        <v>869</v>
      </c>
      <c r="E2582" t="s">
        <v>919</v>
      </c>
      <c r="F2582" s="11">
        <v>2180645</v>
      </c>
      <c r="G2582" s="18">
        <v>1.95E-5</v>
      </c>
      <c r="H2582" s="11">
        <v>28103.282999999999</v>
      </c>
      <c r="I2582" s="22" t="str">
        <f>IFERROR(VLOOKUP(D2582,'LEAID Match'!$A$2:$B$184,2,FALSE),"")</f>
        <v/>
      </c>
    </row>
    <row r="2583" spans="1:9" x14ac:dyDescent="0.2">
      <c r="A2583" t="str">
        <f t="shared" si="40"/>
        <v/>
      </c>
      <c r="B2583" s="24">
        <v>2018</v>
      </c>
      <c r="C2583" t="s">
        <v>871</v>
      </c>
      <c r="D2583" t="s">
        <v>869</v>
      </c>
      <c r="E2583" t="s">
        <v>869</v>
      </c>
      <c r="F2583" s="11">
        <v>3335904</v>
      </c>
      <c r="G2583" s="18">
        <v>2.87E-5</v>
      </c>
      <c r="H2583" s="11">
        <v>46003.258699999998</v>
      </c>
      <c r="I2583" s="22" t="str">
        <f>IFERROR(VLOOKUP(D2583,'LEAID Match'!$A$2:$B$184,2,FALSE),"")</f>
        <v/>
      </c>
    </row>
    <row r="2584" spans="1:9" x14ac:dyDescent="0.2">
      <c r="A2584" t="str">
        <f t="shared" si="40"/>
        <v/>
      </c>
      <c r="B2584" s="24">
        <v>2019</v>
      </c>
      <c r="C2584" t="s">
        <v>871</v>
      </c>
      <c r="D2584" t="s">
        <v>869</v>
      </c>
      <c r="E2584" t="s">
        <v>869</v>
      </c>
      <c r="F2584" s="11">
        <v>3695698</v>
      </c>
      <c r="G2584" s="18">
        <v>3.0700000000000001E-5</v>
      </c>
      <c r="H2584" s="11">
        <v>58794.982199999999</v>
      </c>
      <c r="I2584" s="22" t="str">
        <f>IFERROR(VLOOKUP(D2584,'LEAID Match'!$A$2:$B$184,2,FALSE),"")</f>
        <v/>
      </c>
    </row>
    <row r="2585" spans="1:9" x14ac:dyDescent="0.2">
      <c r="A2585" t="str">
        <f t="shared" si="40"/>
        <v/>
      </c>
      <c r="B2585" s="24">
        <v>2020</v>
      </c>
      <c r="C2585" t="s">
        <v>871</v>
      </c>
      <c r="D2585" t="s">
        <v>869</v>
      </c>
      <c r="E2585" t="s">
        <v>869</v>
      </c>
      <c r="F2585" s="11">
        <v>2909829</v>
      </c>
      <c r="G2585" s="18">
        <v>2.3499999999999999E-5</v>
      </c>
      <c r="H2585" s="11">
        <v>48294.262499999997</v>
      </c>
      <c r="I2585" s="22" t="str">
        <f>IFERROR(VLOOKUP(D2585,'LEAID Match'!$A$2:$B$184,2,FALSE),"")</f>
        <v/>
      </c>
    </row>
    <row r="2586" spans="1:9" x14ac:dyDescent="0.2">
      <c r="A2586" t="str">
        <f t="shared" si="40"/>
        <v/>
      </c>
      <c r="B2586" s="24">
        <v>2021</v>
      </c>
      <c r="C2586" t="s">
        <v>871</v>
      </c>
      <c r="D2586" t="s">
        <v>869</v>
      </c>
      <c r="E2586" t="s">
        <v>869</v>
      </c>
      <c r="F2586" s="11">
        <v>4118650</v>
      </c>
      <c r="G2586" s="18">
        <v>3.29E-5</v>
      </c>
      <c r="H2586" s="11">
        <v>78079.9908</v>
      </c>
      <c r="I2586" s="22" t="str">
        <f>IFERROR(VLOOKUP(D2586,'LEAID Match'!$A$2:$B$184,2,FALSE),"")</f>
        <v/>
      </c>
    </row>
    <row r="2587" spans="1:9" x14ac:dyDescent="0.2">
      <c r="A2587" t="str">
        <f t="shared" si="40"/>
        <v/>
      </c>
      <c r="B2587" s="24">
        <v>2022</v>
      </c>
      <c r="C2587" t="s">
        <v>871</v>
      </c>
      <c r="D2587" t="s">
        <v>869</v>
      </c>
      <c r="E2587" t="s">
        <v>869</v>
      </c>
      <c r="F2587" s="11">
        <v>5427899</v>
      </c>
      <c r="G2587" s="18">
        <v>4.3000000000000002E-5</v>
      </c>
      <c r="H2587" s="11">
        <v>118763.678</v>
      </c>
      <c r="I2587" s="22" t="str">
        <f>IFERROR(VLOOKUP(D2587,'LEAID Match'!$A$2:$B$184,2,FALSE),"")</f>
        <v/>
      </c>
    </row>
    <row r="2588" spans="1:9" x14ac:dyDescent="0.2">
      <c r="A2588" t="str">
        <f t="shared" si="40"/>
        <v/>
      </c>
      <c r="B2588" s="24">
        <v>2023</v>
      </c>
      <c r="C2588" t="s">
        <v>871</v>
      </c>
      <c r="D2588" t="s">
        <v>869</v>
      </c>
      <c r="E2588" t="s">
        <v>869</v>
      </c>
      <c r="F2588" s="11">
        <v>4617197</v>
      </c>
      <c r="G2588" s="18">
        <v>3.4700000000000003E-5</v>
      </c>
      <c r="H2588" s="11">
        <v>105310.92590000002</v>
      </c>
      <c r="I2588" s="22" t="str">
        <f>IFERROR(VLOOKUP(D2588,'LEAID Match'!$A$2:$B$184,2,FALSE),"")</f>
        <v/>
      </c>
    </row>
    <row r="2589" spans="1:9" x14ac:dyDescent="0.2">
      <c r="A2589" t="str">
        <f t="shared" si="40"/>
        <v/>
      </c>
      <c r="B2589" s="24">
        <v>2016</v>
      </c>
      <c r="C2589" t="s">
        <v>872</v>
      </c>
      <c r="D2589" t="s">
        <v>870</v>
      </c>
      <c r="E2589" t="s">
        <v>870</v>
      </c>
      <c r="F2589" s="11">
        <v>85091059</v>
      </c>
      <c r="G2589" s="18">
        <v>7.8580000000000002E-4</v>
      </c>
      <c r="H2589" s="11">
        <v>1001897.3574</v>
      </c>
      <c r="I2589" s="22" t="str">
        <f>IFERROR(VLOOKUP(D2589,'LEAID Match'!$A$2:$B$184,2,FALSE),"")</f>
        <v/>
      </c>
    </row>
    <row r="2590" spans="1:9" x14ac:dyDescent="0.2">
      <c r="A2590" t="str">
        <f t="shared" si="40"/>
        <v/>
      </c>
      <c r="B2590" s="24">
        <v>2017</v>
      </c>
      <c r="C2590" t="s">
        <v>872</v>
      </c>
      <c r="D2590" t="s">
        <v>870</v>
      </c>
      <c r="E2590" t="s">
        <v>920</v>
      </c>
      <c r="F2590" s="11">
        <v>82022485</v>
      </c>
      <c r="G2590" s="18">
        <v>7.3510000000000003E-4</v>
      </c>
      <c r="H2590" s="11">
        <v>1059421.7094000001</v>
      </c>
      <c r="I2590" s="22" t="str">
        <f>IFERROR(VLOOKUP(D2590,'LEAID Match'!$A$2:$B$184,2,FALSE),"")</f>
        <v/>
      </c>
    </row>
    <row r="2591" spans="1:9" x14ac:dyDescent="0.2">
      <c r="A2591" t="str">
        <f t="shared" si="40"/>
        <v/>
      </c>
      <c r="B2591" s="24">
        <v>2018</v>
      </c>
      <c r="C2591" t="s">
        <v>872</v>
      </c>
      <c r="D2591" t="s">
        <v>870</v>
      </c>
      <c r="E2591" t="s">
        <v>870</v>
      </c>
      <c r="F2591" s="11">
        <v>93139098</v>
      </c>
      <c r="G2591" s="18">
        <v>8.0150000000000002E-4</v>
      </c>
      <c r="H2591" s="11">
        <v>1284725.1514999999</v>
      </c>
      <c r="I2591" s="22" t="str">
        <f>IFERROR(VLOOKUP(D2591,'LEAID Match'!$A$2:$B$184,2,FALSE),"")</f>
        <v/>
      </c>
    </row>
    <row r="2592" spans="1:9" x14ac:dyDescent="0.2">
      <c r="A2592" t="str">
        <f t="shared" si="40"/>
        <v/>
      </c>
      <c r="B2592" s="24">
        <v>2019</v>
      </c>
      <c r="C2592" t="s">
        <v>872</v>
      </c>
      <c r="D2592" t="s">
        <v>870</v>
      </c>
      <c r="E2592" t="s">
        <v>870</v>
      </c>
      <c r="F2592" s="11">
        <v>96520510</v>
      </c>
      <c r="G2592" s="18">
        <v>8.0110000000000001E-4</v>
      </c>
      <c r="H2592" s="11">
        <v>1534223.4606000001</v>
      </c>
      <c r="I2592" s="22" t="str">
        <f>IFERROR(VLOOKUP(D2592,'LEAID Match'!$A$2:$B$184,2,FALSE),"")</f>
        <v/>
      </c>
    </row>
    <row r="2593" spans="1:9" x14ac:dyDescent="0.2">
      <c r="A2593" t="str">
        <f t="shared" si="40"/>
        <v/>
      </c>
      <c r="B2593" s="24">
        <v>2020</v>
      </c>
      <c r="C2593" t="s">
        <v>872</v>
      </c>
      <c r="D2593" t="s">
        <v>870</v>
      </c>
      <c r="E2593" t="s">
        <v>870</v>
      </c>
      <c r="F2593" s="11">
        <v>106054783</v>
      </c>
      <c r="G2593" s="18">
        <v>8.5619999999999999E-4</v>
      </c>
      <c r="H2593" s="11">
        <v>1759555.2150000001</v>
      </c>
      <c r="I2593" s="22" t="str">
        <f>IFERROR(VLOOKUP(D2593,'LEAID Match'!$A$2:$B$184,2,FALSE),"")</f>
        <v/>
      </c>
    </row>
    <row r="2594" spans="1:9" x14ac:dyDescent="0.2">
      <c r="A2594" t="str">
        <f t="shared" si="40"/>
        <v/>
      </c>
      <c r="B2594" s="24">
        <v>2021</v>
      </c>
      <c r="C2594" t="s">
        <v>872</v>
      </c>
      <c r="D2594" t="s">
        <v>870</v>
      </c>
      <c r="E2594" t="s">
        <v>870</v>
      </c>
      <c r="F2594" s="11">
        <v>106565148</v>
      </c>
      <c r="G2594" s="18">
        <v>8.5150000000000004E-4</v>
      </c>
      <c r="H2594" s="11">
        <v>2020824.0780000002</v>
      </c>
      <c r="I2594" s="22" t="str">
        <f>IFERROR(VLOOKUP(D2594,'LEAID Match'!$A$2:$B$184,2,FALSE),"")</f>
        <v/>
      </c>
    </row>
    <row r="2595" spans="1:9" x14ac:dyDescent="0.2">
      <c r="A2595" t="str">
        <f t="shared" si="40"/>
        <v/>
      </c>
      <c r="B2595" s="24">
        <v>2022</v>
      </c>
      <c r="C2595" t="s">
        <v>872</v>
      </c>
      <c r="D2595" t="s">
        <v>870</v>
      </c>
      <c r="E2595" t="s">
        <v>941</v>
      </c>
      <c r="F2595" s="11">
        <v>118345442</v>
      </c>
      <c r="G2595" s="18">
        <v>9.3840000000000004E-4</v>
      </c>
      <c r="H2595" s="11">
        <v>2591810.1264</v>
      </c>
      <c r="I2595" s="22" t="str">
        <f>IFERROR(VLOOKUP(D2595,'LEAID Match'!$A$2:$B$184,2,FALSE),"")</f>
        <v/>
      </c>
    </row>
    <row r="2596" spans="1:9" x14ac:dyDescent="0.2">
      <c r="A2596" t="str">
        <f t="shared" si="40"/>
        <v/>
      </c>
      <c r="B2596" s="24">
        <v>2023</v>
      </c>
      <c r="C2596" t="s">
        <v>872</v>
      </c>
      <c r="D2596" t="s">
        <v>870</v>
      </c>
      <c r="E2596" t="s">
        <v>870</v>
      </c>
      <c r="F2596" s="11">
        <v>130699952</v>
      </c>
      <c r="G2596" s="18">
        <v>9.8339999999999994E-4</v>
      </c>
      <c r="H2596" s="11">
        <v>2984517.7097999998</v>
      </c>
      <c r="I2596" s="22" t="str">
        <f>IFERROR(VLOOKUP(D2596,'LEAID Match'!$A$2:$B$184,2,FALSE),"")</f>
        <v/>
      </c>
    </row>
  </sheetData>
  <autoFilter ref="B1:H1" xr:uid="{3755B366-306D-FA42-9F80-22196E1993DE}">
    <sortState xmlns:xlrd2="http://schemas.microsoft.com/office/spreadsheetml/2017/richdata2" ref="B2:H2596">
      <sortCondition ref="C1:C25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F8AD-3542-9240-AEF0-A9E50F5845C8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C07F-5D63-AE4B-905A-D583C99B4902}">
  <sheetPr>
    <tabColor rgb="FFFFFF00"/>
  </sheetPr>
  <dimension ref="A1:K11"/>
  <sheetViews>
    <sheetView workbookViewId="0">
      <selection activeCell="E23" sqref="E23"/>
    </sheetView>
  </sheetViews>
  <sheetFormatPr baseColWidth="10" defaultRowHeight="16" x14ac:dyDescent="0.2"/>
  <cols>
    <col min="1" max="1" width="5.1640625" bestFit="1" customWidth="1"/>
    <col min="2" max="2" width="19.5" bestFit="1" customWidth="1"/>
    <col min="3" max="3" width="20.33203125" bestFit="1" customWidth="1"/>
    <col min="4" max="4" width="24.5" bestFit="1" customWidth="1"/>
    <col min="5" max="5" width="28.33203125" bestFit="1" customWidth="1"/>
    <col min="6" max="6" width="36.6640625" bestFit="1" customWidth="1"/>
    <col min="7" max="7" width="31.5" bestFit="1" customWidth="1"/>
    <col min="8" max="8" width="20.83203125" bestFit="1" customWidth="1"/>
    <col min="9" max="9" width="25.83203125" bestFit="1" customWidth="1"/>
    <col min="10" max="10" width="29.1640625" bestFit="1" customWidth="1"/>
  </cols>
  <sheetData>
    <row r="1" spans="1:11" x14ac:dyDescent="0.2">
      <c r="A1" s="21" t="s">
        <v>944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">
      <c r="A2" s="6" t="s">
        <v>955</v>
      </c>
      <c r="B2" s="6" t="s">
        <v>946</v>
      </c>
      <c r="C2" s="6" t="s">
        <v>947</v>
      </c>
      <c r="D2" s="6" t="s">
        <v>948</v>
      </c>
      <c r="E2" s="6" t="s">
        <v>949</v>
      </c>
      <c r="F2" s="6" t="s">
        <v>950</v>
      </c>
      <c r="G2" s="6" t="s">
        <v>951</v>
      </c>
      <c r="H2" s="6" t="s">
        <v>952</v>
      </c>
      <c r="I2" s="6" t="s">
        <v>953</v>
      </c>
      <c r="J2" s="6" t="s">
        <v>954</v>
      </c>
      <c r="K2" s="6"/>
    </row>
    <row r="3" spans="1:11" x14ac:dyDescent="0.2">
      <c r="A3" s="6">
        <v>2015</v>
      </c>
      <c r="B3" s="11">
        <v>114372837443</v>
      </c>
      <c r="C3" s="11">
        <f>SUMIF(Summary!B:B,'Final Check'!A3,Summary!F:F)</f>
        <v>114372837443</v>
      </c>
      <c r="D3" s="10">
        <v>1</v>
      </c>
      <c r="E3" s="10">
        <f>SUMIF(Summary!B:B,'Final Check'!A3,Summary!G:G)</f>
        <v>0.99999999999999989</v>
      </c>
      <c r="F3" s="8">
        <v>1262988000</v>
      </c>
      <c r="G3" s="8">
        <f>SUMIF(Summary!B:B,'Final Check'!A3,Summary!H:H)</f>
        <v>1262988000</v>
      </c>
      <c r="H3" s="13">
        <f>B3-C3</f>
        <v>0</v>
      </c>
      <c r="I3" s="14">
        <f>D3-E3</f>
        <v>0</v>
      </c>
      <c r="J3" s="15">
        <f t="shared" ref="J3:J11" si="0">F3-G3</f>
        <v>0</v>
      </c>
    </row>
    <row r="4" spans="1:11" x14ac:dyDescent="0.2">
      <c r="A4" s="6">
        <v>2016</v>
      </c>
      <c r="B4" s="11">
        <v>108291094819</v>
      </c>
      <c r="C4" s="11">
        <f>SUMIF(Summary!B:B,'Final Check'!A4,Summary!F:F)</f>
        <v>108291094819</v>
      </c>
      <c r="D4" s="10">
        <v>1</v>
      </c>
      <c r="E4" s="10">
        <f>SUMIF(Summary!B:B,'Final Check'!A4,Summary!G:G)</f>
        <v>0.99999999999999978</v>
      </c>
      <c r="F4" s="8">
        <v>1275003000</v>
      </c>
      <c r="G4" s="8">
        <f>SUMIF(Summary!B:B,'Final Check'!A4,Summary!H:H)</f>
        <v>1275002999.9999988</v>
      </c>
      <c r="H4" s="13">
        <f t="shared" ref="H4:H11" si="1">B4-C4</f>
        <v>0</v>
      </c>
      <c r="I4" s="14">
        <f t="shared" ref="I4:I10" si="2">D4-E4</f>
        <v>0</v>
      </c>
      <c r="J4" s="15">
        <f t="shared" si="0"/>
        <v>0</v>
      </c>
    </row>
    <row r="5" spans="1:11" x14ac:dyDescent="0.2">
      <c r="A5" s="6">
        <v>2017</v>
      </c>
      <c r="B5" s="11">
        <v>111581756444</v>
      </c>
      <c r="C5" s="11">
        <f>SUMIF(Summary!B:B,'Final Check'!A5,Summary!F:F)</f>
        <v>111581756444</v>
      </c>
      <c r="D5" s="10">
        <v>1</v>
      </c>
      <c r="E5" s="10">
        <f>SUMIF(Summary!B:B,'Final Check'!A5,Summary!G:G)</f>
        <v>0.99999999999999967</v>
      </c>
      <c r="F5" s="8">
        <v>1441194000</v>
      </c>
      <c r="G5" s="8">
        <f>SUMIF(Summary!B:B,'Final Check'!A5,Summary!H:H)</f>
        <v>1441194000.000001</v>
      </c>
      <c r="H5" s="13">
        <f t="shared" si="1"/>
        <v>0</v>
      </c>
      <c r="I5" s="14">
        <f t="shared" si="2"/>
        <v>0</v>
      </c>
      <c r="J5" s="15">
        <f t="shared" si="0"/>
        <v>0</v>
      </c>
    </row>
    <row r="6" spans="1:11" x14ac:dyDescent="0.2">
      <c r="A6" s="6">
        <v>2018</v>
      </c>
      <c r="B6" s="11">
        <v>116207890038</v>
      </c>
      <c r="C6" s="11">
        <f>SUMIF(Summary!B:B,'Final Check'!A6,Summary!F:F)</f>
        <v>116207890038</v>
      </c>
      <c r="D6" s="10">
        <v>1</v>
      </c>
      <c r="E6" s="10">
        <f>SUMIF(Summary!B:B,'Final Check'!A6,Summary!G:G)</f>
        <v>1</v>
      </c>
      <c r="F6" s="8">
        <v>1602901000</v>
      </c>
      <c r="G6" s="8">
        <f>SUMIF(Summary!B:B,'Final Check'!A6,Summary!H:H)</f>
        <v>1602900999.9999998</v>
      </c>
      <c r="H6" s="13">
        <f t="shared" si="1"/>
        <v>0</v>
      </c>
      <c r="I6" s="14">
        <f t="shared" si="2"/>
        <v>0</v>
      </c>
      <c r="J6" s="15">
        <f t="shared" si="0"/>
        <v>0</v>
      </c>
    </row>
    <row r="7" spans="1:11" x14ac:dyDescent="0.2">
      <c r="A7" s="6">
        <v>2019</v>
      </c>
      <c r="B7" s="11">
        <v>120481819159</v>
      </c>
      <c r="C7" s="11">
        <f>SUMIF(Summary!B:B,'Final Check'!A7,Summary!F:F)</f>
        <v>120481819159</v>
      </c>
      <c r="D7" s="10">
        <v>1</v>
      </c>
      <c r="E7" s="10">
        <f>SUMIF(Summary!B:B,'Final Check'!A7,Summary!G:G)</f>
        <v>0.99999999999999944</v>
      </c>
      <c r="F7" s="8">
        <v>1915146000</v>
      </c>
      <c r="G7" s="8">
        <f>SUMIF(Summary!B:B,'Final Check'!A7,Summary!H:H)</f>
        <v>1915145999.9999995</v>
      </c>
      <c r="H7" s="13">
        <f t="shared" si="1"/>
        <v>0</v>
      </c>
      <c r="I7" s="14">
        <f t="shared" si="2"/>
        <v>0</v>
      </c>
      <c r="J7" s="15">
        <f t="shared" si="0"/>
        <v>0</v>
      </c>
    </row>
    <row r="8" spans="1:11" x14ac:dyDescent="0.2">
      <c r="A8" s="6">
        <v>2020</v>
      </c>
      <c r="B8" s="11">
        <v>123871678297</v>
      </c>
      <c r="C8" s="11">
        <f>SUMIF(Summary!B:B,'Final Check'!A8,Summary!F:F)</f>
        <v>123871678297</v>
      </c>
      <c r="D8" s="10">
        <v>1</v>
      </c>
      <c r="E8" s="10">
        <f>SUMIF(Summary!B:B,'Final Check'!A8,Summary!G:G)</f>
        <v>0.99999999999999967</v>
      </c>
      <c r="F8" s="8">
        <v>2055075000</v>
      </c>
      <c r="G8" s="8">
        <f>SUMIF(Summary!B:B,'Final Check'!A8,Summary!H:H)</f>
        <v>2055074999.9999986</v>
      </c>
      <c r="H8" s="13">
        <f t="shared" si="1"/>
        <v>0</v>
      </c>
      <c r="I8" s="14">
        <f t="shared" si="2"/>
        <v>0</v>
      </c>
      <c r="J8" s="15">
        <f t="shared" si="0"/>
        <v>0</v>
      </c>
    </row>
    <row r="9" spans="1:11" x14ac:dyDescent="0.2">
      <c r="A9" s="6">
        <v>2021</v>
      </c>
      <c r="B9" s="11">
        <v>125150203887</v>
      </c>
      <c r="C9" s="11">
        <f>SUMIF(Summary!B:B,'Final Check'!A9,Summary!F:F)</f>
        <v>125150203887</v>
      </c>
      <c r="D9" s="10">
        <v>1</v>
      </c>
      <c r="E9" s="10">
        <f>SUMIF(Summary!B:B,'Final Check'!A9,Summary!G:G)</f>
        <v>1.0000000000000002</v>
      </c>
      <c r="F9" s="8">
        <v>2373252000</v>
      </c>
      <c r="G9" s="8">
        <f>SUMIF(Summary!B:B,'Final Check'!A9,Summary!H:H)</f>
        <v>2373251999.9999995</v>
      </c>
      <c r="H9" s="13">
        <f t="shared" si="1"/>
        <v>0</v>
      </c>
      <c r="I9" s="14">
        <f t="shared" si="2"/>
        <v>0</v>
      </c>
      <c r="J9" s="15">
        <f t="shared" si="0"/>
        <v>0</v>
      </c>
    </row>
    <row r="10" spans="1:11" x14ac:dyDescent="0.2">
      <c r="A10" s="6">
        <v>2022</v>
      </c>
      <c r="B10" s="11">
        <v>126119707852</v>
      </c>
      <c r="C10" s="11">
        <f>SUMIF(Summary!B:B,'Final Check'!A10,Summary!F:F)</f>
        <v>126119707852</v>
      </c>
      <c r="D10" s="10">
        <v>1</v>
      </c>
      <c r="E10" s="10">
        <f>SUMIF(Summary!B:B,'Final Check'!A10,Summary!G:G)</f>
        <v>1.0000000000000004</v>
      </c>
      <c r="F10" s="8">
        <v>2761946000</v>
      </c>
      <c r="G10" s="8">
        <f>SUMIF(Summary!B:B,'Final Check'!A10,Summary!H:H)</f>
        <v>2761946000.0000019</v>
      </c>
      <c r="H10" s="13">
        <f t="shared" si="1"/>
        <v>0</v>
      </c>
      <c r="I10" s="14">
        <f t="shared" si="2"/>
        <v>0</v>
      </c>
      <c r="J10" s="15">
        <f t="shared" si="0"/>
        <v>0</v>
      </c>
    </row>
    <row r="11" spans="1:11" x14ac:dyDescent="0.2">
      <c r="A11" s="6">
        <v>2023</v>
      </c>
      <c r="B11" s="11">
        <v>132903513956</v>
      </c>
      <c r="C11" s="11">
        <f>SUMIF(Summary!B:B,'Final Check'!A11,Summary!F:F)</f>
        <v>132903513956</v>
      </c>
      <c r="D11" s="10">
        <v>1</v>
      </c>
      <c r="E11" s="10">
        <f>SUMIF(Summary!B:B,'Final Check'!A11,Summary!G:G)</f>
        <v>1.0000000000000002</v>
      </c>
      <c r="F11" s="8">
        <v>3034897000</v>
      </c>
      <c r="G11" s="8">
        <f>SUMIF(Summary!B:B,'Final Check'!A11,Summary!H:H)</f>
        <v>3034897000</v>
      </c>
      <c r="H11" s="13">
        <f t="shared" si="1"/>
        <v>0</v>
      </c>
      <c r="I11" s="14">
        <f>D11-E11</f>
        <v>0</v>
      </c>
      <c r="J11" s="15">
        <f t="shared" si="0"/>
        <v>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66F2-9B24-7545-9CF6-BF1272BAC407}">
  <sheetPr>
    <tabColor rgb="FFFFFF00"/>
  </sheetPr>
  <dimension ref="A1:H2596"/>
  <sheetViews>
    <sheetView zoomScale="131" workbookViewId="0">
      <selection activeCell="E23" sqref="E23"/>
    </sheetView>
  </sheetViews>
  <sheetFormatPr baseColWidth="10" defaultRowHeight="16" x14ac:dyDescent="0.2"/>
  <cols>
    <col min="2" max="2" width="13.6640625" style="3" bestFit="1" customWidth="1"/>
    <col min="3" max="3" width="58.83203125" style="3" bestFit="1" customWidth="1"/>
    <col min="4" max="4" width="55.5" style="3" bestFit="1" customWidth="1"/>
    <col min="5" max="5" width="20.5" style="8" bestFit="1" customWidth="1"/>
    <col min="6" max="6" width="17.83203125" bestFit="1" customWidth="1"/>
    <col min="7" max="7" width="19.83203125" bestFit="1" customWidth="1"/>
    <col min="8" max="8" width="14.6640625" bestFit="1" customWidth="1"/>
  </cols>
  <sheetData>
    <row r="1" spans="1:8" s="6" customFormat="1" x14ac:dyDescent="0.2">
      <c r="A1" s="6" t="s">
        <v>54</v>
      </c>
      <c r="B1" s="7" t="s">
        <v>945</v>
      </c>
      <c r="C1" s="7" t="s">
        <v>957</v>
      </c>
      <c r="D1" s="7" t="s">
        <v>57</v>
      </c>
      <c r="E1" s="16" t="s">
        <v>956</v>
      </c>
      <c r="F1" s="6" t="s">
        <v>56</v>
      </c>
      <c r="G1" s="6" t="s">
        <v>55</v>
      </c>
    </row>
    <row r="2" spans="1:8" x14ac:dyDescent="0.2">
      <c r="A2">
        <v>2015</v>
      </c>
      <c r="B2" s="3" t="s">
        <v>58</v>
      </c>
      <c r="C2" s="3" t="s">
        <v>0</v>
      </c>
      <c r="D2" s="3" t="s">
        <v>0</v>
      </c>
      <c r="E2" s="8">
        <v>128274391</v>
      </c>
      <c r="F2" s="2">
        <v>1.1215000000000001E-3</v>
      </c>
      <c r="G2" s="17">
        <f>F2 * VLOOKUP('GASB Data'!A2,Check!$A$2:$F$11,6,FALSE)</f>
        <v>1416441.0420000001</v>
      </c>
      <c r="H2" s="1"/>
    </row>
    <row r="3" spans="1:8" x14ac:dyDescent="0.2">
      <c r="A3">
        <v>2015</v>
      </c>
      <c r="B3" s="3" t="s">
        <v>59</v>
      </c>
      <c r="C3" s="3" t="s">
        <v>1</v>
      </c>
      <c r="D3" s="3" t="s">
        <v>1</v>
      </c>
      <c r="E3" s="8">
        <v>368586786</v>
      </c>
      <c r="F3" s="2">
        <v>3.2226999999999998E-3</v>
      </c>
      <c r="G3" s="17">
        <f>F3 * VLOOKUP('GASB Data'!A3,Check!$A$2:$F$11,6,FALSE)</f>
        <v>4070231.4275999996</v>
      </c>
      <c r="H3" s="1"/>
    </row>
    <row r="4" spans="1:8" x14ac:dyDescent="0.2">
      <c r="A4">
        <v>2015</v>
      </c>
      <c r="B4" s="3" t="s">
        <v>60</v>
      </c>
      <c r="C4" s="3" t="s">
        <v>2</v>
      </c>
      <c r="D4" s="3" t="s">
        <v>2</v>
      </c>
      <c r="E4" s="8">
        <v>83394576</v>
      </c>
      <c r="F4" s="2">
        <v>7.291E-4</v>
      </c>
      <c r="G4" s="17">
        <f>F4 * VLOOKUP('GASB Data'!A4,Check!$A$2:$F$11,6,FALSE)</f>
        <v>920844.55079999997</v>
      </c>
      <c r="H4" s="1"/>
    </row>
    <row r="5" spans="1:8" x14ac:dyDescent="0.2">
      <c r="A5">
        <v>2015</v>
      </c>
      <c r="B5" s="3" t="s">
        <v>61</v>
      </c>
      <c r="C5" s="3" t="s">
        <v>3</v>
      </c>
      <c r="D5" s="3" t="s">
        <v>3</v>
      </c>
      <c r="E5" s="8">
        <v>212048928</v>
      </c>
      <c r="F5" s="2">
        <v>1.854E-3</v>
      </c>
      <c r="G5" s="17">
        <f>F5 * VLOOKUP('GASB Data'!A5,Check!$A$2:$F$11,6,FALSE)</f>
        <v>2341579.7519999999</v>
      </c>
      <c r="H5" s="1"/>
    </row>
    <row r="6" spans="1:8" x14ac:dyDescent="0.2">
      <c r="A6">
        <v>2015</v>
      </c>
      <c r="B6" s="3" t="s">
        <v>62</v>
      </c>
      <c r="C6" s="3" t="s">
        <v>4</v>
      </c>
      <c r="D6" s="3" t="s">
        <v>4</v>
      </c>
      <c r="E6" s="8">
        <v>2228024115</v>
      </c>
      <c r="F6" s="2">
        <v>1.9480399999999998E-2</v>
      </c>
      <c r="G6" s="17">
        <f>F6 * VLOOKUP('GASB Data'!A6,Check!$A$2:$F$11,6,FALSE)</f>
        <v>24603511.435199998</v>
      </c>
      <c r="H6" s="1"/>
    </row>
    <row r="7" spans="1:8" x14ac:dyDescent="0.2">
      <c r="A7">
        <v>2015</v>
      </c>
      <c r="B7" s="3" t="s">
        <v>63</v>
      </c>
      <c r="C7" s="3" t="s">
        <v>5</v>
      </c>
      <c r="D7" s="3" t="s">
        <v>5</v>
      </c>
      <c r="E7" s="8">
        <v>14189479</v>
      </c>
      <c r="F7" s="2">
        <v>1.2410000000000001E-4</v>
      </c>
      <c r="G7" s="17">
        <f>F7 * VLOOKUP('GASB Data'!A7,Check!$A$2:$F$11,6,FALSE)</f>
        <v>156736.81080000001</v>
      </c>
      <c r="H7" s="1"/>
    </row>
    <row r="8" spans="1:8" x14ac:dyDescent="0.2">
      <c r="A8">
        <v>2015</v>
      </c>
      <c r="B8" s="3" t="s">
        <v>64</v>
      </c>
      <c r="C8" s="3" t="s">
        <v>6</v>
      </c>
      <c r="D8" s="3" t="s">
        <v>6</v>
      </c>
      <c r="E8" s="8">
        <v>220479560</v>
      </c>
      <c r="F8" s="2">
        <v>1.9277000000000001E-3</v>
      </c>
      <c r="G8" s="17">
        <f>F8 * VLOOKUP('GASB Data'!A8,Check!$A$2:$F$11,6,FALSE)</f>
        <v>2434661.9676000001</v>
      </c>
      <c r="H8" s="1"/>
    </row>
    <row r="9" spans="1:8" x14ac:dyDescent="0.2">
      <c r="A9">
        <v>2015</v>
      </c>
      <c r="B9" s="3" t="s">
        <v>65</v>
      </c>
      <c r="C9" s="3" t="s">
        <v>7</v>
      </c>
      <c r="D9" s="3" t="s">
        <v>7</v>
      </c>
      <c r="E9" s="8">
        <v>38684391</v>
      </c>
      <c r="F9" s="2">
        <v>3.3819999999999998E-4</v>
      </c>
      <c r="G9" s="17">
        <f>F9 * VLOOKUP('GASB Data'!A9,Check!$A$2:$F$11,6,FALSE)</f>
        <v>427142.5416</v>
      </c>
      <c r="H9" s="1"/>
    </row>
    <row r="10" spans="1:8" x14ac:dyDescent="0.2">
      <c r="A10">
        <v>2015</v>
      </c>
      <c r="B10" s="3" t="s">
        <v>66</v>
      </c>
      <c r="C10" s="3" t="s">
        <v>8</v>
      </c>
      <c r="D10" s="3" t="s">
        <v>8</v>
      </c>
      <c r="E10" s="8">
        <v>300048782</v>
      </c>
      <c r="F10" s="2">
        <v>2.6234000000000001E-3</v>
      </c>
      <c r="G10" s="17">
        <f>F10 * VLOOKUP('GASB Data'!A10,Check!$A$2:$F$11,6,FALSE)</f>
        <v>3313322.7192000002</v>
      </c>
      <c r="H10" s="1"/>
    </row>
    <row r="11" spans="1:8" x14ac:dyDescent="0.2">
      <c r="A11">
        <v>2015</v>
      </c>
      <c r="B11" s="3" t="s">
        <v>67</v>
      </c>
      <c r="C11" s="3" t="s">
        <v>9</v>
      </c>
      <c r="D11" s="3" t="s">
        <v>9</v>
      </c>
      <c r="E11" s="8">
        <v>82663049</v>
      </c>
      <c r="F11" s="2">
        <v>7.228E-4</v>
      </c>
      <c r="G11" s="17">
        <f>F11 * VLOOKUP('GASB Data'!A11,Check!$A$2:$F$11,6,FALSE)</f>
        <v>912887.72640000004</v>
      </c>
      <c r="H11" s="1"/>
    </row>
    <row r="12" spans="1:8" x14ac:dyDescent="0.2">
      <c r="A12">
        <v>2015</v>
      </c>
      <c r="B12" s="3" t="s">
        <v>68</v>
      </c>
      <c r="C12" s="3" t="s">
        <v>10</v>
      </c>
      <c r="D12" s="3" t="s">
        <v>10</v>
      </c>
      <c r="E12" s="8">
        <v>77178893</v>
      </c>
      <c r="F12" s="2">
        <v>6.7480000000000003E-4</v>
      </c>
      <c r="G12" s="17">
        <f>F12 * VLOOKUP('GASB Data'!A12,Check!$A$2:$F$11,6,FALSE)</f>
        <v>852264.30240000004</v>
      </c>
      <c r="H12" s="1"/>
    </row>
    <row r="13" spans="1:8" x14ac:dyDescent="0.2">
      <c r="A13">
        <v>2015</v>
      </c>
      <c r="B13" s="3" t="s">
        <v>69</v>
      </c>
      <c r="C13" s="3" t="s">
        <v>11</v>
      </c>
      <c r="D13" s="3" t="s">
        <v>11</v>
      </c>
      <c r="E13" s="8">
        <v>929686558</v>
      </c>
      <c r="F13" s="2">
        <v>8.1285999999999997E-3</v>
      </c>
      <c r="G13" s="17">
        <f>F13 * VLOOKUP('GASB Data'!A13,Check!$A$2:$F$11,6,FALSE)</f>
        <v>10266324.2568</v>
      </c>
      <c r="H13" s="1"/>
    </row>
    <row r="14" spans="1:8" x14ac:dyDescent="0.2">
      <c r="A14">
        <v>2015</v>
      </c>
      <c r="B14" s="3" t="s">
        <v>70</v>
      </c>
      <c r="C14" s="3" t="s">
        <v>12</v>
      </c>
      <c r="D14" s="3" t="s">
        <v>12</v>
      </c>
      <c r="E14" s="8">
        <v>59059985</v>
      </c>
      <c r="F14" s="2">
        <v>5.1639999999999998E-4</v>
      </c>
      <c r="G14" s="17">
        <f>F14 * VLOOKUP('GASB Data'!A14,Check!$A$2:$F$11,6,FALSE)</f>
        <v>652207.00319999992</v>
      </c>
      <c r="H14" s="1"/>
    </row>
    <row r="15" spans="1:8" x14ac:dyDescent="0.2">
      <c r="A15">
        <v>2015</v>
      </c>
      <c r="B15" s="3" t="s">
        <v>71</v>
      </c>
      <c r="C15" s="3" t="s">
        <v>13</v>
      </c>
      <c r="D15" s="3" t="s">
        <v>13</v>
      </c>
      <c r="E15" s="8">
        <v>247791854</v>
      </c>
      <c r="F15" s="2">
        <v>2.1665E-3</v>
      </c>
      <c r="G15" s="17">
        <f>F15 * VLOOKUP('GASB Data'!A15,Check!$A$2:$F$11,6,FALSE)</f>
        <v>2736263.5019999999</v>
      </c>
      <c r="H15" s="1"/>
    </row>
    <row r="16" spans="1:8" x14ac:dyDescent="0.2">
      <c r="A16">
        <v>2015</v>
      </c>
      <c r="B16" s="3" t="s">
        <v>72</v>
      </c>
      <c r="C16" s="3" t="s">
        <v>14</v>
      </c>
      <c r="D16" s="3" t="s">
        <v>14</v>
      </c>
      <c r="E16" s="8">
        <v>28300695</v>
      </c>
      <c r="F16" s="2">
        <v>2.474E-4</v>
      </c>
      <c r="G16" s="17">
        <f>F16 * VLOOKUP('GASB Data'!A16,Check!$A$2:$F$11,6,FALSE)</f>
        <v>312463.23119999998</v>
      </c>
      <c r="H16" s="1"/>
    </row>
    <row r="17" spans="1:8" x14ac:dyDescent="0.2">
      <c r="A17">
        <v>2015</v>
      </c>
      <c r="B17" s="3" t="s">
        <v>73</v>
      </c>
      <c r="C17" s="3" t="s">
        <v>15</v>
      </c>
      <c r="D17" s="3" t="s">
        <v>15</v>
      </c>
      <c r="E17" s="8">
        <v>30622579</v>
      </c>
      <c r="F17" s="2">
        <v>2.677E-4</v>
      </c>
      <c r="G17" s="17">
        <f>F17 * VLOOKUP('GASB Data'!A17,Check!$A$2:$F$11,6,FALSE)</f>
        <v>338101.88760000002</v>
      </c>
      <c r="H17" s="1"/>
    </row>
    <row r="18" spans="1:8" x14ac:dyDescent="0.2">
      <c r="A18">
        <v>2015</v>
      </c>
      <c r="B18" s="3" t="s">
        <v>74</v>
      </c>
      <c r="C18" s="3" t="s">
        <v>16</v>
      </c>
      <c r="D18" s="3" t="s">
        <v>16</v>
      </c>
      <c r="E18" s="8">
        <v>4917843</v>
      </c>
      <c r="F18" s="2">
        <v>4.3000000000000002E-5</v>
      </c>
      <c r="G18" s="17">
        <f>F18 * VLOOKUP('GASB Data'!A18,Check!$A$2:$F$11,6,FALSE)</f>
        <v>54308.484000000004</v>
      </c>
      <c r="H18" s="1"/>
    </row>
    <row r="19" spans="1:8" x14ac:dyDescent="0.2">
      <c r="A19">
        <v>2015</v>
      </c>
      <c r="B19" s="3" t="s">
        <v>75</v>
      </c>
      <c r="C19" s="3" t="s">
        <v>17</v>
      </c>
      <c r="D19" s="3" t="s">
        <v>17</v>
      </c>
      <c r="E19" s="8">
        <v>209053938</v>
      </c>
      <c r="F19" s="2">
        <v>1.8278000000000001E-3</v>
      </c>
      <c r="G19" s="17">
        <f>F19 * VLOOKUP('GASB Data'!A19,Check!$A$2:$F$11,6,FALSE)</f>
        <v>2308489.4664000003</v>
      </c>
      <c r="H19" s="1"/>
    </row>
    <row r="20" spans="1:8" x14ac:dyDescent="0.2">
      <c r="A20">
        <v>2015</v>
      </c>
      <c r="B20" s="3" t="s">
        <v>76</v>
      </c>
      <c r="C20" s="3" t="s">
        <v>18</v>
      </c>
      <c r="D20" s="3" t="s">
        <v>18</v>
      </c>
      <c r="E20" s="8">
        <v>5637772265</v>
      </c>
      <c r="F20" s="2">
        <v>4.9292900000000001E-2</v>
      </c>
      <c r="G20" s="17">
        <f>F20 * VLOOKUP('GASB Data'!A20,Check!$A$2:$F$11,6,FALSE)</f>
        <v>62256341.185199998</v>
      </c>
      <c r="H20" s="1"/>
    </row>
    <row r="21" spans="1:8" x14ac:dyDescent="0.2">
      <c r="A21">
        <v>2015</v>
      </c>
      <c r="B21" s="3" t="s">
        <v>77</v>
      </c>
      <c r="C21" s="3" t="s">
        <v>19</v>
      </c>
      <c r="D21" s="3" t="s">
        <v>19</v>
      </c>
      <c r="E21" s="8">
        <v>652491866</v>
      </c>
      <c r="F21" s="2">
        <v>5.705E-3</v>
      </c>
      <c r="G21" s="17">
        <f>F21 * VLOOKUP('GASB Data'!A21,Check!$A$2:$F$11,6,FALSE)</f>
        <v>7205346.54</v>
      </c>
      <c r="H21" s="1"/>
    </row>
    <row r="22" spans="1:8" x14ac:dyDescent="0.2">
      <c r="A22">
        <v>2015</v>
      </c>
      <c r="B22" s="3" t="s">
        <v>78</v>
      </c>
      <c r="C22" s="3" t="s">
        <v>20</v>
      </c>
      <c r="D22" s="3" t="s">
        <v>20</v>
      </c>
      <c r="E22" s="8">
        <v>174494125</v>
      </c>
      <c r="F22" s="2">
        <v>1.5257000000000001E-3</v>
      </c>
      <c r="G22" s="17">
        <f>F22 * VLOOKUP('GASB Data'!A22,Check!$A$2:$F$11,6,FALSE)</f>
        <v>1926940.7916000001</v>
      </c>
      <c r="H22" s="1"/>
    </row>
    <row r="23" spans="1:8" x14ac:dyDescent="0.2">
      <c r="A23">
        <v>2015</v>
      </c>
      <c r="B23" s="3" t="s">
        <v>79</v>
      </c>
      <c r="C23" s="3" t="s">
        <v>21</v>
      </c>
      <c r="D23" s="3" t="s">
        <v>21</v>
      </c>
      <c r="E23" s="8">
        <v>134480578</v>
      </c>
      <c r="F23" s="2">
        <v>1.1758000000000001E-3</v>
      </c>
      <c r="G23" s="17">
        <f>F23 * VLOOKUP('GASB Data'!A23,Check!$A$2:$F$11,6,FALSE)</f>
        <v>1485021.2904000001</v>
      </c>
      <c r="H23" s="1"/>
    </row>
    <row r="24" spans="1:8" x14ac:dyDescent="0.2">
      <c r="A24">
        <v>2015</v>
      </c>
      <c r="B24" s="3" t="s">
        <v>80</v>
      </c>
      <c r="C24" s="3" t="s">
        <v>22</v>
      </c>
      <c r="D24" s="3" t="s">
        <v>22</v>
      </c>
      <c r="E24" s="8">
        <v>484759179</v>
      </c>
      <c r="F24" s="2">
        <v>4.2383999999999998E-3</v>
      </c>
      <c r="G24" s="17">
        <f>F24 * VLOOKUP('GASB Data'!A24,Check!$A$2:$F$11,6,FALSE)</f>
        <v>5353048.3391999993</v>
      </c>
      <c r="H24" s="1"/>
    </row>
    <row r="25" spans="1:8" x14ac:dyDescent="0.2">
      <c r="A25">
        <v>2015</v>
      </c>
      <c r="B25" s="3" t="s">
        <v>81</v>
      </c>
      <c r="C25" s="3" t="s">
        <v>23</v>
      </c>
      <c r="D25" s="3" t="s">
        <v>23</v>
      </c>
      <c r="E25" s="8">
        <v>61043051</v>
      </c>
      <c r="F25" s="2">
        <v>5.3370000000000002E-4</v>
      </c>
      <c r="G25" s="17">
        <f>F25 * VLOOKUP('GASB Data'!A25,Check!$A$2:$F$11,6,FALSE)</f>
        <v>674056.69559999998</v>
      </c>
      <c r="H25" s="1"/>
    </row>
    <row r="26" spans="1:8" x14ac:dyDescent="0.2">
      <c r="A26">
        <v>2015</v>
      </c>
      <c r="B26" s="3" t="s">
        <v>82</v>
      </c>
      <c r="C26" s="3" t="s">
        <v>24</v>
      </c>
      <c r="D26" s="3" t="s">
        <v>24</v>
      </c>
      <c r="E26" s="8">
        <v>179114924</v>
      </c>
      <c r="F26" s="2">
        <v>1.5661E-3</v>
      </c>
      <c r="G26" s="17">
        <f>F26 * VLOOKUP('GASB Data'!A26,Check!$A$2:$F$11,6,FALSE)</f>
        <v>1977965.5067999999</v>
      </c>
      <c r="H26" s="1"/>
    </row>
    <row r="27" spans="1:8" x14ac:dyDescent="0.2">
      <c r="A27">
        <v>2015</v>
      </c>
      <c r="B27" s="3" t="s">
        <v>83</v>
      </c>
      <c r="C27" s="3" t="s">
        <v>25</v>
      </c>
      <c r="D27" s="3" t="s">
        <v>25</v>
      </c>
      <c r="E27" s="8">
        <v>653101029</v>
      </c>
      <c r="F27" s="2">
        <v>5.7102999999999998E-3</v>
      </c>
      <c r="G27" s="17">
        <f>F27 * VLOOKUP('GASB Data'!A27,Check!$A$2:$F$11,6,FALSE)</f>
        <v>7212040.3763999995</v>
      </c>
      <c r="H27" s="1"/>
    </row>
    <row r="28" spans="1:8" x14ac:dyDescent="0.2">
      <c r="A28">
        <v>2015</v>
      </c>
      <c r="B28" s="3" t="s">
        <v>84</v>
      </c>
      <c r="C28" s="3" t="s">
        <v>26</v>
      </c>
      <c r="D28" s="3" t="s">
        <v>26</v>
      </c>
      <c r="E28" s="8">
        <v>2128729</v>
      </c>
      <c r="F28" s="2">
        <v>1.8600000000000001E-5</v>
      </c>
      <c r="G28" s="17">
        <f>F28 * VLOOKUP('GASB Data'!A28,Check!$A$2:$F$11,6,FALSE)</f>
        <v>23491.576800000003</v>
      </c>
      <c r="H28" s="1"/>
    </row>
    <row r="29" spans="1:8" x14ac:dyDescent="0.2">
      <c r="A29">
        <v>2015</v>
      </c>
      <c r="B29" s="3" t="s">
        <v>85</v>
      </c>
      <c r="C29" s="3" t="s">
        <v>27</v>
      </c>
      <c r="D29" s="3" t="s">
        <v>27</v>
      </c>
      <c r="E29" s="8">
        <v>992952</v>
      </c>
      <c r="F29" s="2">
        <v>8.6999999999999997E-6</v>
      </c>
      <c r="G29" s="17">
        <f>F29 * VLOOKUP('GASB Data'!A29,Check!$A$2:$F$11,6,FALSE)</f>
        <v>10987.9956</v>
      </c>
      <c r="H29" s="1"/>
    </row>
    <row r="30" spans="1:8" x14ac:dyDescent="0.2">
      <c r="A30">
        <v>2015</v>
      </c>
      <c r="B30" s="3" t="s">
        <v>86</v>
      </c>
      <c r="C30" s="3" t="s">
        <v>28</v>
      </c>
      <c r="D30" s="3" t="s">
        <v>28</v>
      </c>
      <c r="E30" s="8">
        <v>723264</v>
      </c>
      <c r="F30" s="2">
        <v>6.2999999999999998E-6</v>
      </c>
      <c r="G30" s="17">
        <f>F30 * VLOOKUP('GASB Data'!A30,Check!$A$2:$F$11,6,FALSE)</f>
        <v>7956.8243999999995</v>
      </c>
      <c r="H30" s="1"/>
    </row>
    <row r="31" spans="1:8" x14ac:dyDescent="0.2">
      <c r="A31">
        <v>2015</v>
      </c>
      <c r="B31" s="3" t="s">
        <v>87</v>
      </c>
      <c r="C31" s="3" t="s">
        <v>29</v>
      </c>
      <c r="D31" s="3" t="s">
        <v>29</v>
      </c>
      <c r="E31" s="8">
        <v>1514603</v>
      </c>
      <c r="F31" s="2">
        <v>1.3200000000000001E-5</v>
      </c>
      <c r="G31" s="17">
        <f>F31 * VLOOKUP('GASB Data'!A31,Check!$A$2:$F$11,6,FALSE)</f>
        <v>16671.441600000002</v>
      </c>
      <c r="H31" s="1"/>
    </row>
    <row r="32" spans="1:8" x14ac:dyDescent="0.2">
      <c r="A32">
        <v>2015</v>
      </c>
      <c r="B32" s="3" t="s">
        <v>88</v>
      </c>
      <c r="C32" s="3" t="s">
        <v>30</v>
      </c>
      <c r="D32" s="3" t="s">
        <v>30</v>
      </c>
      <c r="E32" s="8">
        <v>92097480</v>
      </c>
      <c r="F32" s="2">
        <v>8.0519999999999995E-4</v>
      </c>
      <c r="G32" s="17">
        <f>F32 * VLOOKUP('GASB Data'!A32,Check!$A$2:$F$11,6,FALSE)</f>
        <v>1016957.9375999999</v>
      </c>
      <c r="H32" s="1"/>
    </row>
    <row r="33" spans="1:8" x14ac:dyDescent="0.2">
      <c r="A33">
        <v>2015</v>
      </c>
      <c r="B33" s="3" t="s">
        <v>89</v>
      </c>
      <c r="C33" s="3" t="s">
        <v>31</v>
      </c>
      <c r="D33" s="3" t="s">
        <v>31</v>
      </c>
      <c r="E33" s="8">
        <v>8037411874</v>
      </c>
      <c r="F33" s="2">
        <v>7.0273699999999995E-2</v>
      </c>
      <c r="G33" s="17">
        <f>F33 * VLOOKUP('GASB Data'!A33,Check!$A$2:$F$11,6,FALSE)</f>
        <v>88754839.815599993</v>
      </c>
      <c r="H33" s="1"/>
    </row>
    <row r="34" spans="1:8" x14ac:dyDescent="0.2">
      <c r="A34">
        <v>2015</v>
      </c>
      <c r="B34" s="3" t="s">
        <v>90</v>
      </c>
      <c r="C34" s="3" t="s">
        <v>32</v>
      </c>
      <c r="D34" s="3" t="s">
        <v>32</v>
      </c>
      <c r="E34" s="8">
        <v>662461388</v>
      </c>
      <c r="F34" s="2">
        <v>5.7920999999999997E-3</v>
      </c>
      <c r="G34" s="17">
        <f>F34 * VLOOKUP('GASB Data'!A34,Check!$A$2:$F$11,6,FALSE)</f>
        <v>7315352.7947999993</v>
      </c>
      <c r="H34" s="1"/>
    </row>
    <row r="35" spans="1:8" x14ac:dyDescent="0.2">
      <c r="A35">
        <v>2015</v>
      </c>
      <c r="B35" s="3" t="s">
        <v>91</v>
      </c>
      <c r="C35" s="3" t="s">
        <v>33</v>
      </c>
      <c r="D35" s="3" t="s">
        <v>33</v>
      </c>
      <c r="E35" s="8">
        <v>91593337</v>
      </c>
      <c r="F35" s="2">
        <v>8.0079999999999995E-4</v>
      </c>
      <c r="G35" s="17">
        <f>F35 * VLOOKUP('GASB Data'!A35,Check!$A$2:$F$11,6,FALSE)</f>
        <v>1011400.7903999999</v>
      </c>
      <c r="H35" s="1"/>
    </row>
    <row r="36" spans="1:8" x14ac:dyDescent="0.2">
      <c r="A36">
        <v>2015</v>
      </c>
      <c r="B36" s="3" t="s">
        <v>92</v>
      </c>
      <c r="C36" s="3" t="s">
        <v>34</v>
      </c>
      <c r="D36" s="3" t="s">
        <v>34</v>
      </c>
      <c r="E36" s="8">
        <v>1539093638</v>
      </c>
      <c r="F36" s="2">
        <v>1.34568E-2</v>
      </c>
      <c r="G36" s="17">
        <f>F36 * VLOOKUP('GASB Data'!A36,Check!$A$2:$F$11,6,FALSE)</f>
        <v>16995776.918400001</v>
      </c>
      <c r="H36" s="1"/>
    </row>
    <row r="37" spans="1:8" x14ac:dyDescent="0.2">
      <c r="A37">
        <v>2015</v>
      </c>
      <c r="B37" s="3" t="s">
        <v>93</v>
      </c>
      <c r="C37" s="3" t="s">
        <v>35</v>
      </c>
      <c r="D37" s="3" t="s">
        <v>35</v>
      </c>
      <c r="E37" s="8">
        <v>134411359</v>
      </c>
      <c r="F37" s="2">
        <v>1.1751999999999999E-3</v>
      </c>
      <c r="G37" s="17">
        <f>F37 * VLOOKUP('GASB Data'!A37,Check!$A$2:$F$11,6,FALSE)</f>
        <v>1484263.4975999999</v>
      </c>
      <c r="H37" s="1"/>
    </row>
    <row r="38" spans="1:8" x14ac:dyDescent="0.2">
      <c r="A38">
        <v>2015</v>
      </c>
      <c r="B38" s="3" t="s">
        <v>94</v>
      </c>
      <c r="C38" s="3" t="s">
        <v>36</v>
      </c>
      <c r="D38" s="3" t="s">
        <v>36</v>
      </c>
      <c r="E38" s="8">
        <v>227954666</v>
      </c>
      <c r="F38" s="2">
        <v>1.9930999999999998E-3</v>
      </c>
      <c r="G38" s="17">
        <f>F38 * VLOOKUP('GASB Data'!A38,Check!$A$2:$F$11,6,FALSE)</f>
        <v>2517261.3827999998</v>
      </c>
      <c r="H38" s="1"/>
    </row>
    <row r="39" spans="1:8" x14ac:dyDescent="0.2">
      <c r="A39">
        <v>2015</v>
      </c>
      <c r="B39" s="3" t="s">
        <v>95</v>
      </c>
      <c r="C39" s="3" t="s">
        <v>37</v>
      </c>
      <c r="D39" s="3" t="s">
        <v>37</v>
      </c>
      <c r="E39" s="8">
        <v>456631473</v>
      </c>
      <c r="F39" s="2">
        <v>3.9925000000000004E-3</v>
      </c>
      <c r="G39" s="17">
        <f>F39 * VLOOKUP('GASB Data'!A39,Check!$A$2:$F$11,6,FALSE)</f>
        <v>5042479.5900000008</v>
      </c>
      <c r="H39" s="1"/>
    </row>
    <row r="40" spans="1:8" x14ac:dyDescent="0.2">
      <c r="A40">
        <v>2015</v>
      </c>
      <c r="B40" s="3" t="s">
        <v>96</v>
      </c>
      <c r="C40" s="3" t="s">
        <v>38</v>
      </c>
      <c r="D40" s="3" t="s">
        <v>38</v>
      </c>
      <c r="E40" s="8">
        <v>415295739</v>
      </c>
      <c r="F40" s="2">
        <v>3.6311E-3</v>
      </c>
      <c r="G40" s="17">
        <f>F40 * VLOOKUP('GASB Data'!A40,Check!$A$2:$F$11,6,FALSE)</f>
        <v>4586035.7268000003</v>
      </c>
      <c r="H40" s="1"/>
    </row>
    <row r="41" spans="1:8" x14ac:dyDescent="0.2">
      <c r="A41">
        <v>2015</v>
      </c>
      <c r="B41" s="3" t="s">
        <v>97</v>
      </c>
      <c r="C41" s="3" t="s">
        <v>39</v>
      </c>
      <c r="D41" s="3" t="s">
        <v>39</v>
      </c>
      <c r="E41" s="8">
        <v>569583817</v>
      </c>
      <c r="F41" s="2">
        <v>4.9801000000000003E-3</v>
      </c>
      <c r="G41" s="17">
        <f>F41 * VLOOKUP('GASB Data'!A41,Check!$A$2:$F$11,6,FALSE)</f>
        <v>6289806.5388000002</v>
      </c>
      <c r="H41" s="1"/>
    </row>
    <row r="42" spans="1:8" x14ac:dyDescent="0.2">
      <c r="A42">
        <v>2015</v>
      </c>
      <c r="B42" s="3" t="s">
        <v>98</v>
      </c>
      <c r="C42" s="3" t="s">
        <v>40</v>
      </c>
      <c r="D42" s="3" t="s">
        <v>40</v>
      </c>
      <c r="E42" s="8">
        <v>189394798</v>
      </c>
      <c r="F42" s="2">
        <v>1.6559000000000001E-3</v>
      </c>
      <c r="G42" s="17">
        <f>F42 * VLOOKUP('GASB Data'!A42,Check!$A$2:$F$11,6,FALSE)</f>
        <v>2091381.8292</v>
      </c>
      <c r="H42" s="1"/>
    </row>
    <row r="43" spans="1:8" x14ac:dyDescent="0.2">
      <c r="A43">
        <v>2015</v>
      </c>
      <c r="B43" s="3" t="s">
        <v>99</v>
      </c>
      <c r="C43" s="3" t="s">
        <v>41</v>
      </c>
      <c r="D43" s="3" t="s">
        <v>41</v>
      </c>
      <c r="E43" s="8">
        <v>2446896617</v>
      </c>
      <c r="F43" s="2">
        <v>2.1394E-2</v>
      </c>
      <c r="G43" s="17">
        <f>F43 * VLOOKUP('GASB Data'!A43,Check!$A$2:$F$11,6,FALSE)</f>
        <v>27020365.272</v>
      </c>
      <c r="H43" s="1"/>
    </row>
    <row r="44" spans="1:8" x14ac:dyDescent="0.2">
      <c r="A44">
        <v>2015</v>
      </c>
      <c r="B44" s="3" t="s">
        <v>100</v>
      </c>
      <c r="C44" s="3" t="s">
        <v>42</v>
      </c>
      <c r="D44" s="3" t="s">
        <v>42</v>
      </c>
      <c r="E44" s="8">
        <v>3571031726</v>
      </c>
      <c r="F44" s="2">
        <v>3.1222699999999999E-2</v>
      </c>
      <c r="G44" s="17">
        <f>F44 * VLOOKUP('GASB Data'!A44,Check!$A$2:$F$11,6,FALSE)</f>
        <v>39433895.427599996</v>
      </c>
      <c r="H44" s="1"/>
    </row>
    <row r="45" spans="1:8" x14ac:dyDescent="0.2">
      <c r="A45">
        <v>2015</v>
      </c>
      <c r="B45" s="3" t="s">
        <v>101</v>
      </c>
      <c r="C45" s="3" t="s">
        <v>43</v>
      </c>
      <c r="D45" s="3" t="s">
        <v>43</v>
      </c>
      <c r="E45" s="8">
        <v>150561730</v>
      </c>
      <c r="F45" s="2">
        <v>1.3163999999999999E-3</v>
      </c>
      <c r="G45" s="17">
        <f>F45 * VLOOKUP('GASB Data'!A45,Check!$A$2:$F$11,6,FALSE)</f>
        <v>1662597.4031999998</v>
      </c>
      <c r="H45" s="1"/>
    </row>
    <row r="46" spans="1:8" x14ac:dyDescent="0.2">
      <c r="A46">
        <v>2015</v>
      </c>
      <c r="B46" s="3" t="s">
        <v>102</v>
      </c>
      <c r="C46" s="3" t="s">
        <v>44</v>
      </c>
      <c r="D46" s="3" t="s">
        <v>44</v>
      </c>
      <c r="E46" s="8">
        <v>4085677718</v>
      </c>
      <c r="F46" s="2">
        <v>3.5722400000000001E-2</v>
      </c>
      <c r="G46" s="17">
        <f>F46 * VLOOKUP('GASB Data'!A46,Check!$A$2:$F$11,6,FALSE)</f>
        <v>45116962.531199999</v>
      </c>
      <c r="H46" s="1"/>
    </row>
    <row r="47" spans="1:8" x14ac:dyDescent="0.2">
      <c r="A47">
        <v>2015</v>
      </c>
      <c r="B47" s="3" t="s">
        <v>103</v>
      </c>
      <c r="C47" s="3" t="s">
        <v>45</v>
      </c>
      <c r="D47" s="3" t="s">
        <v>45</v>
      </c>
      <c r="E47" s="8">
        <v>19462933</v>
      </c>
      <c r="F47" s="2">
        <v>1.7019999999999999E-4</v>
      </c>
      <c r="G47" s="17">
        <f>F47 * VLOOKUP('GASB Data'!A47,Check!$A$2:$F$11,6,FALSE)</f>
        <v>214960.5576</v>
      </c>
      <c r="H47" s="1"/>
    </row>
    <row r="48" spans="1:8" x14ac:dyDescent="0.2">
      <c r="A48">
        <v>2015</v>
      </c>
      <c r="B48" s="3" t="s">
        <v>104</v>
      </c>
      <c r="C48" s="3" t="s">
        <v>46</v>
      </c>
      <c r="D48" s="3" t="s">
        <v>46</v>
      </c>
      <c r="E48" s="8">
        <v>342692469</v>
      </c>
      <c r="F48" s="2">
        <v>2.9962999999999999E-3</v>
      </c>
      <c r="G48" s="17">
        <f>F48 * VLOOKUP('GASB Data'!A48,Check!$A$2:$F$11,6,FALSE)</f>
        <v>3784290.9443999999</v>
      </c>
      <c r="H48" s="1"/>
    </row>
    <row r="49" spans="1:8" x14ac:dyDescent="0.2">
      <c r="A49">
        <v>2015</v>
      </c>
      <c r="B49" s="3" t="s">
        <v>105</v>
      </c>
      <c r="C49" s="3" t="s">
        <v>47</v>
      </c>
      <c r="D49" s="3" t="s">
        <v>47</v>
      </c>
      <c r="E49" s="8">
        <v>274386395</v>
      </c>
      <c r="F49" s="2">
        <v>2.3990999999999999E-3</v>
      </c>
      <c r="G49" s="17">
        <f>F49 * VLOOKUP('GASB Data'!A49,Check!$A$2:$F$11,6,FALSE)</f>
        <v>3030034.5107999998</v>
      </c>
      <c r="H49" s="1"/>
    </row>
    <row r="50" spans="1:8" x14ac:dyDescent="0.2">
      <c r="A50">
        <v>2015</v>
      </c>
      <c r="B50" s="3" t="s">
        <v>106</v>
      </c>
      <c r="C50" s="3" t="s">
        <v>48</v>
      </c>
      <c r="D50" s="3" t="s">
        <v>48</v>
      </c>
      <c r="E50" s="8">
        <v>472828837</v>
      </c>
      <c r="F50" s="2">
        <v>4.1340999999999999E-3</v>
      </c>
      <c r="G50" s="17">
        <f>F50 * VLOOKUP('GASB Data'!A50,Check!$A$2:$F$11,6,FALSE)</f>
        <v>5221318.6908</v>
      </c>
      <c r="H50" s="1"/>
    </row>
    <row r="51" spans="1:8" x14ac:dyDescent="0.2">
      <c r="A51">
        <v>2015</v>
      </c>
      <c r="B51" s="3" t="s">
        <v>107</v>
      </c>
      <c r="C51" s="3" t="s">
        <v>49</v>
      </c>
      <c r="D51" s="3" t="s">
        <v>49</v>
      </c>
      <c r="E51" s="8">
        <v>135123227</v>
      </c>
      <c r="F51" s="2">
        <v>1.1814E-3</v>
      </c>
      <c r="G51" s="17">
        <f>F51 * VLOOKUP('GASB Data'!A51,Check!$A$2:$F$11,6,FALSE)</f>
        <v>1492094.0231999999</v>
      </c>
      <c r="H51" s="1"/>
    </row>
    <row r="52" spans="1:8" x14ac:dyDescent="0.2">
      <c r="A52">
        <v>2015</v>
      </c>
      <c r="B52" s="3" t="s">
        <v>108</v>
      </c>
      <c r="C52" s="3" t="s">
        <v>50</v>
      </c>
      <c r="D52" s="3" t="s">
        <v>50</v>
      </c>
      <c r="E52" s="8">
        <v>766799661</v>
      </c>
      <c r="F52" s="2">
        <v>6.7044000000000001E-3</v>
      </c>
      <c r="G52" s="17">
        <f>F52 * VLOOKUP('GASB Data'!A52,Check!$A$2:$F$11,6,FALSE)</f>
        <v>8467576.747200001</v>
      </c>
      <c r="H52" s="1"/>
    </row>
    <row r="53" spans="1:8" x14ac:dyDescent="0.2">
      <c r="A53">
        <v>2015</v>
      </c>
      <c r="B53" s="3" t="s">
        <v>109</v>
      </c>
      <c r="C53" s="3" t="s">
        <v>51</v>
      </c>
      <c r="D53" s="3" t="s">
        <v>51</v>
      </c>
      <c r="E53" s="8">
        <v>408576774</v>
      </c>
      <c r="F53" s="2">
        <v>3.5723E-3</v>
      </c>
      <c r="G53" s="17">
        <f>F53 * VLOOKUP('GASB Data'!A53,Check!$A$2:$F$11,6,FALSE)</f>
        <v>4511772.0323999999</v>
      </c>
      <c r="H53" s="1"/>
    </row>
    <row r="54" spans="1:8" x14ac:dyDescent="0.2">
      <c r="A54">
        <v>2015</v>
      </c>
      <c r="B54" s="3" t="s">
        <v>110</v>
      </c>
      <c r="C54" s="3" t="s">
        <v>52</v>
      </c>
      <c r="D54" s="3" t="s">
        <v>52</v>
      </c>
      <c r="E54" s="8">
        <v>116074708</v>
      </c>
      <c r="F54" s="2">
        <v>1.0149E-3</v>
      </c>
      <c r="G54" s="17">
        <f>F54 * VLOOKUP('GASB Data'!A54,Check!$A$2:$F$11,6,FALSE)</f>
        <v>1281806.5212000001</v>
      </c>
      <c r="H54" s="1"/>
    </row>
    <row r="55" spans="1:8" x14ac:dyDescent="0.2">
      <c r="A55">
        <v>2015</v>
      </c>
      <c r="B55" s="3" t="s">
        <v>111</v>
      </c>
      <c r="C55" s="3" t="s">
        <v>53</v>
      </c>
      <c r="D55" s="3" t="s">
        <v>53</v>
      </c>
      <c r="E55" s="8">
        <v>981026398</v>
      </c>
      <c r="F55" s="2">
        <v>8.5774000000000006E-3</v>
      </c>
      <c r="G55" s="17">
        <f>F55 * VLOOKUP('GASB Data'!A55,Check!$A$2:$F$11,6,FALSE)</f>
        <v>10833153.271200001</v>
      </c>
      <c r="H55" s="1"/>
    </row>
    <row r="56" spans="1:8" x14ac:dyDescent="0.2">
      <c r="A56">
        <v>2015</v>
      </c>
      <c r="B56" s="3" t="s">
        <v>166</v>
      </c>
      <c r="C56" s="3" t="s">
        <v>112</v>
      </c>
      <c r="D56" s="3" t="s">
        <v>112</v>
      </c>
      <c r="E56" s="8">
        <v>16097004</v>
      </c>
      <c r="F56" s="2">
        <v>1.407E-4</v>
      </c>
      <c r="G56" s="17">
        <f>F56 * VLOOKUP('GASB Data'!A56,Check!$A$2:$F$11,6,FALSE)</f>
        <v>177702.41159999999</v>
      </c>
    </row>
    <row r="57" spans="1:8" x14ac:dyDescent="0.2">
      <c r="A57">
        <v>2015</v>
      </c>
      <c r="B57" s="3" t="s">
        <v>167</v>
      </c>
      <c r="C57" s="3" t="s">
        <v>113</v>
      </c>
      <c r="D57" s="3" t="s">
        <v>113</v>
      </c>
      <c r="E57" s="8">
        <v>21457450</v>
      </c>
      <c r="F57" s="2">
        <v>1.8760000000000001E-4</v>
      </c>
      <c r="G57" s="17">
        <f>F57 * VLOOKUP('GASB Data'!A57,Check!$A$2:$F$11,6,FALSE)</f>
        <v>236936.54880000002</v>
      </c>
    </row>
    <row r="58" spans="1:8" x14ac:dyDescent="0.2">
      <c r="A58">
        <v>2015</v>
      </c>
      <c r="B58" s="3" t="s">
        <v>168</v>
      </c>
      <c r="C58" s="3" t="s">
        <v>114</v>
      </c>
      <c r="D58" s="3" t="s">
        <v>114</v>
      </c>
      <c r="E58" s="8">
        <v>9918125</v>
      </c>
      <c r="F58" s="2">
        <v>8.6700000000000007E-5</v>
      </c>
      <c r="G58" s="17">
        <f>F58 * VLOOKUP('GASB Data'!A58,Check!$A$2:$F$11,6,FALSE)</f>
        <v>109501.05960000001</v>
      </c>
    </row>
    <row r="59" spans="1:8" x14ac:dyDescent="0.2">
      <c r="A59">
        <v>2015</v>
      </c>
      <c r="B59" s="3" t="s">
        <v>169</v>
      </c>
      <c r="C59" s="3" t="s">
        <v>115</v>
      </c>
      <c r="D59" s="3" t="s">
        <v>115</v>
      </c>
      <c r="E59" s="8">
        <v>93608175</v>
      </c>
      <c r="F59" s="2">
        <v>8.1840000000000005E-4</v>
      </c>
      <c r="G59" s="17">
        <f>F59 * VLOOKUP('GASB Data'!A59,Check!$A$2:$F$11,6,FALSE)</f>
        <v>1033629.3792000001</v>
      </c>
    </row>
    <row r="60" spans="1:8" x14ac:dyDescent="0.2">
      <c r="A60">
        <v>2015</v>
      </c>
      <c r="B60" s="3" t="s">
        <v>170</v>
      </c>
      <c r="C60" s="3" t="s">
        <v>116</v>
      </c>
      <c r="D60" s="3" t="s">
        <v>116</v>
      </c>
      <c r="E60" s="8">
        <v>230783926</v>
      </c>
      <c r="F60" s="2">
        <v>2.0178000000000001E-3</v>
      </c>
      <c r="G60" s="17">
        <f>F60 * VLOOKUP('GASB Data'!A60,Check!$A$2:$F$11,6,FALSE)</f>
        <v>2548457.1864</v>
      </c>
    </row>
    <row r="61" spans="1:8" x14ac:dyDescent="0.2">
      <c r="A61">
        <v>2015</v>
      </c>
      <c r="B61" s="3" t="s">
        <v>171</v>
      </c>
      <c r="C61" s="3" t="s">
        <v>117</v>
      </c>
      <c r="D61" s="3" t="s">
        <v>117</v>
      </c>
      <c r="E61" s="8">
        <v>77024316</v>
      </c>
      <c r="F61" s="2">
        <v>6.734E-4</v>
      </c>
      <c r="G61" s="17">
        <f>F61 * VLOOKUP('GASB Data'!A61,Check!$A$2:$F$11,6,FALSE)</f>
        <v>850496.11919999996</v>
      </c>
    </row>
    <row r="62" spans="1:8" x14ac:dyDescent="0.2">
      <c r="A62">
        <v>2015</v>
      </c>
      <c r="B62" s="3" t="s">
        <v>172</v>
      </c>
      <c r="C62" s="3" t="s">
        <v>118</v>
      </c>
      <c r="D62" s="3" t="s">
        <v>118</v>
      </c>
      <c r="E62" s="8">
        <v>151119843</v>
      </c>
      <c r="F62" s="2">
        <v>1.3213000000000001E-3</v>
      </c>
      <c r="G62" s="17">
        <f>F62 * VLOOKUP('GASB Data'!A62,Check!$A$2:$F$11,6,FALSE)</f>
        <v>1668786.0444</v>
      </c>
    </row>
    <row r="63" spans="1:8" x14ac:dyDescent="0.2">
      <c r="A63">
        <v>2015</v>
      </c>
      <c r="B63" s="3" t="s">
        <v>173</v>
      </c>
      <c r="C63" s="3" t="s">
        <v>119</v>
      </c>
      <c r="D63" s="3" t="s">
        <v>119</v>
      </c>
      <c r="E63" s="8">
        <v>92516655</v>
      </c>
      <c r="F63" s="2">
        <v>8.0889999999999998E-4</v>
      </c>
      <c r="G63" s="17">
        <f>F63 * VLOOKUP('GASB Data'!A63,Check!$A$2:$F$11,6,FALSE)</f>
        <v>1021630.9932</v>
      </c>
    </row>
    <row r="64" spans="1:8" x14ac:dyDescent="0.2">
      <c r="A64">
        <v>2015</v>
      </c>
      <c r="B64" s="3" t="s">
        <v>174</v>
      </c>
      <c r="C64" s="3" t="s">
        <v>120</v>
      </c>
      <c r="D64" s="3" t="s">
        <v>120</v>
      </c>
      <c r="E64" s="8">
        <v>151325074</v>
      </c>
      <c r="F64" s="2">
        <v>1.3231E-3</v>
      </c>
      <c r="G64" s="17">
        <f>F64 * VLOOKUP('GASB Data'!A64,Check!$A$2:$F$11,6,FALSE)</f>
        <v>1671059.4228000001</v>
      </c>
    </row>
    <row r="65" spans="1:7" x14ac:dyDescent="0.2">
      <c r="A65">
        <v>2015</v>
      </c>
      <c r="B65" s="3" t="s">
        <v>175</v>
      </c>
      <c r="C65" s="3" t="s">
        <v>121</v>
      </c>
      <c r="D65" s="3" t="s">
        <v>121</v>
      </c>
      <c r="E65" s="8">
        <v>117204650</v>
      </c>
      <c r="F65" s="2">
        <v>1.0248E-3</v>
      </c>
      <c r="G65" s="17">
        <f>F65 * VLOOKUP('GASB Data'!A65,Check!$A$2:$F$11,6,FALSE)</f>
        <v>1294310.1024</v>
      </c>
    </row>
    <row r="66" spans="1:7" x14ac:dyDescent="0.2">
      <c r="A66">
        <v>2015</v>
      </c>
      <c r="B66" s="3" t="s">
        <v>176</v>
      </c>
      <c r="C66" s="3" t="s">
        <v>122</v>
      </c>
      <c r="D66" s="3" t="s">
        <v>122</v>
      </c>
      <c r="E66" s="8">
        <v>2865127</v>
      </c>
      <c r="F66" s="2">
        <v>2.51E-5</v>
      </c>
      <c r="G66" s="17">
        <f>F66 * VLOOKUP('GASB Data'!A66,Check!$A$2:$F$11,6,FALSE)</f>
        <v>31700.998800000001</v>
      </c>
    </row>
    <row r="67" spans="1:7" x14ac:dyDescent="0.2">
      <c r="A67">
        <v>2015</v>
      </c>
      <c r="B67" s="3" t="s">
        <v>177</v>
      </c>
      <c r="C67" s="3" t="s">
        <v>123</v>
      </c>
      <c r="D67" s="3" t="s">
        <v>123</v>
      </c>
      <c r="E67" s="8">
        <v>300383258</v>
      </c>
      <c r="F67" s="2">
        <v>2.6264000000000001E-3</v>
      </c>
      <c r="G67" s="17">
        <f>F67 * VLOOKUP('GASB Data'!A67,Check!$A$2:$F$11,6,FALSE)</f>
        <v>3317111.6832000003</v>
      </c>
    </row>
    <row r="68" spans="1:7" x14ac:dyDescent="0.2">
      <c r="A68">
        <v>2015</v>
      </c>
      <c r="B68" s="3" t="s">
        <v>178</v>
      </c>
      <c r="C68" s="3" t="s">
        <v>124</v>
      </c>
      <c r="D68" s="3" t="s">
        <v>124</v>
      </c>
      <c r="E68" s="8">
        <v>56827551</v>
      </c>
      <c r="F68" s="2">
        <v>4.9689999999999999E-4</v>
      </c>
      <c r="G68" s="17">
        <f>F68 * VLOOKUP('GASB Data'!A68,Check!$A$2:$F$11,6,FALSE)</f>
        <v>627578.73719999997</v>
      </c>
    </row>
    <row r="69" spans="1:7" x14ac:dyDescent="0.2">
      <c r="A69">
        <v>2015</v>
      </c>
      <c r="B69" s="3" t="s">
        <v>179</v>
      </c>
      <c r="C69" s="3" t="s">
        <v>125</v>
      </c>
      <c r="D69" s="3" t="s">
        <v>125</v>
      </c>
      <c r="E69" s="8">
        <v>128641867</v>
      </c>
      <c r="F69" s="2">
        <v>1.1248E-3</v>
      </c>
      <c r="G69" s="17">
        <f>F69 * VLOOKUP('GASB Data'!A69,Check!$A$2:$F$11,6,FALSE)</f>
        <v>1420608.9024</v>
      </c>
    </row>
    <row r="70" spans="1:7" x14ac:dyDescent="0.2">
      <c r="A70">
        <v>2015</v>
      </c>
      <c r="B70" s="3" t="s">
        <v>180</v>
      </c>
      <c r="C70" s="3" t="s">
        <v>126</v>
      </c>
      <c r="D70" s="3" t="s">
        <v>126</v>
      </c>
      <c r="E70" s="8">
        <v>201989698</v>
      </c>
      <c r="F70" s="2">
        <v>1.7661E-3</v>
      </c>
      <c r="G70" s="17">
        <f>F70 * VLOOKUP('GASB Data'!A70,Check!$A$2:$F$11,6,FALSE)</f>
        <v>2230563.1068000002</v>
      </c>
    </row>
    <row r="71" spans="1:7" x14ac:dyDescent="0.2">
      <c r="A71">
        <v>2015</v>
      </c>
      <c r="B71" s="3" t="s">
        <v>181</v>
      </c>
      <c r="C71" s="3" t="s">
        <v>127</v>
      </c>
      <c r="D71" s="3" t="s">
        <v>127</v>
      </c>
      <c r="E71" s="8">
        <v>42909110</v>
      </c>
      <c r="F71" s="2">
        <v>3.7520000000000001E-4</v>
      </c>
      <c r="G71" s="17">
        <f>F71 * VLOOKUP('GASB Data'!A71,Check!$A$2:$F$11,6,FALSE)</f>
        <v>473873.09760000004</v>
      </c>
    </row>
    <row r="72" spans="1:7" x14ac:dyDescent="0.2">
      <c r="A72">
        <v>2015</v>
      </c>
      <c r="B72" s="3" t="s">
        <v>182</v>
      </c>
      <c r="C72" s="3" t="s">
        <v>128</v>
      </c>
      <c r="D72" s="3" t="s">
        <v>128</v>
      </c>
      <c r="E72" s="8">
        <v>553697570</v>
      </c>
      <c r="F72" s="2">
        <v>4.8412000000000004E-3</v>
      </c>
      <c r="G72" s="17">
        <f>F72 * VLOOKUP('GASB Data'!A72,Check!$A$2:$F$11,6,FALSE)</f>
        <v>6114377.5056000007</v>
      </c>
    </row>
    <row r="73" spans="1:7" x14ac:dyDescent="0.2">
      <c r="A73">
        <v>2015</v>
      </c>
      <c r="B73" s="3" t="s">
        <v>183</v>
      </c>
      <c r="C73" s="3" t="s">
        <v>129</v>
      </c>
      <c r="D73" s="3" t="s">
        <v>129</v>
      </c>
      <c r="E73" s="8">
        <v>53248481</v>
      </c>
      <c r="F73" s="2">
        <v>4.6559999999999999E-4</v>
      </c>
      <c r="G73" s="17">
        <f>F73 * VLOOKUP('GASB Data'!A73,Check!$A$2:$F$11,6,FALSE)</f>
        <v>588047.21279999998</v>
      </c>
    </row>
    <row r="74" spans="1:7" x14ac:dyDescent="0.2">
      <c r="A74">
        <v>2015</v>
      </c>
      <c r="B74" s="3" t="s">
        <v>184</v>
      </c>
      <c r="C74" s="3" t="s">
        <v>130</v>
      </c>
      <c r="D74" s="3" t="s">
        <v>130</v>
      </c>
      <c r="E74" s="8">
        <v>1136942358</v>
      </c>
      <c r="F74" s="2">
        <v>9.9407000000000002E-3</v>
      </c>
      <c r="G74" s="17">
        <f>F74 * VLOOKUP('GASB Data'!A74,Check!$A$2:$F$11,6,FALSE)</f>
        <v>12554984.8116</v>
      </c>
    </row>
    <row r="75" spans="1:7" x14ac:dyDescent="0.2">
      <c r="A75">
        <v>2015</v>
      </c>
      <c r="B75" s="3" t="s">
        <v>185</v>
      </c>
      <c r="C75" s="3" t="s">
        <v>131</v>
      </c>
      <c r="D75" s="3" t="s">
        <v>131</v>
      </c>
      <c r="E75" s="8">
        <v>7840580</v>
      </c>
      <c r="F75" s="2">
        <v>6.86E-5</v>
      </c>
      <c r="G75" s="17">
        <f>F75 * VLOOKUP('GASB Data'!A75,Check!$A$2:$F$11,6,FALSE)</f>
        <v>86640.976800000004</v>
      </c>
    </row>
    <row r="76" spans="1:7" x14ac:dyDescent="0.2">
      <c r="A76">
        <v>2015</v>
      </c>
      <c r="B76" s="3" t="s">
        <v>186</v>
      </c>
      <c r="C76" s="3" t="s">
        <v>132</v>
      </c>
      <c r="D76" s="3" t="s">
        <v>132</v>
      </c>
      <c r="E76" s="8">
        <v>17828034</v>
      </c>
      <c r="F76" s="2">
        <v>1.5589999999999999E-4</v>
      </c>
      <c r="G76" s="17">
        <f>F76 * VLOOKUP('GASB Data'!A76,Check!$A$2:$F$11,6,FALSE)</f>
        <v>196899.82920000001</v>
      </c>
    </row>
    <row r="77" spans="1:7" x14ac:dyDescent="0.2">
      <c r="A77">
        <v>2015</v>
      </c>
      <c r="B77" s="3" t="s">
        <v>187</v>
      </c>
      <c r="C77" s="3" t="s">
        <v>133</v>
      </c>
      <c r="D77" s="3" t="s">
        <v>133</v>
      </c>
      <c r="E77" s="8">
        <v>186841044</v>
      </c>
      <c r="F77" s="2">
        <v>1.6336E-3</v>
      </c>
      <c r="G77" s="17">
        <f>F77 * VLOOKUP('GASB Data'!A77,Check!$A$2:$F$11,6,FALSE)</f>
        <v>2063217.1968</v>
      </c>
    </row>
    <row r="78" spans="1:7" x14ac:dyDescent="0.2">
      <c r="A78">
        <v>2015</v>
      </c>
      <c r="B78" s="3" t="s">
        <v>188</v>
      </c>
      <c r="C78" s="3" t="s">
        <v>134</v>
      </c>
      <c r="D78" s="3" t="s">
        <v>134</v>
      </c>
      <c r="E78" s="8">
        <v>268337796</v>
      </c>
      <c r="F78" s="2">
        <v>2.3462000000000001E-3</v>
      </c>
      <c r="G78" s="17">
        <f>F78 * VLOOKUP('GASB Data'!A78,Check!$A$2:$F$11,6,FALSE)</f>
        <v>2963222.4456000002</v>
      </c>
    </row>
    <row r="79" spans="1:7" x14ac:dyDescent="0.2">
      <c r="A79">
        <v>2015</v>
      </c>
      <c r="B79" s="3" t="s">
        <v>189</v>
      </c>
      <c r="C79" s="3" t="s">
        <v>135</v>
      </c>
      <c r="D79" s="3" t="s">
        <v>135</v>
      </c>
      <c r="E79" s="8">
        <v>555836998</v>
      </c>
      <c r="F79" s="2">
        <v>4.8599000000000003E-3</v>
      </c>
      <c r="G79" s="17">
        <f>F79 * VLOOKUP('GASB Data'!A79,Check!$A$2:$F$11,6,FALSE)</f>
        <v>6137995.3812000006</v>
      </c>
    </row>
    <row r="80" spans="1:7" x14ac:dyDescent="0.2">
      <c r="A80">
        <v>2015</v>
      </c>
      <c r="B80" s="3" t="s">
        <v>190</v>
      </c>
      <c r="C80" s="3" t="s">
        <v>136</v>
      </c>
      <c r="D80" s="3" t="s">
        <v>136</v>
      </c>
      <c r="E80" s="8">
        <v>71315318</v>
      </c>
      <c r="F80" s="2">
        <v>6.2350000000000003E-4</v>
      </c>
      <c r="G80" s="17">
        <f>F80 * VLOOKUP('GASB Data'!A80,Check!$A$2:$F$11,6,FALSE)</f>
        <v>787473.01800000004</v>
      </c>
    </row>
    <row r="81" spans="1:7" x14ac:dyDescent="0.2">
      <c r="A81">
        <v>2015</v>
      </c>
      <c r="B81" s="3" t="s">
        <v>191</v>
      </c>
      <c r="C81" s="3" t="s">
        <v>137</v>
      </c>
      <c r="D81" s="3" t="s">
        <v>137</v>
      </c>
      <c r="E81" s="8">
        <v>1283983848</v>
      </c>
      <c r="F81" s="2">
        <v>1.12263E-2</v>
      </c>
      <c r="G81" s="17">
        <f>F81 * VLOOKUP('GASB Data'!A81,Check!$A$2:$F$11,6,FALSE)</f>
        <v>14178682.1844</v>
      </c>
    </row>
    <row r="82" spans="1:7" x14ac:dyDescent="0.2">
      <c r="A82">
        <v>2015</v>
      </c>
      <c r="B82" s="3" t="s">
        <v>192</v>
      </c>
      <c r="C82" s="3" t="s">
        <v>138</v>
      </c>
      <c r="D82" s="3" t="s">
        <v>138</v>
      </c>
      <c r="E82" s="8">
        <v>22151408</v>
      </c>
      <c r="F82" s="2">
        <v>1.9369999999999999E-4</v>
      </c>
      <c r="G82" s="17">
        <f>F82 * VLOOKUP('GASB Data'!A82,Check!$A$2:$F$11,6,FALSE)</f>
        <v>244640.77559999999</v>
      </c>
    </row>
    <row r="83" spans="1:7" x14ac:dyDescent="0.2">
      <c r="A83">
        <v>2015</v>
      </c>
      <c r="B83" s="3" t="s">
        <v>193</v>
      </c>
      <c r="C83" s="3" t="s">
        <v>139</v>
      </c>
      <c r="D83" s="3" t="s">
        <v>139</v>
      </c>
      <c r="E83" s="8">
        <v>252701615</v>
      </c>
      <c r="F83" s="2">
        <v>2.2095000000000001E-3</v>
      </c>
      <c r="G83" s="17">
        <f>F83 * VLOOKUP('GASB Data'!A83,Check!$A$2:$F$11,6,FALSE)</f>
        <v>2790571.986</v>
      </c>
    </row>
    <row r="84" spans="1:7" x14ac:dyDescent="0.2">
      <c r="A84">
        <v>2015</v>
      </c>
      <c r="B84" s="3" t="s">
        <v>194</v>
      </c>
      <c r="C84" s="3" t="s">
        <v>140</v>
      </c>
      <c r="D84" s="3" t="s">
        <v>140</v>
      </c>
      <c r="E84" s="8">
        <v>541470778</v>
      </c>
      <c r="F84" s="2">
        <v>4.7343000000000003E-3</v>
      </c>
      <c r="G84" s="17">
        <f>F84 * VLOOKUP('GASB Data'!A84,Check!$A$2:$F$11,6,FALSE)</f>
        <v>5979364.0884000007</v>
      </c>
    </row>
    <row r="85" spans="1:7" x14ac:dyDescent="0.2">
      <c r="A85">
        <v>2015</v>
      </c>
      <c r="B85" s="3" t="s">
        <v>195</v>
      </c>
      <c r="C85" s="3" t="s">
        <v>141</v>
      </c>
      <c r="D85" s="3" t="s">
        <v>141</v>
      </c>
      <c r="E85" s="8">
        <v>112152777</v>
      </c>
      <c r="F85" s="2">
        <v>9.8060000000000009E-4</v>
      </c>
      <c r="G85" s="17">
        <f>F85 * VLOOKUP('GASB Data'!A85,Check!$A$2:$F$11,6,FALSE)</f>
        <v>1238486.0328000002</v>
      </c>
    </row>
    <row r="86" spans="1:7" x14ac:dyDescent="0.2">
      <c r="A86">
        <v>2015</v>
      </c>
      <c r="B86" s="3" t="s">
        <v>196</v>
      </c>
      <c r="C86" s="3" t="s">
        <v>142</v>
      </c>
      <c r="D86" s="3" t="s">
        <v>142</v>
      </c>
      <c r="E86" s="8">
        <v>85031086</v>
      </c>
      <c r="F86" s="2">
        <v>7.4350000000000002E-4</v>
      </c>
      <c r="G86" s="17">
        <f>F86 * VLOOKUP('GASB Data'!A86,Check!$A$2:$F$11,6,FALSE)</f>
        <v>939031.57799999998</v>
      </c>
    </row>
    <row r="87" spans="1:7" x14ac:dyDescent="0.2">
      <c r="A87">
        <v>2015</v>
      </c>
      <c r="B87" s="3" t="s">
        <v>197</v>
      </c>
      <c r="C87" s="3" t="s">
        <v>143</v>
      </c>
      <c r="D87" s="3" t="s">
        <v>143</v>
      </c>
      <c r="E87" s="8">
        <v>372930954</v>
      </c>
      <c r="F87" s="2">
        <v>3.2607000000000001E-3</v>
      </c>
      <c r="G87" s="17">
        <f>F87 * VLOOKUP('GASB Data'!A87,Check!$A$2:$F$11,6,FALSE)</f>
        <v>4118224.9716000003</v>
      </c>
    </row>
    <row r="88" spans="1:7" x14ac:dyDescent="0.2">
      <c r="A88">
        <v>2015</v>
      </c>
      <c r="B88" s="3" t="s">
        <v>198</v>
      </c>
      <c r="C88" s="3" t="s">
        <v>144</v>
      </c>
      <c r="D88" s="3" t="s">
        <v>144</v>
      </c>
      <c r="E88" s="8">
        <v>54248279</v>
      </c>
      <c r="F88" s="2">
        <v>4.7429999999999998E-4</v>
      </c>
      <c r="G88" s="17">
        <f>F88 * VLOOKUP('GASB Data'!A88,Check!$A$2:$F$11,6,FALSE)</f>
        <v>599035.2084</v>
      </c>
    </row>
    <row r="89" spans="1:7" x14ac:dyDescent="0.2">
      <c r="A89">
        <v>2015</v>
      </c>
      <c r="B89" s="3" t="s">
        <v>199</v>
      </c>
      <c r="C89" s="3" t="s">
        <v>145</v>
      </c>
      <c r="D89" s="3" t="s">
        <v>145</v>
      </c>
      <c r="E89" s="8">
        <v>112811634</v>
      </c>
      <c r="F89" s="2">
        <v>9.8630000000000007E-4</v>
      </c>
      <c r="G89" s="17">
        <f>F89 * VLOOKUP('GASB Data'!A89,Check!$A$2:$F$11,6,FALSE)</f>
        <v>1245685.0644</v>
      </c>
    </row>
    <row r="90" spans="1:7" x14ac:dyDescent="0.2">
      <c r="A90">
        <v>2015</v>
      </c>
      <c r="B90" s="3" t="s">
        <v>200</v>
      </c>
      <c r="C90" s="3" t="s">
        <v>146</v>
      </c>
      <c r="D90" s="3" t="s">
        <v>146</v>
      </c>
      <c r="E90" s="8">
        <v>715812672</v>
      </c>
      <c r="F90" s="2">
        <v>6.2585999999999996E-3</v>
      </c>
      <c r="G90" s="17">
        <f>F90 * VLOOKUP('GASB Data'!A90,Check!$A$2:$F$11,6,FALSE)</f>
        <v>7904536.6967999991</v>
      </c>
    </row>
    <row r="91" spans="1:7" x14ac:dyDescent="0.2">
      <c r="A91">
        <v>2015</v>
      </c>
      <c r="B91" s="3" t="s">
        <v>201</v>
      </c>
      <c r="C91" s="3" t="s">
        <v>147</v>
      </c>
      <c r="D91" s="3" t="s">
        <v>147</v>
      </c>
      <c r="E91" s="8">
        <v>133155019</v>
      </c>
      <c r="F91" s="2">
        <v>1.1642E-3</v>
      </c>
      <c r="G91" s="17">
        <f>F91 * VLOOKUP('GASB Data'!A91,Check!$A$2:$F$11,6,FALSE)</f>
        <v>1470370.6296000001</v>
      </c>
    </row>
    <row r="92" spans="1:7" x14ac:dyDescent="0.2">
      <c r="A92">
        <v>2015</v>
      </c>
      <c r="B92" s="3" t="s">
        <v>202</v>
      </c>
      <c r="C92" s="3" t="s">
        <v>148</v>
      </c>
      <c r="D92" s="3" t="s">
        <v>148</v>
      </c>
      <c r="E92" s="8">
        <v>170112307</v>
      </c>
      <c r="F92" s="2">
        <v>1.4873E-3</v>
      </c>
      <c r="G92" s="17">
        <f>F92 * VLOOKUP('GASB Data'!A92,Check!$A$2:$F$11,6,FALSE)</f>
        <v>1878442.0523999999</v>
      </c>
    </row>
    <row r="93" spans="1:7" x14ac:dyDescent="0.2">
      <c r="A93">
        <v>2015</v>
      </c>
      <c r="B93" s="3" t="s">
        <v>203</v>
      </c>
      <c r="C93" s="3" t="s">
        <v>149</v>
      </c>
      <c r="D93" s="3" t="s">
        <v>149</v>
      </c>
      <c r="E93" s="8">
        <v>148017425</v>
      </c>
      <c r="F93" s="2">
        <v>1.2941999999999999E-3</v>
      </c>
      <c r="G93" s="17">
        <f>F93 * VLOOKUP('GASB Data'!A93,Check!$A$2:$F$11,6,FALSE)</f>
        <v>1634559.0695999998</v>
      </c>
    </row>
    <row r="94" spans="1:7" x14ac:dyDescent="0.2">
      <c r="A94">
        <v>2015</v>
      </c>
      <c r="B94" s="3" t="s">
        <v>204</v>
      </c>
      <c r="C94" s="3" t="s">
        <v>150</v>
      </c>
      <c r="D94" s="3" t="s">
        <v>150</v>
      </c>
      <c r="E94" s="8">
        <v>408862127</v>
      </c>
      <c r="F94" s="2">
        <v>3.5747999999999999E-3</v>
      </c>
      <c r="G94" s="17">
        <f>F94 * VLOOKUP('GASB Data'!A94,Check!$A$2:$F$11,6,FALSE)</f>
        <v>4514929.5023999996</v>
      </c>
    </row>
    <row r="95" spans="1:7" x14ac:dyDescent="0.2">
      <c r="A95">
        <v>2015</v>
      </c>
      <c r="B95" s="3" t="s">
        <v>205</v>
      </c>
      <c r="C95" s="3" t="s">
        <v>151</v>
      </c>
      <c r="D95" s="3" t="s">
        <v>151</v>
      </c>
      <c r="E95" s="8">
        <v>156178726</v>
      </c>
      <c r="F95" s="2">
        <v>1.3655E-3</v>
      </c>
      <c r="G95" s="17">
        <f>F95 * VLOOKUP('GASB Data'!A95,Check!$A$2:$F$11,6,FALSE)</f>
        <v>1724610.1140000001</v>
      </c>
    </row>
    <row r="96" spans="1:7" x14ac:dyDescent="0.2">
      <c r="A96">
        <v>2015</v>
      </c>
      <c r="B96" s="3" t="s">
        <v>206</v>
      </c>
      <c r="C96" s="3" t="s">
        <v>152</v>
      </c>
      <c r="D96" s="3" t="s">
        <v>152</v>
      </c>
      <c r="E96" s="8">
        <v>39113450</v>
      </c>
      <c r="F96" s="2">
        <v>3.4200000000000002E-4</v>
      </c>
      <c r="G96" s="17">
        <f>F96 * VLOOKUP('GASB Data'!A96,Check!$A$2:$F$11,6,FALSE)</f>
        <v>431941.89600000001</v>
      </c>
    </row>
    <row r="97" spans="1:7" x14ac:dyDescent="0.2">
      <c r="A97">
        <v>2015</v>
      </c>
      <c r="B97" s="3" t="s">
        <v>207</v>
      </c>
      <c r="C97" s="3" t="s">
        <v>153</v>
      </c>
      <c r="D97" s="3" t="s">
        <v>153</v>
      </c>
      <c r="E97" s="8">
        <v>106486552</v>
      </c>
      <c r="F97" s="2">
        <v>9.3099999999999997E-4</v>
      </c>
      <c r="G97" s="17">
        <f>F97 * VLOOKUP('GASB Data'!A97,Check!$A$2:$F$11,6,FALSE)</f>
        <v>1175841.828</v>
      </c>
    </row>
    <row r="98" spans="1:7" x14ac:dyDescent="0.2">
      <c r="A98">
        <v>2015</v>
      </c>
      <c r="B98" s="3" t="s">
        <v>208</v>
      </c>
      <c r="C98" s="3" t="s">
        <v>154</v>
      </c>
      <c r="D98" s="3" t="s">
        <v>154</v>
      </c>
      <c r="E98" s="8">
        <v>62268190</v>
      </c>
      <c r="F98" s="2">
        <v>5.4440000000000001E-4</v>
      </c>
      <c r="G98" s="17">
        <f>F98 * VLOOKUP('GASB Data'!A98,Check!$A$2:$F$11,6,FALSE)</f>
        <v>687570.66720000003</v>
      </c>
    </row>
    <row r="99" spans="1:7" x14ac:dyDescent="0.2">
      <c r="A99">
        <v>2015</v>
      </c>
      <c r="B99" s="3" t="s">
        <v>209</v>
      </c>
      <c r="C99" s="3" t="s">
        <v>155</v>
      </c>
      <c r="D99" s="3" t="s">
        <v>155</v>
      </c>
      <c r="E99" s="8">
        <v>721879296</v>
      </c>
      <c r="F99" s="2">
        <v>6.3115999999999997E-3</v>
      </c>
      <c r="G99" s="17">
        <f>F99 * VLOOKUP('GASB Data'!A99,Check!$A$2:$F$11,6,FALSE)</f>
        <v>7971475.0607999992</v>
      </c>
    </row>
    <row r="100" spans="1:7" x14ac:dyDescent="0.2">
      <c r="A100">
        <v>2015</v>
      </c>
      <c r="B100" s="3" t="s">
        <v>210</v>
      </c>
      <c r="C100" s="3" t="s">
        <v>156</v>
      </c>
      <c r="D100" s="3" t="s">
        <v>156</v>
      </c>
      <c r="E100" s="8">
        <v>73107565</v>
      </c>
      <c r="F100" s="2">
        <v>6.3920000000000003E-4</v>
      </c>
      <c r="G100" s="17">
        <f>F100 * VLOOKUP('GASB Data'!A100,Check!$A$2:$F$11,6,FALSE)</f>
        <v>807301.92960000003</v>
      </c>
    </row>
    <row r="101" spans="1:7" x14ac:dyDescent="0.2">
      <c r="A101">
        <v>2015</v>
      </c>
      <c r="B101" s="3" t="s">
        <v>211</v>
      </c>
      <c r="C101" s="3" t="s">
        <v>157</v>
      </c>
      <c r="D101" s="3" t="s">
        <v>157</v>
      </c>
      <c r="E101" s="8">
        <v>258548202</v>
      </c>
      <c r="F101" s="2">
        <v>2.2606000000000002E-3</v>
      </c>
      <c r="G101" s="17">
        <f>F101 * VLOOKUP('GASB Data'!A101,Check!$A$2:$F$11,6,FALSE)</f>
        <v>2855110.6728000003</v>
      </c>
    </row>
    <row r="102" spans="1:7" x14ac:dyDescent="0.2">
      <c r="A102">
        <v>2015</v>
      </c>
      <c r="B102" s="3" t="s">
        <v>212</v>
      </c>
      <c r="C102" s="3" t="s">
        <v>158</v>
      </c>
      <c r="D102" s="3" t="s">
        <v>158</v>
      </c>
      <c r="E102" s="8">
        <v>65949288</v>
      </c>
      <c r="F102" s="2">
        <v>5.7660000000000003E-4</v>
      </c>
      <c r="G102" s="17">
        <f>F102 * VLOOKUP('GASB Data'!A102,Check!$A$2:$F$11,6,FALSE)</f>
        <v>728238.88080000004</v>
      </c>
    </row>
    <row r="103" spans="1:7" x14ac:dyDescent="0.2">
      <c r="A103">
        <v>2015</v>
      </c>
      <c r="B103" s="3" t="s">
        <v>213</v>
      </c>
      <c r="C103" s="3" t="s">
        <v>159</v>
      </c>
      <c r="D103" s="3" t="s">
        <v>159</v>
      </c>
      <c r="E103" s="8">
        <v>102754328</v>
      </c>
      <c r="F103" s="2">
        <v>8.9840000000000004E-4</v>
      </c>
      <c r="G103" s="17">
        <f>F103 * VLOOKUP('GASB Data'!A103,Check!$A$2:$F$11,6,FALSE)</f>
        <v>1134668.4192000001</v>
      </c>
    </row>
    <row r="104" spans="1:7" x14ac:dyDescent="0.2">
      <c r="A104">
        <v>2015</v>
      </c>
      <c r="B104" s="3" t="s">
        <v>214</v>
      </c>
      <c r="C104" s="3" t="s">
        <v>160</v>
      </c>
      <c r="D104" s="3" t="s">
        <v>160</v>
      </c>
      <c r="E104" s="8">
        <v>3080093</v>
      </c>
      <c r="F104" s="2">
        <v>2.69E-5</v>
      </c>
      <c r="G104" s="17">
        <f>F104 * VLOOKUP('GASB Data'!A104,Check!$A$2:$F$11,6,FALSE)</f>
        <v>33974.377200000003</v>
      </c>
    </row>
    <row r="105" spans="1:7" x14ac:dyDescent="0.2">
      <c r="A105">
        <v>2015</v>
      </c>
      <c r="B105" s="3" t="s">
        <v>215</v>
      </c>
      <c r="C105" s="3" t="s">
        <v>161</v>
      </c>
      <c r="D105" s="3" t="s">
        <v>161</v>
      </c>
      <c r="E105" s="8">
        <v>581744271</v>
      </c>
      <c r="F105" s="2">
        <v>5.0863999999999996E-3</v>
      </c>
      <c r="G105" s="17">
        <f>F105 * VLOOKUP('GASB Data'!A105,Check!$A$2:$F$11,6,FALSE)</f>
        <v>6424062.1631999994</v>
      </c>
    </row>
    <row r="106" spans="1:7" x14ac:dyDescent="0.2">
      <c r="A106">
        <v>2015</v>
      </c>
      <c r="B106" s="3" t="s">
        <v>216</v>
      </c>
      <c r="C106" s="3" t="s">
        <v>162</v>
      </c>
      <c r="D106" s="3" t="s">
        <v>162</v>
      </c>
      <c r="E106" s="8">
        <v>85657879</v>
      </c>
      <c r="F106" s="2">
        <v>7.4890000000000004E-4</v>
      </c>
      <c r="G106" s="17">
        <f>F106 * VLOOKUP('GASB Data'!A106,Check!$A$2:$F$11,6,FALSE)</f>
        <v>945851.7132</v>
      </c>
    </row>
    <row r="107" spans="1:7" x14ac:dyDescent="0.2">
      <c r="A107">
        <v>2015</v>
      </c>
      <c r="B107" s="3" t="s">
        <v>217</v>
      </c>
      <c r="C107" s="3" t="s">
        <v>163</v>
      </c>
      <c r="D107" s="3" t="s">
        <v>163</v>
      </c>
      <c r="E107" s="8">
        <v>2128349466</v>
      </c>
      <c r="F107" s="2">
        <v>1.8608900000000001E-2</v>
      </c>
      <c r="G107" s="17">
        <f>F107 * VLOOKUP('GASB Data'!A107,Check!$A$2:$F$11,6,FALSE)</f>
        <v>23502817.393200003</v>
      </c>
    </row>
    <row r="108" spans="1:7" x14ac:dyDescent="0.2">
      <c r="A108">
        <v>2015</v>
      </c>
      <c r="B108" s="3" t="s">
        <v>218</v>
      </c>
      <c r="C108" s="3" t="s">
        <v>164</v>
      </c>
      <c r="D108" s="3" t="s">
        <v>164</v>
      </c>
      <c r="E108" s="8">
        <v>288010470</v>
      </c>
      <c r="F108" s="2">
        <v>2.5182E-3</v>
      </c>
      <c r="G108" s="17">
        <f>F108 * VLOOKUP('GASB Data'!A108,Check!$A$2:$F$11,6,FALSE)</f>
        <v>3180456.3816</v>
      </c>
    </row>
    <row r="109" spans="1:7" x14ac:dyDescent="0.2">
      <c r="A109">
        <v>2015</v>
      </c>
      <c r="B109" s="3" t="s">
        <v>219</v>
      </c>
      <c r="C109" s="3" t="s">
        <v>165</v>
      </c>
      <c r="D109" s="3" t="s">
        <v>165</v>
      </c>
      <c r="E109" s="8">
        <v>174975050</v>
      </c>
      <c r="F109" s="2">
        <v>1.5299000000000001E-3</v>
      </c>
      <c r="G109" s="17">
        <f>F109 * VLOOKUP('GASB Data'!A109,Check!$A$2:$F$11,6,FALSE)</f>
        <v>1932245.3412000001</v>
      </c>
    </row>
    <row r="110" spans="1:7" x14ac:dyDescent="0.2">
      <c r="A110">
        <v>2015</v>
      </c>
      <c r="B110" s="3" t="s">
        <v>274</v>
      </c>
      <c r="C110" s="3" t="s">
        <v>220</v>
      </c>
      <c r="D110" s="3" t="s">
        <v>220</v>
      </c>
      <c r="E110" s="8">
        <v>240282966</v>
      </c>
      <c r="F110" s="2">
        <v>2.1009000000000002E-3</v>
      </c>
      <c r="G110" s="17">
        <f>F110 * VLOOKUP('GASB Data'!A110,Check!$A$2:$F$11,6,FALSE)</f>
        <v>2653411.4892000002</v>
      </c>
    </row>
    <row r="111" spans="1:7" x14ac:dyDescent="0.2">
      <c r="A111">
        <v>2015</v>
      </c>
      <c r="B111" s="3" t="s">
        <v>275</v>
      </c>
      <c r="C111" s="3" t="s">
        <v>221</v>
      </c>
      <c r="D111" s="3" t="s">
        <v>221</v>
      </c>
      <c r="E111" s="8">
        <v>753124042</v>
      </c>
      <c r="F111" s="2">
        <v>6.5848E-3</v>
      </c>
      <c r="G111" s="17">
        <f>F111 * VLOOKUP('GASB Data'!A111,Check!$A$2:$F$11,6,FALSE)</f>
        <v>8316523.3824000005</v>
      </c>
    </row>
    <row r="112" spans="1:7" x14ac:dyDescent="0.2">
      <c r="A112">
        <v>2015</v>
      </c>
      <c r="B112" s="3" t="s">
        <v>276</v>
      </c>
      <c r="C112" s="3" t="s">
        <v>222</v>
      </c>
      <c r="D112" s="3" t="s">
        <v>222</v>
      </c>
      <c r="E112" s="8">
        <v>19526207</v>
      </c>
      <c r="F112" s="2">
        <v>1.707E-4</v>
      </c>
      <c r="G112" s="17">
        <f>F112 * VLOOKUP('GASB Data'!A112,Check!$A$2:$F$11,6,FALSE)</f>
        <v>215592.05160000001</v>
      </c>
    </row>
    <row r="113" spans="1:7" x14ac:dyDescent="0.2">
      <c r="A113">
        <v>2015</v>
      </c>
      <c r="B113" s="3" t="s">
        <v>277</v>
      </c>
      <c r="C113" s="3" t="s">
        <v>223</v>
      </c>
      <c r="D113" s="3" t="s">
        <v>223</v>
      </c>
      <c r="E113" s="8">
        <v>107888702</v>
      </c>
      <c r="F113" s="2">
        <v>9.433E-4</v>
      </c>
      <c r="G113" s="17">
        <f>F113 * VLOOKUP('GASB Data'!A113,Check!$A$2:$F$11,6,FALSE)</f>
        <v>1191376.5804000001</v>
      </c>
    </row>
    <row r="114" spans="1:7" x14ac:dyDescent="0.2">
      <c r="A114">
        <v>2015</v>
      </c>
      <c r="B114" s="3" t="s">
        <v>278</v>
      </c>
      <c r="C114" s="3" t="s">
        <v>224</v>
      </c>
      <c r="D114" s="3" t="s">
        <v>224</v>
      </c>
      <c r="E114" s="8">
        <v>142341021</v>
      </c>
      <c r="F114" s="2">
        <v>1.2444999999999999E-3</v>
      </c>
      <c r="G114" s="17">
        <f>F114 * VLOOKUP('GASB Data'!A114,Check!$A$2:$F$11,6,FALSE)</f>
        <v>1571788.5659999999</v>
      </c>
    </row>
    <row r="115" spans="1:7" x14ac:dyDescent="0.2">
      <c r="A115">
        <v>2015</v>
      </c>
      <c r="B115" s="3" t="s">
        <v>279</v>
      </c>
      <c r="C115" s="3" t="s">
        <v>225</v>
      </c>
      <c r="D115" s="3" t="s">
        <v>225</v>
      </c>
      <c r="E115" s="8">
        <v>118289620</v>
      </c>
      <c r="F115" s="2">
        <v>1.0342000000000001E-3</v>
      </c>
      <c r="G115" s="17">
        <f>F115 * VLOOKUP('GASB Data'!A115,Check!$A$2:$F$11,6,FALSE)</f>
        <v>1306182.1896000002</v>
      </c>
    </row>
    <row r="116" spans="1:7" x14ac:dyDescent="0.2">
      <c r="A116">
        <v>2015</v>
      </c>
      <c r="B116" s="3" t="s">
        <v>280</v>
      </c>
      <c r="C116" s="3" t="s">
        <v>226</v>
      </c>
      <c r="D116" s="3" t="s">
        <v>226</v>
      </c>
      <c r="E116" s="8">
        <v>292412290</v>
      </c>
      <c r="F116" s="2">
        <v>2.5566999999999999E-3</v>
      </c>
      <c r="G116" s="17">
        <f>F116 * VLOOKUP('GASB Data'!A116,Check!$A$2:$F$11,6,FALSE)</f>
        <v>3229081.4195999997</v>
      </c>
    </row>
    <row r="117" spans="1:7" x14ac:dyDescent="0.2">
      <c r="A117">
        <v>2015</v>
      </c>
      <c r="B117" s="3" t="s">
        <v>281</v>
      </c>
      <c r="C117" s="3" t="s">
        <v>227</v>
      </c>
      <c r="D117" s="3" t="s">
        <v>227</v>
      </c>
      <c r="E117" s="8">
        <v>6904947</v>
      </c>
      <c r="F117" s="2">
        <v>6.0399999999999998E-5</v>
      </c>
      <c r="G117" s="17">
        <f>F117 * VLOOKUP('GASB Data'!A117,Check!$A$2:$F$11,6,FALSE)</f>
        <v>76284.475200000001</v>
      </c>
    </row>
    <row r="118" spans="1:7" x14ac:dyDescent="0.2">
      <c r="A118">
        <v>2015</v>
      </c>
      <c r="B118" s="3" t="s">
        <v>282</v>
      </c>
      <c r="C118" s="3" t="s">
        <v>228</v>
      </c>
      <c r="D118" s="3" t="s">
        <v>228</v>
      </c>
      <c r="E118" s="8">
        <v>22160174</v>
      </c>
      <c r="F118" s="2">
        <v>1.9379999999999999E-4</v>
      </c>
      <c r="G118" s="17">
        <f>F118 * VLOOKUP('GASB Data'!A118,Check!$A$2:$F$11,6,FALSE)</f>
        <v>244767.07439999998</v>
      </c>
    </row>
    <row r="119" spans="1:7" x14ac:dyDescent="0.2">
      <c r="A119">
        <v>2015</v>
      </c>
      <c r="B119" s="3" t="s">
        <v>283</v>
      </c>
      <c r="C119" s="3" t="s">
        <v>229</v>
      </c>
      <c r="D119" s="3" t="s">
        <v>229</v>
      </c>
      <c r="E119" s="8">
        <v>412311514</v>
      </c>
      <c r="F119" s="2">
        <v>3.6050000000000001E-3</v>
      </c>
      <c r="G119" s="17">
        <f>F119 * VLOOKUP('GASB Data'!A119,Check!$A$2:$F$11,6,FALSE)</f>
        <v>4553071.74</v>
      </c>
    </row>
    <row r="120" spans="1:7" x14ac:dyDescent="0.2">
      <c r="A120">
        <v>2015</v>
      </c>
      <c r="B120" s="3" t="s">
        <v>284</v>
      </c>
      <c r="C120" s="3" t="s">
        <v>230</v>
      </c>
      <c r="D120" s="3" t="s">
        <v>230</v>
      </c>
      <c r="E120" s="8">
        <v>48959603</v>
      </c>
      <c r="F120" s="2">
        <v>4.281E-4</v>
      </c>
      <c r="G120" s="17">
        <f>F120 * VLOOKUP('GASB Data'!A120,Check!$A$2:$F$11,6,FALSE)</f>
        <v>540685.16280000005</v>
      </c>
    </row>
    <row r="121" spans="1:7" x14ac:dyDescent="0.2">
      <c r="A121">
        <v>2015</v>
      </c>
      <c r="B121" s="3" t="s">
        <v>285</v>
      </c>
      <c r="C121" s="3" t="s">
        <v>231</v>
      </c>
      <c r="D121" s="3" t="s">
        <v>231</v>
      </c>
      <c r="E121" s="8">
        <v>1762397953</v>
      </c>
      <c r="F121" s="2">
        <v>1.54092E-2</v>
      </c>
      <c r="G121" s="17">
        <f>F121 * VLOOKUP('GASB Data'!A121,Check!$A$2:$F$11,6,FALSE)</f>
        <v>19461634.689599998</v>
      </c>
    </row>
    <row r="122" spans="1:7" x14ac:dyDescent="0.2">
      <c r="A122">
        <v>2015</v>
      </c>
      <c r="B122" s="3" t="s">
        <v>286</v>
      </c>
      <c r="C122" s="3" t="s">
        <v>232</v>
      </c>
      <c r="D122" s="3" t="s">
        <v>232</v>
      </c>
      <c r="E122" s="8">
        <v>18047745</v>
      </c>
      <c r="F122" s="2">
        <v>1.5779999999999999E-4</v>
      </c>
      <c r="G122" s="17">
        <f>F122 * VLOOKUP('GASB Data'!A122,Check!$A$2:$F$11,6,FALSE)</f>
        <v>199299.50639999998</v>
      </c>
    </row>
    <row r="123" spans="1:7" x14ac:dyDescent="0.2">
      <c r="A123">
        <v>2015</v>
      </c>
      <c r="B123" s="3" t="s">
        <v>287</v>
      </c>
      <c r="C123" s="3" t="s">
        <v>233</v>
      </c>
      <c r="D123" s="3" t="s">
        <v>233</v>
      </c>
      <c r="E123" s="8">
        <v>15654546</v>
      </c>
      <c r="F123" s="2">
        <v>1.3689999999999999E-4</v>
      </c>
      <c r="G123" s="17">
        <f>F123 * VLOOKUP('GASB Data'!A123,Check!$A$2:$F$11,6,FALSE)</f>
        <v>172903.05719999998</v>
      </c>
    </row>
    <row r="124" spans="1:7" x14ac:dyDescent="0.2">
      <c r="A124">
        <v>2015</v>
      </c>
      <c r="B124" s="3" t="s">
        <v>288</v>
      </c>
      <c r="C124" s="3" t="s">
        <v>234</v>
      </c>
      <c r="D124" s="3" t="s">
        <v>234</v>
      </c>
      <c r="E124" s="8">
        <v>47519091</v>
      </c>
      <c r="F124" s="2">
        <v>4.1550000000000002E-4</v>
      </c>
      <c r="G124" s="17">
        <f>F124 * VLOOKUP('GASB Data'!A124,Check!$A$2:$F$11,6,FALSE)</f>
        <v>524771.51399999997</v>
      </c>
    </row>
    <row r="125" spans="1:7" x14ac:dyDescent="0.2">
      <c r="A125">
        <v>2015</v>
      </c>
      <c r="B125" s="3" t="s">
        <v>289</v>
      </c>
      <c r="C125" s="3" t="s">
        <v>235</v>
      </c>
      <c r="D125" s="3" t="s">
        <v>235</v>
      </c>
      <c r="E125" s="8">
        <v>140957425</v>
      </c>
      <c r="F125" s="2">
        <v>1.2324E-3</v>
      </c>
      <c r="G125" s="17">
        <f>F125 * VLOOKUP('GASB Data'!A125,Check!$A$2:$F$11,6,FALSE)</f>
        <v>1556506.4112</v>
      </c>
    </row>
    <row r="126" spans="1:7" x14ac:dyDescent="0.2">
      <c r="A126">
        <v>2015</v>
      </c>
      <c r="B126" s="3" t="s">
        <v>290</v>
      </c>
      <c r="C126" s="3" t="s">
        <v>236</v>
      </c>
      <c r="D126" s="3" t="s">
        <v>236</v>
      </c>
      <c r="E126" s="8">
        <v>11797658</v>
      </c>
      <c r="F126" s="2">
        <v>1.032E-4</v>
      </c>
      <c r="G126" s="17">
        <f>F126 * VLOOKUP('GASB Data'!A126,Check!$A$2:$F$11,6,FALSE)</f>
        <v>130340.3616</v>
      </c>
    </row>
    <row r="127" spans="1:7" x14ac:dyDescent="0.2">
      <c r="A127">
        <v>2015</v>
      </c>
      <c r="B127" s="3" t="s">
        <v>291</v>
      </c>
      <c r="C127" s="3" t="s">
        <v>237</v>
      </c>
      <c r="D127" s="3" t="s">
        <v>237</v>
      </c>
      <c r="E127" s="8">
        <v>11662212</v>
      </c>
      <c r="F127" s="2">
        <v>1.02E-4</v>
      </c>
      <c r="G127" s="17">
        <f>F127 * VLOOKUP('GASB Data'!A127,Check!$A$2:$F$11,6,FALSE)</f>
        <v>128824.776</v>
      </c>
    </row>
    <row r="128" spans="1:7" x14ac:dyDescent="0.2">
      <c r="A128">
        <v>2015</v>
      </c>
      <c r="B128" s="3" t="s">
        <v>292</v>
      </c>
      <c r="C128" s="3" t="s">
        <v>238</v>
      </c>
      <c r="D128" s="3" t="s">
        <v>238</v>
      </c>
      <c r="E128" s="8">
        <v>3692990</v>
      </c>
      <c r="F128" s="2">
        <v>3.2299999999999999E-5</v>
      </c>
      <c r="G128" s="17">
        <f>F128 * VLOOKUP('GASB Data'!A128,Check!$A$2:$F$11,6,FALSE)</f>
        <v>40794.5124</v>
      </c>
    </row>
    <row r="129" spans="1:7" x14ac:dyDescent="0.2">
      <c r="A129">
        <v>2015</v>
      </c>
      <c r="B129" s="3" t="s">
        <v>293</v>
      </c>
      <c r="C129" s="3" t="s">
        <v>239</v>
      </c>
      <c r="D129" s="3" t="s">
        <v>239</v>
      </c>
      <c r="E129" s="8">
        <v>6514422</v>
      </c>
      <c r="F129" s="2">
        <v>5.7000000000000003E-5</v>
      </c>
      <c r="G129" s="17">
        <f>F129 * VLOOKUP('GASB Data'!A129,Check!$A$2:$F$11,6,FALSE)</f>
        <v>71990.316000000006</v>
      </c>
    </row>
    <row r="130" spans="1:7" x14ac:dyDescent="0.2">
      <c r="A130">
        <v>2015</v>
      </c>
      <c r="B130" s="3" t="s">
        <v>294</v>
      </c>
      <c r="C130" s="3" t="s">
        <v>240</v>
      </c>
      <c r="D130" s="3" t="s">
        <v>240</v>
      </c>
      <c r="E130" s="8">
        <v>260851871</v>
      </c>
      <c r="F130" s="2">
        <v>2.2807000000000001E-3</v>
      </c>
      <c r="G130" s="17">
        <f>F130 * VLOOKUP('GASB Data'!A130,Check!$A$2:$F$11,6,FALSE)</f>
        <v>2880496.7316000001</v>
      </c>
    </row>
    <row r="131" spans="1:7" x14ac:dyDescent="0.2">
      <c r="A131">
        <v>2015</v>
      </c>
      <c r="B131" s="3" t="s">
        <v>295</v>
      </c>
      <c r="C131" s="3" t="s">
        <v>241</v>
      </c>
      <c r="D131" s="3" t="s">
        <v>241</v>
      </c>
      <c r="E131" s="8">
        <v>71257001</v>
      </c>
      <c r="F131" s="2">
        <v>6.2299999999999996E-4</v>
      </c>
      <c r="G131" s="17">
        <f>F131 * VLOOKUP('GASB Data'!A131,Check!$A$2:$F$11,6,FALSE)</f>
        <v>786841.52399999998</v>
      </c>
    </row>
    <row r="132" spans="1:7" x14ac:dyDescent="0.2">
      <c r="A132">
        <v>2015</v>
      </c>
      <c r="B132" s="3" t="s">
        <v>296</v>
      </c>
      <c r="C132" s="3" t="s">
        <v>242</v>
      </c>
      <c r="D132" s="3" t="s">
        <v>242</v>
      </c>
      <c r="E132" s="8">
        <v>2313607049</v>
      </c>
      <c r="F132" s="2">
        <v>2.0228599999999999E-2</v>
      </c>
      <c r="G132" s="17">
        <f>F132 * VLOOKUP('GASB Data'!A132,Check!$A$2:$F$11,6,FALSE)</f>
        <v>25548479.0568</v>
      </c>
    </row>
    <row r="133" spans="1:7" x14ac:dyDescent="0.2">
      <c r="A133">
        <v>2015</v>
      </c>
      <c r="B133" s="3" t="s">
        <v>297</v>
      </c>
      <c r="C133" s="3" t="s">
        <v>243</v>
      </c>
      <c r="D133" s="3" t="s">
        <v>243</v>
      </c>
      <c r="E133" s="8">
        <v>16682962</v>
      </c>
      <c r="F133" s="2">
        <v>1.459E-4</v>
      </c>
      <c r="G133" s="17">
        <f>F133 * VLOOKUP('GASB Data'!A133,Check!$A$2:$F$11,6,FALSE)</f>
        <v>184269.9492</v>
      </c>
    </row>
    <row r="134" spans="1:7" x14ac:dyDescent="0.2">
      <c r="A134">
        <v>2015</v>
      </c>
      <c r="B134" s="3" t="s">
        <v>298</v>
      </c>
      <c r="C134" s="3" t="s">
        <v>244</v>
      </c>
      <c r="D134" s="3" t="s">
        <v>244</v>
      </c>
      <c r="E134" s="8">
        <v>229947779</v>
      </c>
      <c r="F134" s="2">
        <v>2.0105000000000001E-3</v>
      </c>
      <c r="G134" s="17">
        <f>F134 * VLOOKUP('GASB Data'!A134,Check!$A$2:$F$11,6,FALSE)</f>
        <v>2539237.3740000003</v>
      </c>
    </row>
    <row r="135" spans="1:7" x14ac:dyDescent="0.2">
      <c r="A135">
        <v>2015</v>
      </c>
      <c r="B135" s="3" t="s">
        <v>299</v>
      </c>
      <c r="C135" s="3" t="s">
        <v>245</v>
      </c>
      <c r="D135" s="3" t="s">
        <v>245</v>
      </c>
      <c r="E135" s="8">
        <v>377735239</v>
      </c>
      <c r="F135" s="2">
        <v>3.3027E-3</v>
      </c>
      <c r="G135" s="17">
        <f>F135 * VLOOKUP('GASB Data'!A135,Check!$A$2:$F$11,6,FALSE)</f>
        <v>4171270.4676000001</v>
      </c>
    </row>
    <row r="136" spans="1:7" x14ac:dyDescent="0.2">
      <c r="A136">
        <v>2015</v>
      </c>
      <c r="B136" s="3" t="s">
        <v>300</v>
      </c>
      <c r="C136" s="3" t="s">
        <v>246</v>
      </c>
      <c r="D136" s="3" t="s">
        <v>246</v>
      </c>
      <c r="E136" s="8">
        <v>7848276</v>
      </c>
      <c r="F136" s="2">
        <v>6.86E-5</v>
      </c>
      <c r="G136" s="17">
        <f>F136 * VLOOKUP('GASB Data'!A136,Check!$A$2:$F$11,6,FALSE)</f>
        <v>86640.976800000004</v>
      </c>
    </row>
    <row r="137" spans="1:7" x14ac:dyDescent="0.2">
      <c r="A137">
        <v>2015</v>
      </c>
      <c r="B137" s="3" t="s">
        <v>301</v>
      </c>
      <c r="C137" s="3" t="s">
        <v>247</v>
      </c>
      <c r="D137" s="3" t="s">
        <v>247</v>
      </c>
      <c r="E137" s="8">
        <v>1207925369</v>
      </c>
      <c r="F137" s="2">
        <v>1.0561299999999999E-2</v>
      </c>
      <c r="G137" s="17">
        <f>F137 * VLOOKUP('GASB Data'!A137,Check!$A$2:$F$11,6,FALSE)</f>
        <v>13338795.164399998</v>
      </c>
    </row>
    <row r="138" spans="1:7" x14ac:dyDescent="0.2">
      <c r="A138">
        <v>2015</v>
      </c>
      <c r="B138" s="3" t="s">
        <v>302</v>
      </c>
      <c r="C138" s="3" t="s">
        <v>248</v>
      </c>
      <c r="D138" s="3" t="s">
        <v>248</v>
      </c>
      <c r="E138" s="8">
        <v>171523557</v>
      </c>
      <c r="F138" s="2">
        <v>1.4997000000000001E-3</v>
      </c>
      <c r="G138" s="17">
        <f>F138 * VLOOKUP('GASB Data'!A138,Check!$A$2:$F$11,6,FALSE)</f>
        <v>1894103.1036</v>
      </c>
    </row>
    <row r="139" spans="1:7" x14ac:dyDescent="0.2">
      <c r="A139">
        <v>2015</v>
      </c>
      <c r="B139" s="3" t="s">
        <v>303</v>
      </c>
      <c r="C139" s="3" t="s">
        <v>249</v>
      </c>
      <c r="D139" s="3" t="s">
        <v>249</v>
      </c>
      <c r="E139" s="8">
        <v>93599148</v>
      </c>
      <c r="F139" s="2">
        <v>8.1840000000000005E-4</v>
      </c>
      <c r="G139" s="17">
        <f>F139 * VLOOKUP('GASB Data'!A139,Check!$A$2:$F$11,6,FALSE)</f>
        <v>1033629.3792000001</v>
      </c>
    </row>
    <row r="140" spans="1:7" x14ac:dyDescent="0.2">
      <c r="A140">
        <v>2015</v>
      </c>
      <c r="B140" s="3" t="s">
        <v>304</v>
      </c>
      <c r="C140" s="3" t="s">
        <v>250</v>
      </c>
      <c r="D140" s="3" t="s">
        <v>250</v>
      </c>
      <c r="E140" s="8">
        <v>65805214</v>
      </c>
      <c r="F140" s="2">
        <v>5.754E-4</v>
      </c>
      <c r="G140" s="17">
        <f>F140 * VLOOKUP('GASB Data'!A140,Check!$A$2:$F$11,6,FALSE)</f>
        <v>726723.29520000005</v>
      </c>
    </row>
    <row r="141" spans="1:7" x14ac:dyDescent="0.2">
      <c r="A141">
        <v>2015</v>
      </c>
      <c r="B141" s="3" t="s">
        <v>305</v>
      </c>
      <c r="C141" s="3" t="s">
        <v>251</v>
      </c>
      <c r="D141" s="3" t="s">
        <v>251</v>
      </c>
      <c r="E141" s="8">
        <v>339416367</v>
      </c>
      <c r="F141" s="2">
        <v>2.9675999999999999E-3</v>
      </c>
      <c r="G141" s="17">
        <f>F141 * VLOOKUP('GASB Data'!A141,Check!$A$2:$F$11,6,FALSE)</f>
        <v>3748043.1888000001</v>
      </c>
    </row>
    <row r="142" spans="1:7" x14ac:dyDescent="0.2">
      <c r="A142">
        <v>2015</v>
      </c>
      <c r="B142" s="3" t="s">
        <v>306</v>
      </c>
      <c r="C142" s="3" t="s">
        <v>252</v>
      </c>
      <c r="D142" s="3" t="s">
        <v>252</v>
      </c>
      <c r="E142" s="8">
        <v>153059823</v>
      </c>
      <c r="F142" s="2">
        <v>1.3382999999999999E-3</v>
      </c>
      <c r="G142" s="17">
        <f>F142 * VLOOKUP('GASB Data'!A142,Check!$A$2:$F$11,6,FALSE)</f>
        <v>1690256.8403999999</v>
      </c>
    </row>
    <row r="143" spans="1:7" x14ac:dyDescent="0.2">
      <c r="A143">
        <v>2015</v>
      </c>
      <c r="B143" s="3" t="s">
        <v>307</v>
      </c>
      <c r="C143" s="3" t="s">
        <v>253</v>
      </c>
      <c r="D143" s="3" t="s">
        <v>253</v>
      </c>
      <c r="E143" s="8">
        <v>3481557446</v>
      </c>
      <c r="F143" s="2">
        <v>3.0440399999999999E-2</v>
      </c>
      <c r="G143" s="17">
        <f>F143 * VLOOKUP('GASB Data'!A143,Check!$A$2:$F$11,6,FALSE)</f>
        <v>38445859.915200002</v>
      </c>
    </row>
    <row r="144" spans="1:7" x14ac:dyDescent="0.2">
      <c r="A144">
        <v>2015</v>
      </c>
      <c r="B144" s="3" t="s">
        <v>308</v>
      </c>
      <c r="C144" s="3" t="s">
        <v>254</v>
      </c>
      <c r="D144" s="3" t="s">
        <v>254</v>
      </c>
      <c r="E144" s="8">
        <v>305192923</v>
      </c>
      <c r="F144" s="2">
        <v>2.6684E-3</v>
      </c>
      <c r="G144" s="17">
        <f>F144 * VLOOKUP('GASB Data'!A144,Check!$A$2:$F$11,6,FALSE)</f>
        <v>3370157.1792000001</v>
      </c>
    </row>
    <row r="145" spans="1:7" x14ac:dyDescent="0.2">
      <c r="A145">
        <v>2015</v>
      </c>
      <c r="B145" s="3" t="s">
        <v>309</v>
      </c>
      <c r="C145" s="3" t="s">
        <v>255</v>
      </c>
      <c r="D145" s="3" t="s">
        <v>255</v>
      </c>
      <c r="E145" s="8">
        <v>155209659</v>
      </c>
      <c r="F145" s="2">
        <v>1.3571E-3</v>
      </c>
      <c r="G145" s="17">
        <f>F145 * VLOOKUP('GASB Data'!A145,Check!$A$2:$F$11,6,FALSE)</f>
        <v>1714001.0148</v>
      </c>
    </row>
    <row r="146" spans="1:7" x14ac:dyDescent="0.2">
      <c r="A146">
        <v>2015</v>
      </c>
      <c r="B146" s="3" t="s">
        <v>310</v>
      </c>
      <c r="C146" s="3" t="s">
        <v>256</v>
      </c>
      <c r="D146" s="3" t="s">
        <v>256</v>
      </c>
      <c r="E146" s="8">
        <v>55723854</v>
      </c>
      <c r="F146" s="2">
        <v>4.8720000000000002E-4</v>
      </c>
      <c r="G146" s="17">
        <f>F146 * VLOOKUP('GASB Data'!A146,Check!$A$2:$F$11,6,FALSE)</f>
        <v>615327.75360000005</v>
      </c>
    </row>
    <row r="147" spans="1:7" x14ac:dyDescent="0.2">
      <c r="A147">
        <v>2015</v>
      </c>
      <c r="B147" s="3" t="s">
        <v>311</v>
      </c>
      <c r="C147" s="3" t="s">
        <v>257</v>
      </c>
      <c r="D147" s="3" t="s">
        <v>257</v>
      </c>
      <c r="E147" s="8">
        <v>121683914</v>
      </c>
      <c r="F147" s="2">
        <v>1.0639E-3</v>
      </c>
      <c r="G147" s="17">
        <f>F147 * VLOOKUP('GASB Data'!A147,Check!$A$2:$F$11,6,FALSE)</f>
        <v>1343692.9332000001</v>
      </c>
    </row>
    <row r="148" spans="1:7" x14ac:dyDescent="0.2">
      <c r="A148">
        <v>2015</v>
      </c>
      <c r="B148" s="3" t="s">
        <v>312</v>
      </c>
      <c r="C148" s="3" t="s">
        <v>258</v>
      </c>
      <c r="D148" s="3" t="s">
        <v>258</v>
      </c>
      <c r="E148" s="8">
        <v>56978234</v>
      </c>
      <c r="F148" s="2">
        <v>4.9819999999999997E-4</v>
      </c>
      <c r="G148" s="17">
        <f>F148 * VLOOKUP('GASB Data'!A148,Check!$A$2:$F$11,6,FALSE)</f>
        <v>629220.62159999995</v>
      </c>
    </row>
    <row r="149" spans="1:7" x14ac:dyDescent="0.2">
      <c r="A149">
        <v>2015</v>
      </c>
      <c r="B149" s="3" t="s">
        <v>313</v>
      </c>
      <c r="C149" s="3" t="s">
        <v>259</v>
      </c>
      <c r="D149" s="3" t="s">
        <v>259</v>
      </c>
      <c r="E149" s="8">
        <v>807323736</v>
      </c>
      <c r="F149" s="2">
        <v>7.0587000000000002E-3</v>
      </c>
      <c r="G149" s="17">
        <f>F149 * VLOOKUP('GASB Data'!A149,Check!$A$2:$F$11,6,FALSE)</f>
        <v>8915053.3956000004</v>
      </c>
    </row>
    <row r="150" spans="1:7" x14ac:dyDescent="0.2">
      <c r="A150">
        <v>2015</v>
      </c>
      <c r="B150" s="3" t="s">
        <v>314</v>
      </c>
      <c r="C150" s="3" t="s">
        <v>260</v>
      </c>
      <c r="D150" s="3" t="s">
        <v>260</v>
      </c>
      <c r="E150" s="8">
        <v>341883171</v>
      </c>
      <c r="F150" s="2">
        <v>2.9892E-3</v>
      </c>
      <c r="G150" s="17">
        <f>F150 * VLOOKUP('GASB Data'!A150,Check!$A$2:$F$11,6,FALSE)</f>
        <v>3775323.7296000002</v>
      </c>
    </row>
    <row r="151" spans="1:7" x14ac:dyDescent="0.2">
      <c r="A151">
        <v>2015</v>
      </c>
      <c r="B151" s="3" t="s">
        <v>315</v>
      </c>
      <c r="C151" s="3" t="s">
        <v>261</v>
      </c>
      <c r="D151" s="3" t="s">
        <v>261</v>
      </c>
      <c r="E151" s="8">
        <v>72619541</v>
      </c>
      <c r="F151" s="2">
        <v>6.3489999999999998E-4</v>
      </c>
      <c r="G151" s="17">
        <f>F151 * VLOOKUP('GASB Data'!A151,Check!$A$2:$F$11,6,FALSE)</f>
        <v>801871.08120000002</v>
      </c>
    </row>
    <row r="152" spans="1:7" x14ac:dyDescent="0.2">
      <c r="A152">
        <v>2015</v>
      </c>
      <c r="B152" s="3" t="s">
        <v>316</v>
      </c>
      <c r="C152" s="3" t="s">
        <v>262</v>
      </c>
      <c r="D152" s="3" t="s">
        <v>262</v>
      </c>
      <c r="E152" s="8">
        <v>572214129</v>
      </c>
      <c r="F152" s="2">
        <v>5.0030999999999999E-3</v>
      </c>
      <c r="G152" s="17">
        <f>F152 * VLOOKUP('GASB Data'!A152,Check!$A$2:$F$11,6,FALSE)</f>
        <v>6318855.2627999997</v>
      </c>
    </row>
    <row r="153" spans="1:7" x14ac:dyDescent="0.2">
      <c r="A153">
        <v>2015</v>
      </c>
      <c r="B153" s="3" t="s">
        <v>317</v>
      </c>
      <c r="C153" s="3" t="s">
        <v>263</v>
      </c>
      <c r="D153" s="3" t="s">
        <v>263</v>
      </c>
      <c r="E153" s="8">
        <v>7140602</v>
      </c>
      <c r="F153" s="2">
        <v>6.2399999999999999E-5</v>
      </c>
      <c r="G153" s="17">
        <f>F153 * VLOOKUP('GASB Data'!A153,Check!$A$2:$F$11,6,FALSE)</f>
        <v>78810.451199999996</v>
      </c>
    </row>
    <row r="154" spans="1:7" x14ac:dyDescent="0.2">
      <c r="A154">
        <v>2015</v>
      </c>
      <c r="B154" s="3" t="s">
        <v>318</v>
      </c>
      <c r="C154" s="3" t="s">
        <v>264</v>
      </c>
      <c r="D154" s="3" t="s">
        <v>264</v>
      </c>
      <c r="E154" s="8">
        <v>70270412</v>
      </c>
      <c r="F154" s="2">
        <v>6.1439999999999997E-4</v>
      </c>
      <c r="G154" s="17">
        <f>F154 * VLOOKUP('GASB Data'!A154,Check!$A$2:$F$11,6,FALSE)</f>
        <v>775979.82719999994</v>
      </c>
    </row>
    <row r="155" spans="1:7" x14ac:dyDescent="0.2">
      <c r="A155">
        <v>2015</v>
      </c>
      <c r="B155" s="3" t="s">
        <v>319</v>
      </c>
      <c r="C155" s="3" t="s">
        <v>265</v>
      </c>
      <c r="D155" s="3" t="s">
        <v>265</v>
      </c>
      <c r="E155" s="8">
        <v>142238192</v>
      </c>
      <c r="F155" s="2">
        <v>1.2436000000000001E-3</v>
      </c>
      <c r="G155" s="17">
        <f>F155 * VLOOKUP('GASB Data'!A155,Check!$A$2:$F$11,6,FALSE)</f>
        <v>1570651.8768000002</v>
      </c>
    </row>
    <row r="156" spans="1:7" x14ac:dyDescent="0.2">
      <c r="A156">
        <v>2015</v>
      </c>
      <c r="B156" s="3" t="s">
        <v>320</v>
      </c>
      <c r="C156" s="3" t="s">
        <v>266</v>
      </c>
      <c r="D156" s="3" t="s">
        <v>266</v>
      </c>
      <c r="E156" s="8">
        <v>31320296</v>
      </c>
      <c r="F156" s="2">
        <v>2.7379999999999999E-4</v>
      </c>
      <c r="G156" s="17">
        <f>F156 * VLOOKUP('GASB Data'!A156,Check!$A$2:$F$11,6,FALSE)</f>
        <v>345806.11439999996</v>
      </c>
    </row>
    <row r="157" spans="1:7" x14ac:dyDescent="0.2">
      <c r="A157">
        <v>2015</v>
      </c>
      <c r="B157" s="3" t="s">
        <v>321</v>
      </c>
      <c r="C157" s="3" t="s">
        <v>267</v>
      </c>
      <c r="D157" s="3" t="s">
        <v>267</v>
      </c>
      <c r="E157" s="8">
        <v>379959936</v>
      </c>
      <c r="F157" s="2">
        <v>3.3221000000000001E-3</v>
      </c>
      <c r="G157" s="17">
        <f>F157 * VLOOKUP('GASB Data'!A157,Check!$A$2:$F$11,6,FALSE)</f>
        <v>4195772.4347999999</v>
      </c>
    </row>
    <row r="158" spans="1:7" x14ac:dyDescent="0.2">
      <c r="A158">
        <v>2015</v>
      </c>
      <c r="B158" s="3" t="s">
        <v>322</v>
      </c>
      <c r="C158" s="3" t="s">
        <v>268</v>
      </c>
      <c r="D158" s="3" t="s">
        <v>268</v>
      </c>
      <c r="E158" s="8">
        <v>37080172</v>
      </c>
      <c r="F158" s="2">
        <v>3.2420000000000002E-4</v>
      </c>
      <c r="G158" s="17">
        <f>F158 * VLOOKUP('GASB Data'!A158,Check!$A$2:$F$11,6,FALSE)</f>
        <v>409460.7096</v>
      </c>
    </row>
    <row r="159" spans="1:7" x14ac:dyDescent="0.2">
      <c r="A159">
        <v>2015</v>
      </c>
      <c r="B159" s="3" t="s">
        <v>323</v>
      </c>
      <c r="C159" s="3" t="s">
        <v>269</v>
      </c>
      <c r="D159" s="3" t="s">
        <v>269</v>
      </c>
      <c r="E159" s="8">
        <v>865388825</v>
      </c>
      <c r="F159" s="2">
        <v>7.5664E-3</v>
      </c>
      <c r="G159" s="17">
        <f>F159 * VLOOKUP('GASB Data'!A159,Check!$A$2:$F$11,6,FALSE)</f>
        <v>9556272.4032000005</v>
      </c>
    </row>
    <row r="160" spans="1:7" x14ac:dyDescent="0.2">
      <c r="A160">
        <v>2015</v>
      </c>
      <c r="B160" s="3" t="s">
        <v>324</v>
      </c>
      <c r="C160" s="3" t="s">
        <v>270</v>
      </c>
      <c r="D160" s="3" t="s">
        <v>270</v>
      </c>
      <c r="E160" s="8">
        <v>20705972</v>
      </c>
      <c r="F160" s="2">
        <v>1.8100000000000001E-4</v>
      </c>
      <c r="G160" s="17">
        <f>F160 * VLOOKUP('GASB Data'!A160,Check!$A$2:$F$11,6,FALSE)</f>
        <v>228600.82800000001</v>
      </c>
    </row>
    <row r="161" spans="1:7" x14ac:dyDescent="0.2">
      <c r="A161">
        <v>2015</v>
      </c>
      <c r="B161" s="3" t="s">
        <v>325</v>
      </c>
      <c r="C161" s="3" t="s">
        <v>271</v>
      </c>
      <c r="D161" s="3" t="s">
        <v>271</v>
      </c>
      <c r="E161" s="8">
        <v>2309822</v>
      </c>
      <c r="F161" s="2">
        <v>2.02E-5</v>
      </c>
      <c r="G161" s="17">
        <f>F161 * VLOOKUP('GASB Data'!A161,Check!$A$2:$F$11,6,FALSE)</f>
        <v>25512.357599999999</v>
      </c>
    </row>
    <row r="162" spans="1:7" x14ac:dyDescent="0.2">
      <c r="A162">
        <v>2015</v>
      </c>
      <c r="B162" s="3" t="s">
        <v>326</v>
      </c>
      <c r="C162" s="3" t="s">
        <v>272</v>
      </c>
      <c r="D162" s="3" t="s">
        <v>272</v>
      </c>
      <c r="E162" s="8">
        <v>89307069</v>
      </c>
      <c r="F162" s="2">
        <v>7.8080000000000001E-4</v>
      </c>
      <c r="G162" s="17">
        <f>F162 * VLOOKUP('GASB Data'!A162,Check!$A$2:$F$11,6,FALSE)</f>
        <v>986141.03040000005</v>
      </c>
    </row>
    <row r="163" spans="1:7" x14ac:dyDescent="0.2">
      <c r="A163">
        <v>2015</v>
      </c>
      <c r="B163" s="3" t="s">
        <v>327</v>
      </c>
      <c r="C163" s="3" t="s">
        <v>273</v>
      </c>
      <c r="D163" s="3" t="s">
        <v>273</v>
      </c>
      <c r="E163" s="8">
        <v>252628617</v>
      </c>
      <c r="F163" s="2">
        <v>2.2087999999999999E-3</v>
      </c>
      <c r="G163" s="17">
        <f>F163 * VLOOKUP('GASB Data'!A163,Check!$A$2:$F$11,6,FALSE)</f>
        <v>2789687.8944000001</v>
      </c>
    </row>
    <row r="164" spans="1:7" x14ac:dyDescent="0.2">
      <c r="A164">
        <v>2015</v>
      </c>
      <c r="B164" s="3" t="s">
        <v>382</v>
      </c>
      <c r="C164" s="3" t="s">
        <v>328</v>
      </c>
      <c r="D164" s="3" t="s">
        <v>328</v>
      </c>
      <c r="E164" s="8">
        <v>172299049</v>
      </c>
      <c r="F164" s="2">
        <v>1.5065E-3</v>
      </c>
      <c r="G164" s="17">
        <f>F164 * VLOOKUP('GASB Data'!A164,Check!$A$2:$F$11,6,FALSE)</f>
        <v>1902691.422</v>
      </c>
    </row>
    <row r="165" spans="1:7" x14ac:dyDescent="0.2">
      <c r="A165">
        <v>2015</v>
      </c>
      <c r="B165" s="3" t="s">
        <v>383</v>
      </c>
      <c r="C165" s="3" t="s">
        <v>329</v>
      </c>
      <c r="D165" s="3" t="s">
        <v>329</v>
      </c>
      <c r="E165" s="8">
        <v>82355883</v>
      </c>
      <c r="F165" s="2">
        <v>7.2009999999999999E-4</v>
      </c>
      <c r="G165" s="17">
        <f>F165 * VLOOKUP('GASB Data'!A165,Check!$A$2:$F$11,6,FALSE)</f>
        <v>909477.65879999998</v>
      </c>
    </row>
    <row r="166" spans="1:7" x14ac:dyDescent="0.2">
      <c r="A166">
        <v>2015</v>
      </c>
      <c r="B166" s="3" t="s">
        <v>384</v>
      </c>
      <c r="C166" s="3" t="s">
        <v>330</v>
      </c>
      <c r="D166" s="3" t="s">
        <v>330</v>
      </c>
      <c r="E166" s="8">
        <v>1484408068</v>
      </c>
      <c r="F166" s="2">
        <v>1.2978699999999999E-2</v>
      </c>
      <c r="G166" s="17">
        <f>F166 * VLOOKUP('GASB Data'!A166,Check!$A$2:$F$11,6,FALSE)</f>
        <v>16391942.355599999</v>
      </c>
    </row>
    <row r="167" spans="1:7" x14ac:dyDescent="0.2">
      <c r="A167">
        <v>2015</v>
      </c>
      <c r="B167" s="3" t="s">
        <v>385</v>
      </c>
      <c r="C167" s="3" t="s">
        <v>331</v>
      </c>
      <c r="D167" s="3" t="s">
        <v>331</v>
      </c>
      <c r="E167" s="8">
        <v>137633248</v>
      </c>
      <c r="F167" s="2">
        <v>1.2034000000000001E-3</v>
      </c>
      <c r="G167" s="17">
        <f>F167 * VLOOKUP('GASB Data'!A167,Check!$A$2:$F$11,6,FALSE)</f>
        <v>1519879.7592000002</v>
      </c>
    </row>
    <row r="168" spans="1:7" x14ac:dyDescent="0.2">
      <c r="A168">
        <v>2015</v>
      </c>
      <c r="B168" s="3" t="s">
        <v>386</v>
      </c>
      <c r="C168" s="3" t="s">
        <v>332</v>
      </c>
      <c r="D168" s="3" t="s">
        <v>332</v>
      </c>
      <c r="E168" s="8">
        <v>30222788</v>
      </c>
      <c r="F168" s="2">
        <v>2.6420000000000003E-4</v>
      </c>
      <c r="G168" s="17">
        <f>F168 * VLOOKUP('GASB Data'!A168,Check!$A$2:$F$11,6,FALSE)</f>
        <v>333681.42960000003</v>
      </c>
    </row>
    <row r="169" spans="1:7" x14ac:dyDescent="0.2">
      <c r="A169">
        <v>2015</v>
      </c>
      <c r="B169" s="3" t="s">
        <v>387</v>
      </c>
      <c r="C169" s="3" t="s">
        <v>333</v>
      </c>
      <c r="D169" s="3" t="s">
        <v>333</v>
      </c>
      <c r="E169" s="8">
        <v>64247696</v>
      </c>
      <c r="F169" s="2">
        <v>5.6170000000000005E-4</v>
      </c>
      <c r="G169" s="17">
        <f>F169 * VLOOKUP('GASB Data'!A169,Check!$A$2:$F$11,6,FALSE)</f>
        <v>709420.35960000008</v>
      </c>
    </row>
    <row r="170" spans="1:7" x14ac:dyDescent="0.2">
      <c r="A170">
        <v>2015</v>
      </c>
      <c r="B170" s="3" t="s">
        <v>388</v>
      </c>
      <c r="C170" s="3" t="s">
        <v>334</v>
      </c>
      <c r="D170" s="3" t="s">
        <v>334</v>
      </c>
      <c r="E170" s="8">
        <v>422163507</v>
      </c>
      <c r="F170" s="2">
        <v>3.6911000000000001E-3</v>
      </c>
      <c r="G170" s="17">
        <f>F170 * VLOOKUP('GASB Data'!A170,Check!$A$2:$F$11,6,FALSE)</f>
        <v>4661815.0068000006</v>
      </c>
    </row>
    <row r="171" spans="1:7" x14ac:dyDescent="0.2">
      <c r="A171">
        <v>2015</v>
      </c>
      <c r="B171" s="3" t="s">
        <v>389</v>
      </c>
      <c r="C171" s="3" t="s">
        <v>335</v>
      </c>
      <c r="D171" s="3" t="s">
        <v>335</v>
      </c>
      <c r="E171" s="8">
        <v>152624320</v>
      </c>
      <c r="F171" s="2">
        <v>1.3343999999999999E-3</v>
      </c>
      <c r="G171" s="17">
        <f>F171 * VLOOKUP('GASB Data'!A171,Check!$A$2:$F$11,6,FALSE)</f>
        <v>1685331.1871999998</v>
      </c>
    </row>
    <row r="172" spans="1:7" x14ac:dyDescent="0.2">
      <c r="A172">
        <v>2015</v>
      </c>
      <c r="B172" s="3" t="s">
        <v>390</v>
      </c>
      <c r="C172" s="3" t="s">
        <v>336</v>
      </c>
      <c r="D172" s="3" t="s">
        <v>336</v>
      </c>
      <c r="E172" s="8">
        <v>361617678</v>
      </c>
      <c r="F172" s="2">
        <v>3.1616999999999999E-3</v>
      </c>
      <c r="G172" s="17">
        <f>F172 * VLOOKUP('GASB Data'!A172,Check!$A$2:$F$11,6,FALSE)</f>
        <v>3993189.1595999999</v>
      </c>
    </row>
    <row r="173" spans="1:7" x14ac:dyDescent="0.2">
      <c r="A173">
        <v>2015</v>
      </c>
      <c r="B173" s="3" t="s">
        <v>391</v>
      </c>
      <c r="C173" s="3" t="s">
        <v>337</v>
      </c>
      <c r="D173" s="3" t="s">
        <v>337</v>
      </c>
      <c r="E173" s="8">
        <v>3761565</v>
      </c>
      <c r="F173" s="2">
        <v>3.29E-5</v>
      </c>
      <c r="G173" s="17">
        <f>F173 * VLOOKUP('GASB Data'!A173,Check!$A$2:$F$11,6,FALSE)</f>
        <v>41552.305200000003</v>
      </c>
    </row>
    <row r="174" spans="1:7" x14ac:dyDescent="0.2">
      <c r="A174">
        <v>2015</v>
      </c>
      <c r="B174" s="3" t="s">
        <v>392</v>
      </c>
      <c r="C174" s="3" t="s">
        <v>338</v>
      </c>
      <c r="D174" s="3" t="s">
        <v>338</v>
      </c>
      <c r="E174" s="8">
        <v>121077412</v>
      </c>
      <c r="F174" s="2">
        <v>1.0586E-3</v>
      </c>
      <c r="G174" s="17">
        <f>F174 * VLOOKUP('GASB Data'!A174,Check!$A$2:$F$11,6,FALSE)</f>
        <v>1336999.0967999999</v>
      </c>
    </row>
    <row r="175" spans="1:7" x14ac:dyDescent="0.2">
      <c r="A175">
        <v>2015</v>
      </c>
      <c r="B175" s="3" t="s">
        <v>393</v>
      </c>
      <c r="C175" s="3" t="s">
        <v>339</v>
      </c>
      <c r="D175" s="3" t="s">
        <v>339</v>
      </c>
      <c r="E175" s="8">
        <v>497965808</v>
      </c>
      <c r="F175" s="2">
        <v>4.3539E-3</v>
      </c>
      <c r="G175" s="17">
        <f>F175 * VLOOKUP('GASB Data'!A175,Check!$A$2:$F$11,6,FALSE)</f>
        <v>5498923.4532000003</v>
      </c>
    </row>
    <row r="176" spans="1:7" x14ac:dyDescent="0.2">
      <c r="A176">
        <v>2015</v>
      </c>
      <c r="B176" s="3" t="s">
        <v>394</v>
      </c>
      <c r="C176" s="3" t="s">
        <v>340</v>
      </c>
      <c r="D176" s="3" t="s">
        <v>340</v>
      </c>
      <c r="E176" s="8">
        <v>193649574</v>
      </c>
      <c r="F176" s="2">
        <v>1.6930999999999999E-3</v>
      </c>
      <c r="G176" s="17">
        <f>F176 * VLOOKUP('GASB Data'!A176,Check!$A$2:$F$11,6,FALSE)</f>
        <v>2138364.9827999999</v>
      </c>
    </row>
    <row r="177" spans="1:7" x14ac:dyDescent="0.2">
      <c r="A177">
        <v>2015</v>
      </c>
      <c r="B177" s="3" t="s">
        <v>395</v>
      </c>
      <c r="C177" s="3" t="s">
        <v>341</v>
      </c>
      <c r="D177" s="3" t="s">
        <v>341</v>
      </c>
      <c r="E177" s="8">
        <v>115870968</v>
      </c>
      <c r="F177" s="2">
        <v>1.0131000000000001E-3</v>
      </c>
      <c r="G177" s="17">
        <f>F177 * VLOOKUP('GASB Data'!A177,Check!$A$2:$F$11,6,FALSE)</f>
        <v>1279533.1428</v>
      </c>
    </row>
    <row r="178" spans="1:7" x14ac:dyDescent="0.2">
      <c r="A178">
        <v>2015</v>
      </c>
      <c r="B178" s="3" t="s">
        <v>396</v>
      </c>
      <c r="C178" s="3" t="s">
        <v>342</v>
      </c>
      <c r="D178" s="3" t="s">
        <v>342</v>
      </c>
      <c r="E178" s="8">
        <v>165944833</v>
      </c>
      <c r="F178" s="2">
        <v>1.4509E-3</v>
      </c>
      <c r="G178" s="17">
        <f>F178 * VLOOKUP('GASB Data'!A178,Check!$A$2:$F$11,6,FALSE)</f>
        <v>1832469.2892</v>
      </c>
    </row>
    <row r="179" spans="1:7" x14ac:dyDescent="0.2">
      <c r="A179">
        <v>2015</v>
      </c>
      <c r="B179" s="3" t="s">
        <v>397</v>
      </c>
      <c r="C179" s="3" t="s">
        <v>343</v>
      </c>
      <c r="D179" s="3" t="s">
        <v>343</v>
      </c>
      <c r="E179" s="8">
        <v>20542656</v>
      </c>
      <c r="F179" s="2">
        <v>1.796E-4</v>
      </c>
      <c r="G179" s="17">
        <f>F179 * VLOOKUP('GASB Data'!A179,Check!$A$2:$F$11,6,FALSE)</f>
        <v>226832.64480000001</v>
      </c>
    </row>
    <row r="180" spans="1:7" x14ac:dyDescent="0.2">
      <c r="A180">
        <v>2015</v>
      </c>
      <c r="B180" s="3" t="s">
        <v>398</v>
      </c>
      <c r="C180" s="3" t="s">
        <v>344</v>
      </c>
      <c r="D180" s="3" t="s">
        <v>344</v>
      </c>
      <c r="E180" s="8">
        <v>295444035</v>
      </c>
      <c r="F180" s="2">
        <v>2.5831999999999999E-3</v>
      </c>
      <c r="G180" s="17">
        <f>F180 * VLOOKUP('GASB Data'!A180,Check!$A$2:$F$11,6,FALSE)</f>
        <v>3262550.6015999997</v>
      </c>
    </row>
    <row r="181" spans="1:7" x14ac:dyDescent="0.2">
      <c r="A181">
        <v>2015</v>
      </c>
      <c r="B181" s="3" t="s">
        <v>399</v>
      </c>
      <c r="C181" s="3" t="s">
        <v>345</v>
      </c>
      <c r="D181" s="3" t="s">
        <v>345</v>
      </c>
      <c r="E181" s="8">
        <v>41902074</v>
      </c>
      <c r="F181" s="2">
        <v>3.6640000000000002E-4</v>
      </c>
      <c r="G181" s="17">
        <f>F181 * VLOOKUP('GASB Data'!A181,Check!$A$2:$F$11,6,FALSE)</f>
        <v>462758.80320000002</v>
      </c>
    </row>
    <row r="182" spans="1:7" x14ac:dyDescent="0.2">
      <c r="A182">
        <v>2015</v>
      </c>
      <c r="B182" s="3" t="s">
        <v>400</v>
      </c>
      <c r="C182" s="3" t="s">
        <v>346</v>
      </c>
      <c r="D182" s="3" t="s">
        <v>346</v>
      </c>
      <c r="E182" s="8">
        <v>6494916491</v>
      </c>
      <c r="F182" s="2">
        <v>5.6787200000000003E-2</v>
      </c>
      <c r="G182" s="17">
        <f>F182 * VLOOKUP('GASB Data'!A182,Check!$A$2:$F$11,6,FALSE)</f>
        <v>71721552.153600007</v>
      </c>
    </row>
    <row r="183" spans="1:7" x14ac:dyDescent="0.2">
      <c r="A183">
        <v>2015</v>
      </c>
      <c r="B183" s="3" t="s">
        <v>401</v>
      </c>
      <c r="C183" s="3" t="s">
        <v>347</v>
      </c>
      <c r="D183" s="3" t="s">
        <v>347</v>
      </c>
      <c r="E183" s="8">
        <v>3952907</v>
      </c>
      <c r="F183" s="2">
        <v>3.4600000000000001E-5</v>
      </c>
      <c r="G183" s="17">
        <f>F183 * VLOOKUP('GASB Data'!A183,Check!$A$2:$F$11,6,FALSE)</f>
        <v>43699.3848</v>
      </c>
    </row>
    <row r="184" spans="1:7" x14ac:dyDescent="0.2">
      <c r="A184">
        <v>2015</v>
      </c>
      <c r="B184" s="3" t="s">
        <v>402</v>
      </c>
      <c r="C184" s="3" t="s">
        <v>348</v>
      </c>
      <c r="D184" s="3" t="s">
        <v>348</v>
      </c>
      <c r="E184" s="8">
        <v>23097322</v>
      </c>
      <c r="F184" s="2">
        <v>2.019E-4</v>
      </c>
      <c r="G184" s="17">
        <f>F184 * VLOOKUP('GASB Data'!A184,Check!$A$2:$F$11,6,FALSE)</f>
        <v>254997.27720000001</v>
      </c>
    </row>
    <row r="185" spans="1:7" x14ac:dyDescent="0.2">
      <c r="A185">
        <v>2015</v>
      </c>
      <c r="B185" s="3" t="s">
        <v>403</v>
      </c>
      <c r="C185" s="3" t="s">
        <v>349</v>
      </c>
      <c r="D185" s="3" t="s">
        <v>349</v>
      </c>
      <c r="E185" s="8">
        <v>50866454</v>
      </c>
      <c r="F185" s="2">
        <v>4.4470000000000002E-4</v>
      </c>
      <c r="G185" s="17">
        <f>F185 * VLOOKUP('GASB Data'!A185,Check!$A$2:$F$11,6,FALSE)</f>
        <v>561650.76360000006</v>
      </c>
    </row>
    <row r="186" spans="1:7" x14ac:dyDescent="0.2">
      <c r="A186">
        <v>2015</v>
      </c>
      <c r="B186" s="3" t="s">
        <v>404</v>
      </c>
      <c r="C186" s="3" t="s">
        <v>350</v>
      </c>
      <c r="D186" s="3" t="s">
        <v>350</v>
      </c>
      <c r="E186" s="8">
        <v>19003514</v>
      </c>
      <c r="F186" s="2">
        <v>1.662E-4</v>
      </c>
      <c r="G186" s="17">
        <f>F186 * VLOOKUP('GASB Data'!A186,Check!$A$2:$F$11,6,FALSE)</f>
        <v>209908.60560000001</v>
      </c>
    </row>
    <row r="187" spans="1:7" x14ac:dyDescent="0.2">
      <c r="A187">
        <v>2015</v>
      </c>
      <c r="B187" s="3" t="s">
        <v>405</v>
      </c>
      <c r="C187" s="3" t="s">
        <v>351</v>
      </c>
      <c r="D187" s="3" t="s">
        <v>351</v>
      </c>
      <c r="E187" s="8">
        <v>555541804</v>
      </c>
      <c r="F187" s="2">
        <v>4.8573000000000002E-3</v>
      </c>
      <c r="G187" s="17">
        <f>F187 * VLOOKUP('GASB Data'!A187,Check!$A$2:$F$11,6,FALSE)</f>
        <v>6134711.6124</v>
      </c>
    </row>
    <row r="188" spans="1:7" x14ac:dyDescent="0.2">
      <c r="A188">
        <v>2015</v>
      </c>
      <c r="B188" s="3" t="s">
        <v>406</v>
      </c>
      <c r="C188" s="3" t="s">
        <v>352</v>
      </c>
      <c r="D188" s="3" t="s">
        <v>352</v>
      </c>
      <c r="E188" s="8">
        <v>61974767</v>
      </c>
      <c r="F188" s="2">
        <v>5.419E-4</v>
      </c>
      <c r="G188" s="17">
        <f>F188 * VLOOKUP('GASB Data'!A188,Check!$A$2:$F$11,6,FALSE)</f>
        <v>684413.19720000005</v>
      </c>
    </row>
    <row r="189" spans="1:7" x14ac:dyDescent="0.2">
      <c r="A189">
        <v>2015</v>
      </c>
      <c r="B189" s="3" t="s">
        <v>407</v>
      </c>
      <c r="C189" s="3" t="s">
        <v>353</v>
      </c>
      <c r="D189" s="3" t="s">
        <v>353</v>
      </c>
      <c r="E189" s="8">
        <v>21454804</v>
      </c>
      <c r="F189" s="2">
        <v>1.8760000000000001E-4</v>
      </c>
      <c r="G189" s="17">
        <f>F189 * VLOOKUP('GASB Data'!A189,Check!$A$2:$F$11,6,FALSE)</f>
        <v>236936.54880000002</v>
      </c>
    </row>
    <row r="190" spans="1:7" x14ac:dyDescent="0.2">
      <c r="A190">
        <v>2015</v>
      </c>
      <c r="B190" s="3" t="s">
        <v>408</v>
      </c>
      <c r="C190" s="3" t="s">
        <v>354</v>
      </c>
      <c r="D190" s="3" t="s">
        <v>354</v>
      </c>
      <c r="E190" s="8">
        <v>62557497</v>
      </c>
      <c r="F190" s="2">
        <v>5.4699999999999996E-4</v>
      </c>
      <c r="G190" s="17">
        <f>F190 * VLOOKUP('GASB Data'!A190,Check!$A$2:$F$11,6,FALSE)</f>
        <v>690854.43599999999</v>
      </c>
    </row>
    <row r="191" spans="1:7" x14ac:dyDescent="0.2">
      <c r="A191">
        <v>2015</v>
      </c>
      <c r="B191" s="3" t="s">
        <v>409</v>
      </c>
      <c r="C191" s="3" t="s">
        <v>355</v>
      </c>
      <c r="D191" s="3" t="s">
        <v>355</v>
      </c>
      <c r="E191" s="8">
        <v>17735651</v>
      </c>
      <c r="F191" s="2">
        <v>1.551E-4</v>
      </c>
      <c r="G191" s="17">
        <f>F191 * VLOOKUP('GASB Data'!A191,Check!$A$2:$F$11,6,FALSE)</f>
        <v>195889.4388</v>
      </c>
    </row>
    <row r="192" spans="1:7" x14ac:dyDescent="0.2">
      <c r="A192">
        <v>2015</v>
      </c>
      <c r="B192" s="3" t="s">
        <v>410</v>
      </c>
      <c r="C192" s="3" t="s">
        <v>356</v>
      </c>
      <c r="D192" s="3" t="s">
        <v>356</v>
      </c>
      <c r="E192" s="8">
        <v>89751582</v>
      </c>
      <c r="F192" s="2">
        <v>7.8470000000000005E-4</v>
      </c>
      <c r="G192" s="17">
        <f>F192 * VLOOKUP('GASB Data'!A192,Check!$A$2:$F$11,6,FALSE)</f>
        <v>991066.68360000011</v>
      </c>
    </row>
    <row r="193" spans="1:7" x14ac:dyDescent="0.2">
      <c r="A193">
        <v>2015</v>
      </c>
      <c r="B193" s="3" t="s">
        <v>411</v>
      </c>
      <c r="C193" s="3" t="s">
        <v>357</v>
      </c>
      <c r="D193" s="3" t="s">
        <v>357</v>
      </c>
      <c r="E193" s="8">
        <v>13837346</v>
      </c>
      <c r="F193" s="2">
        <v>1.21E-4</v>
      </c>
      <c r="G193" s="17">
        <f>F193 * VLOOKUP('GASB Data'!A193,Check!$A$2:$F$11,6,FALSE)</f>
        <v>152821.54800000001</v>
      </c>
    </row>
    <row r="194" spans="1:7" x14ac:dyDescent="0.2">
      <c r="A194">
        <v>2015</v>
      </c>
      <c r="B194" s="3" t="s">
        <v>412</v>
      </c>
      <c r="C194" s="3" t="s">
        <v>358</v>
      </c>
      <c r="D194" s="3" t="s">
        <v>358</v>
      </c>
      <c r="E194" s="8">
        <v>46790573</v>
      </c>
      <c r="F194" s="2">
        <v>4.0910000000000002E-4</v>
      </c>
      <c r="G194" s="17">
        <f>F194 * VLOOKUP('GASB Data'!A194,Check!$A$2:$F$11,6,FALSE)</f>
        <v>516688.39080000005</v>
      </c>
    </row>
    <row r="195" spans="1:7" x14ac:dyDescent="0.2">
      <c r="A195">
        <v>2015</v>
      </c>
      <c r="B195" s="3" t="s">
        <v>413</v>
      </c>
      <c r="C195" s="3" t="s">
        <v>359</v>
      </c>
      <c r="D195" s="3" t="s">
        <v>359</v>
      </c>
      <c r="E195" s="8">
        <v>181495056</v>
      </c>
      <c r="F195" s="2">
        <v>1.5869E-3</v>
      </c>
      <c r="G195" s="17">
        <f>F195 * VLOOKUP('GASB Data'!A195,Check!$A$2:$F$11,6,FALSE)</f>
        <v>2004235.6572</v>
      </c>
    </row>
    <row r="196" spans="1:7" x14ac:dyDescent="0.2">
      <c r="A196">
        <v>2015</v>
      </c>
      <c r="B196" s="3" t="s">
        <v>414</v>
      </c>
      <c r="C196" s="3" t="s">
        <v>360</v>
      </c>
      <c r="D196" s="3" t="s">
        <v>360</v>
      </c>
      <c r="E196" s="8">
        <v>29864569</v>
      </c>
      <c r="F196" s="2">
        <v>2.611E-4</v>
      </c>
      <c r="G196" s="17">
        <f>F196 * VLOOKUP('GASB Data'!A196,Check!$A$2:$F$11,6,FALSE)</f>
        <v>329766.16680000001</v>
      </c>
    </row>
    <row r="197" spans="1:7" x14ac:dyDescent="0.2">
      <c r="A197">
        <v>2015</v>
      </c>
      <c r="B197" s="3" t="s">
        <v>415</v>
      </c>
      <c r="C197" s="3" t="s">
        <v>361</v>
      </c>
      <c r="D197" s="3" t="s">
        <v>361</v>
      </c>
      <c r="E197" s="8">
        <v>557068002</v>
      </c>
      <c r="F197" s="2">
        <v>4.8706000000000001E-3</v>
      </c>
      <c r="G197" s="17">
        <f>F197 * VLOOKUP('GASB Data'!A197,Check!$A$2:$F$11,6,FALSE)</f>
        <v>6151509.3528000005</v>
      </c>
    </row>
    <row r="198" spans="1:7" x14ac:dyDescent="0.2">
      <c r="A198">
        <v>2015</v>
      </c>
      <c r="B198" s="3" t="s">
        <v>416</v>
      </c>
      <c r="C198" s="3" t="s">
        <v>362</v>
      </c>
      <c r="D198" s="3" t="s">
        <v>362</v>
      </c>
      <c r="E198" s="8">
        <v>5799943</v>
      </c>
      <c r="F198" s="2">
        <v>5.0699999999999999E-5</v>
      </c>
      <c r="G198" s="17">
        <f>F198 * VLOOKUP('GASB Data'!A198,Check!$A$2:$F$11,6,FALSE)</f>
        <v>64033.491600000001</v>
      </c>
    </row>
    <row r="199" spans="1:7" x14ac:dyDescent="0.2">
      <c r="A199">
        <v>2015</v>
      </c>
      <c r="B199" s="3" t="s">
        <v>417</v>
      </c>
      <c r="C199" s="3" t="s">
        <v>363</v>
      </c>
      <c r="D199" s="3" t="s">
        <v>363</v>
      </c>
      <c r="E199" s="8">
        <v>14495909</v>
      </c>
      <c r="F199" s="2">
        <v>1.2669999999999999E-4</v>
      </c>
      <c r="G199" s="17">
        <f>F199 * VLOOKUP('GASB Data'!A199,Check!$A$2:$F$11,6,FALSE)</f>
        <v>160020.5796</v>
      </c>
    </row>
    <row r="200" spans="1:7" x14ac:dyDescent="0.2">
      <c r="A200">
        <v>2015</v>
      </c>
      <c r="B200" s="3" t="s">
        <v>418</v>
      </c>
      <c r="C200" s="3" t="s">
        <v>364</v>
      </c>
      <c r="D200" s="3" t="s">
        <v>364</v>
      </c>
      <c r="E200" s="8">
        <v>111281340</v>
      </c>
      <c r="F200" s="2">
        <v>9.7300000000000002E-4</v>
      </c>
      <c r="G200" s="17">
        <f>F200 * VLOOKUP('GASB Data'!A200,Check!$A$2:$F$11,6,FALSE)</f>
        <v>1228887.324</v>
      </c>
    </row>
    <row r="201" spans="1:7" x14ac:dyDescent="0.2">
      <c r="A201">
        <v>2015</v>
      </c>
      <c r="B201" s="3" t="s">
        <v>419</v>
      </c>
      <c r="C201" s="3" t="s">
        <v>365</v>
      </c>
      <c r="D201" s="3" t="s">
        <v>365</v>
      </c>
      <c r="E201" s="8">
        <v>622278590</v>
      </c>
      <c r="F201" s="2">
        <v>5.4408E-3</v>
      </c>
      <c r="G201" s="17">
        <f>F201 * VLOOKUP('GASB Data'!A201,Check!$A$2:$F$11,6,FALSE)</f>
        <v>6871665.1103999997</v>
      </c>
    </row>
    <row r="202" spans="1:7" x14ac:dyDescent="0.2">
      <c r="A202">
        <v>2015</v>
      </c>
      <c r="B202" s="3" t="s">
        <v>420</v>
      </c>
      <c r="C202" s="3" t="s">
        <v>366</v>
      </c>
      <c r="D202" s="3" t="s">
        <v>366</v>
      </c>
      <c r="E202" s="8">
        <v>103122267</v>
      </c>
      <c r="F202" s="2">
        <v>9.0160000000000001E-4</v>
      </c>
      <c r="G202" s="17">
        <f>F202 * VLOOKUP('GASB Data'!A202,Check!$A$2:$F$11,6,FALSE)</f>
        <v>1138709.9808</v>
      </c>
    </row>
    <row r="203" spans="1:7" x14ac:dyDescent="0.2">
      <c r="A203">
        <v>2015</v>
      </c>
      <c r="B203" s="3" t="s">
        <v>421</v>
      </c>
      <c r="C203" s="3" t="s">
        <v>367</v>
      </c>
      <c r="D203" s="3" t="s">
        <v>367</v>
      </c>
      <c r="E203" s="8">
        <v>1198005640</v>
      </c>
      <c r="F203" s="2">
        <v>1.0474600000000001E-2</v>
      </c>
      <c r="G203" s="17">
        <f>F203 * VLOOKUP('GASB Data'!A203,Check!$A$2:$F$11,6,FALSE)</f>
        <v>13229294.104800001</v>
      </c>
    </row>
    <row r="204" spans="1:7" x14ac:dyDescent="0.2">
      <c r="A204">
        <v>2015</v>
      </c>
      <c r="B204" s="3" t="s">
        <v>422</v>
      </c>
      <c r="C204" s="3" t="s">
        <v>368</v>
      </c>
      <c r="D204" s="3" t="s">
        <v>368</v>
      </c>
      <c r="E204" s="8">
        <v>13578025</v>
      </c>
      <c r="F204" s="2">
        <v>1.187E-4</v>
      </c>
      <c r="G204" s="17">
        <f>F204 * VLOOKUP('GASB Data'!A204,Check!$A$2:$F$11,6,FALSE)</f>
        <v>149916.67559999999</v>
      </c>
    </row>
    <row r="205" spans="1:7" x14ac:dyDescent="0.2">
      <c r="A205">
        <v>2015</v>
      </c>
      <c r="B205" s="3" t="s">
        <v>423</v>
      </c>
      <c r="C205" s="3" t="s">
        <v>369</v>
      </c>
      <c r="D205" s="3" t="s">
        <v>369</v>
      </c>
      <c r="E205" s="8">
        <v>5001007</v>
      </c>
      <c r="F205" s="2">
        <v>4.3699999999999998E-5</v>
      </c>
      <c r="G205" s="17">
        <f>F205 * VLOOKUP('GASB Data'!A205,Check!$A$2:$F$11,6,FALSE)</f>
        <v>55192.575599999996</v>
      </c>
    </row>
    <row r="206" spans="1:7" x14ac:dyDescent="0.2">
      <c r="A206">
        <v>2015</v>
      </c>
      <c r="B206" s="3" t="s">
        <v>424</v>
      </c>
      <c r="C206" s="3" t="s">
        <v>370</v>
      </c>
      <c r="D206" s="3" t="s">
        <v>370</v>
      </c>
      <c r="E206" s="8">
        <v>238402248</v>
      </c>
      <c r="F206" s="2">
        <v>2.0844000000000001E-3</v>
      </c>
      <c r="G206" s="17">
        <f>F206 * VLOOKUP('GASB Data'!A206,Check!$A$2:$F$11,6,FALSE)</f>
        <v>2632572.1872</v>
      </c>
    </row>
    <row r="207" spans="1:7" x14ac:dyDescent="0.2">
      <c r="A207">
        <v>2015</v>
      </c>
      <c r="B207" s="3" t="s">
        <v>425</v>
      </c>
      <c r="C207" s="3" t="s">
        <v>371</v>
      </c>
      <c r="D207" s="3" t="s">
        <v>371</v>
      </c>
      <c r="E207" s="8">
        <v>95298737</v>
      </c>
      <c r="F207" s="2">
        <v>8.3319999999999998E-4</v>
      </c>
      <c r="G207" s="17">
        <f>F207 * VLOOKUP('GASB Data'!A207,Check!$A$2:$F$11,6,FALSE)</f>
        <v>1052321.6015999999</v>
      </c>
    </row>
    <row r="208" spans="1:7" x14ac:dyDescent="0.2">
      <c r="A208">
        <v>2015</v>
      </c>
      <c r="B208" s="3" t="s">
        <v>426</v>
      </c>
      <c r="C208" s="3" t="s">
        <v>372</v>
      </c>
      <c r="D208" s="3" t="s">
        <v>372</v>
      </c>
      <c r="E208" s="8">
        <v>41237158</v>
      </c>
      <c r="F208" s="2">
        <v>3.6059999999999998E-4</v>
      </c>
      <c r="G208" s="17">
        <f>F208 * VLOOKUP('GASB Data'!A208,Check!$A$2:$F$11,6,FALSE)</f>
        <v>455433.47279999999</v>
      </c>
    </row>
    <row r="209" spans="1:7" x14ac:dyDescent="0.2">
      <c r="A209">
        <v>2015</v>
      </c>
      <c r="B209" s="3" t="s">
        <v>427</v>
      </c>
      <c r="C209" s="3" t="s">
        <v>373</v>
      </c>
      <c r="D209" s="3" t="s">
        <v>373</v>
      </c>
      <c r="E209" s="8">
        <v>1078742613</v>
      </c>
      <c r="F209" s="2">
        <v>9.4318000000000006E-3</v>
      </c>
      <c r="G209" s="17">
        <f>F209 * VLOOKUP('GASB Data'!A209,Check!$A$2:$F$11,6,FALSE)</f>
        <v>11912250.218400002</v>
      </c>
    </row>
    <row r="210" spans="1:7" x14ac:dyDescent="0.2">
      <c r="A210">
        <v>2015</v>
      </c>
      <c r="B210" s="3" t="s">
        <v>428</v>
      </c>
      <c r="C210" s="3" t="s">
        <v>374</v>
      </c>
      <c r="D210" s="3" t="s">
        <v>374</v>
      </c>
      <c r="E210" s="8">
        <v>3845460</v>
      </c>
      <c r="F210" s="2">
        <v>3.3599999999999997E-5</v>
      </c>
      <c r="G210" s="17">
        <f>F210 * VLOOKUP('GASB Data'!A210,Check!$A$2:$F$11,6,FALSE)</f>
        <v>42436.396799999995</v>
      </c>
    </row>
    <row r="211" spans="1:7" x14ac:dyDescent="0.2">
      <c r="A211">
        <v>2015</v>
      </c>
      <c r="B211" s="3" t="s">
        <v>429</v>
      </c>
      <c r="C211" s="3" t="s">
        <v>375</v>
      </c>
      <c r="D211" s="3" t="s">
        <v>375</v>
      </c>
      <c r="E211" s="8">
        <v>117654175</v>
      </c>
      <c r="F211" s="2">
        <v>1.0287E-3</v>
      </c>
      <c r="G211" s="17">
        <f>F211 * VLOOKUP('GASB Data'!A211,Check!$A$2:$F$11,6,FALSE)</f>
        <v>1299235.7556</v>
      </c>
    </row>
    <row r="212" spans="1:7" x14ac:dyDescent="0.2">
      <c r="A212">
        <v>2015</v>
      </c>
      <c r="B212" s="3" t="s">
        <v>430</v>
      </c>
      <c r="C212" s="3" t="s">
        <v>376</v>
      </c>
      <c r="D212" s="3" t="s">
        <v>376</v>
      </c>
      <c r="E212" s="8">
        <v>380450781</v>
      </c>
      <c r="F212" s="2">
        <v>3.3264000000000002E-3</v>
      </c>
      <c r="G212" s="17">
        <f>F212 * VLOOKUP('GASB Data'!A212,Check!$A$2:$F$11,6,FALSE)</f>
        <v>4201203.2832000004</v>
      </c>
    </row>
    <row r="213" spans="1:7" x14ac:dyDescent="0.2">
      <c r="A213">
        <v>2015</v>
      </c>
      <c r="B213" s="3" t="s">
        <v>431</v>
      </c>
      <c r="C213" s="3" t="s">
        <v>377</v>
      </c>
      <c r="D213" s="3" t="s">
        <v>377</v>
      </c>
      <c r="E213" s="8">
        <v>6681700</v>
      </c>
      <c r="F213" s="2">
        <v>5.8400000000000003E-5</v>
      </c>
      <c r="G213" s="17">
        <f>F213 * VLOOKUP('GASB Data'!A213,Check!$A$2:$F$11,6,FALSE)</f>
        <v>73758.499200000006</v>
      </c>
    </row>
    <row r="214" spans="1:7" x14ac:dyDescent="0.2">
      <c r="A214">
        <v>2015</v>
      </c>
      <c r="B214" s="3" t="s">
        <v>432</v>
      </c>
      <c r="C214" s="3" t="s">
        <v>378</v>
      </c>
      <c r="D214" s="3" t="s">
        <v>378</v>
      </c>
      <c r="E214" s="8">
        <v>9627411</v>
      </c>
      <c r="F214" s="2">
        <v>8.42E-5</v>
      </c>
      <c r="G214" s="17">
        <f>F214 * VLOOKUP('GASB Data'!A214,Check!$A$2:$F$11,6,FALSE)</f>
        <v>106343.58960000001</v>
      </c>
    </row>
    <row r="215" spans="1:7" x14ac:dyDescent="0.2">
      <c r="A215">
        <v>2015</v>
      </c>
      <c r="B215" s="3" t="s">
        <v>433</v>
      </c>
      <c r="C215" s="3" t="s">
        <v>379</v>
      </c>
      <c r="D215" s="3" t="s">
        <v>379</v>
      </c>
      <c r="E215" s="8">
        <v>742635886</v>
      </c>
      <c r="F215" s="2">
        <v>6.4930999999999999E-3</v>
      </c>
      <c r="G215" s="17">
        <f>F215 * VLOOKUP('GASB Data'!A215,Check!$A$2:$F$11,6,FALSE)</f>
        <v>8200707.3827999998</v>
      </c>
    </row>
    <row r="216" spans="1:7" x14ac:dyDescent="0.2">
      <c r="A216">
        <v>2015</v>
      </c>
      <c r="B216" s="3" t="s">
        <v>434</v>
      </c>
      <c r="C216" s="3" t="s">
        <v>380</v>
      </c>
      <c r="D216" s="3" t="s">
        <v>380</v>
      </c>
      <c r="E216" s="8">
        <v>72692913</v>
      </c>
      <c r="F216" s="2">
        <v>6.3560000000000005E-4</v>
      </c>
      <c r="G216" s="17">
        <f>F216 * VLOOKUP('GASB Data'!A216,Check!$A$2:$F$11,6,FALSE)</f>
        <v>802755.17280000006</v>
      </c>
    </row>
    <row r="217" spans="1:7" x14ac:dyDescent="0.2">
      <c r="A217">
        <v>2015</v>
      </c>
      <c r="B217" s="3" t="s">
        <v>435</v>
      </c>
      <c r="C217" s="3" t="s">
        <v>381</v>
      </c>
      <c r="D217" s="3" t="s">
        <v>381</v>
      </c>
      <c r="E217" s="8">
        <v>22679672</v>
      </c>
      <c r="F217" s="2">
        <v>1.983E-4</v>
      </c>
      <c r="G217" s="17">
        <f>F217 * VLOOKUP('GASB Data'!A217,Check!$A$2:$F$11,6,FALSE)</f>
        <v>250450.52040000001</v>
      </c>
    </row>
    <row r="218" spans="1:7" x14ac:dyDescent="0.2">
      <c r="A218">
        <v>2015</v>
      </c>
      <c r="B218" s="3" t="s">
        <v>490</v>
      </c>
      <c r="C218" s="3" t="s">
        <v>436</v>
      </c>
      <c r="D218" s="3" t="s">
        <v>436</v>
      </c>
      <c r="E218" s="8">
        <v>22725110</v>
      </c>
      <c r="F218" s="2">
        <v>1.9870000000000001E-4</v>
      </c>
      <c r="G218" s="17">
        <f>F218 * VLOOKUP('GASB Data'!A218,Check!$A$2:$F$11,6,FALSE)</f>
        <v>250955.7156</v>
      </c>
    </row>
    <row r="219" spans="1:7" x14ac:dyDescent="0.2">
      <c r="A219">
        <v>2015</v>
      </c>
      <c r="B219" s="3" t="s">
        <v>491</v>
      </c>
      <c r="C219" s="3" t="s">
        <v>437</v>
      </c>
      <c r="D219" s="3" t="s">
        <v>437</v>
      </c>
      <c r="E219" s="8">
        <v>248157858</v>
      </c>
      <c r="F219" s="2">
        <v>2.1697000000000001E-3</v>
      </c>
      <c r="G219" s="17">
        <f>F219 * VLOOKUP('GASB Data'!A219,Check!$A$2:$F$11,6,FALSE)</f>
        <v>2740305.0636</v>
      </c>
    </row>
    <row r="220" spans="1:7" x14ac:dyDescent="0.2">
      <c r="A220">
        <v>2015</v>
      </c>
      <c r="B220" s="3" t="s">
        <v>492</v>
      </c>
      <c r="C220" s="3" t="s">
        <v>438</v>
      </c>
      <c r="D220" s="3" t="s">
        <v>438</v>
      </c>
      <c r="E220" s="8">
        <v>62463960</v>
      </c>
      <c r="F220" s="2">
        <v>5.4609999999999999E-4</v>
      </c>
      <c r="G220" s="17">
        <f>F220 * VLOOKUP('GASB Data'!A220,Check!$A$2:$F$11,6,FALSE)</f>
        <v>689717.74679999996</v>
      </c>
    </row>
    <row r="221" spans="1:7" x14ac:dyDescent="0.2">
      <c r="A221">
        <v>2015</v>
      </c>
      <c r="B221" s="3" t="s">
        <v>493</v>
      </c>
      <c r="C221" s="3" t="s">
        <v>439</v>
      </c>
      <c r="D221" s="3" t="s">
        <v>439</v>
      </c>
      <c r="E221" s="8">
        <v>353515726</v>
      </c>
      <c r="F221" s="2">
        <v>3.0909000000000002E-3</v>
      </c>
      <c r="G221" s="17">
        <f>F221 * VLOOKUP('GASB Data'!A221,Check!$A$2:$F$11,6,FALSE)</f>
        <v>3903769.6092000003</v>
      </c>
    </row>
    <row r="222" spans="1:7" x14ac:dyDescent="0.2">
      <c r="A222">
        <v>2015</v>
      </c>
      <c r="B222" s="3" t="s">
        <v>494</v>
      </c>
      <c r="C222" s="3" t="s">
        <v>440</v>
      </c>
      <c r="D222" s="3" t="s">
        <v>440</v>
      </c>
      <c r="E222" s="8">
        <v>85086934</v>
      </c>
      <c r="F222" s="2">
        <v>7.4390000000000003E-4</v>
      </c>
      <c r="G222" s="17">
        <f>F222 * VLOOKUP('GASB Data'!A222,Check!$A$2:$F$11,6,FALSE)</f>
        <v>939536.77320000005</v>
      </c>
    </row>
    <row r="223" spans="1:7" x14ac:dyDescent="0.2">
      <c r="A223">
        <v>2015</v>
      </c>
      <c r="B223" s="3" t="s">
        <v>495</v>
      </c>
      <c r="C223" s="3" t="s">
        <v>441</v>
      </c>
      <c r="D223" s="3" t="s">
        <v>441</v>
      </c>
      <c r="E223" s="8">
        <v>210711019</v>
      </c>
      <c r="F223" s="2">
        <v>1.8423000000000001E-3</v>
      </c>
      <c r="G223" s="17">
        <f>F223 * VLOOKUP('GASB Data'!A223,Check!$A$2:$F$11,6,FALSE)</f>
        <v>2326802.7924000002</v>
      </c>
    </row>
    <row r="224" spans="1:7" x14ac:dyDescent="0.2">
      <c r="A224">
        <v>2015</v>
      </c>
      <c r="B224" s="3" t="s">
        <v>496</v>
      </c>
      <c r="C224" s="3" t="s">
        <v>442</v>
      </c>
      <c r="D224" s="3" t="s">
        <v>442</v>
      </c>
      <c r="E224" s="8">
        <v>22196846</v>
      </c>
      <c r="F224" s="2">
        <v>1.941E-4</v>
      </c>
      <c r="G224" s="17">
        <f>F224 * VLOOKUP('GASB Data'!A224,Check!$A$2:$F$11,6,FALSE)</f>
        <v>245145.97080000001</v>
      </c>
    </row>
    <row r="225" spans="1:7" x14ac:dyDescent="0.2">
      <c r="A225">
        <v>2015</v>
      </c>
      <c r="B225" s="3" t="s">
        <v>497</v>
      </c>
      <c r="C225" s="3" t="s">
        <v>443</v>
      </c>
      <c r="D225" s="3" t="s">
        <v>443</v>
      </c>
      <c r="E225" s="8">
        <v>70174079</v>
      </c>
      <c r="F225" s="2">
        <v>6.1359999999999995E-4</v>
      </c>
      <c r="G225" s="17">
        <f>F225 * VLOOKUP('GASB Data'!A225,Check!$A$2:$F$11,6,FALSE)</f>
        <v>774969.43679999991</v>
      </c>
    </row>
    <row r="226" spans="1:7" x14ac:dyDescent="0.2">
      <c r="A226">
        <v>2015</v>
      </c>
      <c r="B226" s="3" t="s">
        <v>498</v>
      </c>
      <c r="C226" s="3" t="s">
        <v>444</v>
      </c>
      <c r="D226" s="3" t="s">
        <v>444</v>
      </c>
      <c r="E226" s="8">
        <v>1053241530</v>
      </c>
      <c r="F226" s="2">
        <v>9.2087999999999996E-3</v>
      </c>
      <c r="G226" s="17">
        <f>F226 * VLOOKUP('GASB Data'!A226,Check!$A$2:$F$11,6,FALSE)</f>
        <v>11630603.894399999</v>
      </c>
    </row>
    <row r="227" spans="1:7" x14ac:dyDescent="0.2">
      <c r="A227">
        <v>2015</v>
      </c>
      <c r="B227" s="3" t="s">
        <v>499</v>
      </c>
      <c r="C227" s="3" t="s">
        <v>445</v>
      </c>
      <c r="D227" s="3" t="s">
        <v>445</v>
      </c>
      <c r="E227" s="8">
        <v>226271716</v>
      </c>
      <c r="F227" s="2">
        <v>1.9784E-3</v>
      </c>
      <c r="G227" s="17">
        <f>F227 * VLOOKUP('GASB Data'!A227,Check!$A$2:$F$11,6,FALSE)</f>
        <v>2498695.4591999999</v>
      </c>
    </row>
    <row r="228" spans="1:7" x14ac:dyDescent="0.2">
      <c r="A228">
        <v>2015</v>
      </c>
      <c r="B228" s="3" t="s">
        <v>500</v>
      </c>
      <c r="C228" s="3" t="s">
        <v>446</v>
      </c>
      <c r="D228" s="3" t="s">
        <v>446</v>
      </c>
      <c r="E228" s="8">
        <v>121871771</v>
      </c>
      <c r="F228" s="2">
        <v>1.0656000000000001E-3</v>
      </c>
      <c r="G228" s="17">
        <f>F228 * VLOOKUP('GASB Data'!A228,Check!$A$2:$F$11,6,FALSE)</f>
        <v>1345840.0128000001</v>
      </c>
    </row>
    <row r="229" spans="1:7" x14ac:dyDescent="0.2">
      <c r="A229">
        <v>2015</v>
      </c>
      <c r="B229" s="3" t="s">
        <v>501</v>
      </c>
      <c r="C229" s="3" t="s">
        <v>447</v>
      </c>
      <c r="D229" s="3" t="s">
        <v>447</v>
      </c>
      <c r="E229" s="8">
        <v>735709503</v>
      </c>
      <c r="F229" s="2">
        <v>6.4326000000000001E-3</v>
      </c>
      <c r="G229" s="17">
        <f>F229 * VLOOKUP('GASB Data'!A229,Check!$A$2:$F$11,6,FALSE)</f>
        <v>8124296.6088000005</v>
      </c>
    </row>
    <row r="230" spans="1:7" x14ac:dyDescent="0.2">
      <c r="A230">
        <v>2015</v>
      </c>
      <c r="B230" s="3" t="s">
        <v>502</v>
      </c>
      <c r="C230" s="3" t="s">
        <v>448</v>
      </c>
      <c r="D230" s="3" t="s">
        <v>448</v>
      </c>
      <c r="E230" s="8">
        <v>9430505</v>
      </c>
      <c r="F230" s="2">
        <v>8.25E-5</v>
      </c>
      <c r="G230" s="17">
        <f>F230 * VLOOKUP('GASB Data'!A230,Check!$A$2:$F$11,6,FALSE)</f>
        <v>104196.51</v>
      </c>
    </row>
    <row r="231" spans="1:7" x14ac:dyDescent="0.2">
      <c r="A231">
        <v>2015</v>
      </c>
      <c r="B231" s="3" t="s">
        <v>503</v>
      </c>
      <c r="C231" s="3" t="s">
        <v>449</v>
      </c>
      <c r="D231" s="3" t="s">
        <v>449</v>
      </c>
      <c r="E231" s="8">
        <v>84536149</v>
      </c>
      <c r="F231" s="2">
        <v>7.3910000000000002E-4</v>
      </c>
      <c r="G231" s="17">
        <f>F231 * VLOOKUP('GASB Data'!A231,Check!$A$2:$F$11,6,FALSE)</f>
        <v>933474.43079999997</v>
      </c>
    </row>
    <row r="232" spans="1:7" x14ac:dyDescent="0.2">
      <c r="A232">
        <v>2015</v>
      </c>
      <c r="B232" s="3" t="s">
        <v>504</v>
      </c>
      <c r="C232" s="3" t="s">
        <v>450</v>
      </c>
      <c r="D232" s="3" t="s">
        <v>450</v>
      </c>
      <c r="E232" s="8">
        <v>235531305</v>
      </c>
      <c r="F232" s="2">
        <v>2.0593E-3</v>
      </c>
      <c r="G232" s="17">
        <f>F232 * VLOOKUP('GASB Data'!A232,Check!$A$2:$F$11,6,FALSE)</f>
        <v>2600871.1883999999</v>
      </c>
    </row>
    <row r="233" spans="1:7" x14ac:dyDescent="0.2">
      <c r="A233">
        <v>2015</v>
      </c>
      <c r="B233" s="3" t="s">
        <v>505</v>
      </c>
      <c r="C233" s="3" t="s">
        <v>451</v>
      </c>
      <c r="D233" s="3" t="s">
        <v>451</v>
      </c>
      <c r="E233" s="8">
        <v>309267190</v>
      </c>
      <c r="F233" s="2">
        <v>2.7039999999999998E-3</v>
      </c>
      <c r="G233" s="17">
        <f>F233 * VLOOKUP('GASB Data'!A233,Check!$A$2:$F$11,6,FALSE)</f>
        <v>3415119.5519999997</v>
      </c>
    </row>
    <row r="234" spans="1:7" x14ac:dyDescent="0.2">
      <c r="A234">
        <v>2015</v>
      </c>
      <c r="B234" s="3" t="s">
        <v>506</v>
      </c>
      <c r="C234" s="3" t="s">
        <v>452</v>
      </c>
      <c r="D234" s="3" t="s">
        <v>452</v>
      </c>
      <c r="E234" s="8">
        <v>91359700</v>
      </c>
      <c r="F234" s="2">
        <v>7.9880000000000001E-4</v>
      </c>
      <c r="G234" s="17">
        <f>F234 * VLOOKUP('GASB Data'!A234,Check!$A$2:$F$11,6,FALSE)</f>
        <v>1008874.8144</v>
      </c>
    </row>
    <row r="235" spans="1:7" x14ac:dyDescent="0.2">
      <c r="A235">
        <v>2015</v>
      </c>
      <c r="B235" s="3" t="s">
        <v>507</v>
      </c>
      <c r="C235" s="3" t="s">
        <v>453</v>
      </c>
      <c r="D235" s="3" t="s">
        <v>453</v>
      </c>
      <c r="E235" s="8">
        <v>950909135</v>
      </c>
      <c r="F235" s="2">
        <v>8.3140999999999996E-3</v>
      </c>
      <c r="G235" s="17">
        <f>F235 * VLOOKUP('GASB Data'!A235,Check!$A$2:$F$11,6,FALSE)</f>
        <v>10500608.5308</v>
      </c>
    </row>
    <row r="236" spans="1:7" x14ac:dyDescent="0.2">
      <c r="A236">
        <v>2015</v>
      </c>
      <c r="B236" s="3" t="s">
        <v>508</v>
      </c>
      <c r="C236" s="3" t="s">
        <v>454</v>
      </c>
      <c r="D236" s="3" t="s">
        <v>454</v>
      </c>
      <c r="E236" s="8">
        <v>6458926</v>
      </c>
      <c r="F236" s="2">
        <v>5.6499999999999998E-5</v>
      </c>
      <c r="G236" s="17">
        <f>F236 * VLOOKUP('GASB Data'!A236,Check!$A$2:$F$11,6,FALSE)</f>
        <v>71358.822</v>
      </c>
    </row>
    <row r="237" spans="1:7" x14ac:dyDescent="0.2">
      <c r="A237">
        <v>2015</v>
      </c>
      <c r="B237" s="3" t="s">
        <v>509</v>
      </c>
      <c r="C237" s="3" t="s">
        <v>455</v>
      </c>
      <c r="D237" s="3" t="s">
        <v>455</v>
      </c>
      <c r="E237" s="8">
        <v>85389176</v>
      </c>
      <c r="F237" s="2">
        <v>7.4660000000000004E-4</v>
      </c>
      <c r="G237" s="17">
        <f>F237 * VLOOKUP('GASB Data'!A237,Check!$A$2:$F$11,6,FALSE)</f>
        <v>942946.84080000001</v>
      </c>
    </row>
    <row r="238" spans="1:7" x14ac:dyDescent="0.2">
      <c r="A238">
        <v>2015</v>
      </c>
      <c r="B238" s="3" t="s">
        <v>510</v>
      </c>
      <c r="C238" s="3" t="s">
        <v>456</v>
      </c>
      <c r="D238" s="3" t="s">
        <v>456</v>
      </c>
      <c r="E238" s="8">
        <v>544967200</v>
      </c>
      <c r="F238" s="2">
        <v>4.7647999999999996E-3</v>
      </c>
      <c r="G238" s="17">
        <f>F238 * VLOOKUP('GASB Data'!A238,Check!$A$2:$F$11,6,FALSE)</f>
        <v>6017885.2223999994</v>
      </c>
    </row>
    <row r="239" spans="1:7" x14ac:dyDescent="0.2">
      <c r="A239">
        <v>2015</v>
      </c>
      <c r="B239" s="3" t="s">
        <v>511</v>
      </c>
      <c r="C239" s="3" t="s">
        <v>457</v>
      </c>
      <c r="D239" s="3" t="s">
        <v>457</v>
      </c>
      <c r="E239" s="8">
        <v>7265286</v>
      </c>
      <c r="F239" s="2">
        <v>6.3499999999999999E-5</v>
      </c>
      <c r="G239" s="17">
        <f>F239 * VLOOKUP('GASB Data'!A239,Check!$A$2:$F$11,6,FALSE)</f>
        <v>80199.737999999998</v>
      </c>
    </row>
    <row r="240" spans="1:7" x14ac:dyDescent="0.2">
      <c r="A240">
        <v>2015</v>
      </c>
      <c r="B240" s="3" t="s">
        <v>512</v>
      </c>
      <c r="C240" s="3" t="s">
        <v>458</v>
      </c>
      <c r="D240" s="3" t="s">
        <v>458</v>
      </c>
      <c r="E240" s="8">
        <v>59562887</v>
      </c>
      <c r="F240" s="2">
        <v>5.2079999999999997E-4</v>
      </c>
      <c r="G240" s="17">
        <f>F240 * VLOOKUP('GASB Data'!A240,Check!$A$2:$F$11,6,FALSE)</f>
        <v>657764.15039999993</v>
      </c>
    </row>
    <row r="241" spans="1:7" x14ac:dyDescent="0.2">
      <c r="A241">
        <v>2015</v>
      </c>
      <c r="B241" s="3" t="s">
        <v>513</v>
      </c>
      <c r="C241" s="3" t="s">
        <v>459</v>
      </c>
      <c r="D241" s="3" t="s">
        <v>459</v>
      </c>
      <c r="E241" s="8">
        <v>814063220</v>
      </c>
      <c r="F241" s="2">
        <v>7.1176E-3</v>
      </c>
      <c r="G241" s="17">
        <f>F241 * VLOOKUP('GASB Data'!A241,Check!$A$2:$F$11,6,FALSE)</f>
        <v>8989443.3888000008</v>
      </c>
    </row>
    <row r="242" spans="1:7" x14ac:dyDescent="0.2">
      <c r="A242">
        <v>2015</v>
      </c>
      <c r="B242" s="3" t="s">
        <v>514</v>
      </c>
      <c r="C242" s="3" t="s">
        <v>460</v>
      </c>
      <c r="D242" s="3" t="s">
        <v>460</v>
      </c>
      <c r="E242" s="8">
        <v>165213603</v>
      </c>
      <c r="F242" s="2">
        <v>1.4445E-3</v>
      </c>
      <c r="G242" s="17">
        <f>F242 * VLOOKUP('GASB Data'!A242,Check!$A$2:$F$11,6,FALSE)</f>
        <v>1824386.166</v>
      </c>
    </row>
    <row r="243" spans="1:7" x14ac:dyDescent="0.2">
      <c r="A243">
        <v>2015</v>
      </c>
      <c r="B243" s="3" t="s">
        <v>515</v>
      </c>
      <c r="C243" s="3" t="s">
        <v>461</v>
      </c>
      <c r="D243" s="3" t="s">
        <v>461</v>
      </c>
      <c r="E243" s="8">
        <v>378868774</v>
      </c>
      <c r="F243" s="2">
        <v>3.3126000000000002E-3</v>
      </c>
      <c r="G243" s="17">
        <f>F243 * VLOOKUP('GASB Data'!A243,Check!$A$2:$F$11,6,FALSE)</f>
        <v>4183774.0488000005</v>
      </c>
    </row>
    <row r="244" spans="1:7" x14ac:dyDescent="0.2">
      <c r="A244">
        <v>2015</v>
      </c>
      <c r="B244" s="3" t="s">
        <v>516</v>
      </c>
      <c r="C244" s="3" t="s">
        <v>462</v>
      </c>
      <c r="D244" s="3" t="s">
        <v>462</v>
      </c>
      <c r="E244" s="8">
        <v>78409245</v>
      </c>
      <c r="F244" s="2">
        <v>6.8559999999999997E-4</v>
      </c>
      <c r="G244" s="17">
        <f>F244 * VLOOKUP('GASB Data'!A244,Check!$A$2:$F$11,6,FALSE)</f>
        <v>865904.57279999997</v>
      </c>
    </row>
    <row r="245" spans="1:7" x14ac:dyDescent="0.2">
      <c r="A245">
        <v>2015</v>
      </c>
      <c r="B245" s="3" t="s">
        <v>517</v>
      </c>
      <c r="C245" s="3" t="s">
        <v>463</v>
      </c>
      <c r="D245" s="3" t="s">
        <v>463</v>
      </c>
      <c r="E245" s="8">
        <v>376466429</v>
      </c>
      <c r="F245" s="2">
        <v>3.2916E-3</v>
      </c>
      <c r="G245" s="17">
        <f>F245 * VLOOKUP('GASB Data'!A245,Check!$A$2:$F$11,6,FALSE)</f>
        <v>4157251.3007999999</v>
      </c>
    </row>
    <row r="246" spans="1:7" x14ac:dyDescent="0.2">
      <c r="A246">
        <v>2015</v>
      </c>
      <c r="B246" s="3" t="s">
        <v>518</v>
      </c>
      <c r="C246" s="3" t="s">
        <v>464</v>
      </c>
      <c r="D246" s="3" t="s">
        <v>464</v>
      </c>
      <c r="E246" s="8">
        <v>52177541</v>
      </c>
      <c r="F246" s="2">
        <v>4.5619999999999998E-4</v>
      </c>
      <c r="G246" s="17">
        <f>F246 * VLOOKUP('GASB Data'!A246,Check!$A$2:$F$11,6,FALSE)</f>
        <v>576175.12559999991</v>
      </c>
    </row>
    <row r="247" spans="1:7" x14ac:dyDescent="0.2">
      <c r="A247">
        <v>2015</v>
      </c>
      <c r="B247" s="3" t="s">
        <v>519</v>
      </c>
      <c r="C247" s="3" t="s">
        <v>465</v>
      </c>
      <c r="D247" s="3" t="s">
        <v>465</v>
      </c>
      <c r="E247" s="8">
        <v>131359554</v>
      </c>
      <c r="F247" s="2">
        <v>1.1485E-3</v>
      </c>
      <c r="G247" s="17">
        <f>F247 * VLOOKUP('GASB Data'!A247,Check!$A$2:$F$11,6,FALSE)</f>
        <v>1450541.7180000001</v>
      </c>
    </row>
    <row r="248" spans="1:7" x14ac:dyDescent="0.2">
      <c r="A248">
        <v>2015</v>
      </c>
      <c r="B248" s="3" t="s">
        <v>520</v>
      </c>
      <c r="C248" s="3" t="s">
        <v>466</v>
      </c>
      <c r="D248" s="3" t="s">
        <v>466</v>
      </c>
      <c r="E248" s="8">
        <v>288592281</v>
      </c>
      <c r="F248" s="2">
        <v>2.5233E-3</v>
      </c>
      <c r="G248" s="17">
        <f>F248 * VLOOKUP('GASB Data'!A248,Check!$A$2:$F$11,6,FALSE)</f>
        <v>3186897.6203999999</v>
      </c>
    </row>
    <row r="249" spans="1:7" x14ac:dyDescent="0.2">
      <c r="A249">
        <v>2015</v>
      </c>
      <c r="B249" s="3" t="s">
        <v>521</v>
      </c>
      <c r="C249" s="3" t="s">
        <v>467</v>
      </c>
      <c r="D249" s="3" t="s">
        <v>467</v>
      </c>
      <c r="E249" s="8">
        <v>366552118</v>
      </c>
      <c r="F249" s="2">
        <v>3.2049000000000001E-3</v>
      </c>
      <c r="G249" s="17">
        <f>F249 * VLOOKUP('GASB Data'!A249,Check!$A$2:$F$11,6,FALSE)</f>
        <v>4047750.2412</v>
      </c>
    </row>
    <row r="250" spans="1:7" x14ac:dyDescent="0.2">
      <c r="A250">
        <v>2015</v>
      </c>
      <c r="B250" s="3" t="s">
        <v>522</v>
      </c>
      <c r="C250" s="3" t="s">
        <v>468</v>
      </c>
      <c r="D250" s="3" t="s">
        <v>468</v>
      </c>
      <c r="E250" s="8">
        <v>12419797</v>
      </c>
      <c r="F250" s="2">
        <v>1.086E-4</v>
      </c>
      <c r="G250" s="17">
        <f>F250 * VLOOKUP('GASB Data'!A250,Check!$A$2:$F$11,6,FALSE)</f>
        <v>137160.49679999999</v>
      </c>
    </row>
    <row r="251" spans="1:7" x14ac:dyDescent="0.2">
      <c r="A251">
        <v>2015</v>
      </c>
      <c r="B251" s="3" t="s">
        <v>523</v>
      </c>
      <c r="C251" s="3" t="s">
        <v>469</v>
      </c>
      <c r="D251" s="3" t="s">
        <v>469</v>
      </c>
      <c r="E251" s="8">
        <v>86613034</v>
      </c>
      <c r="F251" s="2">
        <v>7.5730000000000003E-4</v>
      </c>
      <c r="G251" s="17">
        <f>F251 * VLOOKUP('GASB Data'!A251,Check!$A$2:$F$11,6,FALSE)</f>
        <v>956460.81240000005</v>
      </c>
    </row>
    <row r="252" spans="1:7" x14ac:dyDescent="0.2">
      <c r="A252">
        <v>2015</v>
      </c>
      <c r="B252" s="3" t="s">
        <v>524</v>
      </c>
      <c r="C252" s="3" t="s">
        <v>470</v>
      </c>
      <c r="D252" s="3" t="s">
        <v>470</v>
      </c>
      <c r="E252" s="8">
        <v>294331465</v>
      </c>
      <c r="F252" s="2">
        <v>2.5734E-3</v>
      </c>
      <c r="G252" s="17">
        <f>F252 * VLOOKUP('GASB Data'!A252,Check!$A$2:$F$11,6,FALSE)</f>
        <v>3250173.3191999998</v>
      </c>
    </row>
    <row r="253" spans="1:7" x14ac:dyDescent="0.2">
      <c r="A253">
        <v>2015</v>
      </c>
      <c r="B253" s="3" t="s">
        <v>525</v>
      </c>
      <c r="C253" s="3" t="s">
        <v>471</v>
      </c>
      <c r="D253" s="3" t="s">
        <v>471</v>
      </c>
      <c r="E253" s="8">
        <v>358410908</v>
      </c>
      <c r="F253" s="2">
        <v>3.1337000000000001E-3</v>
      </c>
      <c r="G253" s="17">
        <f>F253 * VLOOKUP('GASB Data'!A253,Check!$A$2:$F$11,6,FALSE)</f>
        <v>3957825.4956</v>
      </c>
    </row>
    <row r="254" spans="1:7" x14ac:dyDescent="0.2">
      <c r="A254">
        <v>2015</v>
      </c>
      <c r="B254" s="3" t="s">
        <v>526</v>
      </c>
      <c r="C254" s="3" t="s">
        <v>472</v>
      </c>
      <c r="D254" s="3" t="s">
        <v>472</v>
      </c>
      <c r="E254" s="8">
        <v>4620888</v>
      </c>
      <c r="F254" s="2">
        <v>4.0399999999999999E-5</v>
      </c>
      <c r="G254" s="17">
        <f>F254 * VLOOKUP('GASB Data'!A254,Check!$A$2:$F$11,6,FALSE)</f>
        <v>51024.715199999999</v>
      </c>
    </row>
    <row r="255" spans="1:7" x14ac:dyDescent="0.2">
      <c r="A255">
        <v>2015</v>
      </c>
      <c r="B255" s="3" t="s">
        <v>527</v>
      </c>
      <c r="C255" s="3" t="s">
        <v>473</v>
      </c>
      <c r="D255" s="3" t="s">
        <v>473</v>
      </c>
      <c r="E255" s="8">
        <v>19639233</v>
      </c>
      <c r="F255" s="2">
        <v>1.717E-4</v>
      </c>
      <c r="G255" s="17">
        <f>F255 * VLOOKUP('GASB Data'!A255,Check!$A$2:$F$11,6,FALSE)</f>
        <v>216855.03959999999</v>
      </c>
    </row>
    <row r="256" spans="1:7" x14ac:dyDescent="0.2">
      <c r="A256">
        <v>2015</v>
      </c>
      <c r="B256" s="3" t="s">
        <v>528</v>
      </c>
      <c r="C256" s="3" t="s">
        <v>474</v>
      </c>
      <c r="D256" s="3" t="s">
        <v>474</v>
      </c>
      <c r="E256" s="8">
        <v>96476573</v>
      </c>
      <c r="F256" s="2">
        <v>8.4349999999999996E-4</v>
      </c>
      <c r="G256" s="17">
        <f>F256 * VLOOKUP('GASB Data'!A256,Check!$A$2:$F$11,6,FALSE)</f>
        <v>1065330.378</v>
      </c>
    </row>
    <row r="257" spans="1:7" x14ac:dyDescent="0.2">
      <c r="A257">
        <v>2015</v>
      </c>
      <c r="B257" s="3" t="s">
        <v>529</v>
      </c>
      <c r="C257" s="3" t="s">
        <v>475</v>
      </c>
      <c r="D257" s="3" t="s">
        <v>475</v>
      </c>
      <c r="E257" s="8">
        <v>73213907</v>
      </c>
      <c r="F257" s="2">
        <v>6.401E-4</v>
      </c>
      <c r="G257" s="17">
        <f>F257 * VLOOKUP('GASB Data'!A257,Check!$A$2:$F$11,6,FALSE)</f>
        <v>808438.61880000005</v>
      </c>
    </row>
    <row r="258" spans="1:7" x14ac:dyDescent="0.2">
      <c r="A258">
        <v>2015</v>
      </c>
      <c r="B258" s="3" t="s">
        <v>530</v>
      </c>
      <c r="C258" s="3" t="s">
        <v>476</v>
      </c>
      <c r="D258" s="3" t="s">
        <v>476</v>
      </c>
      <c r="E258" s="8">
        <v>60292754</v>
      </c>
      <c r="F258" s="2">
        <v>5.2720000000000002E-4</v>
      </c>
      <c r="G258" s="17">
        <f>F258 * VLOOKUP('GASB Data'!A258,Check!$A$2:$F$11,6,FALSE)</f>
        <v>665847.27360000007</v>
      </c>
    </row>
    <row r="259" spans="1:7" x14ac:dyDescent="0.2">
      <c r="A259">
        <v>2015</v>
      </c>
      <c r="B259" s="3" t="s">
        <v>531</v>
      </c>
      <c r="C259" s="3" t="s">
        <v>477</v>
      </c>
      <c r="D259" s="3" t="s">
        <v>477</v>
      </c>
      <c r="E259" s="8">
        <v>102733440</v>
      </c>
      <c r="F259" s="2">
        <v>8.9820000000000004E-4</v>
      </c>
      <c r="G259" s="17">
        <f>F259 * VLOOKUP('GASB Data'!A259,Check!$A$2:$F$11,6,FALSE)</f>
        <v>1134415.8216000001</v>
      </c>
    </row>
    <row r="260" spans="1:7" x14ac:dyDescent="0.2">
      <c r="A260">
        <v>2015</v>
      </c>
      <c r="B260" s="3" t="s">
        <v>532</v>
      </c>
      <c r="C260" s="3" t="s">
        <v>478</v>
      </c>
      <c r="D260" s="3" t="s">
        <v>478</v>
      </c>
      <c r="E260" s="8">
        <v>6876197</v>
      </c>
      <c r="F260" s="2">
        <v>6.0099999999999997E-5</v>
      </c>
      <c r="G260" s="17">
        <f>F260 * VLOOKUP('GASB Data'!A260,Check!$A$2:$F$11,6,FALSE)</f>
        <v>75905.578800000003</v>
      </c>
    </row>
    <row r="261" spans="1:7" x14ac:dyDescent="0.2">
      <c r="A261">
        <v>2015</v>
      </c>
      <c r="B261" s="3" t="s">
        <v>533</v>
      </c>
      <c r="C261" s="3" t="s">
        <v>479</v>
      </c>
      <c r="D261" s="3" t="s">
        <v>479</v>
      </c>
      <c r="E261" s="8">
        <v>177546862</v>
      </c>
      <c r="F261" s="2">
        <v>1.5524E-3</v>
      </c>
      <c r="G261" s="17">
        <f>F261 * VLOOKUP('GASB Data'!A261,Check!$A$2:$F$11,6,FALSE)</f>
        <v>1960662.5711999999</v>
      </c>
    </row>
    <row r="262" spans="1:7" x14ac:dyDescent="0.2">
      <c r="A262">
        <v>2015</v>
      </c>
      <c r="B262" s="3" t="s">
        <v>534</v>
      </c>
      <c r="C262" s="3" t="s">
        <v>480</v>
      </c>
      <c r="D262" s="3" t="s">
        <v>480</v>
      </c>
      <c r="E262" s="8">
        <v>10094366</v>
      </c>
      <c r="F262" s="2">
        <v>8.8300000000000005E-5</v>
      </c>
      <c r="G262" s="17">
        <f>F262 * VLOOKUP('GASB Data'!A262,Check!$A$2:$F$11,6,FALSE)</f>
        <v>111521.8404</v>
      </c>
    </row>
    <row r="263" spans="1:7" x14ac:dyDescent="0.2">
      <c r="A263">
        <v>2015</v>
      </c>
      <c r="B263" s="3" t="s">
        <v>535</v>
      </c>
      <c r="C263" s="3" t="s">
        <v>481</v>
      </c>
      <c r="D263" s="3" t="s">
        <v>481</v>
      </c>
      <c r="E263" s="8">
        <v>38035851</v>
      </c>
      <c r="F263" s="2">
        <v>3.3260000000000001E-4</v>
      </c>
      <c r="G263" s="17">
        <f>F263 * VLOOKUP('GASB Data'!A263,Check!$A$2:$F$11,6,FALSE)</f>
        <v>420069.8088</v>
      </c>
    </row>
    <row r="264" spans="1:7" x14ac:dyDescent="0.2">
      <c r="A264">
        <v>2015</v>
      </c>
      <c r="B264" s="3" t="s">
        <v>536</v>
      </c>
      <c r="C264" s="3" t="s">
        <v>482</v>
      </c>
      <c r="D264" s="3" t="s">
        <v>482</v>
      </c>
      <c r="E264" s="8">
        <v>1799122514</v>
      </c>
      <c r="F264" s="2">
        <v>1.5730299999999999E-2</v>
      </c>
      <c r="G264" s="17">
        <f>F264 * VLOOKUP('GASB Data'!A264,Check!$A$2:$F$11,6,FALSE)</f>
        <v>19867180.136399999</v>
      </c>
    </row>
    <row r="265" spans="1:7" x14ac:dyDescent="0.2">
      <c r="A265">
        <v>2015</v>
      </c>
      <c r="B265" s="3" t="s">
        <v>537</v>
      </c>
      <c r="C265" s="3" t="s">
        <v>483</v>
      </c>
      <c r="D265" s="3" t="s">
        <v>483</v>
      </c>
      <c r="E265" s="8">
        <v>286249074</v>
      </c>
      <c r="F265" s="2">
        <v>2.5027999999999999E-3</v>
      </c>
      <c r="G265" s="17">
        <f>F265 * VLOOKUP('GASB Data'!A265,Check!$A$2:$F$11,6,FALSE)</f>
        <v>3161006.3663999997</v>
      </c>
    </row>
    <row r="266" spans="1:7" x14ac:dyDescent="0.2">
      <c r="A266">
        <v>2015</v>
      </c>
      <c r="B266" s="3" t="s">
        <v>538</v>
      </c>
      <c r="C266" s="3" t="s">
        <v>484</v>
      </c>
      <c r="D266" s="3" t="s">
        <v>484</v>
      </c>
      <c r="E266" s="8">
        <v>20014831</v>
      </c>
      <c r="F266" s="2">
        <v>1.75E-4</v>
      </c>
      <c r="G266" s="17">
        <f>F266 * VLOOKUP('GASB Data'!A266,Check!$A$2:$F$11,6,FALSE)</f>
        <v>221022.9</v>
      </c>
    </row>
    <row r="267" spans="1:7" x14ac:dyDescent="0.2">
      <c r="A267">
        <v>2015</v>
      </c>
      <c r="B267" s="3" t="s">
        <v>539</v>
      </c>
      <c r="C267" s="3" t="s">
        <v>485</v>
      </c>
      <c r="D267" s="3" t="s">
        <v>485</v>
      </c>
      <c r="E267" s="8">
        <v>118655243</v>
      </c>
      <c r="F267" s="2">
        <v>1.0374E-3</v>
      </c>
      <c r="G267" s="17">
        <f>F267 * VLOOKUP('GASB Data'!A267,Check!$A$2:$F$11,6,FALSE)</f>
        <v>1310223.7512000001</v>
      </c>
    </row>
    <row r="268" spans="1:7" x14ac:dyDescent="0.2">
      <c r="A268">
        <v>2015</v>
      </c>
      <c r="B268" s="3" t="s">
        <v>540</v>
      </c>
      <c r="C268" s="3" t="s">
        <v>486</v>
      </c>
      <c r="D268" s="3" t="s">
        <v>486</v>
      </c>
      <c r="E268" s="8">
        <v>7045570845</v>
      </c>
      <c r="F268" s="2">
        <v>6.1601799999999998E-2</v>
      </c>
      <c r="G268" s="17">
        <f>F268 * VLOOKUP('GASB Data'!A268,Check!$A$2:$F$11,6,FALSE)</f>
        <v>77802334.178399995</v>
      </c>
    </row>
    <row r="269" spans="1:7" x14ac:dyDescent="0.2">
      <c r="A269">
        <v>2015</v>
      </c>
      <c r="B269" s="3" t="s">
        <v>541</v>
      </c>
      <c r="C269" s="3" t="s">
        <v>487</v>
      </c>
      <c r="D269" s="3" t="s">
        <v>487</v>
      </c>
      <c r="E269" s="8">
        <v>21714131</v>
      </c>
      <c r="F269" s="2">
        <v>1.8990000000000001E-4</v>
      </c>
      <c r="G269" s="17">
        <f>F269 * VLOOKUP('GASB Data'!A269,Check!$A$2:$F$11,6,FALSE)</f>
        <v>239841.42120000001</v>
      </c>
    </row>
    <row r="270" spans="1:7" x14ac:dyDescent="0.2">
      <c r="A270">
        <v>2015</v>
      </c>
      <c r="B270" s="3" t="s">
        <v>542</v>
      </c>
      <c r="C270" s="3" t="s">
        <v>488</v>
      </c>
      <c r="D270" s="3" t="s">
        <v>488</v>
      </c>
      <c r="E270" s="8">
        <v>13343102</v>
      </c>
      <c r="F270" s="2">
        <v>1.167E-4</v>
      </c>
      <c r="G270" s="17">
        <f>F270 * VLOOKUP('GASB Data'!A270,Check!$A$2:$F$11,6,FALSE)</f>
        <v>147390.69959999999</v>
      </c>
    </row>
    <row r="271" spans="1:7" x14ac:dyDescent="0.2">
      <c r="A271">
        <v>2015</v>
      </c>
      <c r="B271" s="3" t="s">
        <v>543</v>
      </c>
      <c r="C271" s="3" t="s">
        <v>489</v>
      </c>
      <c r="D271" s="3" t="s">
        <v>489</v>
      </c>
      <c r="E271" s="8">
        <v>559133002</v>
      </c>
      <c r="F271" s="2">
        <v>4.8887000000000002E-3</v>
      </c>
      <c r="G271" s="17">
        <f>F271 * VLOOKUP('GASB Data'!A271,Check!$A$2:$F$11,6,FALSE)</f>
        <v>6174369.4356000004</v>
      </c>
    </row>
    <row r="272" spans="1:7" x14ac:dyDescent="0.2">
      <c r="A272">
        <v>2015</v>
      </c>
      <c r="B272" s="3" t="s">
        <v>561</v>
      </c>
      <c r="C272" s="3" t="s">
        <v>544</v>
      </c>
      <c r="D272" s="3" t="s">
        <v>544</v>
      </c>
      <c r="E272" s="8">
        <v>44904455</v>
      </c>
      <c r="F272" s="2">
        <v>3.926E-4</v>
      </c>
      <c r="G272" s="17">
        <f>F272 * VLOOKUP('GASB Data'!A272,Check!$A$2:$F$11,6,FALSE)</f>
        <v>495849.08880000003</v>
      </c>
    </row>
    <row r="273" spans="1:7" x14ac:dyDescent="0.2">
      <c r="A273">
        <v>2015</v>
      </c>
      <c r="B273" s="3" t="s">
        <v>562</v>
      </c>
      <c r="C273" s="3" t="s">
        <v>545</v>
      </c>
      <c r="D273" s="3" t="s">
        <v>545</v>
      </c>
      <c r="E273" s="8">
        <v>20362024</v>
      </c>
      <c r="F273" s="2">
        <v>1.7799999999999999E-4</v>
      </c>
      <c r="G273" s="17">
        <f>F273 * VLOOKUP('GASB Data'!A273,Check!$A$2:$F$11,6,FALSE)</f>
        <v>224811.864</v>
      </c>
    </row>
    <row r="274" spans="1:7" x14ac:dyDescent="0.2">
      <c r="A274">
        <v>2015</v>
      </c>
      <c r="B274" s="3" t="s">
        <v>563</v>
      </c>
      <c r="C274" s="3" t="s">
        <v>546</v>
      </c>
      <c r="D274" s="3" t="s">
        <v>546</v>
      </c>
      <c r="E274" s="8">
        <v>108861122</v>
      </c>
      <c r="F274" s="2">
        <v>9.5180000000000004E-4</v>
      </c>
      <c r="G274" s="17">
        <f>F274 * VLOOKUP('GASB Data'!A274,Check!$A$2:$F$11,6,FALSE)</f>
        <v>1202111.9784000001</v>
      </c>
    </row>
    <row r="275" spans="1:7" x14ac:dyDescent="0.2">
      <c r="A275">
        <v>2015</v>
      </c>
      <c r="B275" s="3" t="s">
        <v>564</v>
      </c>
      <c r="C275" s="3" t="s">
        <v>547</v>
      </c>
      <c r="D275" s="3" t="s">
        <v>547</v>
      </c>
      <c r="E275" s="8">
        <v>7380653</v>
      </c>
      <c r="F275" s="2">
        <v>6.4499999999999996E-5</v>
      </c>
      <c r="G275" s="17">
        <f>F275 * VLOOKUP('GASB Data'!A275,Check!$A$2:$F$11,6,FALSE)</f>
        <v>81462.725999999995</v>
      </c>
    </row>
    <row r="276" spans="1:7" x14ac:dyDescent="0.2">
      <c r="A276">
        <v>2015</v>
      </c>
      <c r="B276" s="3" t="s">
        <v>565</v>
      </c>
      <c r="C276" s="3" t="s">
        <v>548</v>
      </c>
      <c r="D276" s="3" t="s">
        <v>548</v>
      </c>
      <c r="E276" s="8">
        <v>78352518</v>
      </c>
      <c r="F276" s="2">
        <v>6.8510000000000001E-4</v>
      </c>
      <c r="G276" s="17">
        <f>F276 * VLOOKUP('GASB Data'!A276,Check!$A$2:$F$11,6,FALSE)</f>
        <v>865273.07880000002</v>
      </c>
    </row>
    <row r="277" spans="1:7" x14ac:dyDescent="0.2">
      <c r="A277">
        <v>2015</v>
      </c>
      <c r="B277" s="3" t="s">
        <v>566</v>
      </c>
      <c r="C277" s="3" t="s">
        <v>549</v>
      </c>
      <c r="D277" s="3" t="s">
        <v>549</v>
      </c>
      <c r="E277" s="8">
        <v>19163447</v>
      </c>
      <c r="F277" s="2">
        <v>1.6760000000000001E-4</v>
      </c>
      <c r="G277" s="17">
        <f>F277 * VLOOKUP('GASB Data'!A277,Check!$A$2:$F$11,6,FALSE)</f>
        <v>211676.78880000001</v>
      </c>
    </row>
    <row r="278" spans="1:7" x14ac:dyDescent="0.2">
      <c r="A278">
        <v>2015</v>
      </c>
      <c r="B278" s="3" t="s">
        <v>567</v>
      </c>
      <c r="C278" s="3" t="s">
        <v>550</v>
      </c>
      <c r="D278" s="3" t="s">
        <v>550</v>
      </c>
      <c r="E278" s="8">
        <v>223687955</v>
      </c>
      <c r="F278" s="2">
        <v>1.9558000000000002E-3</v>
      </c>
      <c r="G278" s="17">
        <f>F278 * VLOOKUP('GASB Data'!A278,Check!$A$2:$F$11,6,FALSE)</f>
        <v>2470151.9304000004</v>
      </c>
    </row>
    <row r="279" spans="1:7" x14ac:dyDescent="0.2">
      <c r="A279">
        <v>2015</v>
      </c>
      <c r="B279" s="3" t="s">
        <v>568</v>
      </c>
      <c r="C279" s="3" t="s">
        <v>551</v>
      </c>
      <c r="D279" s="3" t="s">
        <v>551</v>
      </c>
      <c r="E279" s="8">
        <v>7685476</v>
      </c>
      <c r="F279" s="2">
        <v>6.7199999999999994E-5</v>
      </c>
      <c r="G279" s="17">
        <f>F279 * VLOOKUP('GASB Data'!A279,Check!$A$2:$F$11,6,FALSE)</f>
        <v>84872.79359999999</v>
      </c>
    </row>
    <row r="280" spans="1:7" x14ac:dyDescent="0.2">
      <c r="A280">
        <v>2015</v>
      </c>
      <c r="B280" s="3" t="s">
        <v>569</v>
      </c>
      <c r="C280" s="3" t="s">
        <v>552</v>
      </c>
      <c r="D280" s="3" t="s">
        <v>552</v>
      </c>
      <c r="E280" s="8">
        <v>741746499</v>
      </c>
      <c r="F280" s="2">
        <v>6.4853000000000003E-3</v>
      </c>
      <c r="G280" s="17">
        <f>F280 * VLOOKUP('GASB Data'!A280,Check!$A$2:$F$11,6,FALSE)</f>
        <v>8190856.0764000006</v>
      </c>
    </row>
    <row r="281" spans="1:7" x14ac:dyDescent="0.2">
      <c r="A281">
        <v>2015</v>
      </c>
      <c r="B281" s="3" t="s">
        <v>570</v>
      </c>
      <c r="C281" s="3" t="s">
        <v>553</v>
      </c>
      <c r="D281" s="3" t="s">
        <v>553</v>
      </c>
      <c r="E281" s="8">
        <v>109251896</v>
      </c>
      <c r="F281" s="2">
        <v>9.5520000000000002E-4</v>
      </c>
      <c r="G281" s="17">
        <f>F281 * VLOOKUP('GASB Data'!A281,Check!$A$2:$F$11,6,FALSE)</f>
        <v>1206406.1376</v>
      </c>
    </row>
    <row r="282" spans="1:7" x14ac:dyDescent="0.2">
      <c r="A282">
        <v>2015</v>
      </c>
      <c r="B282" s="3" t="s">
        <v>571</v>
      </c>
      <c r="C282" s="3" t="s">
        <v>554</v>
      </c>
      <c r="D282" s="3" t="s">
        <v>554</v>
      </c>
      <c r="E282" s="8">
        <v>451667226</v>
      </c>
      <c r="F282" s="2">
        <v>3.9490999999999997E-3</v>
      </c>
      <c r="G282" s="17">
        <f>F282 * VLOOKUP('GASB Data'!A282,Check!$A$2:$F$11,6,FALSE)</f>
        <v>4987665.9107999997</v>
      </c>
    </row>
    <row r="283" spans="1:7" x14ac:dyDescent="0.2">
      <c r="A283">
        <v>2015</v>
      </c>
      <c r="B283" s="3" t="s">
        <v>572</v>
      </c>
      <c r="C283" s="3" t="s">
        <v>555</v>
      </c>
      <c r="D283" s="3" t="s">
        <v>555</v>
      </c>
      <c r="E283" s="8">
        <v>9917620</v>
      </c>
      <c r="F283" s="2">
        <v>8.6700000000000007E-5</v>
      </c>
      <c r="G283" s="17">
        <f>F283 * VLOOKUP('GASB Data'!A283,Check!$A$2:$F$11,6,FALSE)</f>
        <v>109501.05960000001</v>
      </c>
    </row>
    <row r="284" spans="1:7" x14ac:dyDescent="0.2">
      <c r="A284">
        <v>2015</v>
      </c>
      <c r="B284" s="3" t="s">
        <v>573</v>
      </c>
      <c r="C284" s="3" t="s">
        <v>556</v>
      </c>
      <c r="D284" s="3" t="s">
        <v>556</v>
      </c>
      <c r="E284" s="8">
        <v>104557191</v>
      </c>
      <c r="F284" s="2">
        <v>9.142E-4</v>
      </c>
      <c r="G284" s="17">
        <f>F284 * VLOOKUP('GASB Data'!A284,Check!$A$2:$F$11,6,FALSE)</f>
        <v>1154623.6296000001</v>
      </c>
    </row>
    <row r="285" spans="1:7" x14ac:dyDescent="0.2">
      <c r="A285">
        <v>2015</v>
      </c>
      <c r="B285" s="3" t="s">
        <v>574</v>
      </c>
      <c r="C285" s="3" t="s">
        <v>557</v>
      </c>
      <c r="D285" s="3" t="s">
        <v>557</v>
      </c>
      <c r="E285" s="8">
        <v>500166789</v>
      </c>
      <c r="F285" s="2">
        <v>4.3731000000000004E-3</v>
      </c>
      <c r="G285" s="17">
        <f>F285 * VLOOKUP('GASB Data'!A285,Check!$A$2:$F$11,6,FALSE)</f>
        <v>5523172.8228000002</v>
      </c>
    </row>
    <row r="286" spans="1:7" x14ac:dyDescent="0.2">
      <c r="A286">
        <v>2015</v>
      </c>
      <c r="B286" s="3" t="s">
        <v>575</v>
      </c>
      <c r="C286" s="3" t="s">
        <v>558</v>
      </c>
      <c r="D286" s="3" t="s">
        <v>558</v>
      </c>
      <c r="E286" s="8">
        <v>55965273</v>
      </c>
      <c r="F286" s="2">
        <v>4.8930000000000002E-4</v>
      </c>
      <c r="G286" s="17">
        <f>F286 * VLOOKUP('GASB Data'!A286,Check!$A$2:$F$11,6,FALSE)</f>
        <v>617980.02840000007</v>
      </c>
    </row>
    <row r="287" spans="1:7" x14ac:dyDescent="0.2">
      <c r="A287">
        <v>2015</v>
      </c>
      <c r="B287" s="3" t="s">
        <v>576</v>
      </c>
      <c r="C287" s="3" t="s">
        <v>559</v>
      </c>
      <c r="D287" s="3" t="s">
        <v>559</v>
      </c>
      <c r="E287" s="8">
        <v>246645688</v>
      </c>
      <c r="F287" s="2">
        <v>2.1565E-3</v>
      </c>
      <c r="G287" s="17">
        <f>F287 * VLOOKUP('GASB Data'!A287,Check!$A$2:$F$11,6,FALSE)</f>
        <v>2723633.622</v>
      </c>
    </row>
    <row r="288" spans="1:7" x14ac:dyDescent="0.2">
      <c r="A288">
        <v>2015</v>
      </c>
      <c r="B288" s="3" t="s">
        <v>577</v>
      </c>
      <c r="C288" s="3" t="s">
        <v>560</v>
      </c>
      <c r="D288" s="3" t="s">
        <v>560</v>
      </c>
      <c r="E288" s="8">
        <v>4110518545</v>
      </c>
      <c r="F288" s="2">
        <v>3.5939600000000002E-2</v>
      </c>
      <c r="G288" s="17">
        <f>F288 * VLOOKUP('GASB Data'!A288,Check!$A$2:$F$11,6,FALSE)</f>
        <v>45391283.524800003</v>
      </c>
    </row>
    <row r="289" spans="1:7" x14ac:dyDescent="0.2">
      <c r="A289">
        <v>2016</v>
      </c>
      <c r="B289" s="3" t="s">
        <v>58</v>
      </c>
      <c r="C289" s="3" t="s">
        <v>578</v>
      </c>
      <c r="D289" s="3" t="s">
        <v>578</v>
      </c>
      <c r="E289" s="8">
        <v>119702337</v>
      </c>
      <c r="F289" s="2">
        <v>1.1054000000000001E-3</v>
      </c>
      <c r="G289" s="17">
        <f>F289 * VLOOKUP('GASB Data'!A289,Check!$A$2:$F$11,6,FALSE)</f>
        <v>1409388.3162</v>
      </c>
    </row>
    <row r="290" spans="1:7" x14ac:dyDescent="0.2">
      <c r="A290">
        <v>2016</v>
      </c>
      <c r="B290" s="3" t="s">
        <v>59</v>
      </c>
      <c r="C290" s="3" t="s">
        <v>579</v>
      </c>
      <c r="D290" s="3" t="s">
        <v>579</v>
      </c>
      <c r="E290" s="8">
        <v>351947522</v>
      </c>
      <c r="F290" s="2">
        <v>3.2499999999999999E-3</v>
      </c>
      <c r="G290" s="17">
        <f>F290 * VLOOKUP('GASB Data'!A290,Check!$A$2:$F$11,6,FALSE)</f>
        <v>4143759.75</v>
      </c>
    </row>
    <row r="291" spans="1:7" x14ac:dyDescent="0.2">
      <c r="A291">
        <v>2016</v>
      </c>
      <c r="B291" s="3" t="s">
        <v>60</v>
      </c>
      <c r="C291" s="3" t="s">
        <v>580</v>
      </c>
      <c r="D291" s="3" t="s">
        <v>580</v>
      </c>
      <c r="E291" s="8">
        <v>78988831</v>
      </c>
      <c r="F291" s="2">
        <v>7.2939999999999995E-4</v>
      </c>
      <c r="G291" s="17">
        <f>F291 * VLOOKUP('GASB Data'!A291,Check!$A$2:$F$11,6,FALSE)</f>
        <v>929987.18819999998</v>
      </c>
    </row>
    <row r="292" spans="1:7" x14ac:dyDescent="0.2">
      <c r="A292">
        <v>2016</v>
      </c>
      <c r="B292" s="3" t="s">
        <v>61</v>
      </c>
      <c r="C292" s="3" t="s">
        <v>581</v>
      </c>
      <c r="D292" s="3" t="s">
        <v>581</v>
      </c>
      <c r="E292" s="8">
        <v>490607426</v>
      </c>
      <c r="F292" s="2">
        <v>4.5304999999999998E-3</v>
      </c>
      <c r="G292" s="17">
        <f>F292 * VLOOKUP('GASB Data'!A292,Check!$A$2:$F$11,6,FALSE)</f>
        <v>5776401.0915000001</v>
      </c>
    </row>
    <row r="293" spans="1:7" x14ac:dyDescent="0.2">
      <c r="A293">
        <v>2016</v>
      </c>
      <c r="B293" s="3" t="s">
        <v>62</v>
      </c>
      <c r="C293" s="3" t="s">
        <v>582</v>
      </c>
      <c r="D293" s="3" t="s">
        <v>582</v>
      </c>
      <c r="E293" s="8">
        <v>2073371663</v>
      </c>
      <c r="F293" s="2">
        <v>1.9146300000000002E-2</v>
      </c>
      <c r="G293" s="17">
        <f>F293 * VLOOKUP('GASB Data'!A293,Check!$A$2:$F$11,6,FALSE)</f>
        <v>24411589.938900001</v>
      </c>
    </row>
    <row r="294" spans="1:7" x14ac:dyDescent="0.2">
      <c r="A294">
        <v>2016</v>
      </c>
      <c r="B294" s="3" t="s">
        <v>63</v>
      </c>
      <c r="C294" s="3" t="s">
        <v>583</v>
      </c>
      <c r="D294" s="3" t="s">
        <v>583</v>
      </c>
      <c r="E294" s="8">
        <v>14973694</v>
      </c>
      <c r="F294" s="2">
        <v>1.383E-4</v>
      </c>
      <c r="G294" s="17">
        <f>F294 * VLOOKUP('GASB Data'!A294,Check!$A$2:$F$11,6,FALSE)</f>
        <v>176332.9149</v>
      </c>
    </row>
    <row r="295" spans="1:7" x14ac:dyDescent="0.2">
      <c r="A295">
        <v>2016</v>
      </c>
      <c r="B295" s="3" t="s">
        <v>64</v>
      </c>
      <c r="C295" s="3" t="s">
        <v>584</v>
      </c>
      <c r="D295" s="3" t="s">
        <v>584</v>
      </c>
      <c r="E295" s="8">
        <v>206645328</v>
      </c>
      <c r="F295" s="2">
        <v>1.9082000000000001E-3</v>
      </c>
      <c r="G295" s="17">
        <f>F295 * VLOOKUP('GASB Data'!A295,Check!$A$2:$F$11,6,FALSE)</f>
        <v>2432960.7246000003</v>
      </c>
    </row>
    <row r="296" spans="1:7" x14ac:dyDescent="0.2">
      <c r="A296">
        <v>2016</v>
      </c>
      <c r="B296" s="3" t="s">
        <v>65</v>
      </c>
      <c r="C296" s="3" t="s">
        <v>585</v>
      </c>
      <c r="D296" s="3" t="s">
        <v>585</v>
      </c>
      <c r="E296" s="8">
        <v>29157037</v>
      </c>
      <c r="F296" s="2">
        <v>2.6919999999999998E-4</v>
      </c>
      <c r="G296" s="17">
        <f>F296 * VLOOKUP('GASB Data'!A296,Check!$A$2:$F$11,6,FALSE)</f>
        <v>343230.8076</v>
      </c>
    </row>
    <row r="297" spans="1:7" x14ac:dyDescent="0.2">
      <c r="A297">
        <v>2016</v>
      </c>
      <c r="B297" s="3" t="s">
        <v>66</v>
      </c>
      <c r="C297" s="3" t="s">
        <v>586</v>
      </c>
      <c r="D297" s="3" t="s">
        <v>586</v>
      </c>
      <c r="E297" s="8">
        <v>275364539</v>
      </c>
      <c r="F297" s="2">
        <v>2.5428E-3</v>
      </c>
      <c r="G297" s="17">
        <f>F297 * VLOOKUP('GASB Data'!A297,Check!$A$2:$F$11,6,FALSE)</f>
        <v>3242077.6283999998</v>
      </c>
    </row>
    <row r="298" spans="1:7" x14ac:dyDescent="0.2">
      <c r="A298">
        <v>2016</v>
      </c>
      <c r="B298" s="3" t="s">
        <v>67</v>
      </c>
      <c r="C298" s="3" t="s">
        <v>587</v>
      </c>
      <c r="D298" s="3" t="s">
        <v>587</v>
      </c>
      <c r="E298" s="8">
        <v>75733002</v>
      </c>
      <c r="F298" s="2">
        <v>6.9930000000000003E-4</v>
      </c>
      <c r="G298" s="17">
        <f>F298 * VLOOKUP('GASB Data'!A298,Check!$A$2:$F$11,6,FALSE)</f>
        <v>891609.59790000005</v>
      </c>
    </row>
    <row r="299" spans="1:7" x14ac:dyDescent="0.2">
      <c r="A299">
        <v>2016</v>
      </c>
      <c r="B299" s="3" t="s">
        <v>68</v>
      </c>
      <c r="C299" s="3" t="s">
        <v>588</v>
      </c>
      <c r="D299" s="3" t="s">
        <v>588</v>
      </c>
      <c r="E299" s="8">
        <v>73798313</v>
      </c>
      <c r="F299" s="2">
        <v>6.8150000000000003E-4</v>
      </c>
      <c r="G299" s="17">
        <f>F299 * VLOOKUP('GASB Data'!A299,Check!$A$2:$F$11,6,FALSE)</f>
        <v>868914.54450000008</v>
      </c>
    </row>
    <row r="300" spans="1:7" x14ac:dyDescent="0.2">
      <c r="A300">
        <v>2016</v>
      </c>
      <c r="B300" s="3" t="s">
        <v>69</v>
      </c>
      <c r="C300" s="3" t="s">
        <v>589</v>
      </c>
      <c r="D300" s="3" t="s">
        <v>589</v>
      </c>
      <c r="E300" s="8">
        <v>568753737</v>
      </c>
      <c r="F300" s="2">
        <v>5.2521E-3</v>
      </c>
      <c r="G300" s="17">
        <f>F300 * VLOOKUP('GASB Data'!A300,Check!$A$2:$F$11,6,FALSE)</f>
        <v>6696443.2562999995</v>
      </c>
    </row>
    <row r="301" spans="1:7" x14ac:dyDescent="0.2">
      <c r="A301">
        <v>2016</v>
      </c>
      <c r="B301" s="3" t="s">
        <v>70</v>
      </c>
      <c r="C301" s="3" t="s">
        <v>590</v>
      </c>
      <c r="D301" s="3" t="s">
        <v>590</v>
      </c>
      <c r="E301" s="8">
        <v>54268505</v>
      </c>
      <c r="F301" s="2">
        <v>5.0109999999999998E-4</v>
      </c>
      <c r="G301" s="17">
        <f>F301 * VLOOKUP('GASB Data'!A301,Check!$A$2:$F$11,6,FALSE)</f>
        <v>638904.00329999998</v>
      </c>
    </row>
    <row r="302" spans="1:7" x14ac:dyDescent="0.2">
      <c r="A302">
        <v>2016</v>
      </c>
      <c r="B302" s="3" t="s">
        <v>71</v>
      </c>
      <c r="C302" s="3" t="s">
        <v>591</v>
      </c>
      <c r="D302" s="3" t="s">
        <v>591</v>
      </c>
      <c r="E302" s="8">
        <v>228511545</v>
      </c>
      <c r="F302" s="2">
        <v>2.1102E-3</v>
      </c>
      <c r="G302" s="17">
        <f>F302 * VLOOKUP('GASB Data'!A302,Check!$A$2:$F$11,6,FALSE)</f>
        <v>2690511.3306</v>
      </c>
    </row>
    <row r="303" spans="1:7" x14ac:dyDescent="0.2">
      <c r="A303">
        <v>2016</v>
      </c>
      <c r="B303" s="3" t="s">
        <v>72</v>
      </c>
      <c r="C303" s="3" t="s">
        <v>592</v>
      </c>
      <c r="D303" s="3" t="s">
        <v>592</v>
      </c>
      <c r="E303" s="8">
        <v>26751822</v>
      </c>
      <c r="F303" s="2">
        <v>2.4699999999999999E-4</v>
      </c>
      <c r="G303" s="17">
        <f>F303 * VLOOKUP('GASB Data'!A303,Check!$A$2:$F$11,6,FALSE)</f>
        <v>314925.74099999998</v>
      </c>
    </row>
    <row r="304" spans="1:7" x14ac:dyDescent="0.2">
      <c r="A304">
        <v>2016</v>
      </c>
      <c r="B304" s="3" t="s">
        <v>73</v>
      </c>
      <c r="C304" s="3" t="s">
        <v>593</v>
      </c>
      <c r="D304" s="3" t="s">
        <v>593</v>
      </c>
      <c r="E304" s="8">
        <v>28629775</v>
      </c>
      <c r="F304" s="2">
        <v>2.6439999999999998E-4</v>
      </c>
      <c r="G304" s="17">
        <f>F304 * VLOOKUP('GASB Data'!A304,Check!$A$2:$F$11,6,FALSE)</f>
        <v>337110.79319999996</v>
      </c>
    </row>
    <row r="305" spans="1:7" x14ac:dyDescent="0.2">
      <c r="A305">
        <v>2016</v>
      </c>
      <c r="B305" s="3" t="s">
        <v>74</v>
      </c>
      <c r="C305" s="3" t="s">
        <v>594</v>
      </c>
      <c r="D305" s="3" t="s">
        <v>594</v>
      </c>
      <c r="E305" s="8">
        <v>4354469</v>
      </c>
      <c r="F305" s="2">
        <v>4.0200000000000001E-5</v>
      </c>
      <c r="G305" s="17">
        <f>F305 * VLOOKUP('GASB Data'!A305,Check!$A$2:$F$11,6,FALSE)</f>
        <v>51255.120600000002</v>
      </c>
    </row>
    <row r="306" spans="1:7" x14ac:dyDescent="0.2">
      <c r="A306">
        <v>2016</v>
      </c>
      <c r="B306" s="3" t="s">
        <v>75</v>
      </c>
      <c r="C306" s="3" t="s">
        <v>595</v>
      </c>
      <c r="D306" s="3" t="s">
        <v>595</v>
      </c>
      <c r="E306" s="8">
        <v>204033682</v>
      </c>
      <c r="F306" s="2">
        <v>1.8841000000000001E-3</v>
      </c>
      <c r="G306" s="17">
        <f>F306 * VLOOKUP('GASB Data'!A306,Check!$A$2:$F$11,6,FALSE)</f>
        <v>2402233.1523000002</v>
      </c>
    </row>
    <row r="307" spans="1:7" x14ac:dyDescent="0.2">
      <c r="A307">
        <v>2016</v>
      </c>
      <c r="B307" s="3" t="s">
        <v>76</v>
      </c>
      <c r="C307" s="3" t="s">
        <v>596</v>
      </c>
      <c r="D307" s="3" t="s">
        <v>596</v>
      </c>
      <c r="E307" s="8">
        <v>5164589826</v>
      </c>
      <c r="F307" s="2">
        <v>4.7691699999999997E-2</v>
      </c>
      <c r="G307" s="17">
        <f>F307 * VLOOKUP('GASB Data'!A307,Check!$A$2:$F$11,6,FALSE)</f>
        <v>60807060.575099997</v>
      </c>
    </row>
    <row r="308" spans="1:7" x14ac:dyDescent="0.2">
      <c r="A308">
        <v>2016</v>
      </c>
      <c r="B308" s="3" t="s">
        <v>77</v>
      </c>
      <c r="C308" s="3" t="s">
        <v>597</v>
      </c>
      <c r="D308" s="3" t="s">
        <v>597</v>
      </c>
      <c r="E308" s="8">
        <v>587786997</v>
      </c>
      <c r="F308" s="2">
        <v>5.4278E-3</v>
      </c>
      <c r="G308" s="17">
        <f>F308 * VLOOKUP('GASB Data'!A308,Check!$A$2:$F$11,6,FALSE)</f>
        <v>6920461.2834000001</v>
      </c>
    </row>
    <row r="309" spans="1:7" x14ac:dyDescent="0.2">
      <c r="A309">
        <v>2016</v>
      </c>
      <c r="B309" s="3" t="s">
        <v>78</v>
      </c>
      <c r="C309" s="3" t="s">
        <v>598</v>
      </c>
      <c r="D309" s="3" t="s">
        <v>598</v>
      </c>
      <c r="E309" s="8">
        <v>161158085</v>
      </c>
      <c r="F309" s="2">
        <v>1.4882000000000001E-3</v>
      </c>
      <c r="G309" s="17">
        <f>F309 * VLOOKUP('GASB Data'!A309,Check!$A$2:$F$11,6,FALSE)</f>
        <v>1897459.4646000001</v>
      </c>
    </row>
    <row r="310" spans="1:7" x14ac:dyDescent="0.2">
      <c r="A310">
        <v>2016</v>
      </c>
      <c r="B310" s="3" t="s">
        <v>79</v>
      </c>
      <c r="C310" s="3" t="s">
        <v>599</v>
      </c>
      <c r="D310" s="3" t="s">
        <v>599</v>
      </c>
      <c r="E310" s="8">
        <v>123937806</v>
      </c>
      <c r="F310" s="2">
        <v>1.1444999999999999E-3</v>
      </c>
      <c r="G310" s="17">
        <f>F310 * VLOOKUP('GASB Data'!A310,Check!$A$2:$F$11,6,FALSE)</f>
        <v>1459240.9334999998</v>
      </c>
    </row>
    <row r="311" spans="1:7" x14ac:dyDescent="0.2">
      <c r="A311">
        <v>2016</v>
      </c>
      <c r="B311" s="3" t="s">
        <v>80</v>
      </c>
      <c r="C311" s="3" t="s">
        <v>600</v>
      </c>
      <c r="D311" s="3" t="s">
        <v>600</v>
      </c>
      <c r="E311" s="8">
        <v>472742194</v>
      </c>
      <c r="F311" s="2">
        <v>4.3654999999999996E-3</v>
      </c>
      <c r="G311" s="17">
        <f>F311 * VLOOKUP('GASB Data'!A311,Check!$A$2:$F$11,6,FALSE)</f>
        <v>5566025.5964999991</v>
      </c>
    </row>
    <row r="312" spans="1:7" x14ac:dyDescent="0.2">
      <c r="A312">
        <v>2016</v>
      </c>
      <c r="B312" s="3" t="s">
        <v>81</v>
      </c>
      <c r="C312" s="3" t="s">
        <v>601</v>
      </c>
      <c r="D312" s="3" t="s">
        <v>601</v>
      </c>
      <c r="E312" s="8">
        <v>55884745</v>
      </c>
      <c r="F312" s="2">
        <v>5.1610000000000002E-4</v>
      </c>
      <c r="G312" s="17">
        <f>F312 * VLOOKUP('GASB Data'!A312,Check!$A$2:$F$11,6,FALSE)</f>
        <v>658029.04830000002</v>
      </c>
    </row>
    <row r="313" spans="1:7" x14ac:dyDescent="0.2">
      <c r="A313">
        <v>2016</v>
      </c>
      <c r="B313" s="3" t="s">
        <v>82</v>
      </c>
      <c r="C313" s="3" t="s">
        <v>602</v>
      </c>
      <c r="D313" s="3" t="s">
        <v>602</v>
      </c>
      <c r="E313" s="8">
        <v>162297575</v>
      </c>
      <c r="F313" s="2">
        <v>1.4986999999999999E-3</v>
      </c>
      <c r="G313" s="17">
        <f>F313 * VLOOKUP('GASB Data'!A313,Check!$A$2:$F$11,6,FALSE)</f>
        <v>1910846.9960999999</v>
      </c>
    </row>
    <row r="314" spans="1:7" x14ac:dyDescent="0.2">
      <c r="A314">
        <v>2016</v>
      </c>
      <c r="B314" s="3" t="s">
        <v>632</v>
      </c>
      <c r="C314" s="3" t="s">
        <v>603</v>
      </c>
      <c r="D314" s="3" t="s">
        <v>603</v>
      </c>
      <c r="E314" s="8">
        <v>18343280</v>
      </c>
      <c r="F314" s="2">
        <v>1.694E-4</v>
      </c>
      <c r="G314" s="17">
        <f>F314 * VLOOKUP('GASB Data'!A314,Check!$A$2:$F$11,6,FALSE)</f>
        <v>215985.50820000001</v>
      </c>
    </row>
    <row r="315" spans="1:7" x14ac:dyDescent="0.2">
      <c r="A315">
        <v>2016</v>
      </c>
      <c r="B315" s="3" t="s">
        <v>83</v>
      </c>
      <c r="C315" s="3" t="s">
        <v>604</v>
      </c>
      <c r="D315" s="3" t="s">
        <v>604</v>
      </c>
      <c r="E315" s="8">
        <v>606505085</v>
      </c>
      <c r="F315" s="2">
        <v>5.6007000000000001E-3</v>
      </c>
      <c r="G315" s="17">
        <f>F315 * VLOOKUP('GASB Data'!A315,Check!$A$2:$F$11,6,FALSE)</f>
        <v>7140909.3021</v>
      </c>
    </row>
    <row r="316" spans="1:7" x14ac:dyDescent="0.2">
      <c r="A316">
        <v>2016</v>
      </c>
      <c r="B316" s="3" t="s">
        <v>84</v>
      </c>
      <c r="C316" s="3" t="s">
        <v>605</v>
      </c>
      <c r="D316" s="3" t="s">
        <v>605</v>
      </c>
      <c r="E316" s="8">
        <v>2370330</v>
      </c>
      <c r="F316" s="2">
        <v>2.19E-5</v>
      </c>
      <c r="G316" s="17">
        <f>F316 * VLOOKUP('GASB Data'!A316,Check!$A$2:$F$11,6,FALSE)</f>
        <v>27922.565699999999</v>
      </c>
    </row>
    <row r="317" spans="1:7" x14ac:dyDescent="0.2">
      <c r="A317">
        <v>2016</v>
      </c>
      <c r="B317" s="3" t="s">
        <v>85</v>
      </c>
      <c r="C317" s="3" t="s">
        <v>606</v>
      </c>
      <c r="D317" s="3" t="s">
        <v>606</v>
      </c>
      <c r="E317" s="8">
        <v>566584</v>
      </c>
      <c r="F317" s="2">
        <v>5.2000000000000002E-6</v>
      </c>
      <c r="G317" s="17">
        <f>F317 * VLOOKUP('GASB Data'!A317,Check!$A$2:$F$11,6,FALSE)</f>
        <v>6630.0156000000006</v>
      </c>
    </row>
    <row r="318" spans="1:7" x14ac:dyDescent="0.2">
      <c r="A318">
        <v>2016</v>
      </c>
      <c r="B318" s="3" t="s">
        <v>86</v>
      </c>
      <c r="C318" s="3" t="s">
        <v>607</v>
      </c>
      <c r="D318" s="3" t="s">
        <v>607</v>
      </c>
      <c r="E318" s="8">
        <v>840387</v>
      </c>
      <c r="F318" s="2">
        <v>7.7999999999999999E-6</v>
      </c>
      <c r="G318" s="17">
        <f>F318 * VLOOKUP('GASB Data'!A318,Check!$A$2:$F$11,6,FALSE)</f>
        <v>9945.0234</v>
      </c>
    </row>
    <row r="319" spans="1:7" x14ac:dyDescent="0.2">
      <c r="A319">
        <v>2016</v>
      </c>
      <c r="B319" s="3" t="s">
        <v>87</v>
      </c>
      <c r="C319" s="3" t="s">
        <v>608</v>
      </c>
      <c r="D319" s="3" t="s">
        <v>608</v>
      </c>
      <c r="E319" s="8">
        <v>1673868</v>
      </c>
      <c r="F319" s="2">
        <v>1.5500000000000001E-5</v>
      </c>
      <c r="G319" s="17">
        <f>F319 * VLOOKUP('GASB Data'!A319,Check!$A$2:$F$11,6,FALSE)</f>
        <v>19762.5465</v>
      </c>
    </row>
    <row r="320" spans="1:7" x14ac:dyDescent="0.2">
      <c r="A320">
        <v>2016</v>
      </c>
      <c r="B320" s="3" t="s">
        <v>88</v>
      </c>
      <c r="C320" s="3" t="s">
        <v>609</v>
      </c>
      <c r="D320" s="3" t="s">
        <v>609</v>
      </c>
      <c r="E320" s="8">
        <v>83495477</v>
      </c>
      <c r="F320" s="2">
        <v>7.7099999999999998E-4</v>
      </c>
      <c r="G320" s="17">
        <f>F320 * VLOOKUP('GASB Data'!A320,Check!$A$2:$F$11,6,FALSE)</f>
        <v>983027.31299999997</v>
      </c>
    </row>
    <row r="321" spans="1:7" x14ac:dyDescent="0.2">
      <c r="A321">
        <v>2016</v>
      </c>
      <c r="B321" s="3" t="s">
        <v>89</v>
      </c>
      <c r="C321" s="3" t="s">
        <v>610</v>
      </c>
      <c r="D321" s="3" t="s">
        <v>610</v>
      </c>
      <c r="E321" s="8">
        <v>7478966338</v>
      </c>
      <c r="F321" s="2">
        <v>6.9063399999999997E-2</v>
      </c>
      <c r="G321" s="17">
        <f>F321 * VLOOKUP('GASB Data'!A321,Check!$A$2:$F$11,6,FALSE)</f>
        <v>88056042.190200001</v>
      </c>
    </row>
    <row r="322" spans="1:7" x14ac:dyDescent="0.2">
      <c r="A322">
        <v>2016</v>
      </c>
      <c r="B322" s="3" t="s">
        <v>90</v>
      </c>
      <c r="C322" s="3" t="s">
        <v>611</v>
      </c>
      <c r="D322" s="3" t="s">
        <v>611</v>
      </c>
      <c r="E322" s="8">
        <v>649588841</v>
      </c>
      <c r="F322" s="2">
        <v>5.9985000000000004E-3</v>
      </c>
      <c r="G322" s="17">
        <f>F322 * VLOOKUP('GASB Data'!A322,Check!$A$2:$F$11,6,FALSE)</f>
        <v>7648105.4955000002</v>
      </c>
    </row>
    <row r="323" spans="1:7" x14ac:dyDescent="0.2">
      <c r="A323">
        <v>2016</v>
      </c>
      <c r="B323" s="3" t="s">
        <v>91</v>
      </c>
      <c r="C323" s="3" t="s">
        <v>612</v>
      </c>
      <c r="D323" s="3" t="s">
        <v>612</v>
      </c>
      <c r="E323" s="8">
        <v>89804595</v>
      </c>
      <c r="F323" s="2">
        <v>8.2930000000000005E-4</v>
      </c>
      <c r="G323" s="17">
        <f>F323 * VLOOKUP('GASB Data'!A323,Check!$A$2:$F$11,6,FALSE)</f>
        <v>1057359.9879000001</v>
      </c>
    </row>
    <row r="324" spans="1:7" x14ac:dyDescent="0.2">
      <c r="A324">
        <v>2016</v>
      </c>
      <c r="B324" s="3" t="s">
        <v>92</v>
      </c>
      <c r="C324" s="3" t="s">
        <v>613</v>
      </c>
      <c r="D324" s="3" t="s">
        <v>613</v>
      </c>
      <c r="E324" s="8">
        <v>1445688221</v>
      </c>
      <c r="F324" s="2">
        <v>1.3350000000000001E-2</v>
      </c>
      <c r="G324" s="17">
        <f>F324 * VLOOKUP('GASB Data'!A324,Check!$A$2:$F$11,6,FALSE)</f>
        <v>17021290.050000001</v>
      </c>
    </row>
    <row r="325" spans="1:7" x14ac:dyDescent="0.2">
      <c r="A325">
        <v>2016</v>
      </c>
      <c r="B325" s="3" t="s">
        <v>93</v>
      </c>
      <c r="C325" s="3" t="s">
        <v>614</v>
      </c>
      <c r="D325" s="3" t="s">
        <v>614</v>
      </c>
      <c r="E325" s="8">
        <v>116519759</v>
      </c>
      <c r="F325" s="2">
        <v>1.0759999999999999E-3</v>
      </c>
      <c r="G325" s="17">
        <f>F325 * VLOOKUP('GASB Data'!A325,Check!$A$2:$F$11,6,FALSE)</f>
        <v>1371903.2279999999</v>
      </c>
    </row>
    <row r="326" spans="1:7" x14ac:dyDescent="0.2">
      <c r="A326">
        <v>2016</v>
      </c>
      <c r="B326" s="3" t="s">
        <v>94</v>
      </c>
      <c r="C326" s="3" t="s">
        <v>615</v>
      </c>
      <c r="D326" s="3" t="s">
        <v>615</v>
      </c>
      <c r="E326" s="8">
        <v>206326366</v>
      </c>
      <c r="F326" s="2">
        <v>1.9053E-3</v>
      </c>
      <c r="G326" s="17">
        <f>F326 * VLOOKUP('GASB Data'!A326,Check!$A$2:$F$11,6,FALSE)</f>
        <v>2429263.2159000002</v>
      </c>
    </row>
    <row r="327" spans="1:7" x14ac:dyDescent="0.2">
      <c r="A327">
        <v>2016</v>
      </c>
      <c r="B327" s="3" t="s">
        <v>95</v>
      </c>
      <c r="C327" s="3" t="s">
        <v>616</v>
      </c>
      <c r="D327" s="3" t="s">
        <v>616</v>
      </c>
      <c r="E327" s="8">
        <v>437075338</v>
      </c>
      <c r="F327" s="2">
        <v>4.0360999999999999E-3</v>
      </c>
      <c r="G327" s="17">
        <f>F327 * VLOOKUP('GASB Data'!A327,Check!$A$2:$F$11,6,FALSE)</f>
        <v>5146039.6082999995</v>
      </c>
    </row>
    <row r="328" spans="1:7" x14ac:dyDescent="0.2">
      <c r="A328">
        <v>2016</v>
      </c>
      <c r="B328" s="3" t="s">
        <v>96</v>
      </c>
      <c r="C328" s="3" t="s">
        <v>617</v>
      </c>
      <c r="D328" s="3" t="s">
        <v>617</v>
      </c>
      <c r="E328" s="8">
        <v>391400672</v>
      </c>
      <c r="F328" s="2">
        <v>3.6143E-3</v>
      </c>
      <c r="G328" s="17">
        <f>F328 * VLOOKUP('GASB Data'!A328,Check!$A$2:$F$11,6,FALSE)</f>
        <v>4608243.3428999996</v>
      </c>
    </row>
    <row r="329" spans="1:7" x14ac:dyDescent="0.2">
      <c r="A329">
        <v>2016</v>
      </c>
      <c r="B329" s="3" t="s">
        <v>97</v>
      </c>
      <c r="C329" s="3" t="s">
        <v>618</v>
      </c>
      <c r="D329" s="3" t="s">
        <v>618</v>
      </c>
      <c r="E329" s="8">
        <v>517168569</v>
      </c>
      <c r="F329" s="2">
        <v>4.7756999999999999E-3</v>
      </c>
      <c r="G329" s="17">
        <f>F329 * VLOOKUP('GASB Data'!A329,Check!$A$2:$F$11,6,FALSE)</f>
        <v>6089031.8271000003</v>
      </c>
    </row>
    <row r="330" spans="1:7" x14ac:dyDescent="0.2">
      <c r="A330">
        <v>2016</v>
      </c>
      <c r="B330" s="3" t="s">
        <v>98</v>
      </c>
      <c r="C330" s="3" t="s">
        <v>619</v>
      </c>
      <c r="D330" s="3" t="s">
        <v>619</v>
      </c>
      <c r="E330" s="8">
        <v>191258995</v>
      </c>
      <c r="F330" s="2">
        <v>1.7662000000000001E-3</v>
      </c>
      <c r="G330" s="17">
        <f>F330 * VLOOKUP('GASB Data'!A330,Check!$A$2:$F$11,6,FALSE)</f>
        <v>2251910.2986000003</v>
      </c>
    </row>
    <row r="331" spans="1:7" x14ac:dyDescent="0.2">
      <c r="A331">
        <v>2016</v>
      </c>
      <c r="B331" s="3" t="s">
        <v>99</v>
      </c>
      <c r="C331" s="3" t="s">
        <v>620</v>
      </c>
      <c r="D331" s="3" t="s">
        <v>620</v>
      </c>
      <c r="E331" s="8">
        <v>2384596720</v>
      </c>
      <c r="F331" s="2">
        <v>2.20202E-2</v>
      </c>
      <c r="G331" s="17">
        <f>F331 * VLOOKUP('GASB Data'!A331,Check!$A$2:$F$11,6,FALSE)</f>
        <v>28075821.060600001</v>
      </c>
    </row>
    <row r="332" spans="1:7" x14ac:dyDescent="0.2">
      <c r="A332">
        <v>2016</v>
      </c>
      <c r="B332" s="3" t="s">
        <v>100</v>
      </c>
      <c r="C332" s="3" t="s">
        <v>621</v>
      </c>
      <c r="D332" s="3" t="s">
        <v>621</v>
      </c>
      <c r="E332" s="8">
        <v>3350108608</v>
      </c>
      <c r="F332" s="2">
        <v>3.0936100000000001E-2</v>
      </c>
      <c r="G332" s="17">
        <f>F332 * VLOOKUP('GASB Data'!A332,Check!$A$2:$F$11,6,FALSE)</f>
        <v>39443620.308300003</v>
      </c>
    </row>
    <row r="333" spans="1:7" x14ac:dyDescent="0.2">
      <c r="A333">
        <v>2016</v>
      </c>
      <c r="B333" s="3" t="s">
        <v>101</v>
      </c>
      <c r="C333" s="3" t="s">
        <v>622</v>
      </c>
      <c r="D333" s="3" t="s">
        <v>622</v>
      </c>
      <c r="E333" s="8">
        <v>134111608</v>
      </c>
      <c r="F333" s="2">
        <v>1.2384E-3</v>
      </c>
      <c r="G333" s="17">
        <f>F333 * VLOOKUP('GASB Data'!A333,Check!$A$2:$F$11,6,FALSE)</f>
        <v>1578963.7152</v>
      </c>
    </row>
    <row r="334" spans="1:7" x14ac:dyDescent="0.2">
      <c r="A334">
        <v>2016</v>
      </c>
      <c r="B334" s="3" t="s">
        <v>633</v>
      </c>
      <c r="C334" s="3" t="s">
        <v>623</v>
      </c>
      <c r="D334" s="3" t="s">
        <v>623</v>
      </c>
      <c r="E334" s="8">
        <v>12411484</v>
      </c>
      <c r="F334" s="2">
        <v>1.1459999999999999E-4</v>
      </c>
      <c r="G334" s="17">
        <f>F334 * VLOOKUP('GASB Data'!A334,Check!$A$2:$F$11,6,FALSE)</f>
        <v>146115.3438</v>
      </c>
    </row>
    <row r="335" spans="1:7" x14ac:dyDescent="0.2">
      <c r="A335">
        <v>2016</v>
      </c>
      <c r="B335" s="3" t="s">
        <v>102</v>
      </c>
      <c r="C335" s="3" t="s">
        <v>624</v>
      </c>
      <c r="D335" s="3" t="s">
        <v>624</v>
      </c>
      <c r="E335" s="8">
        <v>3821260734</v>
      </c>
      <c r="F335" s="2">
        <v>3.5286900000000003E-2</v>
      </c>
      <c r="G335" s="17">
        <f>F335 * VLOOKUP('GASB Data'!A335,Check!$A$2:$F$11,6,FALSE)</f>
        <v>44990903.360700004</v>
      </c>
    </row>
    <row r="336" spans="1:7" x14ac:dyDescent="0.2">
      <c r="A336">
        <v>2016</v>
      </c>
      <c r="B336" s="3" t="s">
        <v>103</v>
      </c>
      <c r="C336" s="3" t="s">
        <v>625</v>
      </c>
      <c r="D336" s="3" t="s">
        <v>625</v>
      </c>
      <c r="E336" s="8">
        <v>20525716</v>
      </c>
      <c r="F336" s="2">
        <v>1.895E-4</v>
      </c>
      <c r="G336" s="17">
        <f>F336 * VLOOKUP('GASB Data'!A336,Check!$A$2:$F$11,6,FALSE)</f>
        <v>241613.06849999999</v>
      </c>
    </row>
    <row r="337" spans="1:7" x14ac:dyDescent="0.2">
      <c r="A337">
        <v>2016</v>
      </c>
      <c r="B337" s="3" t="s">
        <v>104</v>
      </c>
      <c r="C337" s="3" t="s">
        <v>626</v>
      </c>
      <c r="D337" s="3" t="s">
        <v>626</v>
      </c>
      <c r="E337" s="8">
        <v>328381892</v>
      </c>
      <c r="F337" s="2">
        <v>3.0324000000000002E-3</v>
      </c>
      <c r="G337" s="17">
        <f>F337 * VLOOKUP('GASB Data'!A337,Check!$A$2:$F$11,6,FALSE)</f>
        <v>3866319.0972000002</v>
      </c>
    </row>
    <row r="338" spans="1:7" x14ac:dyDescent="0.2">
      <c r="A338">
        <v>2016</v>
      </c>
      <c r="B338" s="3" t="s">
        <v>105</v>
      </c>
      <c r="C338" s="3" t="s">
        <v>627</v>
      </c>
      <c r="D338" s="3" t="s">
        <v>627</v>
      </c>
      <c r="E338" s="8">
        <v>250719579</v>
      </c>
      <c r="F338" s="2">
        <v>2.3151999999999999E-3</v>
      </c>
      <c r="G338" s="17">
        <f>F338 * VLOOKUP('GASB Data'!A338,Check!$A$2:$F$11,6,FALSE)</f>
        <v>2951886.9455999997</v>
      </c>
    </row>
    <row r="339" spans="1:7" x14ac:dyDescent="0.2">
      <c r="A339">
        <v>2016</v>
      </c>
      <c r="B339" s="3" t="s">
        <v>106</v>
      </c>
      <c r="C339" s="3" t="s">
        <v>628</v>
      </c>
      <c r="D339" s="3" t="s">
        <v>628</v>
      </c>
      <c r="E339" s="8">
        <v>418704992</v>
      </c>
      <c r="F339" s="2">
        <v>3.8665000000000001E-3</v>
      </c>
      <c r="G339" s="17">
        <f>F339 * VLOOKUP('GASB Data'!A339,Check!$A$2:$F$11,6,FALSE)</f>
        <v>4929799.0995000005</v>
      </c>
    </row>
    <row r="340" spans="1:7" x14ac:dyDescent="0.2">
      <c r="A340">
        <v>2016</v>
      </c>
      <c r="B340" s="3" t="s">
        <v>107</v>
      </c>
      <c r="C340" s="3" t="s">
        <v>629</v>
      </c>
      <c r="D340" s="3" t="s">
        <v>629</v>
      </c>
      <c r="E340" s="8">
        <v>128823858</v>
      </c>
      <c r="F340" s="2">
        <v>1.1896000000000001E-3</v>
      </c>
      <c r="G340" s="17">
        <f>F340 * VLOOKUP('GASB Data'!A340,Check!$A$2:$F$11,6,FALSE)</f>
        <v>1516743.5688</v>
      </c>
    </row>
    <row r="341" spans="1:7" x14ac:dyDescent="0.2">
      <c r="A341">
        <v>2016</v>
      </c>
      <c r="B341" s="3" t="s">
        <v>108</v>
      </c>
      <c r="C341" s="3" t="s">
        <v>630</v>
      </c>
      <c r="D341" s="3" t="s">
        <v>630</v>
      </c>
      <c r="E341" s="8">
        <v>715827876</v>
      </c>
      <c r="F341" s="2">
        <v>6.6102000000000001E-3</v>
      </c>
      <c r="G341" s="17">
        <f>F341 * VLOOKUP('GASB Data'!A341,Check!$A$2:$F$11,6,FALSE)</f>
        <v>8428024.8306000009</v>
      </c>
    </row>
    <row r="342" spans="1:7" x14ac:dyDescent="0.2">
      <c r="A342">
        <v>2016</v>
      </c>
      <c r="B342" s="3" t="s">
        <v>109</v>
      </c>
      <c r="C342" s="3" t="s">
        <v>631</v>
      </c>
      <c r="D342" s="3" t="s">
        <v>631</v>
      </c>
      <c r="E342" s="8">
        <v>389606782</v>
      </c>
      <c r="F342" s="2">
        <v>3.5978E-3</v>
      </c>
      <c r="G342" s="17">
        <f>F342 * VLOOKUP('GASB Data'!A342,Check!$A$2:$F$11,6,FALSE)</f>
        <v>4587205.7933999998</v>
      </c>
    </row>
    <row r="343" spans="1:7" x14ac:dyDescent="0.2">
      <c r="A343">
        <v>2016</v>
      </c>
      <c r="B343" s="3" t="s">
        <v>110</v>
      </c>
      <c r="C343" s="3" t="s">
        <v>634</v>
      </c>
      <c r="D343" s="3" t="s">
        <v>634</v>
      </c>
      <c r="E343" s="8">
        <v>108702104</v>
      </c>
      <c r="F343" s="2">
        <v>1.0038E-3</v>
      </c>
      <c r="G343" s="17">
        <f>F343 * VLOOKUP('GASB Data'!A343,Check!$A$2:$F$11,6,FALSE)</f>
        <v>1279848.0114</v>
      </c>
    </row>
    <row r="344" spans="1:7" x14ac:dyDescent="0.2">
      <c r="A344">
        <v>2016</v>
      </c>
      <c r="B344" s="3" t="s">
        <v>111</v>
      </c>
      <c r="C344" s="3" t="s">
        <v>635</v>
      </c>
      <c r="D344" s="3" t="s">
        <v>635</v>
      </c>
      <c r="E344" s="8">
        <v>955481665</v>
      </c>
      <c r="F344" s="2">
        <v>8.8232999999999992E-3</v>
      </c>
      <c r="G344" s="17">
        <f>F344 * VLOOKUP('GASB Data'!A344,Check!$A$2:$F$11,6,FALSE)</f>
        <v>11249733.969899999</v>
      </c>
    </row>
    <row r="345" spans="1:7" x14ac:dyDescent="0.2">
      <c r="A345">
        <v>2016</v>
      </c>
      <c r="B345" s="3" t="s">
        <v>166</v>
      </c>
      <c r="C345" s="3" t="s">
        <v>636</v>
      </c>
      <c r="D345" s="3" t="s">
        <v>636</v>
      </c>
      <c r="E345" s="8">
        <v>17297025</v>
      </c>
      <c r="F345" s="2">
        <v>1.5970000000000001E-4</v>
      </c>
      <c r="G345" s="17">
        <f>F345 * VLOOKUP('GASB Data'!A345,Check!$A$2:$F$11,6,FALSE)</f>
        <v>203617.9791</v>
      </c>
    </row>
    <row r="346" spans="1:7" x14ac:dyDescent="0.2">
      <c r="A346">
        <v>2016</v>
      </c>
      <c r="B346" s="3" t="s">
        <v>167</v>
      </c>
      <c r="C346" s="3" t="s">
        <v>637</v>
      </c>
      <c r="D346" s="3" t="s">
        <v>637</v>
      </c>
      <c r="E346" s="8">
        <v>20246475</v>
      </c>
      <c r="F346" s="2">
        <v>1.8699999999999999E-4</v>
      </c>
      <c r="G346" s="17">
        <f>F346 * VLOOKUP('GASB Data'!A346,Check!$A$2:$F$11,6,FALSE)</f>
        <v>238425.56099999999</v>
      </c>
    </row>
    <row r="347" spans="1:7" x14ac:dyDescent="0.2">
      <c r="A347">
        <v>2016</v>
      </c>
      <c r="B347" s="3" t="s">
        <v>168</v>
      </c>
      <c r="C347" s="3" t="s">
        <v>638</v>
      </c>
      <c r="D347" s="3" t="s">
        <v>638</v>
      </c>
      <c r="E347" s="8">
        <v>11707669</v>
      </c>
      <c r="F347" s="2">
        <v>1.081E-4</v>
      </c>
      <c r="G347" s="17">
        <f>F347 * VLOOKUP('GASB Data'!A347,Check!$A$2:$F$11,6,FALSE)</f>
        <v>137827.82430000001</v>
      </c>
    </row>
    <row r="348" spans="1:7" x14ac:dyDescent="0.2">
      <c r="A348">
        <v>2016</v>
      </c>
      <c r="B348" s="3" t="s">
        <v>169</v>
      </c>
      <c r="C348" s="3" t="s">
        <v>639</v>
      </c>
      <c r="D348" s="3" t="s">
        <v>639</v>
      </c>
      <c r="E348" s="8">
        <v>92393543</v>
      </c>
      <c r="F348" s="2">
        <v>8.5320000000000003E-4</v>
      </c>
      <c r="G348" s="17">
        <f>F348 * VLOOKUP('GASB Data'!A348,Check!$A$2:$F$11,6,FALSE)</f>
        <v>1087832.5596</v>
      </c>
    </row>
    <row r="349" spans="1:7" x14ac:dyDescent="0.2">
      <c r="A349">
        <v>2016</v>
      </c>
      <c r="B349" s="3" t="s">
        <v>170</v>
      </c>
      <c r="C349" s="3" t="s">
        <v>640</v>
      </c>
      <c r="D349" s="3" t="s">
        <v>640</v>
      </c>
      <c r="E349" s="8">
        <v>211656008</v>
      </c>
      <c r="F349" s="2">
        <v>1.9545000000000001E-3</v>
      </c>
      <c r="G349" s="17">
        <f>F349 * VLOOKUP('GASB Data'!A349,Check!$A$2:$F$11,6,FALSE)</f>
        <v>2491993.3635</v>
      </c>
    </row>
    <row r="350" spans="1:7" x14ac:dyDescent="0.2">
      <c r="A350">
        <v>2016</v>
      </c>
      <c r="B350" s="3" t="s">
        <v>171</v>
      </c>
      <c r="C350" s="3" t="s">
        <v>641</v>
      </c>
      <c r="D350" s="3" t="s">
        <v>641</v>
      </c>
      <c r="E350" s="8">
        <v>73695726</v>
      </c>
      <c r="F350" s="2">
        <v>6.8050000000000001E-4</v>
      </c>
      <c r="G350" s="17">
        <f>F350 * VLOOKUP('GASB Data'!A350,Check!$A$2:$F$11,6,FALSE)</f>
        <v>867639.54150000005</v>
      </c>
    </row>
    <row r="351" spans="1:7" x14ac:dyDescent="0.2">
      <c r="A351">
        <v>2016</v>
      </c>
      <c r="B351" s="3" t="s">
        <v>172</v>
      </c>
      <c r="C351" s="3" t="s">
        <v>642</v>
      </c>
      <c r="D351" s="3" t="s">
        <v>642</v>
      </c>
      <c r="E351" s="8">
        <v>136727375</v>
      </c>
      <c r="F351" s="2">
        <v>1.2626E-3</v>
      </c>
      <c r="G351" s="17">
        <f>F351 * VLOOKUP('GASB Data'!A351,Check!$A$2:$F$11,6,FALSE)</f>
        <v>1609818.7878</v>
      </c>
    </row>
    <row r="352" spans="1:7" x14ac:dyDescent="0.2">
      <c r="A352">
        <v>2016</v>
      </c>
      <c r="B352" s="3" t="s">
        <v>173</v>
      </c>
      <c r="C352" s="3" t="s">
        <v>643</v>
      </c>
      <c r="D352" s="3" t="s">
        <v>643</v>
      </c>
      <c r="E352" s="8">
        <v>89509451</v>
      </c>
      <c r="F352" s="2">
        <v>8.2660000000000003E-4</v>
      </c>
      <c r="G352" s="17">
        <f>F352 * VLOOKUP('GASB Data'!A352,Check!$A$2:$F$11,6,FALSE)</f>
        <v>1053917.4798000001</v>
      </c>
    </row>
    <row r="353" spans="1:7" x14ac:dyDescent="0.2">
      <c r="A353">
        <v>2016</v>
      </c>
      <c r="B353" s="3" t="s">
        <v>174</v>
      </c>
      <c r="C353" s="3" t="s">
        <v>644</v>
      </c>
      <c r="D353" s="3" t="s">
        <v>644</v>
      </c>
      <c r="E353" s="8">
        <v>142332694</v>
      </c>
      <c r="F353" s="2">
        <v>1.3144000000000001E-3</v>
      </c>
      <c r="G353" s="17">
        <f>F353 * VLOOKUP('GASB Data'!A353,Check!$A$2:$F$11,6,FALSE)</f>
        <v>1675863.9432000001</v>
      </c>
    </row>
    <row r="354" spans="1:7" x14ac:dyDescent="0.2">
      <c r="A354">
        <v>2016</v>
      </c>
      <c r="B354" s="3" t="s">
        <v>175</v>
      </c>
      <c r="C354" s="3" t="s">
        <v>645</v>
      </c>
      <c r="D354" s="3" t="s">
        <v>645</v>
      </c>
      <c r="E354" s="8">
        <v>111096885</v>
      </c>
      <c r="F354" s="2">
        <v>1.0258999999999999E-3</v>
      </c>
      <c r="G354" s="17">
        <f>F354 * VLOOKUP('GASB Data'!A354,Check!$A$2:$F$11,6,FALSE)</f>
        <v>1308025.5777</v>
      </c>
    </row>
    <row r="355" spans="1:7" x14ac:dyDescent="0.2">
      <c r="A355">
        <v>2016</v>
      </c>
      <c r="B355" s="3" t="s">
        <v>176</v>
      </c>
      <c r="C355" s="3" t="s">
        <v>646</v>
      </c>
      <c r="D355" s="3" t="s">
        <v>646</v>
      </c>
      <c r="E355" s="8">
        <v>2496169</v>
      </c>
      <c r="F355" s="2">
        <v>2.3099999999999999E-5</v>
      </c>
      <c r="G355" s="17">
        <f>F355 * VLOOKUP('GASB Data'!A355,Check!$A$2:$F$11,6,FALSE)</f>
        <v>29452.569299999999</v>
      </c>
    </row>
    <row r="356" spans="1:7" x14ac:dyDescent="0.2">
      <c r="A356">
        <v>2016</v>
      </c>
      <c r="B356" s="3" t="s">
        <v>177</v>
      </c>
      <c r="C356" s="3" t="s">
        <v>647</v>
      </c>
      <c r="D356" s="3" t="s">
        <v>647</v>
      </c>
      <c r="E356" s="8">
        <v>283175116</v>
      </c>
      <c r="F356" s="2">
        <v>2.6148999999999999E-3</v>
      </c>
      <c r="G356" s="17">
        <f>F356 * VLOOKUP('GASB Data'!A356,Check!$A$2:$F$11,6,FALSE)</f>
        <v>3334005.3446999998</v>
      </c>
    </row>
    <row r="357" spans="1:7" x14ac:dyDescent="0.2">
      <c r="A357">
        <v>2016</v>
      </c>
      <c r="B357" s="3" t="s">
        <v>178</v>
      </c>
      <c r="C357" s="3" t="s">
        <v>648</v>
      </c>
      <c r="D357" s="3" t="s">
        <v>648</v>
      </c>
      <c r="E357" s="8">
        <v>58031551</v>
      </c>
      <c r="F357" s="2">
        <v>5.3589999999999996E-4</v>
      </c>
      <c r="G357" s="17">
        <f>F357 * VLOOKUP('GASB Data'!A357,Check!$A$2:$F$11,6,FALSE)</f>
        <v>683274.10769999993</v>
      </c>
    </row>
    <row r="358" spans="1:7" x14ac:dyDescent="0.2">
      <c r="A358">
        <v>2016</v>
      </c>
      <c r="B358" s="3" t="s">
        <v>179</v>
      </c>
      <c r="C358" s="3" t="s">
        <v>649</v>
      </c>
      <c r="D358" s="3" t="s">
        <v>649</v>
      </c>
      <c r="E358" s="8">
        <v>113077249</v>
      </c>
      <c r="F358" s="2">
        <v>1.0441999999999999E-3</v>
      </c>
      <c r="G358" s="17">
        <f>F358 * VLOOKUP('GASB Data'!A358,Check!$A$2:$F$11,6,FALSE)</f>
        <v>1331358.1325999999</v>
      </c>
    </row>
    <row r="359" spans="1:7" x14ac:dyDescent="0.2">
      <c r="A359">
        <v>2016</v>
      </c>
      <c r="B359" s="3" t="s">
        <v>180</v>
      </c>
      <c r="C359" s="3" t="s">
        <v>650</v>
      </c>
      <c r="D359" s="3" t="s">
        <v>650</v>
      </c>
      <c r="E359" s="8">
        <v>187645503</v>
      </c>
      <c r="F359" s="2">
        <v>1.7328000000000001E-3</v>
      </c>
      <c r="G359" s="17">
        <f>F359 * VLOOKUP('GASB Data'!A359,Check!$A$2:$F$11,6,FALSE)</f>
        <v>2209325.1984000001</v>
      </c>
    </row>
    <row r="360" spans="1:7" x14ac:dyDescent="0.2">
      <c r="A360">
        <v>2016</v>
      </c>
      <c r="B360" s="3" t="s">
        <v>181</v>
      </c>
      <c r="C360" s="3" t="s">
        <v>651</v>
      </c>
      <c r="D360" s="3" t="s">
        <v>651</v>
      </c>
      <c r="E360" s="8">
        <v>38086592</v>
      </c>
      <c r="F360" s="2">
        <v>3.5169999999999998E-4</v>
      </c>
      <c r="G360" s="17">
        <f>F360 * VLOOKUP('GASB Data'!A360,Check!$A$2:$F$11,6,FALSE)</f>
        <v>448418.5551</v>
      </c>
    </row>
    <row r="361" spans="1:7" x14ac:dyDescent="0.2">
      <c r="A361">
        <v>2016</v>
      </c>
      <c r="B361" s="3" t="s">
        <v>182</v>
      </c>
      <c r="C361" s="3" t="s">
        <v>652</v>
      </c>
      <c r="D361" s="3" t="s">
        <v>652</v>
      </c>
      <c r="E361" s="8">
        <v>521479613</v>
      </c>
      <c r="F361" s="2">
        <v>4.8155000000000003E-3</v>
      </c>
      <c r="G361" s="17">
        <f>F361 * VLOOKUP('GASB Data'!A361,Check!$A$2:$F$11,6,FALSE)</f>
        <v>6139776.9465000005</v>
      </c>
    </row>
    <row r="362" spans="1:7" x14ac:dyDescent="0.2">
      <c r="A362">
        <v>2016</v>
      </c>
      <c r="B362" s="3" t="s">
        <v>183</v>
      </c>
      <c r="C362" s="3" t="s">
        <v>653</v>
      </c>
      <c r="D362" s="3" t="s">
        <v>653</v>
      </c>
      <c r="E362" s="8">
        <v>52194691</v>
      </c>
      <c r="F362" s="2">
        <v>4.8200000000000001E-4</v>
      </c>
      <c r="G362" s="17">
        <f>F362 * VLOOKUP('GASB Data'!A362,Check!$A$2:$F$11,6,FALSE)</f>
        <v>614551.446</v>
      </c>
    </row>
    <row r="363" spans="1:7" x14ac:dyDescent="0.2">
      <c r="A363">
        <v>2016</v>
      </c>
      <c r="B363" s="3" t="s">
        <v>184</v>
      </c>
      <c r="C363" s="3" t="s">
        <v>654</v>
      </c>
      <c r="D363" s="3" t="s">
        <v>654</v>
      </c>
      <c r="E363" s="8">
        <v>1076259499</v>
      </c>
      <c r="F363" s="2">
        <v>9.9386000000000006E-3</v>
      </c>
      <c r="G363" s="17">
        <f>F363 * VLOOKUP('GASB Data'!A363,Check!$A$2:$F$11,6,FALSE)</f>
        <v>12671744.8158</v>
      </c>
    </row>
    <row r="364" spans="1:7" x14ac:dyDescent="0.2">
      <c r="A364">
        <v>2016</v>
      </c>
      <c r="B364" s="3" t="s">
        <v>185</v>
      </c>
      <c r="C364" s="3" t="s">
        <v>655</v>
      </c>
      <c r="D364" s="3" t="s">
        <v>655</v>
      </c>
      <c r="E364" s="8">
        <v>7284946</v>
      </c>
      <c r="F364" s="2">
        <v>6.7299999999999996E-5</v>
      </c>
      <c r="G364" s="17">
        <f>F364 * VLOOKUP('GASB Data'!A364,Check!$A$2:$F$11,6,FALSE)</f>
        <v>85807.7019</v>
      </c>
    </row>
    <row r="365" spans="1:7" x14ac:dyDescent="0.2">
      <c r="A365">
        <v>2016</v>
      </c>
      <c r="B365" s="3" t="s">
        <v>186</v>
      </c>
      <c r="C365" s="3" t="s">
        <v>656</v>
      </c>
      <c r="D365" s="3" t="s">
        <v>656</v>
      </c>
      <c r="E365" s="8">
        <v>16568942</v>
      </c>
      <c r="F365" s="2">
        <v>1.5300000000000001E-4</v>
      </c>
      <c r="G365" s="17">
        <f>F365 * VLOOKUP('GASB Data'!A365,Check!$A$2:$F$11,6,FALSE)</f>
        <v>195075.459</v>
      </c>
    </row>
    <row r="366" spans="1:7" x14ac:dyDescent="0.2">
      <c r="A366">
        <v>2016</v>
      </c>
      <c r="B366" s="3" t="s">
        <v>187</v>
      </c>
      <c r="C366" s="3" t="s">
        <v>657</v>
      </c>
      <c r="D366" s="3" t="s">
        <v>657</v>
      </c>
      <c r="E366" s="8">
        <v>166777411</v>
      </c>
      <c r="F366" s="2">
        <v>1.5401E-3</v>
      </c>
      <c r="G366" s="17">
        <f>F366 * VLOOKUP('GASB Data'!A366,Check!$A$2:$F$11,6,FALSE)</f>
        <v>1963632.1203000001</v>
      </c>
    </row>
    <row r="367" spans="1:7" x14ac:dyDescent="0.2">
      <c r="A367">
        <v>2016</v>
      </c>
      <c r="B367" s="3" t="s">
        <v>188</v>
      </c>
      <c r="C367" s="3" t="s">
        <v>658</v>
      </c>
      <c r="D367" s="3" t="s">
        <v>658</v>
      </c>
      <c r="E367" s="8">
        <v>249269117</v>
      </c>
      <c r="F367" s="2">
        <v>2.3018000000000001E-3</v>
      </c>
      <c r="G367" s="17">
        <f>F367 * VLOOKUP('GASB Data'!A367,Check!$A$2:$F$11,6,FALSE)</f>
        <v>2934801.9054</v>
      </c>
    </row>
    <row r="368" spans="1:7" x14ac:dyDescent="0.2">
      <c r="A368">
        <v>2016</v>
      </c>
      <c r="B368" s="3" t="s">
        <v>189</v>
      </c>
      <c r="C368" s="3" t="s">
        <v>659</v>
      </c>
      <c r="D368" s="3" t="s">
        <v>659</v>
      </c>
      <c r="E368" s="8">
        <v>515462418</v>
      </c>
      <c r="F368" s="2">
        <v>4.7600000000000003E-3</v>
      </c>
      <c r="G368" s="17">
        <f>F368 * VLOOKUP('GASB Data'!A368,Check!$A$2:$F$11,6,FALSE)</f>
        <v>6069014.2800000003</v>
      </c>
    </row>
    <row r="369" spans="1:7" x14ac:dyDescent="0.2">
      <c r="A369">
        <v>2016</v>
      </c>
      <c r="B369" s="3" t="s">
        <v>190</v>
      </c>
      <c r="C369" s="3" t="s">
        <v>660</v>
      </c>
      <c r="D369" s="3" t="s">
        <v>660</v>
      </c>
      <c r="E369" s="8">
        <v>63819197</v>
      </c>
      <c r="F369" s="2">
        <v>5.8929999999999996E-4</v>
      </c>
      <c r="G369" s="17">
        <f>F369 * VLOOKUP('GASB Data'!A369,Check!$A$2:$F$11,6,FALSE)</f>
        <v>751359.26789999998</v>
      </c>
    </row>
    <row r="370" spans="1:7" x14ac:dyDescent="0.2">
      <c r="A370">
        <v>2016</v>
      </c>
      <c r="B370" s="3" t="s">
        <v>191</v>
      </c>
      <c r="C370" s="3" t="s">
        <v>661</v>
      </c>
      <c r="D370" s="3" t="s">
        <v>661</v>
      </c>
      <c r="E370" s="8">
        <v>1276261644</v>
      </c>
      <c r="F370" s="2">
        <v>1.1785500000000001E-2</v>
      </c>
      <c r="G370" s="17">
        <f>F370 * VLOOKUP('GASB Data'!A370,Check!$A$2:$F$11,6,FALSE)</f>
        <v>15026547.856500002</v>
      </c>
    </row>
    <row r="371" spans="1:7" x14ac:dyDescent="0.2">
      <c r="A371">
        <v>2016</v>
      </c>
      <c r="B371" s="3" t="s">
        <v>192</v>
      </c>
      <c r="C371" s="3" t="s">
        <v>662</v>
      </c>
      <c r="D371" s="3" t="s">
        <v>662</v>
      </c>
      <c r="E371" s="8">
        <v>25700112</v>
      </c>
      <c r="F371" s="2">
        <v>2.3729999999999999E-4</v>
      </c>
      <c r="G371" s="17">
        <f>F371 * VLOOKUP('GASB Data'!A371,Check!$A$2:$F$11,6,FALSE)</f>
        <v>302558.21189999999</v>
      </c>
    </row>
    <row r="372" spans="1:7" x14ac:dyDescent="0.2">
      <c r="A372">
        <v>2016</v>
      </c>
      <c r="B372" s="3" t="s">
        <v>193</v>
      </c>
      <c r="C372" s="3" t="s">
        <v>663</v>
      </c>
      <c r="D372" s="3" t="s">
        <v>663</v>
      </c>
      <c r="E372" s="8">
        <v>239145124</v>
      </c>
      <c r="F372" s="2">
        <v>2.2084000000000001E-3</v>
      </c>
      <c r="G372" s="17">
        <f>F372 * VLOOKUP('GASB Data'!A372,Check!$A$2:$F$11,6,FALSE)</f>
        <v>2815716.6252000001</v>
      </c>
    </row>
    <row r="373" spans="1:7" x14ac:dyDescent="0.2">
      <c r="A373">
        <v>2016</v>
      </c>
      <c r="B373" s="3" t="s">
        <v>194</v>
      </c>
      <c r="C373" s="3" t="s">
        <v>664</v>
      </c>
      <c r="D373" s="3" t="s">
        <v>664</v>
      </c>
      <c r="E373" s="8">
        <v>512328536</v>
      </c>
      <c r="F373" s="2">
        <v>4.731E-3</v>
      </c>
      <c r="G373" s="17">
        <f>F373 * VLOOKUP('GASB Data'!A373,Check!$A$2:$F$11,6,FALSE)</f>
        <v>6032039.193</v>
      </c>
    </row>
    <row r="374" spans="1:7" x14ac:dyDescent="0.2">
      <c r="A374">
        <v>2016</v>
      </c>
      <c r="B374" s="3" t="s">
        <v>195</v>
      </c>
      <c r="C374" s="3" t="s">
        <v>665</v>
      </c>
      <c r="D374" s="3" t="s">
        <v>665</v>
      </c>
      <c r="E374" s="8">
        <v>102240215</v>
      </c>
      <c r="F374" s="2">
        <v>9.4410000000000002E-4</v>
      </c>
      <c r="G374" s="17">
        <f>F374 * VLOOKUP('GASB Data'!A374,Check!$A$2:$F$11,6,FALSE)</f>
        <v>1203730.3323000001</v>
      </c>
    </row>
    <row r="375" spans="1:7" x14ac:dyDescent="0.2">
      <c r="A375">
        <v>2016</v>
      </c>
      <c r="B375" s="3" t="s">
        <v>196</v>
      </c>
      <c r="C375" s="3" t="s">
        <v>666</v>
      </c>
      <c r="D375" s="3" t="s">
        <v>666</v>
      </c>
      <c r="E375" s="8">
        <v>78965038</v>
      </c>
      <c r="F375" s="2">
        <v>7.2920000000000005E-4</v>
      </c>
      <c r="G375" s="17">
        <f>F375 * VLOOKUP('GASB Data'!A375,Check!$A$2:$F$11,6,FALSE)</f>
        <v>929732.18760000006</v>
      </c>
    </row>
    <row r="376" spans="1:7" x14ac:dyDescent="0.2">
      <c r="A376">
        <v>2016</v>
      </c>
      <c r="B376" s="3" t="s">
        <v>197</v>
      </c>
      <c r="C376" s="3" t="s">
        <v>667</v>
      </c>
      <c r="D376" s="3" t="s">
        <v>667</v>
      </c>
      <c r="E376" s="8">
        <v>356665695</v>
      </c>
      <c r="F376" s="2">
        <v>3.2935999999999998E-3</v>
      </c>
      <c r="G376" s="17">
        <f>F376 * VLOOKUP('GASB Data'!A376,Check!$A$2:$F$11,6,FALSE)</f>
        <v>4199349.8807999995</v>
      </c>
    </row>
    <row r="377" spans="1:7" x14ac:dyDescent="0.2">
      <c r="A377">
        <v>2016</v>
      </c>
      <c r="B377" s="3" t="s">
        <v>198</v>
      </c>
      <c r="C377" s="3" t="s">
        <v>668</v>
      </c>
      <c r="D377" s="3" t="s">
        <v>668</v>
      </c>
      <c r="E377" s="8">
        <v>51162331</v>
      </c>
      <c r="F377" s="2">
        <v>4.7249999999999999E-4</v>
      </c>
      <c r="G377" s="17">
        <f>F377 * VLOOKUP('GASB Data'!A377,Check!$A$2:$F$11,6,FALSE)</f>
        <v>602438.91749999998</v>
      </c>
    </row>
    <row r="378" spans="1:7" x14ac:dyDescent="0.2">
      <c r="A378">
        <v>2016</v>
      </c>
      <c r="B378" s="3" t="s">
        <v>199</v>
      </c>
      <c r="C378" s="3" t="s">
        <v>669</v>
      </c>
      <c r="D378" s="3" t="s">
        <v>669</v>
      </c>
      <c r="E378" s="8">
        <v>106825351</v>
      </c>
      <c r="F378" s="2">
        <v>9.8649999999999996E-4</v>
      </c>
      <c r="G378" s="17">
        <f>F378 * VLOOKUP('GASB Data'!A378,Check!$A$2:$F$11,6,FALSE)</f>
        <v>1257790.4594999999</v>
      </c>
    </row>
    <row r="379" spans="1:7" x14ac:dyDescent="0.2">
      <c r="A379">
        <v>2016</v>
      </c>
      <c r="B379" s="3" t="s">
        <v>200</v>
      </c>
      <c r="C379" s="3" t="s">
        <v>670</v>
      </c>
      <c r="D379" s="3" t="s">
        <v>670</v>
      </c>
      <c r="E379" s="8">
        <v>663860721</v>
      </c>
      <c r="F379" s="2">
        <v>6.1303E-3</v>
      </c>
      <c r="G379" s="17">
        <f>F379 * VLOOKUP('GASB Data'!A379,Check!$A$2:$F$11,6,FALSE)</f>
        <v>7816150.8909</v>
      </c>
    </row>
    <row r="380" spans="1:7" x14ac:dyDescent="0.2">
      <c r="A380">
        <v>2016</v>
      </c>
      <c r="B380" s="3" t="s">
        <v>201</v>
      </c>
      <c r="C380" s="3" t="s">
        <v>671</v>
      </c>
      <c r="D380" s="3" t="s">
        <v>671</v>
      </c>
      <c r="E380" s="8">
        <v>126344500</v>
      </c>
      <c r="F380" s="2">
        <v>1.1666999999999999E-3</v>
      </c>
      <c r="G380" s="17">
        <f>F380 * VLOOKUP('GASB Data'!A380,Check!$A$2:$F$11,6,FALSE)</f>
        <v>1487546.0000999998</v>
      </c>
    </row>
    <row r="381" spans="1:7" x14ac:dyDescent="0.2">
      <c r="A381">
        <v>2016</v>
      </c>
      <c r="B381" s="3" t="s">
        <v>202</v>
      </c>
      <c r="C381" s="3" t="s">
        <v>672</v>
      </c>
      <c r="D381" s="3" t="s">
        <v>672</v>
      </c>
      <c r="E381" s="8">
        <v>165231559</v>
      </c>
      <c r="F381" s="2">
        <v>1.5257999999999999E-3</v>
      </c>
      <c r="G381" s="17">
        <f>F381 * VLOOKUP('GASB Data'!A381,Check!$A$2:$F$11,6,FALSE)</f>
        <v>1945399.5773999998</v>
      </c>
    </row>
    <row r="382" spans="1:7" x14ac:dyDescent="0.2">
      <c r="A382">
        <v>2016</v>
      </c>
      <c r="B382" s="3" t="s">
        <v>203</v>
      </c>
      <c r="C382" s="3" t="s">
        <v>673</v>
      </c>
      <c r="D382" s="3" t="s">
        <v>673</v>
      </c>
      <c r="E382" s="8">
        <v>148107350</v>
      </c>
      <c r="F382" s="2">
        <v>1.3676999999999999E-3</v>
      </c>
      <c r="G382" s="17">
        <f>F382 * VLOOKUP('GASB Data'!A382,Check!$A$2:$F$11,6,FALSE)</f>
        <v>1743821.6030999999</v>
      </c>
    </row>
    <row r="383" spans="1:7" x14ac:dyDescent="0.2">
      <c r="A383">
        <v>2016</v>
      </c>
      <c r="B383" s="3" t="s">
        <v>204</v>
      </c>
      <c r="C383" s="3" t="s">
        <v>674</v>
      </c>
      <c r="D383" s="3" t="s">
        <v>674</v>
      </c>
      <c r="E383" s="8">
        <v>380797870</v>
      </c>
      <c r="F383" s="2">
        <v>3.5163999999999998E-3</v>
      </c>
      <c r="G383" s="17">
        <f>F383 * VLOOKUP('GASB Data'!A383,Check!$A$2:$F$11,6,FALSE)</f>
        <v>4483420.5491999993</v>
      </c>
    </row>
    <row r="384" spans="1:7" x14ac:dyDescent="0.2">
      <c r="A384">
        <v>2016</v>
      </c>
      <c r="B384" s="3" t="s">
        <v>205</v>
      </c>
      <c r="C384" s="3" t="s">
        <v>675</v>
      </c>
      <c r="D384" s="3" t="s">
        <v>675</v>
      </c>
      <c r="E384" s="8">
        <v>155955216</v>
      </c>
      <c r="F384" s="2">
        <v>1.4400999999999999E-3</v>
      </c>
      <c r="G384" s="17">
        <f>F384 * VLOOKUP('GASB Data'!A384,Check!$A$2:$F$11,6,FALSE)</f>
        <v>1836131.8203</v>
      </c>
    </row>
    <row r="385" spans="1:7" x14ac:dyDescent="0.2">
      <c r="A385">
        <v>2016</v>
      </c>
      <c r="B385" s="3" t="s">
        <v>206</v>
      </c>
      <c r="C385" s="3" t="s">
        <v>676</v>
      </c>
      <c r="D385" s="3" t="s">
        <v>676</v>
      </c>
      <c r="E385" s="8">
        <v>35595605</v>
      </c>
      <c r="F385" s="2">
        <v>3.2870000000000002E-4</v>
      </c>
      <c r="G385" s="17">
        <f>F385 * VLOOKUP('GASB Data'!A385,Check!$A$2:$F$11,6,FALSE)</f>
        <v>419093.48610000004</v>
      </c>
    </row>
    <row r="386" spans="1:7" x14ac:dyDescent="0.2">
      <c r="A386">
        <v>2016</v>
      </c>
      <c r="B386" s="3" t="s">
        <v>207</v>
      </c>
      <c r="C386" s="3" t="s">
        <v>677</v>
      </c>
      <c r="D386" s="3" t="s">
        <v>677</v>
      </c>
      <c r="E386" s="8">
        <v>96091355</v>
      </c>
      <c r="F386" s="2">
        <v>8.8730000000000005E-4</v>
      </c>
      <c r="G386" s="17">
        <f>F386 * VLOOKUP('GASB Data'!A386,Check!$A$2:$F$11,6,FALSE)</f>
        <v>1131310.1618999999</v>
      </c>
    </row>
    <row r="387" spans="1:7" x14ac:dyDescent="0.2">
      <c r="A387">
        <v>2016</v>
      </c>
      <c r="B387" s="3" t="s">
        <v>208</v>
      </c>
      <c r="C387" s="3" t="s">
        <v>678</v>
      </c>
      <c r="D387" s="3" t="s">
        <v>678</v>
      </c>
      <c r="E387" s="8">
        <v>59416923</v>
      </c>
      <c r="F387" s="2">
        <v>5.4869999999999995E-4</v>
      </c>
      <c r="G387" s="17">
        <f>F387 * VLOOKUP('GASB Data'!A387,Check!$A$2:$F$11,6,FALSE)</f>
        <v>699594.1460999999</v>
      </c>
    </row>
    <row r="388" spans="1:7" x14ac:dyDescent="0.2">
      <c r="A388">
        <v>2016</v>
      </c>
      <c r="B388" s="3" t="s">
        <v>209</v>
      </c>
      <c r="C388" s="3" t="s">
        <v>679</v>
      </c>
      <c r="D388" s="3" t="s">
        <v>679</v>
      </c>
      <c r="E388" s="8">
        <v>680375655</v>
      </c>
      <c r="F388" s="2">
        <v>6.2827999999999998E-3</v>
      </c>
      <c r="G388" s="17">
        <f>F388 * VLOOKUP('GASB Data'!A388,Check!$A$2:$F$11,6,FALSE)</f>
        <v>8010588.8483999996</v>
      </c>
    </row>
    <row r="389" spans="1:7" x14ac:dyDescent="0.2">
      <c r="A389">
        <v>2016</v>
      </c>
      <c r="B389" s="3" t="s">
        <v>210</v>
      </c>
      <c r="C389" s="3" t="s">
        <v>680</v>
      </c>
      <c r="D389" s="3" t="s">
        <v>680</v>
      </c>
      <c r="E389" s="8">
        <v>67770511</v>
      </c>
      <c r="F389" s="2">
        <v>6.2580000000000003E-4</v>
      </c>
      <c r="G389" s="17">
        <f>F389 * VLOOKUP('GASB Data'!A389,Check!$A$2:$F$11,6,FALSE)</f>
        <v>797896.8774</v>
      </c>
    </row>
    <row r="390" spans="1:7" x14ac:dyDescent="0.2">
      <c r="A390">
        <v>2016</v>
      </c>
      <c r="B390" s="3" t="s">
        <v>211</v>
      </c>
      <c r="C390" s="3" t="s">
        <v>681</v>
      </c>
      <c r="D390" s="3" t="s">
        <v>681</v>
      </c>
      <c r="E390" s="8">
        <v>244652894</v>
      </c>
      <c r="F390" s="2">
        <v>2.2591999999999998E-3</v>
      </c>
      <c r="G390" s="17">
        <f>F390 * VLOOKUP('GASB Data'!A390,Check!$A$2:$F$11,6,FALSE)</f>
        <v>2880486.7775999997</v>
      </c>
    </row>
    <row r="391" spans="1:7" x14ac:dyDescent="0.2">
      <c r="A391">
        <v>2016</v>
      </c>
      <c r="B391" s="3" t="s">
        <v>212</v>
      </c>
      <c r="C391" s="3" t="s">
        <v>682</v>
      </c>
      <c r="D391" s="3" t="s">
        <v>682</v>
      </c>
      <c r="E391" s="8">
        <v>61158539</v>
      </c>
      <c r="F391" s="2">
        <v>5.6479999999999996E-4</v>
      </c>
      <c r="G391" s="17">
        <f>F391 * VLOOKUP('GASB Data'!A391,Check!$A$2:$F$11,6,FALSE)</f>
        <v>720121.69439999992</v>
      </c>
    </row>
    <row r="392" spans="1:7" x14ac:dyDescent="0.2">
      <c r="A392">
        <v>2016</v>
      </c>
      <c r="B392" s="3" t="s">
        <v>213</v>
      </c>
      <c r="C392" s="3" t="s">
        <v>683</v>
      </c>
      <c r="D392" s="3" t="s">
        <v>683</v>
      </c>
      <c r="E392" s="8">
        <v>96591458</v>
      </c>
      <c r="F392" s="2">
        <v>8.92E-4</v>
      </c>
      <c r="G392" s="17">
        <f>F392 * VLOOKUP('GASB Data'!A392,Check!$A$2:$F$11,6,FALSE)</f>
        <v>1137302.676</v>
      </c>
    </row>
    <row r="393" spans="1:7" x14ac:dyDescent="0.2">
      <c r="A393">
        <v>2016</v>
      </c>
      <c r="B393" s="3" t="s">
        <v>215</v>
      </c>
      <c r="C393" s="3" t="s">
        <v>684</v>
      </c>
      <c r="D393" s="3" t="s">
        <v>684</v>
      </c>
      <c r="E393" s="8">
        <v>549393798</v>
      </c>
      <c r="F393" s="2">
        <v>5.0733000000000002E-3</v>
      </c>
      <c r="G393" s="17">
        <f>F393 * VLOOKUP('GASB Data'!A393,Check!$A$2:$F$11,6,FALSE)</f>
        <v>6468472.7198999999</v>
      </c>
    </row>
    <row r="394" spans="1:7" x14ac:dyDescent="0.2">
      <c r="A394">
        <v>2016</v>
      </c>
      <c r="B394" s="3" t="s">
        <v>216</v>
      </c>
      <c r="C394" s="3" t="s">
        <v>685</v>
      </c>
      <c r="D394" s="3" t="s">
        <v>685</v>
      </c>
      <c r="E394" s="8">
        <v>78668814</v>
      </c>
      <c r="F394" s="2">
        <v>7.2650000000000004E-4</v>
      </c>
      <c r="G394" s="17">
        <f>F394 * VLOOKUP('GASB Data'!A394,Check!$A$2:$F$11,6,FALSE)</f>
        <v>926289.67950000009</v>
      </c>
    </row>
    <row r="395" spans="1:7" x14ac:dyDescent="0.2">
      <c r="A395">
        <v>2016</v>
      </c>
      <c r="B395" s="3" t="s">
        <v>217</v>
      </c>
      <c r="C395" s="3" t="s">
        <v>686</v>
      </c>
      <c r="D395" s="3" t="s">
        <v>686</v>
      </c>
      <c r="E395" s="8">
        <v>1922392823</v>
      </c>
      <c r="F395" s="2">
        <v>1.77521E-2</v>
      </c>
      <c r="G395" s="17">
        <f>F395 * VLOOKUP('GASB Data'!A395,Check!$A$2:$F$11,6,FALSE)</f>
        <v>22633980.756299999</v>
      </c>
    </row>
    <row r="396" spans="1:7" x14ac:dyDescent="0.2">
      <c r="A396">
        <v>2016</v>
      </c>
      <c r="B396" s="3" t="s">
        <v>218</v>
      </c>
      <c r="C396" s="3" t="s">
        <v>687</v>
      </c>
      <c r="D396" s="3" t="s">
        <v>687</v>
      </c>
      <c r="E396" s="8">
        <v>276922349</v>
      </c>
      <c r="F396" s="2">
        <v>2.5571999999999999E-3</v>
      </c>
      <c r="G396" s="17">
        <f>F396 * VLOOKUP('GASB Data'!A396,Check!$A$2:$F$11,6,FALSE)</f>
        <v>3260437.6716</v>
      </c>
    </row>
    <row r="397" spans="1:7" x14ac:dyDescent="0.2">
      <c r="A397">
        <v>2016</v>
      </c>
      <c r="B397" s="3" t="s">
        <v>219</v>
      </c>
      <c r="C397" s="3" t="s">
        <v>688</v>
      </c>
      <c r="D397" s="3" t="s">
        <v>688</v>
      </c>
      <c r="E397" s="8">
        <v>169126796</v>
      </c>
      <c r="F397" s="2">
        <v>1.5617999999999999E-3</v>
      </c>
      <c r="G397" s="17">
        <f>F397 * VLOOKUP('GASB Data'!A397,Check!$A$2:$F$11,6,FALSE)</f>
        <v>1991299.6853999998</v>
      </c>
    </row>
    <row r="398" spans="1:7" x14ac:dyDescent="0.2">
      <c r="A398">
        <v>2016</v>
      </c>
      <c r="B398" s="3" t="s">
        <v>274</v>
      </c>
      <c r="C398" s="3" t="s">
        <v>689</v>
      </c>
      <c r="D398" s="3" t="s">
        <v>689</v>
      </c>
      <c r="E398" s="8">
        <v>232865697</v>
      </c>
      <c r="F398" s="2">
        <v>2.1503999999999998E-3</v>
      </c>
      <c r="G398" s="17">
        <f>F398 * VLOOKUP('GASB Data'!A398,Check!$A$2:$F$11,6,FALSE)</f>
        <v>2741766.4511999995</v>
      </c>
    </row>
    <row r="399" spans="1:7" x14ac:dyDescent="0.2">
      <c r="A399">
        <v>2016</v>
      </c>
      <c r="B399" s="3" t="s">
        <v>275</v>
      </c>
      <c r="C399" s="3" t="s">
        <v>690</v>
      </c>
      <c r="D399" s="3" t="s">
        <v>690</v>
      </c>
      <c r="E399" s="8">
        <v>718292352</v>
      </c>
      <c r="F399" s="2">
        <v>6.633E-3</v>
      </c>
      <c r="G399" s="17">
        <f>F399 * VLOOKUP('GASB Data'!A399,Check!$A$2:$F$11,6,FALSE)</f>
        <v>8457094.8990000002</v>
      </c>
    </row>
    <row r="400" spans="1:7" x14ac:dyDescent="0.2">
      <c r="A400">
        <v>2016</v>
      </c>
      <c r="B400" s="3" t="s">
        <v>276</v>
      </c>
      <c r="C400" s="3" t="s">
        <v>691</v>
      </c>
      <c r="D400" s="3" t="s">
        <v>691</v>
      </c>
      <c r="E400" s="8">
        <v>21180970</v>
      </c>
      <c r="F400" s="2">
        <v>1.9560000000000001E-4</v>
      </c>
      <c r="G400" s="17">
        <f>F400 * VLOOKUP('GASB Data'!A400,Check!$A$2:$F$11,6,FALSE)</f>
        <v>249390.58680000002</v>
      </c>
    </row>
    <row r="401" spans="1:7" x14ac:dyDescent="0.2">
      <c r="A401">
        <v>2016</v>
      </c>
      <c r="B401" s="3" t="s">
        <v>277</v>
      </c>
      <c r="C401" s="3" t="s">
        <v>692</v>
      </c>
      <c r="D401" s="3" t="s">
        <v>692</v>
      </c>
      <c r="E401" s="8">
        <v>101636404</v>
      </c>
      <c r="F401" s="2">
        <v>9.3849999999999999E-4</v>
      </c>
      <c r="G401" s="17">
        <f>F401 * VLOOKUP('GASB Data'!A401,Check!$A$2:$F$11,6,FALSE)</f>
        <v>1196590.3155</v>
      </c>
    </row>
    <row r="402" spans="1:7" x14ac:dyDescent="0.2">
      <c r="A402">
        <v>2016</v>
      </c>
      <c r="B402" s="3" t="s">
        <v>278</v>
      </c>
      <c r="C402" s="3" t="s">
        <v>693</v>
      </c>
      <c r="D402" s="3" t="s">
        <v>693</v>
      </c>
      <c r="E402" s="8">
        <v>132338943</v>
      </c>
      <c r="F402" s="2">
        <v>1.2221000000000001E-3</v>
      </c>
      <c r="G402" s="17">
        <f>F402 * VLOOKUP('GASB Data'!A402,Check!$A$2:$F$11,6,FALSE)</f>
        <v>1558181.1663000002</v>
      </c>
    </row>
    <row r="403" spans="1:7" x14ac:dyDescent="0.2">
      <c r="A403">
        <v>2016</v>
      </c>
      <c r="B403" s="3" t="s">
        <v>279</v>
      </c>
      <c r="C403" s="3" t="s">
        <v>694</v>
      </c>
      <c r="D403" s="3" t="s">
        <v>694</v>
      </c>
      <c r="E403" s="8">
        <v>109185008</v>
      </c>
      <c r="F403" s="2">
        <v>1.0083E-3</v>
      </c>
      <c r="G403" s="17">
        <f>F403 * VLOOKUP('GASB Data'!A403,Check!$A$2:$F$11,6,FALSE)</f>
        <v>1285585.5248999998</v>
      </c>
    </row>
    <row r="404" spans="1:7" x14ac:dyDescent="0.2">
      <c r="A404">
        <v>2016</v>
      </c>
      <c r="B404" s="3" t="s">
        <v>280</v>
      </c>
      <c r="C404" s="3" t="s">
        <v>695</v>
      </c>
      <c r="D404" s="3" t="s">
        <v>695</v>
      </c>
      <c r="E404" s="8">
        <v>276566050</v>
      </c>
      <c r="F404" s="2">
        <v>2.5539E-3</v>
      </c>
      <c r="G404" s="17">
        <f>F404 * VLOOKUP('GASB Data'!A404,Check!$A$2:$F$11,6,FALSE)</f>
        <v>3256230.1617000001</v>
      </c>
    </row>
    <row r="405" spans="1:7" x14ac:dyDescent="0.2">
      <c r="A405">
        <v>2016</v>
      </c>
      <c r="B405" s="3" t="s">
        <v>281</v>
      </c>
      <c r="C405" s="3" t="s">
        <v>696</v>
      </c>
      <c r="D405" s="3" t="s">
        <v>696</v>
      </c>
      <c r="E405" s="8">
        <v>7767235</v>
      </c>
      <c r="F405" s="2">
        <v>7.1699999999999995E-5</v>
      </c>
      <c r="G405" s="17">
        <f>F405 * VLOOKUP('GASB Data'!A405,Check!$A$2:$F$11,6,FALSE)</f>
        <v>91417.715099999987</v>
      </c>
    </row>
    <row r="406" spans="1:7" x14ac:dyDescent="0.2">
      <c r="A406">
        <v>2016</v>
      </c>
      <c r="B406" s="3" t="s">
        <v>282</v>
      </c>
      <c r="C406" s="3" t="s">
        <v>697</v>
      </c>
      <c r="D406" s="3" t="s">
        <v>697</v>
      </c>
      <c r="E406" s="8">
        <v>25739396</v>
      </c>
      <c r="F406" s="2">
        <v>2.377E-4</v>
      </c>
      <c r="G406" s="17">
        <f>F406 * VLOOKUP('GASB Data'!A406,Check!$A$2:$F$11,6,FALSE)</f>
        <v>303068.21309999999</v>
      </c>
    </row>
    <row r="407" spans="1:7" x14ac:dyDescent="0.2">
      <c r="A407">
        <v>2016</v>
      </c>
      <c r="B407" s="3" t="s">
        <v>283</v>
      </c>
      <c r="C407" s="3" t="s">
        <v>698</v>
      </c>
      <c r="D407" s="3" t="s">
        <v>698</v>
      </c>
      <c r="E407" s="8">
        <v>398393290</v>
      </c>
      <c r="F407" s="2">
        <v>3.6789000000000001E-3</v>
      </c>
      <c r="G407" s="17">
        <f>F407 * VLOOKUP('GASB Data'!A407,Check!$A$2:$F$11,6,FALSE)</f>
        <v>4690608.5367000001</v>
      </c>
    </row>
    <row r="408" spans="1:7" x14ac:dyDescent="0.2">
      <c r="A408">
        <v>2016</v>
      </c>
      <c r="B408" s="3" t="s">
        <v>284</v>
      </c>
      <c r="C408" s="3" t="s">
        <v>699</v>
      </c>
      <c r="D408" s="3" t="s">
        <v>699</v>
      </c>
      <c r="E408" s="8">
        <v>42688567</v>
      </c>
      <c r="F408" s="2">
        <v>3.9419999999999999E-4</v>
      </c>
      <c r="G408" s="17">
        <f>F408 * VLOOKUP('GASB Data'!A408,Check!$A$2:$F$11,6,FALSE)</f>
        <v>502606.1826</v>
      </c>
    </row>
    <row r="409" spans="1:7" x14ac:dyDescent="0.2">
      <c r="A409">
        <v>2016</v>
      </c>
      <c r="B409" s="3" t="s">
        <v>285</v>
      </c>
      <c r="C409" s="3" t="s">
        <v>700</v>
      </c>
      <c r="D409" s="3" t="s">
        <v>700</v>
      </c>
      <c r="E409" s="8">
        <v>1709441085</v>
      </c>
      <c r="F409" s="2">
        <v>1.57856E-2</v>
      </c>
      <c r="G409" s="17">
        <f>F409 * VLOOKUP('GASB Data'!A409,Check!$A$2:$F$11,6,FALSE)</f>
        <v>20126687.356800001</v>
      </c>
    </row>
    <row r="410" spans="1:7" x14ac:dyDescent="0.2">
      <c r="A410">
        <v>2016</v>
      </c>
      <c r="B410" s="3" t="s">
        <v>286</v>
      </c>
      <c r="C410" s="3" t="s">
        <v>701</v>
      </c>
      <c r="D410" s="3" t="s">
        <v>701</v>
      </c>
      <c r="E410" s="8">
        <v>19887448</v>
      </c>
      <c r="F410" s="2">
        <v>1.8359999999999999E-4</v>
      </c>
      <c r="G410" s="17">
        <f>F410 * VLOOKUP('GASB Data'!A410,Check!$A$2:$F$11,6,FALSE)</f>
        <v>234090.5508</v>
      </c>
    </row>
    <row r="411" spans="1:7" x14ac:dyDescent="0.2">
      <c r="A411">
        <v>2016</v>
      </c>
      <c r="B411" s="3" t="s">
        <v>287</v>
      </c>
      <c r="C411" s="3" t="s">
        <v>702</v>
      </c>
      <c r="D411" s="3" t="s">
        <v>702</v>
      </c>
      <c r="E411" s="8">
        <v>14659924</v>
      </c>
      <c r="F411" s="2">
        <v>1.3540000000000001E-4</v>
      </c>
      <c r="G411" s="17">
        <f>F411 * VLOOKUP('GASB Data'!A411,Check!$A$2:$F$11,6,FALSE)</f>
        <v>172635.40620000003</v>
      </c>
    </row>
    <row r="412" spans="1:7" x14ac:dyDescent="0.2">
      <c r="A412">
        <v>2016</v>
      </c>
      <c r="B412" s="3" t="s">
        <v>288</v>
      </c>
      <c r="C412" s="3" t="s">
        <v>703</v>
      </c>
      <c r="D412" s="3" t="s">
        <v>703</v>
      </c>
      <c r="E412" s="8">
        <v>47870208</v>
      </c>
      <c r="F412" s="2">
        <v>4.4210000000000001E-4</v>
      </c>
      <c r="G412" s="17">
        <f>F412 * VLOOKUP('GASB Data'!A412,Check!$A$2:$F$11,6,FALSE)</f>
        <v>563678.82630000007</v>
      </c>
    </row>
    <row r="413" spans="1:7" x14ac:dyDescent="0.2">
      <c r="A413">
        <v>2016</v>
      </c>
      <c r="B413" s="3" t="s">
        <v>289</v>
      </c>
      <c r="C413" s="3" t="s">
        <v>704</v>
      </c>
      <c r="D413" s="3" t="s">
        <v>704</v>
      </c>
      <c r="E413" s="8">
        <v>140291664</v>
      </c>
      <c r="F413" s="2">
        <v>1.2955E-3</v>
      </c>
      <c r="G413" s="17">
        <f>F413 * VLOOKUP('GASB Data'!A413,Check!$A$2:$F$11,6,FALSE)</f>
        <v>1651766.3865</v>
      </c>
    </row>
    <row r="414" spans="1:7" x14ac:dyDescent="0.2">
      <c r="A414">
        <v>2016</v>
      </c>
      <c r="B414" s="3" t="s">
        <v>290</v>
      </c>
      <c r="C414" s="3" t="s">
        <v>705</v>
      </c>
      <c r="D414" s="3" t="s">
        <v>705</v>
      </c>
      <c r="E414" s="8">
        <v>11178094</v>
      </c>
      <c r="F414" s="2">
        <v>1.032E-4</v>
      </c>
      <c r="G414" s="17">
        <f>F414 * VLOOKUP('GASB Data'!A414,Check!$A$2:$F$11,6,FALSE)</f>
        <v>131580.30960000001</v>
      </c>
    </row>
    <row r="415" spans="1:7" x14ac:dyDescent="0.2">
      <c r="A415">
        <v>2016</v>
      </c>
      <c r="B415" s="3" t="s">
        <v>291</v>
      </c>
      <c r="C415" s="3" t="s">
        <v>706</v>
      </c>
      <c r="D415" s="3" t="s">
        <v>706</v>
      </c>
      <c r="E415" s="8">
        <v>24163015</v>
      </c>
      <c r="F415" s="2">
        <v>2.231E-4</v>
      </c>
      <c r="G415" s="17">
        <f>F415 * VLOOKUP('GASB Data'!A415,Check!$A$2:$F$11,6,FALSE)</f>
        <v>284453.16930000001</v>
      </c>
    </row>
    <row r="416" spans="1:7" x14ac:dyDescent="0.2">
      <c r="A416">
        <v>2016</v>
      </c>
      <c r="B416" s="3" t="s">
        <v>292</v>
      </c>
      <c r="C416" s="3" t="s">
        <v>707</v>
      </c>
      <c r="D416" s="3" t="s">
        <v>707</v>
      </c>
      <c r="E416" s="8">
        <v>4008212</v>
      </c>
      <c r="F416" s="2">
        <v>3.6999999999999998E-5</v>
      </c>
      <c r="G416" s="17">
        <f>F416 * VLOOKUP('GASB Data'!A416,Check!$A$2:$F$11,6,FALSE)</f>
        <v>47175.110999999997</v>
      </c>
    </row>
    <row r="417" spans="1:7" x14ac:dyDescent="0.2">
      <c r="A417">
        <v>2016</v>
      </c>
      <c r="B417" s="3" t="s">
        <v>293</v>
      </c>
      <c r="C417" s="3" t="s">
        <v>708</v>
      </c>
      <c r="D417" s="3" t="s">
        <v>708</v>
      </c>
      <c r="E417" s="8">
        <v>7102087</v>
      </c>
      <c r="F417" s="2">
        <v>6.5599999999999995E-5</v>
      </c>
      <c r="G417" s="17">
        <f>F417 * VLOOKUP('GASB Data'!A417,Check!$A$2:$F$11,6,FALSE)</f>
        <v>83640.196799999991</v>
      </c>
    </row>
    <row r="418" spans="1:7" x14ac:dyDescent="0.2">
      <c r="A418">
        <v>2016</v>
      </c>
      <c r="B418" s="3" t="s">
        <v>294</v>
      </c>
      <c r="C418" s="3" t="s">
        <v>709</v>
      </c>
      <c r="D418" s="3" t="s">
        <v>709</v>
      </c>
      <c r="E418" s="8">
        <v>247645700</v>
      </c>
      <c r="F418" s="2">
        <v>2.2869000000000001E-3</v>
      </c>
      <c r="G418" s="17">
        <f>F418 * VLOOKUP('GASB Data'!A418,Check!$A$2:$F$11,6,FALSE)</f>
        <v>2915804.3607000001</v>
      </c>
    </row>
    <row r="419" spans="1:7" x14ac:dyDescent="0.2">
      <c r="A419">
        <v>2016</v>
      </c>
      <c r="B419" s="3" t="s">
        <v>295</v>
      </c>
      <c r="C419" s="3" t="s">
        <v>710</v>
      </c>
      <c r="D419" s="3" t="s">
        <v>710</v>
      </c>
      <c r="E419" s="8">
        <v>65369143</v>
      </c>
      <c r="F419" s="2">
        <v>6.0360000000000003E-4</v>
      </c>
      <c r="G419" s="17">
        <f>F419 * VLOOKUP('GASB Data'!A419,Check!$A$2:$F$11,6,FALSE)</f>
        <v>769591.81080000009</v>
      </c>
    </row>
    <row r="420" spans="1:7" x14ac:dyDescent="0.2">
      <c r="A420">
        <v>2016</v>
      </c>
      <c r="B420" s="3" t="s">
        <v>296</v>
      </c>
      <c r="C420" s="3" t="s">
        <v>711</v>
      </c>
      <c r="D420" s="3" t="s">
        <v>711</v>
      </c>
      <c r="E420" s="8">
        <v>2221259224</v>
      </c>
      <c r="F420" s="2">
        <v>2.05119E-2</v>
      </c>
      <c r="G420" s="17">
        <f>F420 * VLOOKUP('GASB Data'!A420,Check!$A$2:$F$11,6,FALSE)</f>
        <v>26152734.035700001</v>
      </c>
    </row>
    <row r="421" spans="1:7" x14ac:dyDescent="0.2">
      <c r="A421">
        <v>2016</v>
      </c>
      <c r="B421" s="3" t="s">
        <v>297</v>
      </c>
      <c r="C421" s="3" t="s">
        <v>712</v>
      </c>
      <c r="D421" s="3" t="s">
        <v>712</v>
      </c>
      <c r="E421" s="8">
        <v>17166309</v>
      </c>
      <c r="F421" s="2">
        <v>1.585E-4</v>
      </c>
      <c r="G421" s="17">
        <f>F421 * VLOOKUP('GASB Data'!A421,Check!$A$2:$F$11,6,FALSE)</f>
        <v>202087.9755</v>
      </c>
    </row>
    <row r="422" spans="1:7" x14ac:dyDescent="0.2">
      <c r="A422">
        <v>2016</v>
      </c>
      <c r="B422" s="3" t="s">
        <v>298</v>
      </c>
      <c r="C422" s="3" t="s">
        <v>713</v>
      </c>
      <c r="D422" s="3" t="s">
        <v>713</v>
      </c>
      <c r="E422" s="8">
        <v>220390707</v>
      </c>
      <c r="F422" s="2">
        <v>2.0352E-3</v>
      </c>
      <c r="G422" s="17">
        <f>F422 * VLOOKUP('GASB Data'!A422,Check!$A$2:$F$11,6,FALSE)</f>
        <v>2594886.1055999999</v>
      </c>
    </row>
    <row r="423" spans="1:7" x14ac:dyDescent="0.2">
      <c r="A423">
        <v>2016</v>
      </c>
      <c r="B423" s="3" t="s">
        <v>299</v>
      </c>
      <c r="C423" s="3" t="s">
        <v>714</v>
      </c>
      <c r="D423" s="3" t="s">
        <v>714</v>
      </c>
      <c r="E423" s="8">
        <v>367360637</v>
      </c>
      <c r="F423" s="2">
        <v>3.3923E-3</v>
      </c>
      <c r="G423" s="17">
        <f>F423 * VLOOKUP('GASB Data'!A423,Check!$A$2:$F$11,6,FALSE)</f>
        <v>4325192.6769000003</v>
      </c>
    </row>
    <row r="424" spans="1:7" x14ac:dyDescent="0.2">
      <c r="A424">
        <v>2016</v>
      </c>
      <c r="B424" s="3" t="s">
        <v>300</v>
      </c>
      <c r="C424" s="3" t="s">
        <v>715</v>
      </c>
      <c r="D424" s="3" t="s">
        <v>715</v>
      </c>
      <c r="E424" s="8">
        <v>7659437</v>
      </c>
      <c r="F424" s="2">
        <v>7.0699999999999997E-5</v>
      </c>
      <c r="G424" s="17">
        <f>F424 * VLOOKUP('GASB Data'!A424,Check!$A$2:$F$11,6,FALSE)</f>
        <v>90142.71209999999</v>
      </c>
    </row>
    <row r="425" spans="1:7" x14ac:dyDescent="0.2">
      <c r="A425">
        <v>2016</v>
      </c>
      <c r="B425" s="3" t="s">
        <v>301</v>
      </c>
      <c r="C425" s="3" t="s">
        <v>716</v>
      </c>
      <c r="D425" s="3" t="s">
        <v>716</v>
      </c>
      <c r="E425" s="8">
        <v>1177284301</v>
      </c>
      <c r="F425" s="2">
        <v>1.0871499999999999E-2</v>
      </c>
      <c r="G425" s="17">
        <f>F425 * VLOOKUP('GASB Data'!A425,Check!$A$2:$F$11,6,FALSE)</f>
        <v>13861195.114499999</v>
      </c>
    </row>
    <row r="426" spans="1:7" x14ac:dyDescent="0.2">
      <c r="A426">
        <v>2016</v>
      </c>
      <c r="B426" s="3" t="s">
        <v>302</v>
      </c>
      <c r="C426" s="3" t="s">
        <v>717</v>
      </c>
      <c r="D426" s="3" t="s">
        <v>717</v>
      </c>
      <c r="E426" s="8">
        <v>160286512</v>
      </c>
      <c r="F426" s="2">
        <v>1.4801E-3</v>
      </c>
      <c r="G426" s="17">
        <f>F426 * VLOOKUP('GASB Data'!A426,Check!$A$2:$F$11,6,FALSE)</f>
        <v>1887131.9403000001</v>
      </c>
    </row>
    <row r="427" spans="1:7" x14ac:dyDescent="0.2">
      <c r="A427">
        <v>2016</v>
      </c>
      <c r="B427" s="3" t="s">
        <v>303</v>
      </c>
      <c r="C427" s="3" t="s">
        <v>718</v>
      </c>
      <c r="D427" s="3" t="s">
        <v>718</v>
      </c>
      <c r="E427" s="8">
        <v>85607990</v>
      </c>
      <c r="F427" s="2">
        <v>7.9049999999999997E-4</v>
      </c>
      <c r="G427" s="17">
        <f>F427 * VLOOKUP('GASB Data'!A427,Check!$A$2:$F$11,6,FALSE)</f>
        <v>1007889.8715</v>
      </c>
    </row>
    <row r="428" spans="1:7" x14ac:dyDescent="0.2">
      <c r="A428">
        <v>2016</v>
      </c>
      <c r="B428" s="3" t="s">
        <v>304</v>
      </c>
      <c r="C428" s="3" t="s">
        <v>719</v>
      </c>
      <c r="D428" s="3" t="s">
        <v>719</v>
      </c>
      <c r="E428" s="8">
        <v>63042269</v>
      </c>
      <c r="F428" s="2">
        <v>5.8219999999999995E-4</v>
      </c>
      <c r="G428" s="17">
        <f>F428 * VLOOKUP('GASB Data'!A428,Check!$A$2:$F$11,6,FALSE)</f>
        <v>742306.74659999995</v>
      </c>
    </row>
    <row r="429" spans="1:7" x14ac:dyDescent="0.2">
      <c r="A429">
        <v>2016</v>
      </c>
      <c r="B429" s="3" t="s">
        <v>305</v>
      </c>
      <c r="C429" s="3" t="s">
        <v>720</v>
      </c>
      <c r="D429" s="3" t="s">
        <v>720</v>
      </c>
      <c r="E429" s="8">
        <v>330786061</v>
      </c>
      <c r="F429" s="2">
        <v>3.0546000000000002E-3</v>
      </c>
      <c r="G429" s="17">
        <f>F429 * VLOOKUP('GASB Data'!A429,Check!$A$2:$F$11,6,FALSE)</f>
        <v>3894624.1638000002</v>
      </c>
    </row>
    <row r="430" spans="1:7" x14ac:dyDescent="0.2">
      <c r="A430">
        <v>2016</v>
      </c>
      <c r="B430" s="3" t="s">
        <v>306</v>
      </c>
      <c r="C430" s="3" t="s">
        <v>721</v>
      </c>
      <c r="D430" s="3" t="s">
        <v>721</v>
      </c>
      <c r="E430" s="8">
        <v>141261532</v>
      </c>
      <c r="F430" s="2">
        <v>1.3045000000000001E-3</v>
      </c>
      <c r="G430" s="17">
        <f>F430 * VLOOKUP('GASB Data'!A430,Check!$A$2:$F$11,6,FALSE)</f>
        <v>1663241.4135</v>
      </c>
    </row>
    <row r="431" spans="1:7" x14ac:dyDescent="0.2">
      <c r="A431">
        <v>2016</v>
      </c>
      <c r="B431" s="3" t="s">
        <v>307</v>
      </c>
      <c r="C431" s="3" t="s">
        <v>722</v>
      </c>
      <c r="D431" s="3" t="s">
        <v>722</v>
      </c>
      <c r="E431" s="8">
        <v>3228618584</v>
      </c>
      <c r="F431" s="2">
        <v>2.9814299999999998E-2</v>
      </c>
      <c r="G431" s="17">
        <f>F431 * VLOOKUP('GASB Data'!A431,Check!$A$2:$F$11,6,FALSE)</f>
        <v>38013321.942899995</v>
      </c>
    </row>
    <row r="432" spans="1:7" x14ac:dyDescent="0.2">
      <c r="A432">
        <v>2016</v>
      </c>
      <c r="B432" s="3" t="s">
        <v>308</v>
      </c>
      <c r="C432" s="3" t="s">
        <v>723</v>
      </c>
      <c r="D432" s="3" t="s">
        <v>723</v>
      </c>
      <c r="E432" s="8">
        <v>272065447</v>
      </c>
      <c r="F432" s="2">
        <v>2.5124000000000001E-3</v>
      </c>
      <c r="G432" s="17">
        <f>F432 * VLOOKUP('GASB Data'!A432,Check!$A$2:$F$11,6,FALSE)</f>
        <v>3203317.5372000001</v>
      </c>
    </row>
    <row r="433" spans="1:7" x14ac:dyDescent="0.2">
      <c r="A433">
        <v>2016</v>
      </c>
      <c r="B433" s="3" t="s">
        <v>309</v>
      </c>
      <c r="C433" s="3" t="s">
        <v>724</v>
      </c>
      <c r="D433" s="3" t="s">
        <v>724</v>
      </c>
      <c r="E433" s="8">
        <v>119916576</v>
      </c>
      <c r="F433" s="2">
        <v>1.1073999999999999E-3</v>
      </c>
      <c r="G433" s="17">
        <f>F433 * VLOOKUP('GASB Data'!A433,Check!$A$2:$F$11,6,FALSE)</f>
        <v>1411938.3221999998</v>
      </c>
    </row>
    <row r="434" spans="1:7" x14ac:dyDescent="0.2">
      <c r="A434">
        <v>2016</v>
      </c>
      <c r="B434" s="3" t="s">
        <v>310</v>
      </c>
      <c r="C434" s="3" t="s">
        <v>725</v>
      </c>
      <c r="D434" s="3" t="s">
        <v>725</v>
      </c>
      <c r="E434" s="8">
        <v>48641242</v>
      </c>
      <c r="F434" s="2">
        <v>4.4920000000000002E-4</v>
      </c>
      <c r="G434" s="17">
        <f>F434 * VLOOKUP('GASB Data'!A434,Check!$A$2:$F$11,6,FALSE)</f>
        <v>572731.34759999998</v>
      </c>
    </row>
    <row r="435" spans="1:7" x14ac:dyDescent="0.2">
      <c r="A435">
        <v>2016</v>
      </c>
      <c r="B435" s="3" t="s">
        <v>311</v>
      </c>
      <c r="C435" s="3" t="s">
        <v>726</v>
      </c>
      <c r="D435" s="3" t="s">
        <v>726</v>
      </c>
      <c r="E435" s="8">
        <v>115623318</v>
      </c>
      <c r="F435" s="2">
        <v>1.0677E-3</v>
      </c>
      <c r="G435" s="17">
        <f>F435 * VLOOKUP('GASB Data'!A435,Check!$A$2:$F$11,6,FALSE)</f>
        <v>1361320.7031</v>
      </c>
    </row>
    <row r="436" spans="1:7" x14ac:dyDescent="0.2">
      <c r="A436">
        <v>2016</v>
      </c>
      <c r="B436" s="3" t="s">
        <v>312</v>
      </c>
      <c r="C436" s="3" t="s">
        <v>727</v>
      </c>
      <c r="D436" s="3" t="s">
        <v>727</v>
      </c>
      <c r="E436" s="8">
        <v>53083871</v>
      </c>
      <c r="F436" s="2">
        <v>4.9019999999999999E-4</v>
      </c>
      <c r="G436" s="17">
        <f>F436 * VLOOKUP('GASB Data'!A436,Check!$A$2:$F$11,6,FALSE)</f>
        <v>625006.4706</v>
      </c>
    </row>
    <row r="437" spans="1:7" x14ac:dyDescent="0.2">
      <c r="A437">
        <v>2016</v>
      </c>
      <c r="B437" s="3" t="s">
        <v>313</v>
      </c>
      <c r="C437" s="3" t="s">
        <v>728</v>
      </c>
      <c r="D437" s="3" t="s">
        <v>728</v>
      </c>
      <c r="E437" s="8">
        <v>766877417</v>
      </c>
      <c r="F437" s="2">
        <v>7.0816000000000004E-3</v>
      </c>
      <c r="G437" s="17">
        <f>F437 * VLOOKUP('GASB Data'!A437,Check!$A$2:$F$11,6,FALSE)</f>
        <v>9029061.2448000014</v>
      </c>
    </row>
    <row r="438" spans="1:7" x14ac:dyDescent="0.2">
      <c r="A438">
        <v>2016</v>
      </c>
      <c r="B438" s="3" t="s">
        <v>314</v>
      </c>
      <c r="C438" s="3" t="s">
        <v>729</v>
      </c>
      <c r="D438" s="3" t="s">
        <v>729</v>
      </c>
      <c r="E438" s="8">
        <v>324080314</v>
      </c>
      <c r="F438" s="2">
        <v>2.9927E-3</v>
      </c>
      <c r="G438" s="17">
        <f>F438 * VLOOKUP('GASB Data'!A438,Check!$A$2:$F$11,6,FALSE)</f>
        <v>3815701.4780999999</v>
      </c>
    </row>
    <row r="439" spans="1:7" x14ac:dyDescent="0.2">
      <c r="A439">
        <v>2016</v>
      </c>
      <c r="B439" s="3" t="s">
        <v>315</v>
      </c>
      <c r="C439" s="3" t="s">
        <v>730</v>
      </c>
      <c r="D439" s="3" t="s">
        <v>730</v>
      </c>
      <c r="E439" s="8">
        <v>64915439</v>
      </c>
      <c r="F439" s="2">
        <v>5.9949999999999999E-4</v>
      </c>
      <c r="G439" s="17">
        <f>F439 * VLOOKUP('GASB Data'!A439,Check!$A$2:$F$11,6,FALSE)</f>
        <v>764364.29850000003</v>
      </c>
    </row>
    <row r="440" spans="1:7" x14ac:dyDescent="0.2">
      <c r="A440">
        <v>2016</v>
      </c>
      <c r="B440" s="3" t="s">
        <v>316</v>
      </c>
      <c r="C440" s="3" t="s">
        <v>731</v>
      </c>
      <c r="D440" s="3" t="s">
        <v>731</v>
      </c>
      <c r="E440" s="8">
        <v>556594104</v>
      </c>
      <c r="F440" s="2">
        <v>5.1397999999999999E-3</v>
      </c>
      <c r="G440" s="17">
        <f>F440 * VLOOKUP('GASB Data'!A440,Check!$A$2:$F$11,6,FALSE)</f>
        <v>6553260.4194</v>
      </c>
    </row>
    <row r="441" spans="1:7" x14ac:dyDescent="0.2">
      <c r="A441">
        <v>2016</v>
      </c>
      <c r="B441" s="3" t="s">
        <v>317</v>
      </c>
      <c r="C441" s="3" t="s">
        <v>732</v>
      </c>
      <c r="D441" s="3" t="s">
        <v>732</v>
      </c>
      <c r="E441" s="8">
        <v>6699219</v>
      </c>
      <c r="F441" s="2">
        <v>6.19E-5</v>
      </c>
      <c r="G441" s="17">
        <f>F441 * VLOOKUP('GASB Data'!A441,Check!$A$2:$F$11,6,FALSE)</f>
        <v>78922.685700000002</v>
      </c>
    </row>
    <row r="442" spans="1:7" x14ac:dyDescent="0.2">
      <c r="A442">
        <v>2016</v>
      </c>
      <c r="B442" s="3" t="s">
        <v>318</v>
      </c>
      <c r="C442" s="3" t="s">
        <v>733</v>
      </c>
      <c r="D442" s="3" t="s">
        <v>733</v>
      </c>
      <c r="E442" s="8">
        <v>68401789</v>
      </c>
      <c r="F442" s="2">
        <v>6.3159999999999996E-4</v>
      </c>
      <c r="G442" s="17">
        <f>F442 * VLOOKUP('GASB Data'!A442,Check!$A$2:$F$11,6,FALSE)</f>
        <v>805291.89479999989</v>
      </c>
    </row>
    <row r="443" spans="1:7" x14ac:dyDescent="0.2">
      <c r="A443">
        <v>2016</v>
      </c>
      <c r="B443" s="3" t="s">
        <v>319</v>
      </c>
      <c r="C443" s="3" t="s">
        <v>734</v>
      </c>
      <c r="D443" s="3" t="s">
        <v>734</v>
      </c>
      <c r="E443" s="8">
        <v>131665501</v>
      </c>
      <c r="F443" s="2">
        <v>1.2158E-3</v>
      </c>
      <c r="G443" s="17">
        <f>F443 * VLOOKUP('GASB Data'!A443,Check!$A$2:$F$11,6,FALSE)</f>
        <v>1550148.6473999999</v>
      </c>
    </row>
    <row r="444" spans="1:7" x14ac:dyDescent="0.2">
      <c r="A444">
        <v>2016</v>
      </c>
      <c r="B444" s="3" t="s">
        <v>320</v>
      </c>
      <c r="C444" s="3" t="s">
        <v>735</v>
      </c>
      <c r="D444" s="3" t="s">
        <v>735</v>
      </c>
      <c r="E444" s="8">
        <v>29953620</v>
      </c>
      <c r="F444" s="2">
        <v>2.766E-4</v>
      </c>
      <c r="G444" s="17">
        <f>F444 * VLOOKUP('GASB Data'!A444,Check!$A$2:$F$11,6,FALSE)</f>
        <v>352665.82980000001</v>
      </c>
    </row>
    <row r="445" spans="1:7" x14ac:dyDescent="0.2">
      <c r="A445">
        <v>2016</v>
      </c>
      <c r="B445" s="3" t="s">
        <v>321</v>
      </c>
      <c r="C445" s="3" t="s">
        <v>736</v>
      </c>
      <c r="D445" s="3" t="s">
        <v>736</v>
      </c>
      <c r="E445" s="8">
        <v>357358219</v>
      </c>
      <c r="F445" s="2">
        <v>3.3E-3</v>
      </c>
      <c r="G445" s="17">
        <f>F445 * VLOOKUP('GASB Data'!A445,Check!$A$2:$F$11,6,FALSE)</f>
        <v>4207509.9000000004</v>
      </c>
    </row>
    <row r="446" spans="1:7" x14ac:dyDescent="0.2">
      <c r="A446">
        <v>2016</v>
      </c>
      <c r="B446" s="3" t="s">
        <v>322</v>
      </c>
      <c r="C446" s="3" t="s">
        <v>737</v>
      </c>
      <c r="D446" s="3" t="s">
        <v>737</v>
      </c>
      <c r="E446" s="8">
        <v>39402899</v>
      </c>
      <c r="F446" s="2">
        <v>3.6390000000000001E-4</v>
      </c>
      <c r="G446" s="17">
        <f>F446 * VLOOKUP('GASB Data'!A446,Check!$A$2:$F$11,6,FALSE)</f>
        <v>463973.59169999999</v>
      </c>
    </row>
    <row r="447" spans="1:7" x14ac:dyDescent="0.2">
      <c r="A447">
        <v>2016</v>
      </c>
      <c r="B447" s="3" t="s">
        <v>323</v>
      </c>
      <c r="C447" s="3" t="s">
        <v>738</v>
      </c>
      <c r="D447" s="3" t="s">
        <v>738</v>
      </c>
      <c r="E447" s="8">
        <v>798018528</v>
      </c>
      <c r="F447" s="2">
        <v>7.3692000000000002E-3</v>
      </c>
      <c r="G447" s="17">
        <f>F447 * VLOOKUP('GASB Data'!A447,Check!$A$2:$F$11,6,FALSE)</f>
        <v>9395752.1075999998</v>
      </c>
    </row>
    <row r="448" spans="1:7" x14ac:dyDescent="0.2">
      <c r="A448">
        <v>2016</v>
      </c>
      <c r="B448" s="3" t="s">
        <v>324</v>
      </c>
      <c r="C448" s="3" t="s">
        <v>739</v>
      </c>
      <c r="D448" s="3" t="s">
        <v>739</v>
      </c>
      <c r="E448" s="8">
        <v>20473960</v>
      </c>
      <c r="F448" s="2">
        <v>1.8909999999999999E-4</v>
      </c>
      <c r="G448" s="17">
        <f>F448 * VLOOKUP('GASB Data'!A448,Check!$A$2:$F$11,6,FALSE)</f>
        <v>241103.0673</v>
      </c>
    </row>
    <row r="449" spans="1:7" x14ac:dyDescent="0.2">
      <c r="A449">
        <v>2016</v>
      </c>
      <c r="B449" s="3" t="s">
        <v>325</v>
      </c>
      <c r="C449" s="3" t="s">
        <v>740</v>
      </c>
      <c r="D449" s="3" t="s">
        <v>740</v>
      </c>
      <c r="E449" s="8">
        <v>1449710</v>
      </c>
      <c r="F449" s="2">
        <v>1.34E-5</v>
      </c>
      <c r="G449" s="17">
        <f>F449 * VLOOKUP('GASB Data'!A449,Check!$A$2:$F$11,6,FALSE)</f>
        <v>17085.040199999999</v>
      </c>
    </row>
    <row r="450" spans="1:7" x14ac:dyDescent="0.2">
      <c r="A450">
        <v>2016</v>
      </c>
      <c r="B450" s="3" t="s">
        <v>326</v>
      </c>
      <c r="C450" s="3" t="s">
        <v>741</v>
      </c>
      <c r="D450" s="3" t="s">
        <v>741</v>
      </c>
      <c r="E450" s="8">
        <v>78632245</v>
      </c>
      <c r="F450" s="2">
        <v>7.2610000000000003E-4</v>
      </c>
      <c r="G450" s="17">
        <f>F450 * VLOOKUP('GASB Data'!A450,Check!$A$2:$F$11,6,FALSE)</f>
        <v>925779.67830000003</v>
      </c>
    </row>
    <row r="451" spans="1:7" x14ac:dyDescent="0.2">
      <c r="A451">
        <v>2016</v>
      </c>
      <c r="B451" s="3" t="s">
        <v>327</v>
      </c>
      <c r="C451" s="3" t="s">
        <v>742</v>
      </c>
      <c r="D451" s="3" t="s">
        <v>742</v>
      </c>
      <c r="E451" s="8">
        <v>250621716</v>
      </c>
      <c r="F451" s="2">
        <v>2.3143E-3</v>
      </c>
      <c r="G451" s="17">
        <f>F451 * VLOOKUP('GASB Data'!A451,Check!$A$2:$F$11,6,FALSE)</f>
        <v>2950739.4429000001</v>
      </c>
    </row>
    <row r="452" spans="1:7" x14ac:dyDescent="0.2">
      <c r="A452">
        <v>2016</v>
      </c>
      <c r="B452" s="3" t="s">
        <v>382</v>
      </c>
      <c r="C452" s="3" t="s">
        <v>743</v>
      </c>
      <c r="D452" s="3" t="s">
        <v>743</v>
      </c>
      <c r="E452" s="8">
        <v>168465598</v>
      </c>
      <c r="F452" s="2">
        <v>1.5556999999999999E-3</v>
      </c>
      <c r="G452" s="17">
        <f>F452 * VLOOKUP('GASB Data'!A452,Check!$A$2:$F$11,6,FALSE)</f>
        <v>1983522.1671</v>
      </c>
    </row>
    <row r="453" spans="1:7" x14ac:dyDescent="0.2">
      <c r="A453">
        <v>2016</v>
      </c>
      <c r="B453" s="3" t="s">
        <v>383</v>
      </c>
      <c r="C453" s="3" t="s">
        <v>744</v>
      </c>
      <c r="D453" s="3" t="s">
        <v>744</v>
      </c>
      <c r="E453" s="8">
        <v>76352166</v>
      </c>
      <c r="F453" s="2">
        <v>7.0509999999999995E-4</v>
      </c>
      <c r="G453" s="17">
        <f>F453 * VLOOKUP('GASB Data'!A453,Check!$A$2:$F$11,6,FALSE)</f>
        <v>899004.61529999995</v>
      </c>
    </row>
    <row r="454" spans="1:7" x14ac:dyDescent="0.2">
      <c r="A454">
        <v>2016</v>
      </c>
      <c r="B454" s="3" t="s">
        <v>384</v>
      </c>
      <c r="C454" s="3" t="s">
        <v>745</v>
      </c>
      <c r="D454" s="3" t="s">
        <v>745</v>
      </c>
      <c r="E454" s="8">
        <v>1407648753</v>
      </c>
      <c r="F454" s="2">
        <v>1.29987E-2</v>
      </c>
      <c r="G454" s="17">
        <f>F454 * VLOOKUP('GASB Data'!A454,Check!$A$2:$F$11,6,FALSE)</f>
        <v>16573381.496100001</v>
      </c>
    </row>
    <row r="455" spans="1:7" x14ac:dyDescent="0.2">
      <c r="A455">
        <v>2016</v>
      </c>
      <c r="B455" s="3" t="s">
        <v>385</v>
      </c>
      <c r="C455" s="3" t="s">
        <v>746</v>
      </c>
      <c r="D455" s="3" t="s">
        <v>746</v>
      </c>
      <c r="E455" s="8">
        <v>126968740</v>
      </c>
      <c r="F455" s="2">
        <v>1.1724999999999999E-3</v>
      </c>
      <c r="G455" s="17">
        <f>F455 * VLOOKUP('GASB Data'!A455,Check!$A$2:$F$11,6,FALSE)</f>
        <v>1494941.0174999998</v>
      </c>
    </row>
    <row r="456" spans="1:7" x14ac:dyDescent="0.2">
      <c r="A456">
        <v>2016</v>
      </c>
      <c r="B456" s="3" t="s">
        <v>386</v>
      </c>
      <c r="C456" s="3" t="s">
        <v>747</v>
      </c>
      <c r="D456" s="3" t="s">
        <v>747</v>
      </c>
      <c r="E456" s="8">
        <v>32408794</v>
      </c>
      <c r="F456" s="2">
        <v>2.9930000000000001E-4</v>
      </c>
      <c r="G456" s="17">
        <f>F456 * VLOOKUP('GASB Data'!A456,Check!$A$2:$F$11,6,FALSE)</f>
        <v>381608.39790000004</v>
      </c>
    </row>
    <row r="457" spans="1:7" x14ac:dyDescent="0.2">
      <c r="A457">
        <v>2016</v>
      </c>
      <c r="B457" s="3" t="s">
        <v>387</v>
      </c>
      <c r="C457" s="3" t="s">
        <v>748</v>
      </c>
      <c r="D457" s="3" t="s">
        <v>748</v>
      </c>
      <c r="E457" s="8">
        <v>62878197</v>
      </c>
      <c r="F457" s="2">
        <v>5.8060000000000002E-4</v>
      </c>
      <c r="G457" s="17">
        <f>F457 * VLOOKUP('GASB Data'!A457,Check!$A$2:$F$11,6,FALSE)</f>
        <v>740266.74180000008</v>
      </c>
    </row>
    <row r="458" spans="1:7" x14ac:dyDescent="0.2">
      <c r="A458">
        <v>2016</v>
      </c>
      <c r="B458" s="3" t="s">
        <v>388</v>
      </c>
      <c r="C458" s="3" t="s">
        <v>749</v>
      </c>
      <c r="D458" s="3" t="s">
        <v>749</v>
      </c>
      <c r="E458" s="8">
        <v>415071288</v>
      </c>
      <c r="F458" s="2">
        <v>3.8329000000000002E-3</v>
      </c>
      <c r="G458" s="17">
        <f>F458 * VLOOKUP('GASB Data'!A458,Check!$A$2:$F$11,6,FALSE)</f>
        <v>4886958.9987000003</v>
      </c>
    </row>
    <row r="459" spans="1:7" x14ac:dyDescent="0.2">
      <c r="A459">
        <v>2016</v>
      </c>
      <c r="B459" s="3" t="s">
        <v>389</v>
      </c>
      <c r="C459" s="3" t="s">
        <v>750</v>
      </c>
      <c r="D459" s="3" t="s">
        <v>750</v>
      </c>
      <c r="E459" s="8">
        <v>153768992</v>
      </c>
      <c r="F459" s="2">
        <v>1.42E-3</v>
      </c>
      <c r="G459" s="17">
        <f>F459 * VLOOKUP('GASB Data'!A459,Check!$A$2:$F$11,6,FALSE)</f>
        <v>1810504.26</v>
      </c>
    </row>
    <row r="460" spans="1:7" x14ac:dyDescent="0.2">
      <c r="A460">
        <v>2016</v>
      </c>
      <c r="B460" s="3" t="s">
        <v>390</v>
      </c>
      <c r="C460" s="3" t="s">
        <v>751</v>
      </c>
      <c r="D460" s="3" t="s">
        <v>751</v>
      </c>
      <c r="E460" s="8">
        <v>333012335</v>
      </c>
      <c r="F460" s="2">
        <v>3.0752000000000002E-3</v>
      </c>
      <c r="G460" s="17">
        <f>F460 * VLOOKUP('GASB Data'!A460,Check!$A$2:$F$11,6,FALSE)</f>
        <v>3920889.2256</v>
      </c>
    </row>
    <row r="461" spans="1:7" x14ac:dyDescent="0.2">
      <c r="A461">
        <v>2016</v>
      </c>
      <c r="B461" s="3" t="s">
        <v>391</v>
      </c>
      <c r="C461" s="3" t="s">
        <v>752</v>
      </c>
      <c r="D461" s="3" t="s">
        <v>752</v>
      </c>
      <c r="E461" s="8">
        <v>3025918</v>
      </c>
      <c r="F461" s="2">
        <v>2.7900000000000001E-5</v>
      </c>
      <c r="G461" s="17">
        <f>F461 * VLOOKUP('GASB Data'!A461,Check!$A$2:$F$11,6,FALSE)</f>
        <v>35572.583700000003</v>
      </c>
    </row>
    <row r="462" spans="1:7" x14ac:dyDescent="0.2">
      <c r="A462">
        <v>2016</v>
      </c>
      <c r="B462" s="3" t="s">
        <v>392</v>
      </c>
      <c r="C462" s="3" t="s">
        <v>753</v>
      </c>
      <c r="D462" s="3" t="s">
        <v>753</v>
      </c>
      <c r="E462" s="8">
        <v>116775501</v>
      </c>
      <c r="F462" s="2">
        <v>1.0782999999999999E-3</v>
      </c>
      <c r="G462" s="17">
        <f>F462 * VLOOKUP('GASB Data'!A462,Check!$A$2:$F$11,6,FALSE)</f>
        <v>1374835.7348999998</v>
      </c>
    </row>
    <row r="463" spans="1:7" x14ac:dyDescent="0.2">
      <c r="A463">
        <v>2016</v>
      </c>
      <c r="B463" s="3" t="s">
        <v>393</v>
      </c>
      <c r="C463" s="3" t="s">
        <v>754</v>
      </c>
      <c r="D463" s="3" t="s">
        <v>754</v>
      </c>
      <c r="E463" s="8">
        <v>469068294</v>
      </c>
      <c r="F463" s="2">
        <v>4.3315999999999997E-3</v>
      </c>
      <c r="G463" s="17">
        <f>F463 * VLOOKUP('GASB Data'!A463,Check!$A$2:$F$11,6,FALSE)</f>
        <v>5522802.9947999995</v>
      </c>
    </row>
    <row r="464" spans="1:7" x14ac:dyDescent="0.2">
      <c r="A464">
        <v>2016</v>
      </c>
      <c r="B464" s="3" t="s">
        <v>394</v>
      </c>
      <c r="C464" s="3" t="s">
        <v>755</v>
      </c>
      <c r="D464" s="3" t="s">
        <v>755</v>
      </c>
      <c r="E464" s="8">
        <v>185880292</v>
      </c>
      <c r="F464" s="2">
        <v>1.7164999999999999E-3</v>
      </c>
      <c r="G464" s="17">
        <f>F464 * VLOOKUP('GASB Data'!A464,Check!$A$2:$F$11,6,FALSE)</f>
        <v>2188542.6494999998</v>
      </c>
    </row>
    <row r="465" spans="1:7" x14ac:dyDescent="0.2">
      <c r="A465">
        <v>2016</v>
      </c>
      <c r="B465" s="3" t="s">
        <v>395</v>
      </c>
      <c r="C465" s="3" t="s">
        <v>756</v>
      </c>
      <c r="D465" s="3" t="s">
        <v>756</v>
      </c>
      <c r="E465" s="8">
        <v>104575256</v>
      </c>
      <c r="F465" s="2">
        <v>9.657E-4</v>
      </c>
      <c r="G465" s="17">
        <f>F465 * VLOOKUP('GASB Data'!A465,Check!$A$2:$F$11,6,FALSE)</f>
        <v>1231270.3970999999</v>
      </c>
    </row>
    <row r="466" spans="1:7" x14ac:dyDescent="0.2">
      <c r="A466">
        <v>2016</v>
      </c>
      <c r="B466" s="3" t="s">
        <v>396</v>
      </c>
      <c r="C466" s="3" t="s">
        <v>757</v>
      </c>
      <c r="D466" s="3" t="s">
        <v>757</v>
      </c>
      <c r="E466" s="8">
        <v>151261517</v>
      </c>
      <c r="F466" s="2">
        <v>1.3967999999999999E-3</v>
      </c>
      <c r="G466" s="17">
        <f>F466 * VLOOKUP('GASB Data'!A466,Check!$A$2:$F$11,6,FALSE)</f>
        <v>1780924.1904</v>
      </c>
    </row>
    <row r="467" spans="1:7" x14ac:dyDescent="0.2">
      <c r="A467">
        <v>2016</v>
      </c>
      <c r="B467" s="3" t="s">
        <v>397</v>
      </c>
      <c r="C467" s="3" t="s">
        <v>758</v>
      </c>
      <c r="D467" s="3" t="s">
        <v>758</v>
      </c>
      <c r="E467" s="8">
        <v>24233089</v>
      </c>
      <c r="F467" s="2">
        <v>2.2379999999999999E-4</v>
      </c>
      <c r="G467" s="17">
        <f>F467 * VLOOKUP('GASB Data'!A467,Check!$A$2:$F$11,6,FALSE)</f>
        <v>285345.67139999999</v>
      </c>
    </row>
    <row r="468" spans="1:7" x14ac:dyDescent="0.2">
      <c r="A468">
        <v>2016</v>
      </c>
      <c r="B468" s="3" t="s">
        <v>398</v>
      </c>
      <c r="C468" s="3" t="s">
        <v>759</v>
      </c>
      <c r="D468" s="3" t="s">
        <v>759</v>
      </c>
      <c r="E468" s="8">
        <v>278623763</v>
      </c>
      <c r="F468" s="2">
        <v>2.5728999999999999E-3</v>
      </c>
      <c r="G468" s="17">
        <f>F468 * VLOOKUP('GASB Data'!A468,Check!$A$2:$F$11,6,FALSE)</f>
        <v>3280455.2187000001</v>
      </c>
    </row>
    <row r="469" spans="1:7" x14ac:dyDescent="0.2">
      <c r="A469">
        <v>2016</v>
      </c>
      <c r="B469" s="3" t="s">
        <v>399</v>
      </c>
      <c r="C469" s="3" t="s">
        <v>760</v>
      </c>
      <c r="D469" s="3" t="s">
        <v>760</v>
      </c>
      <c r="E469" s="8">
        <v>38372531</v>
      </c>
      <c r="F469" s="2">
        <v>3.5429999999999999E-4</v>
      </c>
      <c r="G469" s="17">
        <f>F469 * VLOOKUP('GASB Data'!A469,Check!$A$2:$F$11,6,FALSE)</f>
        <v>451733.56290000002</v>
      </c>
    </row>
    <row r="470" spans="1:7" x14ac:dyDescent="0.2">
      <c r="A470">
        <v>2016</v>
      </c>
      <c r="B470" s="3" t="s">
        <v>400</v>
      </c>
      <c r="C470" s="3" t="s">
        <v>761</v>
      </c>
      <c r="D470" s="3" t="s">
        <v>761</v>
      </c>
      <c r="E470" s="8">
        <v>6352576014</v>
      </c>
      <c r="F470" s="2">
        <v>5.8661999999999999E-2</v>
      </c>
      <c r="G470" s="17">
        <f>F470 * VLOOKUP('GASB Data'!A470,Check!$A$2:$F$11,6,FALSE)</f>
        <v>74794225.986000001</v>
      </c>
    </row>
    <row r="471" spans="1:7" x14ac:dyDescent="0.2">
      <c r="A471">
        <v>2016</v>
      </c>
      <c r="B471" s="3" t="s">
        <v>401</v>
      </c>
      <c r="C471" s="3" t="s">
        <v>762</v>
      </c>
      <c r="D471" s="3" t="s">
        <v>762</v>
      </c>
      <c r="E471" s="8">
        <v>3548038</v>
      </c>
      <c r="F471" s="2">
        <v>3.2799999999999998E-5</v>
      </c>
      <c r="G471" s="17">
        <f>F471 * VLOOKUP('GASB Data'!A471,Check!$A$2:$F$11,6,FALSE)</f>
        <v>41820.098399999995</v>
      </c>
    </row>
    <row r="472" spans="1:7" x14ac:dyDescent="0.2">
      <c r="A472">
        <v>2016</v>
      </c>
      <c r="B472" s="3" t="s">
        <v>402</v>
      </c>
      <c r="C472" s="3" t="s">
        <v>763</v>
      </c>
      <c r="D472" s="3" t="s">
        <v>763</v>
      </c>
      <c r="E472" s="8">
        <v>15415735</v>
      </c>
      <c r="F472" s="2">
        <v>1.4239999999999999E-4</v>
      </c>
      <c r="G472" s="17">
        <f>F472 * VLOOKUP('GASB Data'!A472,Check!$A$2:$F$11,6,FALSE)</f>
        <v>181560.42719999998</v>
      </c>
    </row>
    <row r="473" spans="1:7" x14ac:dyDescent="0.2">
      <c r="A473">
        <v>2016</v>
      </c>
      <c r="B473" s="3" t="s">
        <v>403</v>
      </c>
      <c r="C473" s="3" t="s">
        <v>764</v>
      </c>
      <c r="D473" s="3" t="s">
        <v>764</v>
      </c>
      <c r="E473" s="8">
        <v>48521817</v>
      </c>
      <c r="F473" s="2">
        <v>4.481E-4</v>
      </c>
      <c r="G473" s="17">
        <f>F473 * VLOOKUP('GASB Data'!A473,Check!$A$2:$F$11,6,FALSE)</f>
        <v>571328.8443</v>
      </c>
    </row>
    <row r="474" spans="1:7" x14ac:dyDescent="0.2">
      <c r="A474">
        <v>2016</v>
      </c>
      <c r="B474" s="3" t="s">
        <v>404</v>
      </c>
      <c r="C474" s="3" t="s">
        <v>765</v>
      </c>
      <c r="D474" s="3" t="s">
        <v>765</v>
      </c>
      <c r="E474" s="8">
        <v>22985386</v>
      </c>
      <c r="F474" s="2">
        <v>2.1230000000000001E-4</v>
      </c>
      <c r="G474" s="17">
        <f>F474 * VLOOKUP('GASB Data'!A474,Check!$A$2:$F$11,6,FALSE)</f>
        <v>270683.13690000004</v>
      </c>
    </row>
    <row r="475" spans="1:7" x14ac:dyDescent="0.2">
      <c r="A475">
        <v>2016</v>
      </c>
      <c r="B475" s="3" t="s">
        <v>405</v>
      </c>
      <c r="C475" s="3" t="s">
        <v>766</v>
      </c>
      <c r="D475" s="3" t="s">
        <v>766</v>
      </c>
      <c r="E475" s="8">
        <v>550496143</v>
      </c>
      <c r="F475" s="2">
        <v>5.0835000000000003E-3</v>
      </c>
      <c r="G475" s="17">
        <f>F475 * VLOOKUP('GASB Data'!A475,Check!$A$2:$F$11,6,FALSE)</f>
        <v>6481477.7505000001</v>
      </c>
    </row>
    <row r="476" spans="1:7" x14ac:dyDescent="0.2">
      <c r="A476">
        <v>2016</v>
      </c>
      <c r="B476" s="3" t="s">
        <v>406</v>
      </c>
      <c r="C476" s="3" t="s">
        <v>767</v>
      </c>
      <c r="D476" s="3" t="s">
        <v>767</v>
      </c>
      <c r="E476" s="8">
        <v>57817675</v>
      </c>
      <c r="F476" s="2">
        <v>5.3390000000000002E-4</v>
      </c>
      <c r="G476" s="17">
        <f>F476 * VLOOKUP('GASB Data'!A476,Check!$A$2:$F$11,6,FALSE)</f>
        <v>680724.1017</v>
      </c>
    </row>
    <row r="477" spans="1:7" x14ac:dyDescent="0.2">
      <c r="A477">
        <v>2016</v>
      </c>
      <c r="B477" s="3" t="s">
        <v>407</v>
      </c>
      <c r="C477" s="3" t="s">
        <v>768</v>
      </c>
      <c r="D477" s="3" t="s">
        <v>768</v>
      </c>
      <c r="E477" s="8">
        <v>19044110</v>
      </c>
      <c r="F477" s="2">
        <v>1.7589999999999999E-4</v>
      </c>
      <c r="G477" s="17">
        <f>F477 * VLOOKUP('GASB Data'!A477,Check!$A$2:$F$11,6,FALSE)</f>
        <v>224273.02769999998</v>
      </c>
    </row>
    <row r="478" spans="1:7" x14ac:dyDescent="0.2">
      <c r="A478">
        <v>2016</v>
      </c>
      <c r="B478" s="3" t="s">
        <v>408</v>
      </c>
      <c r="C478" s="3" t="s">
        <v>769</v>
      </c>
      <c r="D478" s="3" t="s">
        <v>769</v>
      </c>
      <c r="E478" s="8">
        <v>58897004</v>
      </c>
      <c r="F478" s="2">
        <v>5.4390000000000005E-4</v>
      </c>
      <c r="G478" s="17">
        <f>F478 * VLOOKUP('GASB Data'!A478,Check!$A$2:$F$11,6,FALSE)</f>
        <v>693474.13170000003</v>
      </c>
    </row>
    <row r="479" spans="1:7" x14ac:dyDescent="0.2">
      <c r="A479">
        <v>2016</v>
      </c>
      <c r="B479" s="3" t="s">
        <v>409</v>
      </c>
      <c r="C479" s="3" t="s">
        <v>770</v>
      </c>
      <c r="D479" s="3" t="s">
        <v>770</v>
      </c>
      <c r="E479" s="8">
        <v>19386975</v>
      </c>
      <c r="F479" s="2">
        <v>1.7899999999999999E-4</v>
      </c>
      <c r="G479" s="17">
        <f>F479 * VLOOKUP('GASB Data'!A479,Check!$A$2:$F$11,6,FALSE)</f>
        <v>228225.53699999998</v>
      </c>
    </row>
    <row r="480" spans="1:7" x14ac:dyDescent="0.2">
      <c r="A480">
        <v>2016</v>
      </c>
      <c r="B480" s="3" t="s">
        <v>410</v>
      </c>
      <c r="C480" s="3" t="s">
        <v>771</v>
      </c>
      <c r="D480" s="3" t="s">
        <v>771</v>
      </c>
      <c r="E480" s="8">
        <v>83658842</v>
      </c>
      <c r="F480" s="2">
        <v>7.7249999999999997E-4</v>
      </c>
      <c r="G480" s="17">
        <f>F480 * VLOOKUP('GASB Data'!A480,Check!$A$2:$F$11,6,FALSE)</f>
        <v>984939.8175</v>
      </c>
    </row>
    <row r="481" spans="1:7" x14ac:dyDescent="0.2">
      <c r="A481">
        <v>2016</v>
      </c>
      <c r="B481" s="3" t="s">
        <v>411</v>
      </c>
      <c r="C481" s="3" t="s">
        <v>772</v>
      </c>
      <c r="D481" s="3" t="s">
        <v>772</v>
      </c>
      <c r="E481" s="8">
        <v>17492083</v>
      </c>
      <c r="F481" s="2">
        <v>1.615E-4</v>
      </c>
      <c r="G481" s="17">
        <f>F481 * VLOOKUP('GASB Data'!A481,Check!$A$2:$F$11,6,FALSE)</f>
        <v>205912.98449999999</v>
      </c>
    </row>
    <row r="482" spans="1:7" x14ac:dyDescent="0.2">
      <c r="A482">
        <v>2016</v>
      </c>
      <c r="B482" s="3" t="s">
        <v>412</v>
      </c>
      <c r="C482" s="3" t="s">
        <v>773</v>
      </c>
      <c r="D482" s="3" t="s">
        <v>773</v>
      </c>
      <c r="E482" s="8">
        <v>44569331</v>
      </c>
      <c r="F482" s="2">
        <v>4.1159999999999998E-4</v>
      </c>
      <c r="G482" s="17">
        <f>F482 * VLOOKUP('GASB Data'!A482,Check!$A$2:$F$11,6,FALSE)</f>
        <v>524791.23479999998</v>
      </c>
    </row>
    <row r="483" spans="1:7" x14ac:dyDescent="0.2">
      <c r="A483">
        <v>2016</v>
      </c>
      <c r="B483" s="3" t="s">
        <v>413</v>
      </c>
      <c r="C483" s="3" t="s">
        <v>774</v>
      </c>
      <c r="D483" s="3" t="s">
        <v>774</v>
      </c>
      <c r="E483" s="8">
        <v>176728889</v>
      </c>
      <c r="F483" s="2">
        <v>1.632E-3</v>
      </c>
      <c r="G483" s="17">
        <f>F483 * VLOOKUP('GASB Data'!A483,Check!$A$2:$F$11,6,FALSE)</f>
        <v>2080804.8959999999</v>
      </c>
    </row>
    <row r="484" spans="1:7" x14ac:dyDescent="0.2">
      <c r="A484">
        <v>2016</v>
      </c>
      <c r="B484" s="3" t="s">
        <v>414</v>
      </c>
      <c r="C484" s="3" t="s">
        <v>775</v>
      </c>
      <c r="D484" s="3" t="s">
        <v>775</v>
      </c>
      <c r="E484" s="8">
        <v>30450613</v>
      </c>
      <c r="F484" s="2">
        <v>2.812E-4</v>
      </c>
      <c r="G484" s="17">
        <f>F484 * VLOOKUP('GASB Data'!A484,Check!$A$2:$F$11,6,FALSE)</f>
        <v>358530.84360000002</v>
      </c>
    </row>
    <row r="485" spans="1:7" x14ac:dyDescent="0.2">
      <c r="A485">
        <v>2016</v>
      </c>
      <c r="B485" s="3" t="s">
        <v>415</v>
      </c>
      <c r="C485" s="3" t="s">
        <v>776</v>
      </c>
      <c r="D485" s="3" t="s">
        <v>776</v>
      </c>
      <c r="E485" s="8">
        <v>548909404</v>
      </c>
      <c r="F485" s="2">
        <v>5.0688E-3</v>
      </c>
      <c r="G485" s="17">
        <f>F485 * VLOOKUP('GASB Data'!A485,Check!$A$2:$F$11,6,FALSE)</f>
        <v>6462735.2064000005</v>
      </c>
    </row>
    <row r="486" spans="1:7" x14ac:dyDescent="0.2">
      <c r="A486">
        <v>2016</v>
      </c>
      <c r="B486" s="3" t="s">
        <v>416</v>
      </c>
      <c r="C486" s="3" t="s">
        <v>777</v>
      </c>
      <c r="D486" s="3" t="s">
        <v>777</v>
      </c>
      <c r="E486" s="8">
        <v>6879203</v>
      </c>
      <c r="F486" s="2">
        <v>6.3499999999999999E-5</v>
      </c>
      <c r="G486" s="17">
        <f>F486 * VLOOKUP('GASB Data'!A486,Check!$A$2:$F$11,6,FALSE)</f>
        <v>80962.690499999997</v>
      </c>
    </row>
    <row r="487" spans="1:7" x14ac:dyDescent="0.2">
      <c r="A487">
        <v>2016</v>
      </c>
      <c r="B487" s="3" t="s">
        <v>417</v>
      </c>
      <c r="C487" s="3" t="s">
        <v>778</v>
      </c>
      <c r="D487" s="3" t="s">
        <v>778</v>
      </c>
      <c r="E487" s="8">
        <v>13452788</v>
      </c>
      <c r="F487" s="2">
        <v>1.2420000000000001E-4</v>
      </c>
      <c r="G487" s="17">
        <f>F487 * VLOOKUP('GASB Data'!A487,Check!$A$2:$F$11,6,FALSE)</f>
        <v>158355.3726</v>
      </c>
    </row>
    <row r="488" spans="1:7" x14ac:dyDescent="0.2">
      <c r="A488">
        <v>2016</v>
      </c>
      <c r="B488" s="3" t="s">
        <v>418</v>
      </c>
      <c r="C488" s="3" t="s">
        <v>779</v>
      </c>
      <c r="D488" s="3" t="s">
        <v>779</v>
      </c>
      <c r="E488" s="8">
        <v>107889340</v>
      </c>
      <c r="F488" s="2">
        <v>9.9630000000000009E-4</v>
      </c>
      <c r="G488" s="17">
        <f>F488 * VLOOKUP('GASB Data'!A488,Check!$A$2:$F$11,6,FALSE)</f>
        <v>1270285.4889000002</v>
      </c>
    </row>
    <row r="489" spans="1:7" x14ac:dyDescent="0.2">
      <c r="A489">
        <v>2016</v>
      </c>
      <c r="B489" s="3" t="s">
        <v>419</v>
      </c>
      <c r="C489" s="3" t="s">
        <v>780</v>
      </c>
      <c r="D489" s="3" t="s">
        <v>780</v>
      </c>
      <c r="E489" s="8">
        <v>594903354</v>
      </c>
      <c r="F489" s="2">
        <v>5.4936000000000004E-3</v>
      </c>
      <c r="G489" s="17">
        <f>F489 * VLOOKUP('GASB Data'!A489,Check!$A$2:$F$11,6,FALSE)</f>
        <v>7004356.480800001</v>
      </c>
    </row>
    <row r="490" spans="1:7" x14ac:dyDescent="0.2">
      <c r="A490">
        <v>2016</v>
      </c>
      <c r="B490" s="3" t="s">
        <v>420</v>
      </c>
      <c r="C490" s="3" t="s">
        <v>781</v>
      </c>
      <c r="D490" s="3" t="s">
        <v>781</v>
      </c>
      <c r="E490" s="8">
        <v>102087217</v>
      </c>
      <c r="F490" s="2">
        <v>9.4269999999999998E-4</v>
      </c>
      <c r="G490" s="17">
        <f>F490 * VLOOKUP('GASB Data'!A490,Check!$A$2:$F$11,6,FALSE)</f>
        <v>1201945.3281</v>
      </c>
    </row>
    <row r="491" spans="1:7" x14ac:dyDescent="0.2">
      <c r="A491">
        <v>2016</v>
      </c>
      <c r="B491" s="3" t="s">
        <v>421</v>
      </c>
      <c r="C491" s="3" t="s">
        <v>782</v>
      </c>
      <c r="D491" s="3" t="s">
        <v>782</v>
      </c>
      <c r="E491" s="8">
        <v>1159305763</v>
      </c>
      <c r="F491" s="2">
        <v>1.07055E-2</v>
      </c>
      <c r="G491" s="17">
        <f>F491 * VLOOKUP('GASB Data'!A491,Check!$A$2:$F$11,6,FALSE)</f>
        <v>13649544.6165</v>
      </c>
    </row>
    <row r="492" spans="1:7" x14ac:dyDescent="0.2">
      <c r="A492">
        <v>2016</v>
      </c>
      <c r="B492" s="3" t="s">
        <v>422</v>
      </c>
      <c r="C492" s="3" t="s">
        <v>783</v>
      </c>
      <c r="D492" s="3" t="s">
        <v>783</v>
      </c>
      <c r="E492" s="8">
        <v>13044997</v>
      </c>
      <c r="F492" s="2">
        <v>1.205E-4</v>
      </c>
      <c r="G492" s="17">
        <f>F492 * VLOOKUP('GASB Data'!A492,Check!$A$2:$F$11,6,FALSE)</f>
        <v>153637.8615</v>
      </c>
    </row>
    <row r="493" spans="1:7" x14ac:dyDescent="0.2">
      <c r="A493">
        <v>2016</v>
      </c>
      <c r="B493" s="3" t="s">
        <v>423</v>
      </c>
      <c r="C493" s="3" t="s">
        <v>784</v>
      </c>
      <c r="D493" s="3" t="s">
        <v>784</v>
      </c>
      <c r="E493" s="8">
        <v>5584877</v>
      </c>
      <c r="F493" s="2">
        <v>5.1600000000000001E-5</v>
      </c>
      <c r="G493" s="17">
        <f>F493 * VLOOKUP('GASB Data'!A493,Check!$A$2:$F$11,6,FALSE)</f>
        <v>65790.154800000004</v>
      </c>
    </row>
    <row r="494" spans="1:7" x14ac:dyDescent="0.2">
      <c r="A494">
        <v>2016</v>
      </c>
      <c r="B494" s="3" t="s">
        <v>424</v>
      </c>
      <c r="C494" s="3" t="s">
        <v>785</v>
      </c>
      <c r="D494" s="3" t="s">
        <v>785</v>
      </c>
      <c r="E494" s="8">
        <v>232307129</v>
      </c>
      <c r="F494" s="2">
        <v>2.1451999999999999E-3</v>
      </c>
      <c r="G494" s="17">
        <f>F494 * VLOOKUP('GASB Data'!A494,Check!$A$2:$F$11,6,FALSE)</f>
        <v>2735136.4356</v>
      </c>
    </row>
    <row r="495" spans="1:7" x14ac:dyDescent="0.2">
      <c r="A495">
        <v>2016</v>
      </c>
      <c r="B495" s="3" t="s">
        <v>425</v>
      </c>
      <c r="C495" s="3" t="s">
        <v>786</v>
      </c>
      <c r="D495" s="3" t="s">
        <v>786</v>
      </c>
      <c r="E495" s="8">
        <v>85957441</v>
      </c>
      <c r="F495" s="2">
        <v>7.938E-4</v>
      </c>
      <c r="G495" s="17">
        <f>F495 * VLOOKUP('GASB Data'!A495,Check!$A$2:$F$11,6,FALSE)</f>
        <v>1012097.3814</v>
      </c>
    </row>
    <row r="496" spans="1:7" x14ac:dyDescent="0.2">
      <c r="A496">
        <v>2016</v>
      </c>
      <c r="B496" s="3" t="s">
        <v>426</v>
      </c>
      <c r="C496" s="3" t="s">
        <v>787</v>
      </c>
      <c r="D496" s="3" t="s">
        <v>787</v>
      </c>
      <c r="E496" s="8">
        <v>43797121</v>
      </c>
      <c r="F496" s="2">
        <v>4.0440000000000002E-4</v>
      </c>
      <c r="G496" s="17">
        <f>F496 * VLOOKUP('GASB Data'!A496,Check!$A$2:$F$11,6,FALSE)</f>
        <v>515611.2132</v>
      </c>
    </row>
    <row r="497" spans="1:7" x14ac:dyDescent="0.2">
      <c r="A497">
        <v>2016</v>
      </c>
      <c r="B497" s="3" t="s">
        <v>427</v>
      </c>
      <c r="C497" s="3" t="s">
        <v>788</v>
      </c>
      <c r="D497" s="3" t="s">
        <v>788</v>
      </c>
      <c r="E497" s="8">
        <v>988483553</v>
      </c>
      <c r="F497" s="2">
        <v>9.1280000000000007E-3</v>
      </c>
      <c r="G497" s="17">
        <f>F497 * VLOOKUP('GASB Data'!A497,Check!$A$2:$F$11,6,FALSE)</f>
        <v>11638227.384000001</v>
      </c>
    </row>
    <row r="498" spans="1:7" x14ac:dyDescent="0.2">
      <c r="A498">
        <v>2016</v>
      </c>
      <c r="B498" s="3" t="s">
        <v>428</v>
      </c>
      <c r="C498" s="3" t="s">
        <v>789</v>
      </c>
      <c r="D498" s="3" t="s">
        <v>789</v>
      </c>
      <c r="E498" s="8">
        <v>5013853</v>
      </c>
      <c r="F498" s="2">
        <v>4.6300000000000001E-5</v>
      </c>
      <c r="G498" s="17">
        <f>F498 * VLOOKUP('GASB Data'!A498,Check!$A$2:$F$11,6,FALSE)</f>
        <v>59032.638899999998</v>
      </c>
    </row>
    <row r="499" spans="1:7" x14ac:dyDescent="0.2">
      <c r="A499">
        <v>2016</v>
      </c>
      <c r="B499" s="3" t="s">
        <v>429</v>
      </c>
      <c r="C499" s="3" t="s">
        <v>790</v>
      </c>
      <c r="D499" s="3" t="s">
        <v>790</v>
      </c>
      <c r="E499" s="8">
        <v>112251845</v>
      </c>
      <c r="F499" s="2">
        <v>1.0365999999999999E-3</v>
      </c>
      <c r="G499" s="17">
        <f>F499 * VLOOKUP('GASB Data'!A499,Check!$A$2:$F$11,6,FALSE)</f>
        <v>1321668.1098</v>
      </c>
    </row>
    <row r="500" spans="1:7" x14ac:dyDescent="0.2">
      <c r="A500">
        <v>2016</v>
      </c>
      <c r="B500" s="3" t="s">
        <v>430</v>
      </c>
      <c r="C500" s="3" t="s">
        <v>791</v>
      </c>
      <c r="D500" s="3" t="s">
        <v>791</v>
      </c>
      <c r="E500" s="8">
        <v>372188256</v>
      </c>
      <c r="F500" s="2">
        <v>3.4369000000000001E-3</v>
      </c>
      <c r="G500" s="17">
        <f>F500 * VLOOKUP('GASB Data'!A500,Check!$A$2:$F$11,6,FALSE)</f>
        <v>4382057.8107000003</v>
      </c>
    </row>
    <row r="501" spans="1:7" x14ac:dyDescent="0.2">
      <c r="A501">
        <v>2016</v>
      </c>
      <c r="B501" s="3" t="s">
        <v>432</v>
      </c>
      <c r="C501" s="3" t="s">
        <v>792</v>
      </c>
      <c r="D501" s="3" t="s">
        <v>792</v>
      </c>
      <c r="E501" s="8">
        <v>9772486</v>
      </c>
      <c r="F501" s="2">
        <v>9.0199999999999997E-5</v>
      </c>
      <c r="G501" s="17">
        <f>F501 * VLOOKUP('GASB Data'!A501,Check!$A$2:$F$11,6,FALSE)</f>
        <v>115005.27059999999</v>
      </c>
    </row>
    <row r="502" spans="1:7" x14ac:dyDescent="0.2">
      <c r="A502">
        <v>2016</v>
      </c>
      <c r="B502" s="3" t="s">
        <v>433</v>
      </c>
      <c r="C502" s="3" t="s">
        <v>793</v>
      </c>
      <c r="D502" s="3" t="s">
        <v>793</v>
      </c>
      <c r="E502" s="8">
        <v>718475049</v>
      </c>
      <c r="F502" s="2">
        <v>6.6347000000000003E-3</v>
      </c>
      <c r="G502" s="17">
        <f>F502 * VLOOKUP('GASB Data'!A502,Check!$A$2:$F$11,6,FALSE)</f>
        <v>8459262.4041000009</v>
      </c>
    </row>
    <row r="503" spans="1:7" x14ac:dyDescent="0.2">
      <c r="A503">
        <v>2016</v>
      </c>
      <c r="B503" s="3" t="s">
        <v>434</v>
      </c>
      <c r="C503" s="3" t="s">
        <v>794</v>
      </c>
      <c r="D503" s="3" t="s">
        <v>794</v>
      </c>
      <c r="E503" s="8">
        <v>70847363</v>
      </c>
      <c r="F503" s="2">
        <v>6.5419999999999996E-4</v>
      </c>
      <c r="G503" s="17">
        <f>F503 * VLOOKUP('GASB Data'!A503,Check!$A$2:$F$11,6,FALSE)</f>
        <v>834106.96259999997</v>
      </c>
    </row>
    <row r="504" spans="1:7" x14ac:dyDescent="0.2">
      <c r="A504">
        <v>2016</v>
      </c>
      <c r="B504" s="3" t="s">
        <v>435</v>
      </c>
      <c r="C504" s="3" t="s">
        <v>795</v>
      </c>
      <c r="D504" s="3" t="s">
        <v>795</v>
      </c>
      <c r="E504" s="8">
        <v>23511666</v>
      </c>
      <c r="F504" s="2">
        <v>2.1709999999999999E-4</v>
      </c>
      <c r="G504" s="17">
        <f>F504 * VLOOKUP('GASB Data'!A504,Check!$A$2:$F$11,6,FALSE)</f>
        <v>276803.15129999997</v>
      </c>
    </row>
    <row r="505" spans="1:7" x14ac:dyDescent="0.2">
      <c r="A505">
        <v>2016</v>
      </c>
      <c r="B505" s="3" t="s">
        <v>490</v>
      </c>
      <c r="C505" s="3" t="s">
        <v>796</v>
      </c>
      <c r="D505" s="3" t="s">
        <v>796</v>
      </c>
      <c r="E505" s="8">
        <v>22571737</v>
      </c>
      <c r="F505" s="2">
        <v>2.084E-4</v>
      </c>
      <c r="G505" s="17">
        <f>F505 * VLOOKUP('GASB Data'!A505,Check!$A$2:$F$11,6,FALSE)</f>
        <v>265710.62520000001</v>
      </c>
    </row>
    <row r="506" spans="1:7" x14ac:dyDescent="0.2">
      <c r="A506">
        <v>2016</v>
      </c>
      <c r="B506" s="3" t="s">
        <v>491</v>
      </c>
      <c r="C506" s="3" t="s">
        <v>797</v>
      </c>
      <c r="D506" s="3" t="s">
        <v>797</v>
      </c>
      <c r="E506" s="8">
        <v>248014759</v>
      </c>
      <c r="F506" s="2">
        <v>2.2902999999999999E-3</v>
      </c>
      <c r="G506" s="17">
        <f>F506 * VLOOKUP('GASB Data'!A506,Check!$A$2:$F$11,6,FALSE)</f>
        <v>2920139.3709</v>
      </c>
    </row>
    <row r="507" spans="1:7" x14ac:dyDescent="0.2">
      <c r="A507">
        <v>2016</v>
      </c>
      <c r="B507" s="3" t="s">
        <v>850</v>
      </c>
      <c r="C507" s="3" t="s">
        <v>798</v>
      </c>
      <c r="D507" s="3" t="s">
        <v>798</v>
      </c>
      <c r="E507" s="8">
        <v>4780020</v>
      </c>
      <c r="F507" s="2">
        <v>4.4100000000000001E-5</v>
      </c>
      <c r="G507" s="17">
        <f>F507 * VLOOKUP('GASB Data'!A507,Check!$A$2:$F$11,6,FALSE)</f>
        <v>56227.632300000005</v>
      </c>
    </row>
    <row r="508" spans="1:7" x14ac:dyDescent="0.2">
      <c r="A508">
        <v>2016</v>
      </c>
      <c r="B508" s="3" t="s">
        <v>492</v>
      </c>
      <c r="C508" s="3" t="s">
        <v>799</v>
      </c>
      <c r="D508" s="3" t="s">
        <v>799</v>
      </c>
      <c r="E508" s="8">
        <v>58416817</v>
      </c>
      <c r="F508" s="2">
        <v>5.3939999999999999E-4</v>
      </c>
      <c r="G508" s="17">
        <f>F508 * VLOOKUP('GASB Data'!A508,Check!$A$2:$F$11,6,FALSE)</f>
        <v>687736.61820000003</v>
      </c>
    </row>
    <row r="509" spans="1:7" x14ac:dyDescent="0.2">
      <c r="A509">
        <v>2016</v>
      </c>
      <c r="B509" s="3" t="s">
        <v>493</v>
      </c>
      <c r="C509" s="3" t="s">
        <v>800</v>
      </c>
      <c r="D509" s="3" t="s">
        <v>800</v>
      </c>
      <c r="E509" s="8">
        <v>343531620</v>
      </c>
      <c r="F509" s="2">
        <v>3.1722999999999999E-3</v>
      </c>
      <c r="G509" s="17">
        <f>F509 * VLOOKUP('GASB Data'!A509,Check!$A$2:$F$11,6,FALSE)</f>
        <v>4044692.0168999997</v>
      </c>
    </row>
    <row r="510" spans="1:7" x14ac:dyDescent="0.2">
      <c r="A510">
        <v>2016</v>
      </c>
      <c r="B510" s="3" t="s">
        <v>494</v>
      </c>
      <c r="C510" s="3" t="s">
        <v>801</v>
      </c>
      <c r="D510" s="3" t="s">
        <v>801</v>
      </c>
      <c r="E510" s="8">
        <v>77500191</v>
      </c>
      <c r="F510" s="2">
        <v>7.157E-4</v>
      </c>
      <c r="G510" s="17">
        <f>F510 * VLOOKUP('GASB Data'!A510,Check!$A$2:$F$11,6,FALSE)</f>
        <v>912519.64709999994</v>
      </c>
    </row>
    <row r="511" spans="1:7" x14ac:dyDescent="0.2">
      <c r="A511">
        <v>2016</v>
      </c>
      <c r="B511" s="3" t="s">
        <v>495</v>
      </c>
      <c r="C511" s="3" t="s">
        <v>802</v>
      </c>
      <c r="D511" s="3" t="s">
        <v>802</v>
      </c>
      <c r="E511" s="8">
        <v>204775993</v>
      </c>
      <c r="F511" s="2">
        <v>1.8910000000000001E-3</v>
      </c>
      <c r="G511" s="17">
        <f>F511 * VLOOKUP('GASB Data'!A511,Check!$A$2:$F$11,6,FALSE)</f>
        <v>2411030.673</v>
      </c>
    </row>
    <row r="512" spans="1:7" x14ac:dyDescent="0.2">
      <c r="A512">
        <v>2016</v>
      </c>
      <c r="B512" s="3" t="s">
        <v>496</v>
      </c>
      <c r="C512" s="3" t="s">
        <v>803</v>
      </c>
      <c r="D512" s="3" t="s">
        <v>803</v>
      </c>
      <c r="E512" s="8">
        <v>21380533</v>
      </c>
      <c r="F512" s="2">
        <v>1.974E-4</v>
      </c>
      <c r="G512" s="17">
        <f>F512 * VLOOKUP('GASB Data'!A512,Check!$A$2:$F$11,6,FALSE)</f>
        <v>251685.59220000001</v>
      </c>
    </row>
    <row r="513" spans="1:7" x14ac:dyDescent="0.2">
      <c r="A513">
        <v>2016</v>
      </c>
      <c r="B513" s="3" t="s">
        <v>497</v>
      </c>
      <c r="C513" s="3" t="s">
        <v>804</v>
      </c>
      <c r="D513" s="3" t="s">
        <v>804</v>
      </c>
      <c r="E513" s="8">
        <v>61614662</v>
      </c>
      <c r="F513" s="2">
        <v>5.6899999999999995E-4</v>
      </c>
      <c r="G513" s="17">
        <f>F513 * VLOOKUP('GASB Data'!A513,Check!$A$2:$F$11,6,FALSE)</f>
        <v>725476.70699999994</v>
      </c>
    </row>
    <row r="514" spans="1:7" x14ac:dyDescent="0.2">
      <c r="A514">
        <v>2016</v>
      </c>
      <c r="B514" s="3" t="s">
        <v>498</v>
      </c>
      <c r="C514" s="3" t="s">
        <v>805</v>
      </c>
      <c r="D514" s="3" t="s">
        <v>805</v>
      </c>
      <c r="E514" s="8">
        <v>991607920</v>
      </c>
      <c r="F514" s="2">
        <v>9.1569000000000008E-3</v>
      </c>
      <c r="G514" s="17">
        <f>F514 * VLOOKUP('GASB Data'!A514,Check!$A$2:$F$11,6,FALSE)</f>
        <v>11675074.970700001</v>
      </c>
    </row>
    <row r="515" spans="1:7" x14ac:dyDescent="0.2">
      <c r="A515">
        <v>2016</v>
      </c>
      <c r="B515" s="3" t="s">
        <v>499</v>
      </c>
      <c r="C515" s="3" t="s">
        <v>806</v>
      </c>
      <c r="D515" s="3" t="s">
        <v>806</v>
      </c>
      <c r="E515" s="8">
        <v>224729759</v>
      </c>
      <c r="F515" s="2">
        <v>2.0752000000000001E-3</v>
      </c>
      <c r="G515" s="17">
        <f>F515 * VLOOKUP('GASB Data'!A515,Check!$A$2:$F$11,6,FALSE)</f>
        <v>2645886.2256</v>
      </c>
    </row>
    <row r="516" spans="1:7" x14ac:dyDescent="0.2">
      <c r="A516">
        <v>2016</v>
      </c>
      <c r="B516" s="3" t="s">
        <v>500</v>
      </c>
      <c r="C516" s="3" t="s">
        <v>807</v>
      </c>
      <c r="D516" s="3" t="s">
        <v>807</v>
      </c>
      <c r="E516" s="8">
        <v>110126434</v>
      </c>
      <c r="F516" s="2">
        <v>1.0169000000000001E-3</v>
      </c>
      <c r="G516" s="17">
        <f>F516 * VLOOKUP('GASB Data'!A516,Check!$A$2:$F$11,6,FALSE)</f>
        <v>1296550.5507</v>
      </c>
    </row>
    <row r="517" spans="1:7" x14ac:dyDescent="0.2">
      <c r="A517">
        <v>2016</v>
      </c>
      <c r="B517" s="3" t="s">
        <v>501</v>
      </c>
      <c r="C517" s="3" t="s">
        <v>808</v>
      </c>
      <c r="D517" s="3" t="s">
        <v>808</v>
      </c>
      <c r="E517" s="8">
        <v>699011394</v>
      </c>
      <c r="F517" s="2">
        <v>6.4549000000000004E-3</v>
      </c>
      <c r="G517" s="17">
        <f>F517 * VLOOKUP('GASB Data'!A517,Check!$A$2:$F$11,6,FALSE)</f>
        <v>8230016.8647000007</v>
      </c>
    </row>
    <row r="518" spans="1:7" x14ac:dyDescent="0.2">
      <c r="A518">
        <v>2016</v>
      </c>
      <c r="B518" s="3" t="s">
        <v>502</v>
      </c>
      <c r="C518" s="3" t="s">
        <v>809</v>
      </c>
      <c r="D518" s="3" t="s">
        <v>809</v>
      </c>
      <c r="E518" s="8">
        <v>21974576</v>
      </c>
      <c r="F518" s="2">
        <v>2.029E-4</v>
      </c>
      <c r="G518" s="17">
        <f>F518 * VLOOKUP('GASB Data'!A518,Check!$A$2:$F$11,6,FALSE)</f>
        <v>258698.10870000001</v>
      </c>
    </row>
    <row r="519" spans="1:7" x14ac:dyDescent="0.2">
      <c r="A519">
        <v>2016</v>
      </c>
      <c r="B519" s="3" t="s">
        <v>503</v>
      </c>
      <c r="C519" s="3" t="s">
        <v>810</v>
      </c>
      <c r="D519" s="3" t="s">
        <v>810</v>
      </c>
      <c r="E519" s="8">
        <v>83347002</v>
      </c>
      <c r="F519" s="2">
        <v>7.6970000000000001E-4</v>
      </c>
      <c r="G519" s="17">
        <f>F519 * VLOOKUP('GASB Data'!A519,Check!$A$2:$F$11,6,FALSE)</f>
        <v>981369.80909999995</v>
      </c>
    </row>
    <row r="520" spans="1:7" x14ac:dyDescent="0.2">
      <c r="A520">
        <v>2016</v>
      </c>
      <c r="B520" s="3" t="s">
        <v>504</v>
      </c>
      <c r="C520" s="3" t="s">
        <v>811</v>
      </c>
      <c r="D520" s="3" t="s">
        <v>811</v>
      </c>
      <c r="E520" s="8">
        <v>210372400</v>
      </c>
      <c r="F520" s="2">
        <v>1.9426999999999999E-3</v>
      </c>
      <c r="G520" s="17">
        <f>F520 * VLOOKUP('GASB Data'!A520,Check!$A$2:$F$11,6,FALSE)</f>
        <v>2476948.3281</v>
      </c>
    </row>
    <row r="521" spans="1:7" x14ac:dyDescent="0.2">
      <c r="A521">
        <v>2016</v>
      </c>
      <c r="B521" s="3" t="s">
        <v>505</v>
      </c>
      <c r="C521" s="3" t="s">
        <v>812</v>
      </c>
      <c r="D521" s="3" t="s">
        <v>812</v>
      </c>
      <c r="E521" s="8">
        <v>297395103</v>
      </c>
      <c r="F521" s="2">
        <v>2.7463000000000001E-3</v>
      </c>
      <c r="G521" s="17">
        <f>F521 * VLOOKUP('GASB Data'!A521,Check!$A$2:$F$11,6,FALSE)</f>
        <v>3501540.7389000002</v>
      </c>
    </row>
    <row r="522" spans="1:7" x14ac:dyDescent="0.2">
      <c r="A522">
        <v>2016</v>
      </c>
      <c r="B522" s="3" t="s">
        <v>506</v>
      </c>
      <c r="C522" s="3" t="s">
        <v>813</v>
      </c>
      <c r="D522" s="3" t="s">
        <v>813</v>
      </c>
      <c r="E522" s="8">
        <v>86958410</v>
      </c>
      <c r="F522" s="2">
        <v>8.03E-4</v>
      </c>
      <c r="G522" s="17">
        <f>F522 * VLOOKUP('GASB Data'!A522,Check!$A$2:$F$11,6,FALSE)</f>
        <v>1023827.409</v>
      </c>
    </row>
    <row r="523" spans="1:7" x14ac:dyDescent="0.2">
      <c r="A523">
        <v>2016</v>
      </c>
      <c r="B523" s="3" t="s">
        <v>507</v>
      </c>
      <c r="C523" s="3" t="s">
        <v>814</v>
      </c>
      <c r="D523" s="3" t="s">
        <v>814</v>
      </c>
      <c r="E523" s="8">
        <v>899309819</v>
      </c>
      <c r="F523" s="2">
        <v>8.3046000000000005E-3</v>
      </c>
      <c r="G523" s="17">
        <f>F523 * VLOOKUP('GASB Data'!A523,Check!$A$2:$F$11,6,FALSE)</f>
        <v>10588389.913800001</v>
      </c>
    </row>
    <row r="524" spans="1:7" x14ac:dyDescent="0.2">
      <c r="A524">
        <v>2016</v>
      </c>
      <c r="B524" s="3" t="s">
        <v>508</v>
      </c>
      <c r="C524" s="3" t="s">
        <v>815</v>
      </c>
      <c r="D524" s="3" t="s">
        <v>815</v>
      </c>
      <c r="E524" s="8">
        <v>5837266</v>
      </c>
      <c r="F524" s="2">
        <v>5.3900000000000002E-5</v>
      </c>
      <c r="G524" s="17">
        <f>F524 * VLOOKUP('GASB Data'!A524,Check!$A$2:$F$11,6,FALSE)</f>
        <v>68722.661699999997</v>
      </c>
    </row>
    <row r="525" spans="1:7" x14ac:dyDescent="0.2">
      <c r="A525">
        <v>2016</v>
      </c>
      <c r="B525" s="3" t="s">
        <v>509</v>
      </c>
      <c r="C525" s="3" t="s">
        <v>816</v>
      </c>
      <c r="D525" s="3" t="s">
        <v>816</v>
      </c>
      <c r="E525" s="8">
        <v>72504914</v>
      </c>
      <c r="F525" s="2">
        <v>6.6949999999999996E-4</v>
      </c>
      <c r="G525" s="17">
        <f>F525 * VLOOKUP('GASB Data'!A525,Check!$A$2:$F$11,6,FALSE)</f>
        <v>853614.5085</v>
      </c>
    </row>
    <row r="526" spans="1:7" x14ac:dyDescent="0.2">
      <c r="A526">
        <v>2016</v>
      </c>
      <c r="B526" s="3" t="s">
        <v>510</v>
      </c>
      <c r="C526" s="3" t="s">
        <v>817</v>
      </c>
      <c r="D526" s="3" t="s">
        <v>817</v>
      </c>
      <c r="E526" s="8">
        <v>493988932</v>
      </c>
      <c r="F526" s="2">
        <v>4.5617000000000001E-3</v>
      </c>
      <c r="G526" s="17">
        <f>F526 * VLOOKUP('GASB Data'!A526,Check!$A$2:$F$11,6,FALSE)</f>
        <v>5816181.1851000004</v>
      </c>
    </row>
    <row r="527" spans="1:7" x14ac:dyDescent="0.2">
      <c r="A527">
        <v>2016</v>
      </c>
      <c r="B527" s="3" t="s">
        <v>511</v>
      </c>
      <c r="C527" s="3" t="s">
        <v>818</v>
      </c>
      <c r="D527" s="3" t="s">
        <v>818</v>
      </c>
      <c r="E527" s="8">
        <v>6696463</v>
      </c>
      <c r="F527" s="2">
        <v>6.1799999999999998E-5</v>
      </c>
      <c r="G527" s="17">
        <f>F527 * VLOOKUP('GASB Data'!A527,Check!$A$2:$F$11,6,FALSE)</f>
        <v>78795.185400000002</v>
      </c>
    </row>
    <row r="528" spans="1:7" x14ac:dyDescent="0.2">
      <c r="A528">
        <v>2016</v>
      </c>
      <c r="B528" s="3" t="s">
        <v>512</v>
      </c>
      <c r="C528" s="3" t="s">
        <v>819</v>
      </c>
      <c r="D528" s="3" t="s">
        <v>819</v>
      </c>
      <c r="E528" s="8">
        <v>55427701</v>
      </c>
      <c r="F528" s="2">
        <v>5.1179999999999997E-4</v>
      </c>
      <c r="G528" s="17">
        <f>F528 * VLOOKUP('GASB Data'!A528,Check!$A$2:$F$11,6,FALSE)</f>
        <v>652546.53539999994</v>
      </c>
    </row>
    <row r="529" spans="1:7" x14ac:dyDescent="0.2">
      <c r="A529">
        <v>2016</v>
      </c>
      <c r="B529" s="3" t="s">
        <v>513</v>
      </c>
      <c r="C529" s="3" t="s">
        <v>820</v>
      </c>
      <c r="D529" s="3" t="s">
        <v>820</v>
      </c>
      <c r="E529" s="8">
        <v>777694840</v>
      </c>
      <c r="F529" s="2">
        <v>7.1815000000000004E-3</v>
      </c>
      <c r="G529" s="17">
        <f>F529 * VLOOKUP('GASB Data'!A529,Check!$A$2:$F$11,6,FALSE)</f>
        <v>9156434.0445000008</v>
      </c>
    </row>
    <row r="530" spans="1:7" x14ac:dyDescent="0.2">
      <c r="A530">
        <v>2016</v>
      </c>
      <c r="B530" s="3" t="s">
        <v>514</v>
      </c>
      <c r="C530" s="3" t="s">
        <v>821</v>
      </c>
      <c r="D530" s="3" t="s">
        <v>821</v>
      </c>
      <c r="E530" s="8">
        <v>162313254</v>
      </c>
      <c r="F530" s="2">
        <v>1.4989000000000001E-3</v>
      </c>
      <c r="G530" s="17">
        <f>F530 * VLOOKUP('GASB Data'!A530,Check!$A$2:$F$11,6,FALSE)</f>
        <v>1911101.9967</v>
      </c>
    </row>
    <row r="531" spans="1:7" x14ac:dyDescent="0.2">
      <c r="A531">
        <v>2016</v>
      </c>
      <c r="B531" s="3" t="s">
        <v>515</v>
      </c>
      <c r="C531" s="3" t="s">
        <v>822</v>
      </c>
      <c r="D531" s="3" t="s">
        <v>822</v>
      </c>
      <c r="E531" s="8">
        <v>359099034</v>
      </c>
      <c r="F531" s="2">
        <v>3.3161000000000002E-3</v>
      </c>
      <c r="G531" s="17">
        <f>F531 * VLOOKUP('GASB Data'!A531,Check!$A$2:$F$11,6,FALSE)</f>
        <v>4228037.4483000003</v>
      </c>
    </row>
    <row r="532" spans="1:7" x14ac:dyDescent="0.2">
      <c r="A532">
        <v>2016</v>
      </c>
      <c r="B532" s="3" t="s">
        <v>516</v>
      </c>
      <c r="C532" s="3" t="s">
        <v>823</v>
      </c>
      <c r="D532" s="3" t="s">
        <v>823</v>
      </c>
      <c r="E532" s="8">
        <v>74071964</v>
      </c>
      <c r="F532" s="2">
        <v>6.8400000000000004E-4</v>
      </c>
      <c r="G532" s="17">
        <f>F532 * VLOOKUP('GASB Data'!A532,Check!$A$2:$F$11,6,FALSE)</f>
        <v>872102.05200000003</v>
      </c>
    </row>
    <row r="533" spans="1:7" x14ac:dyDescent="0.2">
      <c r="A533">
        <v>2016</v>
      </c>
      <c r="B533" s="3" t="s">
        <v>517</v>
      </c>
      <c r="C533" s="3" t="s">
        <v>824</v>
      </c>
      <c r="D533" s="3" t="s">
        <v>824</v>
      </c>
      <c r="E533" s="8">
        <v>347881837</v>
      </c>
      <c r="F533" s="2">
        <v>3.2125000000000001E-3</v>
      </c>
      <c r="G533" s="17">
        <f>F533 * VLOOKUP('GASB Data'!A533,Check!$A$2:$F$11,6,FALSE)</f>
        <v>4095947.1375000002</v>
      </c>
    </row>
    <row r="534" spans="1:7" x14ac:dyDescent="0.2">
      <c r="A534">
        <v>2016</v>
      </c>
      <c r="B534" s="3" t="s">
        <v>518</v>
      </c>
      <c r="C534" s="3" t="s">
        <v>825</v>
      </c>
      <c r="D534" s="3" t="s">
        <v>825</v>
      </c>
      <c r="E534" s="8">
        <v>49202866</v>
      </c>
      <c r="F534" s="2">
        <v>4.5439999999999999E-4</v>
      </c>
      <c r="G534" s="17">
        <f>F534 * VLOOKUP('GASB Data'!A534,Check!$A$2:$F$11,6,FALSE)</f>
        <v>579361.36320000002</v>
      </c>
    </row>
    <row r="535" spans="1:7" x14ac:dyDescent="0.2">
      <c r="A535">
        <v>2016</v>
      </c>
      <c r="B535" s="3" t="s">
        <v>519</v>
      </c>
      <c r="C535" s="3" t="s">
        <v>826</v>
      </c>
      <c r="D535" s="3" t="s">
        <v>826</v>
      </c>
      <c r="E535" s="8">
        <v>127712156</v>
      </c>
      <c r="F535" s="2">
        <v>1.1793000000000001E-3</v>
      </c>
      <c r="G535" s="17">
        <f>F535 * VLOOKUP('GASB Data'!A535,Check!$A$2:$F$11,6,FALSE)</f>
        <v>1503611.0379000001</v>
      </c>
    </row>
    <row r="536" spans="1:7" x14ac:dyDescent="0.2">
      <c r="A536">
        <v>2016</v>
      </c>
      <c r="B536" s="3" t="s">
        <v>520</v>
      </c>
      <c r="C536" s="3" t="s">
        <v>827</v>
      </c>
      <c r="D536" s="3" t="s">
        <v>827</v>
      </c>
      <c r="E536" s="8">
        <v>274202342</v>
      </c>
      <c r="F536" s="2">
        <v>2.5320999999999998E-3</v>
      </c>
      <c r="G536" s="17">
        <f>F536 * VLOOKUP('GASB Data'!A536,Check!$A$2:$F$11,6,FALSE)</f>
        <v>3228435.0962999999</v>
      </c>
    </row>
    <row r="537" spans="1:7" x14ac:dyDescent="0.2">
      <c r="A537">
        <v>2016</v>
      </c>
      <c r="B537" s="3" t="s">
        <v>521</v>
      </c>
      <c r="C537" s="3" t="s">
        <v>828</v>
      </c>
      <c r="D537" s="3" t="s">
        <v>828</v>
      </c>
      <c r="E537" s="8">
        <v>337374020</v>
      </c>
      <c r="F537" s="2">
        <v>3.1153999999999999E-3</v>
      </c>
      <c r="G537" s="17">
        <f>F537 * VLOOKUP('GASB Data'!A537,Check!$A$2:$F$11,6,FALSE)</f>
        <v>3972144.3462</v>
      </c>
    </row>
    <row r="538" spans="1:7" x14ac:dyDescent="0.2">
      <c r="A538">
        <v>2016</v>
      </c>
      <c r="B538" s="3" t="s">
        <v>522</v>
      </c>
      <c r="C538" s="3" t="s">
        <v>829</v>
      </c>
      <c r="D538" s="3" t="s">
        <v>829</v>
      </c>
      <c r="E538" s="8">
        <v>11388663</v>
      </c>
      <c r="F538" s="2">
        <v>1.052E-4</v>
      </c>
      <c r="G538" s="17">
        <f>F538 * VLOOKUP('GASB Data'!A538,Check!$A$2:$F$11,6,FALSE)</f>
        <v>134130.3156</v>
      </c>
    </row>
    <row r="539" spans="1:7" x14ac:dyDescent="0.2">
      <c r="A539">
        <v>2016</v>
      </c>
      <c r="B539" s="3" t="s">
        <v>523</v>
      </c>
      <c r="C539" s="3" t="s">
        <v>830</v>
      </c>
      <c r="D539" s="3" t="s">
        <v>830</v>
      </c>
      <c r="E539" s="8">
        <v>82706546</v>
      </c>
      <c r="F539" s="2">
        <v>7.6369999999999997E-4</v>
      </c>
      <c r="G539" s="17">
        <f>F539 * VLOOKUP('GASB Data'!A539,Check!$A$2:$F$11,6,FALSE)</f>
        <v>973719.79109999991</v>
      </c>
    </row>
    <row r="540" spans="1:7" x14ac:dyDescent="0.2">
      <c r="A540">
        <v>2016</v>
      </c>
      <c r="B540" s="3" t="s">
        <v>524</v>
      </c>
      <c r="C540" s="3" t="s">
        <v>831</v>
      </c>
      <c r="D540" s="3" t="s">
        <v>831</v>
      </c>
      <c r="E540" s="8">
        <v>269891493</v>
      </c>
      <c r="F540" s="2">
        <v>2.4922999999999998E-3</v>
      </c>
      <c r="G540" s="17">
        <f>F540 * VLOOKUP('GASB Data'!A540,Check!$A$2:$F$11,6,FALSE)</f>
        <v>3177689.9768999997</v>
      </c>
    </row>
    <row r="541" spans="1:7" x14ac:dyDescent="0.2">
      <c r="A541">
        <v>2016</v>
      </c>
      <c r="B541" s="3" t="s">
        <v>525</v>
      </c>
      <c r="C541" s="3" t="s">
        <v>832</v>
      </c>
      <c r="D541" s="3" t="s">
        <v>832</v>
      </c>
      <c r="E541" s="8">
        <v>335284191</v>
      </c>
      <c r="F541" s="2">
        <v>3.0961000000000001E-3</v>
      </c>
      <c r="G541" s="17">
        <f>F541 * VLOOKUP('GASB Data'!A541,Check!$A$2:$F$11,6,FALSE)</f>
        <v>3947536.7883000001</v>
      </c>
    </row>
    <row r="542" spans="1:7" x14ac:dyDescent="0.2">
      <c r="A542">
        <v>2016</v>
      </c>
      <c r="B542" s="3" t="s">
        <v>526</v>
      </c>
      <c r="C542" s="3" t="s">
        <v>833</v>
      </c>
      <c r="D542" s="3" t="s">
        <v>833</v>
      </c>
      <c r="E542" s="8">
        <v>4469239</v>
      </c>
      <c r="F542" s="2">
        <v>4.1300000000000001E-5</v>
      </c>
      <c r="G542" s="17">
        <f>F542 * VLOOKUP('GASB Data'!A542,Check!$A$2:$F$11,6,FALSE)</f>
        <v>52657.623899999999</v>
      </c>
    </row>
    <row r="543" spans="1:7" x14ac:dyDescent="0.2">
      <c r="A543">
        <v>2016</v>
      </c>
      <c r="B543" s="3" t="s">
        <v>527</v>
      </c>
      <c r="C543" s="3" t="s">
        <v>834</v>
      </c>
      <c r="D543" s="3" t="s">
        <v>834</v>
      </c>
      <c r="E543" s="8">
        <v>19815817</v>
      </c>
      <c r="F543" s="2">
        <v>1.83E-4</v>
      </c>
      <c r="G543" s="17">
        <f>F543 * VLOOKUP('GASB Data'!A543,Check!$A$2:$F$11,6,FALSE)</f>
        <v>233325.549</v>
      </c>
    </row>
    <row r="544" spans="1:7" x14ac:dyDescent="0.2">
      <c r="A544">
        <v>2016</v>
      </c>
      <c r="B544" s="3" t="s">
        <v>528</v>
      </c>
      <c r="C544" s="3" t="s">
        <v>835</v>
      </c>
      <c r="D544" s="3" t="s">
        <v>835</v>
      </c>
      <c r="E544" s="8">
        <v>92119157</v>
      </c>
      <c r="F544" s="2">
        <v>8.5070000000000002E-4</v>
      </c>
      <c r="G544" s="17">
        <f>F544 * VLOOKUP('GASB Data'!A544,Check!$A$2:$F$11,6,FALSE)</f>
        <v>1084645.0521</v>
      </c>
    </row>
    <row r="545" spans="1:7" x14ac:dyDescent="0.2">
      <c r="A545">
        <v>2016</v>
      </c>
      <c r="B545" s="3" t="s">
        <v>529</v>
      </c>
      <c r="C545" s="3" t="s">
        <v>836</v>
      </c>
      <c r="D545" s="3" t="s">
        <v>836</v>
      </c>
      <c r="E545" s="8">
        <v>67814780</v>
      </c>
      <c r="F545" s="2">
        <v>6.2620000000000004E-4</v>
      </c>
      <c r="G545" s="17">
        <f>F545 * VLOOKUP('GASB Data'!A545,Check!$A$2:$F$11,6,FALSE)</f>
        <v>798406.87860000005</v>
      </c>
    </row>
    <row r="546" spans="1:7" x14ac:dyDescent="0.2">
      <c r="A546">
        <v>2016</v>
      </c>
      <c r="B546" s="3" t="s">
        <v>530</v>
      </c>
      <c r="C546" s="3" t="s">
        <v>837</v>
      </c>
      <c r="D546" s="3" t="s">
        <v>837</v>
      </c>
      <c r="E546" s="8">
        <v>57917410</v>
      </c>
      <c r="F546" s="2">
        <v>5.3479999999999999E-4</v>
      </c>
      <c r="G546" s="17">
        <f>F546 * VLOOKUP('GASB Data'!A546,Check!$A$2:$F$11,6,FALSE)</f>
        <v>681871.60439999995</v>
      </c>
    </row>
    <row r="547" spans="1:7" x14ac:dyDescent="0.2">
      <c r="A547">
        <v>2016</v>
      </c>
      <c r="B547" s="3" t="s">
        <v>531</v>
      </c>
      <c r="C547" s="3" t="s">
        <v>838</v>
      </c>
      <c r="D547" s="3" t="s">
        <v>838</v>
      </c>
      <c r="E547" s="8">
        <v>99270587</v>
      </c>
      <c r="F547" s="2">
        <v>9.167E-4</v>
      </c>
      <c r="G547" s="17">
        <f>F547 * VLOOKUP('GASB Data'!A547,Check!$A$2:$F$11,6,FALSE)</f>
        <v>1168795.2501000001</v>
      </c>
    </row>
    <row r="548" spans="1:7" x14ac:dyDescent="0.2">
      <c r="A548">
        <v>2016</v>
      </c>
      <c r="B548" s="3" t="s">
        <v>532</v>
      </c>
      <c r="C548" s="3" t="s">
        <v>839</v>
      </c>
      <c r="D548" s="3" t="s">
        <v>839</v>
      </c>
      <c r="E548" s="8">
        <v>6806978</v>
      </c>
      <c r="F548" s="2">
        <v>6.2899999999999997E-5</v>
      </c>
      <c r="G548" s="17">
        <f>F548 * VLOOKUP('GASB Data'!A548,Check!$A$2:$F$11,6,FALSE)</f>
        <v>80197.688699999999</v>
      </c>
    </row>
    <row r="549" spans="1:7" x14ac:dyDescent="0.2">
      <c r="A549">
        <v>2016</v>
      </c>
      <c r="B549" s="3" t="s">
        <v>533</v>
      </c>
      <c r="C549" s="3" t="s">
        <v>840</v>
      </c>
      <c r="D549" s="3" t="s">
        <v>840</v>
      </c>
      <c r="E549" s="8">
        <v>170375956</v>
      </c>
      <c r="F549" s="2">
        <v>1.5732999999999999E-3</v>
      </c>
      <c r="G549" s="17">
        <f>F549 * VLOOKUP('GASB Data'!A549,Check!$A$2:$F$11,6,FALSE)</f>
        <v>2005962.2198999999</v>
      </c>
    </row>
    <row r="550" spans="1:7" x14ac:dyDescent="0.2">
      <c r="A550">
        <v>2016</v>
      </c>
      <c r="B550" s="3" t="s">
        <v>534</v>
      </c>
      <c r="C550" s="3" t="s">
        <v>841</v>
      </c>
      <c r="D550" s="3" t="s">
        <v>841</v>
      </c>
      <c r="E550" s="8">
        <v>11991597</v>
      </c>
      <c r="F550" s="2">
        <v>1.1069999999999999E-4</v>
      </c>
      <c r="G550" s="17">
        <f>F550 * VLOOKUP('GASB Data'!A550,Check!$A$2:$F$11,6,FALSE)</f>
        <v>141142.8321</v>
      </c>
    </row>
    <row r="551" spans="1:7" x14ac:dyDescent="0.2">
      <c r="A551">
        <v>2016</v>
      </c>
      <c r="B551" s="3" t="s">
        <v>535</v>
      </c>
      <c r="C551" s="3" t="s">
        <v>842</v>
      </c>
      <c r="D551" s="3" t="s">
        <v>842</v>
      </c>
      <c r="E551" s="8">
        <v>38919582</v>
      </c>
      <c r="F551" s="2">
        <v>3.5940000000000001E-4</v>
      </c>
      <c r="G551" s="17">
        <f>F551 * VLOOKUP('GASB Data'!A551,Check!$A$2:$F$11,6,FALSE)</f>
        <v>458236.07819999999</v>
      </c>
    </row>
    <row r="552" spans="1:7" x14ac:dyDescent="0.2">
      <c r="A552">
        <v>2016</v>
      </c>
      <c r="B552" s="3" t="s">
        <v>536</v>
      </c>
      <c r="C552" s="3" t="s">
        <v>843</v>
      </c>
      <c r="D552" s="3" t="s">
        <v>843</v>
      </c>
      <c r="E552" s="8">
        <v>1714268848</v>
      </c>
      <c r="F552" s="2">
        <v>1.5830199999999999E-2</v>
      </c>
      <c r="G552" s="17">
        <f>F552 * VLOOKUP('GASB Data'!A552,Check!$A$2:$F$11,6,FALSE)</f>
        <v>20183552.490599997</v>
      </c>
    </row>
    <row r="553" spans="1:7" x14ac:dyDescent="0.2">
      <c r="A553">
        <v>2016</v>
      </c>
      <c r="B553" s="3" t="s">
        <v>537</v>
      </c>
      <c r="C553" s="3" t="s">
        <v>844</v>
      </c>
      <c r="D553" s="3" t="s">
        <v>844</v>
      </c>
      <c r="E553" s="8">
        <v>266657559</v>
      </c>
      <c r="F553" s="2">
        <v>2.4624E-3</v>
      </c>
      <c r="G553" s="17">
        <f>F553 * VLOOKUP('GASB Data'!A553,Check!$A$2:$F$11,6,FALSE)</f>
        <v>3139567.3872000002</v>
      </c>
    </row>
    <row r="554" spans="1:7" x14ac:dyDescent="0.2">
      <c r="A554">
        <v>2016</v>
      </c>
      <c r="B554" s="3" t="s">
        <v>538</v>
      </c>
      <c r="C554" s="3" t="s">
        <v>845</v>
      </c>
      <c r="D554" s="3" t="s">
        <v>845</v>
      </c>
      <c r="E554" s="8">
        <v>19020626</v>
      </c>
      <c r="F554" s="2">
        <v>1.7560000000000001E-4</v>
      </c>
      <c r="G554" s="17">
        <f>F554 * VLOOKUP('GASB Data'!A554,Check!$A$2:$F$11,6,FALSE)</f>
        <v>223890.52680000002</v>
      </c>
    </row>
    <row r="555" spans="1:7" x14ac:dyDescent="0.2">
      <c r="A555">
        <v>2016</v>
      </c>
      <c r="B555" s="3" t="s">
        <v>539</v>
      </c>
      <c r="C555" s="3" t="s">
        <v>846</v>
      </c>
      <c r="D555" s="3" t="s">
        <v>846</v>
      </c>
      <c r="E555" s="8">
        <v>109317798</v>
      </c>
      <c r="F555" s="2">
        <v>1.0095E-3</v>
      </c>
      <c r="G555" s="17">
        <f>F555 * VLOOKUP('GASB Data'!A555,Check!$A$2:$F$11,6,FALSE)</f>
        <v>1287115.5285</v>
      </c>
    </row>
    <row r="556" spans="1:7" x14ac:dyDescent="0.2">
      <c r="A556">
        <v>2016</v>
      </c>
      <c r="B556" s="3" t="s">
        <v>540</v>
      </c>
      <c r="C556" s="3" t="s">
        <v>847</v>
      </c>
      <c r="D556" s="3" t="s">
        <v>847</v>
      </c>
      <c r="E556" s="8">
        <v>6968581386</v>
      </c>
      <c r="F556" s="2">
        <v>6.4350400000000002E-2</v>
      </c>
      <c r="G556" s="17">
        <f>F556 * VLOOKUP('GASB Data'!A556,Check!$A$2:$F$11,6,FALSE)</f>
        <v>82046953.051200002</v>
      </c>
    </row>
    <row r="557" spans="1:7" x14ac:dyDescent="0.2">
      <c r="A557">
        <v>2016</v>
      </c>
      <c r="B557" s="3" t="s">
        <v>541</v>
      </c>
      <c r="C557" s="3" t="s">
        <v>848</v>
      </c>
      <c r="D557" s="3" t="s">
        <v>848</v>
      </c>
      <c r="E557" s="8">
        <v>21009544</v>
      </c>
      <c r="F557" s="2">
        <v>1.94E-4</v>
      </c>
      <c r="G557" s="17">
        <f>F557 * VLOOKUP('GASB Data'!A557,Check!$A$2:$F$11,6,FALSE)</f>
        <v>247350.58199999999</v>
      </c>
    </row>
    <row r="558" spans="1:7" x14ac:dyDescent="0.2">
      <c r="A558">
        <v>2016</v>
      </c>
      <c r="B558" s="3" t="s">
        <v>542</v>
      </c>
      <c r="C558" s="3" t="s">
        <v>849</v>
      </c>
      <c r="D558" s="3" t="s">
        <v>849</v>
      </c>
      <c r="E558" s="8">
        <v>14467135</v>
      </c>
      <c r="F558" s="2">
        <v>1.3359999999999999E-4</v>
      </c>
      <c r="G558" s="17">
        <f>F558 * VLOOKUP('GASB Data'!A558,Check!$A$2:$F$11,6,FALSE)</f>
        <v>170340.4008</v>
      </c>
    </row>
    <row r="559" spans="1:7" x14ac:dyDescent="0.2">
      <c r="A559">
        <v>2016</v>
      </c>
      <c r="B559" s="3" t="s">
        <v>543</v>
      </c>
      <c r="C559" s="3" t="s">
        <v>851</v>
      </c>
      <c r="D559" s="3" t="s">
        <v>851</v>
      </c>
      <c r="E559" s="8">
        <v>548915634</v>
      </c>
      <c r="F559" s="2">
        <v>5.0689000000000003E-3</v>
      </c>
      <c r="G559" s="17">
        <f>F559 * VLOOKUP('GASB Data'!A559,Check!$A$2:$F$11,6,FALSE)</f>
        <v>6462862.7067</v>
      </c>
    </row>
    <row r="560" spans="1:7" x14ac:dyDescent="0.2">
      <c r="A560">
        <v>2016</v>
      </c>
      <c r="B560" s="3" t="s">
        <v>561</v>
      </c>
      <c r="C560" s="3" t="s">
        <v>852</v>
      </c>
      <c r="D560" s="3" t="s">
        <v>852</v>
      </c>
      <c r="E560" s="8">
        <v>43819283</v>
      </c>
      <c r="F560" s="2">
        <v>4.0460000000000002E-4</v>
      </c>
      <c r="G560" s="17">
        <f>F560 * VLOOKUP('GASB Data'!A560,Check!$A$2:$F$11,6,FALSE)</f>
        <v>515866.21380000003</v>
      </c>
    </row>
    <row r="561" spans="1:7" x14ac:dyDescent="0.2">
      <c r="A561">
        <v>2016</v>
      </c>
      <c r="B561" s="3" t="s">
        <v>562</v>
      </c>
      <c r="C561" s="3" t="s">
        <v>853</v>
      </c>
      <c r="D561" s="3" t="s">
        <v>853</v>
      </c>
      <c r="E561" s="8">
        <v>22058089</v>
      </c>
      <c r="F561" s="2">
        <v>2.0369999999999999E-4</v>
      </c>
      <c r="G561" s="17">
        <f>F561 * VLOOKUP('GASB Data'!A561,Check!$A$2:$F$11,6,FALSE)</f>
        <v>259718.11109999998</v>
      </c>
    </row>
    <row r="562" spans="1:7" x14ac:dyDescent="0.2">
      <c r="A562">
        <v>2016</v>
      </c>
      <c r="B562" s="3" t="s">
        <v>563</v>
      </c>
      <c r="C562" s="3" t="s">
        <v>854</v>
      </c>
      <c r="D562" s="3" t="s">
        <v>854</v>
      </c>
      <c r="E562" s="8">
        <v>103776093</v>
      </c>
      <c r="F562" s="2">
        <v>9.5830000000000004E-4</v>
      </c>
      <c r="G562" s="17">
        <f>F562 * VLOOKUP('GASB Data'!A562,Check!$A$2:$F$11,6,FALSE)</f>
        <v>1221835.3748999999</v>
      </c>
    </row>
    <row r="563" spans="1:7" x14ac:dyDescent="0.2">
      <c r="A563">
        <v>2016</v>
      </c>
      <c r="B563" s="3" t="s">
        <v>564</v>
      </c>
      <c r="C563" s="3" t="s">
        <v>855</v>
      </c>
      <c r="D563" s="3" t="s">
        <v>855</v>
      </c>
      <c r="E563" s="8">
        <v>5658234</v>
      </c>
      <c r="F563" s="2">
        <v>5.2299999999999997E-5</v>
      </c>
      <c r="G563" s="17">
        <f>F563 * VLOOKUP('GASB Data'!A563,Check!$A$2:$F$11,6,FALSE)</f>
        <v>66682.656900000002</v>
      </c>
    </row>
    <row r="564" spans="1:7" x14ac:dyDescent="0.2">
      <c r="A564">
        <v>2016</v>
      </c>
      <c r="B564" s="3" t="s">
        <v>565</v>
      </c>
      <c r="C564" s="3" t="s">
        <v>856</v>
      </c>
      <c r="D564" s="3" t="s">
        <v>856</v>
      </c>
      <c r="E564" s="8">
        <v>71390008</v>
      </c>
      <c r="F564" s="2">
        <v>6.5919999999999998E-4</v>
      </c>
      <c r="G564" s="17">
        <f>F564 * VLOOKUP('GASB Data'!A564,Check!$A$2:$F$11,6,FALSE)</f>
        <v>840481.97759999998</v>
      </c>
    </row>
    <row r="565" spans="1:7" x14ac:dyDescent="0.2">
      <c r="A565">
        <v>2016</v>
      </c>
      <c r="B565" s="3" t="s">
        <v>566</v>
      </c>
      <c r="C565" s="3" t="s">
        <v>857</v>
      </c>
      <c r="D565" s="3" t="s">
        <v>857</v>
      </c>
      <c r="E565" s="8">
        <v>24043826</v>
      </c>
      <c r="F565" s="2">
        <v>2.22E-4</v>
      </c>
      <c r="G565" s="17">
        <f>F565 * VLOOKUP('GASB Data'!A565,Check!$A$2:$F$11,6,FALSE)</f>
        <v>283050.66600000003</v>
      </c>
    </row>
    <row r="566" spans="1:7" x14ac:dyDescent="0.2">
      <c r="A566">
        <v>2016</v>
      </c>
      <c r="B566" s="3" t="s">
        <v>567</v>
      </c>
      <c r="C566" s="3" t="s">
        <v>858</v>
      </c>
      <c r="D566" s="3" t="s">
        <v>858</v>
      </c>
      <c r="E566" s="8">
        <v>214967259</v>
      </c>
      <c r="F566" s="2">
        <v>1.9851000000000001E-3</v>
      </c>
      <c r="G566" s="17">
        <f>F566 * VLOOKUP('GASB Data'!A566,Check!$A$2:$F$11,6,FALSE)</f>
        <v>2531008.4553</v>
      </c>
    </row>
    <row r="567" spans="1:7" x14ac:dyDescent="0.2">
      <c r="A567">
        <v>2016</v>
      </c>
      <c r="B567" s="3" t="s">
        <v>568</v>
      </c>
      <c r="C567" s="3" t="s">
        <v>859</v>
      </c>
      <c r="D567" s="3" t="s">
        <v>859</v>
      </c>
      <c r="E567" s="8">
        <v>6937940</v>
      </c>
      <c r="F567" s="2">
        <v>6.41E-5</v>
      </c>
      <c r="G567" s="17">
        <f>F567 * VLOOKUP('GASB Data'!A567,Check!$A$2:$F$11,6,FALSE)</f>
        <v>81727.692299999995</v>
      </c>
    </row>
    <row r="568" spans="1:7" x14ac:dyDescent="0.2">
      <c r="A568">
        <v>2016</v>
      </c>
      <c r="B568" s="3" t="s">
        <v>569</v>
      </c>
      <c r="C568" s="3" t="s">
        <v>860</v>
      </c>
      <c r="D568" s="3" t="s">
        <v>860</v>
      </c>
      <c r="E568" s="8">
        <v>704581044</v>
      </c>
      <c r="F568" s="2">
        <v>6.5063999999999999E-3</v>
      </c>
      <c r="G568" s="17">
        <f>F568 * VLOOKUP('GASB Data'!A568,Check!$A$2:$F$11,6,FALSE)</f>
        <v>8295679.5192</v>
      </c>
    </row>
    <row r="569" spans="1:7" x14ac:dyDescent="0.2">
      <c r="A569">
        <v>2016</v>
      </c>
      <c r="B569" s="3" t="s">
        <v>570</v>
      </c>
      <c r="C569" s="3" t="s">
        <v>861</v>
      </c>
      <c r="D569" s="3" t="s">
        <v>861</v>
      </c>
      <c r="E569" s="8">
        <v>101814743</v>
      </c>
      <c r="F569" s="2">
        <v>9.4019999999999998E-4</v>
      </c>
      <c r="G569" s="17">
        <f>F569 * VLOOKUP('GASB Data'!A569,Check!$A$2:$F$11,6,FALSE)</f>
        <v>1198757.8206</v>
      </c>
    </row>
    <row r="570" spans="1:7" x14ac:dyDescent="0.2">
      <c r="A570">
        <v>2016</v>
      </c>
      <c r="B570" s="3" t="s">
        <v>571</v>
      </c>
      <c r="C570" s="3" t="s">
        <v>862</v>
      </c>
      <c r="D570" s="3" t="s">
        <v>862</v>
      </c>
      <c r="E570" s="8">
        <v>421764450</v>
      </c>
      <c r="F570" s="2">
        <v>3.8947000000000001E-3</v>
      </c>
      <c r="G570" s="17">
        <f>F570 * VLOOKUP('GASB Data'!A570,Check!$A$2:$F$11,6,FALSE)</f>
        <v>4965754.1841000002</v>
      </c>
    </row>
    <row r="571" spans="1:7" x14ac:dyDescent="0.2">
      <c r="A571">
        <v>2016</v>
      </c>
      <c r="B571" s="3" t="s">
        <v>572</v>
      </c>
      <c r="C571" s="3" t="s">
        <v>863</v>
      </c>
      <c r="D571" s="3" t="s">
        <v>863</v>
      </c>
      <c r="E571" s="8">
        <v>12979387</v>
      </c>
      <c r="F571" s="2">
        <v>1.199E-4</v>
      </c>
      <c r="G571" s="17">
        <f>F571 * VLOOKUP('GASB Data'!A571,Check!$A$2:$F$11,6,FALSE)</f>
        <v>152872.8597</v>
      </c>
    </row>
    <row r="572" spans="1:7" x14ac:dyDescent="0.2">
      <c r="A572">
        <v>2016</v>
      </c>
      <c r="B572" s="3" t="s">
        <v>573</v>
      </c>
      <c r="C572" s="3" t="s">
        <v>864</v>
      </c>
      <c r="D572" s="3" t="s">
        <v>864</v>
      </c>
      <c r="E572" s="8">
        <v>98469715</v>
      </c>
      <c r="F572" s="2">
        <v>9.0930000000000004E-4</v>
      </c>
      <c r="G572" s="17">
        <f>F572 * VLOOKUP('GASB Data'!A572,Check!$A$2:$F$11,6,FALSE)</f>
        <v>1159360.2279000001</v>
      </c>
    </row>
    <row r="573" spans="1:7" x14ac:dyDescent="0.2">
      <c r="A573">
        <v>2016</v>
      </c>
      <c r="B573" s="3" t="s">
        <v>574</v>
      </c>
      <c r="C573" s="3" t="s">
        <v>865</v>
      </c>
      <c r="D573" s="3" t="s">
        <v>865</v>
      </c>
      <c r="E573" s="8">
        <v>466399143</v>
      </c>
      <c r="F573" s="2">
        <v>4.3068999999999998E-3</v>
      </c>
      <c r="G573" s="17">
        <f>F573 * VLOOKUP('GASB Data'!A573,Check!$A$2:$F$11,6,FALSE)</f>
        <v>5491310.4206999997</v>
      </c>
    </row>
    <row r="574" spans="1:7" x14ac:dyDescent="0.2">
      <c r="A574">
        <v>2016</v>
      </c>
      <c r="B574" s="3" t="s">
        <v>575</v>
      </c>
      <c r="C574" s="3" t="s">
        <v>866</v>
      </c>
      <c r="D574" s="3" t="s">
        <v>866</v>
      </c>
      <c r="E574" s="8">
        <v>52751555</v>
      </c>
      <c r="F574" s="2">
        <v>4.8710000000000002E-4</v>
      </c>
      <c r="G574" s="17">
        <f>F574 * VLOOKUP('GASB Data'!A574,Check!$A$2:$F$11,6,FALSE)</f>
        <v>621053.96130000008</v>
      </c>
    </row>
    <row r="575" spans="1:7" x14ac:dyDescent="0.2">
      <c r="A575">
        <v>2016</v>
      </c>
      <c r="B575" s="3" t="s">
        <v>576</v>
      </c>
      <c r="C575" s="3" t="s">
        <v>867</v>
      </c>
      <c r="D575" s="3" t="s">
        <v>867</v>
      </c>
      <c r="E575" s="8">
        <v>232463492</v>
      </c>
      <c r="F575" s="2">
        <v>2.1467000000000001E-3</v>
      </c>
      <c r="G575" s="17">
        <f>F575 * VLOOKUP('GASB Data'!A575,Check!$A$2:$F$11,6,FALSE)</f>
        <v>2737048.9401000002</v>
      </c>
    </row>
    <row r="576" spans="1:7" x14ac:dyDescent="0.2">
      <c r="A576">
        <v>2016</v>
      </c>
      <c r="B576" s="3" t="s">
        <v>577</v>
      </c>
      <c r="C576" s="3" t="s">
        <v>868</v>
      </c>
      <c r="D576" s="3" t="s">
        <v>868</v>
      </c>
      <c r="E576" s="8">
        <v>3652158654</v>
      </c>
      <c r="F576" s="2">
        <v>3.3725400000000003E-2</v>
      </c>
      <c r="G576" s="17">
        <f>F576 * VLOOKUP('GASB Data'!A576,Check!$A$2:$F$11,6,FALSE)</f>
        <v>42999986.176200002</v>
      </c>
    </row>
    <row r="577" spans="1:7" x14ac:dyDescent="0.2">
      <c r="A577">
        <v>2016</v>
      </c>
      <c r="B577" s="3" t="s">
        <v>871</v>
      </c>
      <c r="C577" s="3" t="s">
        <v>869</v>
      </c>
      <c r="D577" s="3" t="s">
        <v>869</v>
      </c>
      <c r="E577" s="8">
        <v>2535583</v>
      </c>
      <c r="F577" s="2">
        <v>2.34E-5</v>
      </c>
      <c r="G577" s="17">
        <f>F577 * VLOOKUP('GASB Data'!A577,Check!$A$2:$F$11,6,FALSE)</f>
        <v>29835.070199999998</v>
      </c>
    </row>
    <row r="578" spans="1:7" x14ac:dyDescent="0.2">
      <c r="A578">
        <v>2016</v>
      </c>
      <c r="B578" s="3" t="s">
        <v>872</v>
      </c>
      <c r="C578" s="3" t="s">
        <v>870</v>
      </c>
      <c r="D578" s="3" t="s">
        <v>870</v>
      </c>
      <c r="E578" s="8">
        <v>85091059</v>
      </c>
      <c r="F578" s="2">
        <v>7.8580000000000002E-4</v>
      </c>
      <c r="G578" s="17">
        <f>F578 * VLOOKUP('GASB Data'!A578,Check!$A$2:$F$11,6,FALSE)</f>
        <v>1001897.3574</v>
      </c>
    </row>
    <row r="579" spans="1:7" x14ac:dyDescent="0.2">
      <c r="A579">
        <v>2017</v>
      </c>
      <c r="B579" s="3" t="s">
        <v>58</v>
      </c>
      <c r="C579" s="3" t="s">
        <v>873</v>
      </c>
      <c r="D579" s="3" t="s">
        <v>873</v>
      </c>
      <c r="E579" s="8">
        <v>121600639</v>
      </c>
      <c r="F579" s="2">
        <v>1.0897999999999999E-3</v>
      </c>
      <c r="G579" s="17">
        <f>F579 * VLOOKUP('GASB Data'!A579,Check!$A$2:$F$11,6,FALSE)</f>
        <v>1570613.2211999998</v>
      </c>
    </row>
    <row r="580" spans="1:7" x14ac:dyDescent="0.2">
      <c r="A580">
        <v>2017</v>
      </c>
      <c r="B580" s="3" t="s">
        <v>59</v>
      </c>
      <c r="C580" s="3" t="s">
        <v>579</v>
      </c>
      <c r="D580" s="3" t="s">
        <v>579</v>
      </c>
      <c r="E580" s="8">
        <v>358228511</v>
      </c>
      <c r="F580" s="2">
        <v>3.2104999999999998E-3</v>
      </c>
      <c r="G580" s="17">
        <f>F580 * VLOOKUP('GASB Data'!A580,Check!$A$2:$F$11,6,FALSE)</f>
        <v>4626953.3369999994</v>
      </c>
    </row>
    <row r="581" spans="1:7" x14ac:dyDescent="0.2">
      <c r="A581">
        <v>2017</v>
      </c>
      <c r="B581" s="3" t="s">
        <v>60</v>
      </c>
      <c r="C581" s="3" t="s">
        <v>874</v>
      </c>
      <c r="D581" s="3" t="s">
        <v>874</v>
      </c>
      <c r="E581" s="8">
        <v>86516098</v>
      </c>
      <c r="F581" s="2">
        <v>7.7539999999999998E-4</v>
      </c>
      <c r="G581" s="17">
        <f>F581 * VLOOKUP('GASB Data'!A581,Check!$A$2:$F$11,6,FALSE)</f>
        <v>1117501.8276</v>
      </c>
    </row>
    <row r="582" spans="1:7" x14ac:dyDescent="0.2">
      <c r="A582">
        <v>2017</v>
      </c>
      <c r="B582" s="3" t="s">
        <v>61</v>
      </c>
      <c r="C582" s="3" t="s">
        <v>581</v>
      </c>
      <c r="D582" s="3" t="s">
        <v>581</v>
      </c>
      <c r="E582" s="8">
        <v>518981540</v>
      </c>
      <c r="F582" s="2">
        <v>4.6511E-3</v>
      </c>
      <c r="G582" s="17">
        <f>F582 * VLOOKUP('GASB Data'!A582,Check!$A$2:$F$11,6,FALSE)</f>
        <v>6703137.4134</v>
      </c>
    </row>
    <row r="583" spans="1:7" x14ac:dyDescent="0.2">
      <c r="A583">
        <v>2017</v>
      </c>
      <c r="B583" s="3" t="s">
        <v>62</v>
      </c>
      <c r="C583" s="3" t="s">
        <v>582</v>
      </c>
      <c r="D583" s="3" t="s">
        <v>582</v>
      </c>
      <c r="E583" s="8">
        <v>2211429832</v>
      </c>
      <c r="F583" s="2">
        <v>1.98189E-2</v>
      </c>
      <c r="G583" s="17">
        <f>F583 * VLOOKUP('GASB Data'!A583,Check!$A$2:$F$11,6,FALSE)</f>
        <v>28562879.766600002</v>
      </c>
    </row>
    <row r="584" spans="1:7" x14ac:dyDescent="0.2">
      <c r="A584">
        <v>2017</v>
      </c>
      <c r="B584" s="3" t="s">
        <v>63</v>
      </c>
      <c r="C584" s="3" t="s">
        <v>875</v>
      </c>
      <c r="D584" s="3" t="s">
        <v>875</v>
      </c>
      <c r="E584" s="8">
        <v>16816359</v>
      </c>
      <c r="F584" s="2">
        <v>1.507E-4</v>
      </c>
      <c r="G584" s="17">
        <f>F584 * VLOOKUP('GASB Data'!A584,Check!$A$2:$F$11,6,FALSE)</f>
        <v>217187.93580000001</v>
      </c>
    </row>
    <row r="585" spans="1:7" x14ac:dyDescent="0.2">
      <c r="A585">
        <v>2017</v>
      </c>
      <c r="B585" s="3" t="s">
        <v>64</v>
      </c>
      <c r="C585" s="3" t="s">
        <v>584</v>
      </c>
      <c r="D585" s="3" t="s">
        <v>584</v>
      </c>
      <c r="E585" s="8">
        <v>198324894</v>
      </c>
      <c r="F585" s="2">
        <v>1.7773999999999999E-3</v>
      </c>
      <c r="G585" s="17">
        <f>F585 * VLOOKUP('GASB Data'!A585,Check!$A$2:$F$11,6,FALSE)</f>
        <v>2561578.2155999998</v>
      </c>
    </row>
    <row r="586" spans="1:7" x14ac:dyDescent="0.2">
      <c r="A586">
        <v>2017</v>
      </c>
      <c r="B586" s="3" t="s">
        <v>65</v>
      </c>
      <c r="C586" s="3" t="s">
        <v>876</v>
      </c>
      <c r="D586" s="3" t="s">
        <v>876</v>
      </c>
      <c r="E586" s="8">
        <v>33028566</v>
      </c>
      <c r="F586" s="2">
        <v>2.9599999999999998E-4</v>
      </c>
      <c r="G586" s="17">
        <f>F586 * VLOOKUP('GASB Data'!A586,Check!$A$2:$F$11,6,FALSE)</f>
        <v>426593.424</v>
      </c>
    </row>
    <row r="587" spans="1:7" x14ac:dyDescent="0.2">
      <c r="A587">
        <v>2017</v>
      </c>
      <c r="B587" s="3" t="s">
        <v>66</v>
      </c>
      <c r="C587" s="3" t="s">
        <v>586</v>
      </c>
      <c r="D587" s="3" t="s">
        <v>586</v>
      </c>
      <c r="E587" s="8">
        <v>309756046</v>
      </c>
      <c r="F587" s="2">
        <v>2.7759999999999998E-3</v>
      </c>
      <c r="G587" s="17">
        <f>F587 * VLOOKUP('GASB Data'!A587,Check!$A$2:$F$11,6,FALSE)</f>
        <v>4000754.5439999998</v>
      </c>
    </row>
    <row r="588" spans="1:7" x14ac:dyDescent="0.2">
      <c r="A588">
        <v>2017</v>
      </c>
      <c r="B588" s="3" t="s">
        <v>67</v>
      </c>
      <c r="C588" s="3" t="s">
        <v>877</v>
      </c>
      <c r="D588" s="3" t="s">
        <v>877</v>
      </c>
      <c r="E588" s="8">
        <v>77063640</v>
      </c>
      <c r="F588" s="2">
        <v>6.9059999999999998E-4</v>
      </c>
      <c r="G588" s="17">
        <f>F588 * VLOOKUP('GASB Data'!A588,Check!$A$2:$F$11,6,FALSE)</f>
        <v>995288.57640000002</v>
      </c>
    </row>
    <row r="589" spans="1:7" x14ac:dyDescent="0.2">
      <c r="A589">
        <v>2017</v>
      </c>
      <c r="B589" s="3" t="s">
        <v>68</v>
      </c>
      <c r="C589" s="3" t="s">
        <v>878</v>
      </c>
      <c r="D589" s="3" t="s">
        <v>878</v>
      </c>
      <c r="E589" s="8">
        <v>73927747</v>
      </c>
      <c r="F589" s="2">
        <v>6.625E-4</v>
      </c>
      <c r="G589" s="17">
        <f>F589 * VLOOKUP('GASB Data'!A589,Check!$A$2:$F$11,6,FALSE)</f>
        <v>954791.02500000002</v>
      </c>
    </row>
    <row r="590" spans="1:7" x14ac:dyDescent="0.2">
      <c r="A590">
        <v>2017</v>
      </c>
      <c r="B590" s="3" t="s">
        <v>69</v>
      </c>
      <c r="C590" s="3" t="s">
        <v>879</v>
      </c>
      <c r="D590" s="3" t="s">
        <v>879</v>
      </c>
      <c r="E590" s="8">
        <v>537480173</v>
      </c>
      <c r="F590" s="2">
        <v>4.8168999999999998E-3</v>
      </c>
      <c r="G590" s="17">
        <f>F590 * VLOOKUP('GASB Data'!A590,Check!$A$2:$F$11,6,FALSE)</f>
        <v>6942087.3785999995</v>
      </c>
    </row>
    <row r="591" spans="1:7" x14ac:dyDescent="0.2">
      <c r="A591">
        <v>2017</v>
      </c>
      <c r="B591" s="3" t="s">
        <v>70</v>
      </c>
      <c r="C591" s="3" t="s">
        <v>880</v>
      </c>
      <c r="D591" s="3" t="s">
        <v>880</v>
      </c>
      <c r="E591" s="8">
        <v>58420348</v>
      </c>
      <c r="F591" s="2">
        <v>5.2360000000000004E-4</v>
      </c>
      <c r="G591" s="17">
        <f>F591 * VLOOKUP('GASB Data'!A591,Check!$A$2:$F$11,6,FALSE)</f>
        <v>754609.17840000009</v>
      </c>
    </row>
    <row r="592" spans="1:7" x14ac:dyDescent="0.2">
      <c r="A592">
        <v>2017</v>
      </c>
      <c r="B592" s="3" t="s">
        <v>71</v>
      </c>
      <c r="C592" s="3" t="s">
        <v>591</v>
      </c>
      <c r="D592" s="3" t="s">
        <v>591</v>
      </c>
      <c r="E592" s="8">
        <v>239444077</v>
      </c>
      <c r="F592" s="2">
        <v>2.1459000000000001E-3</v>
      </c>
      <c r="G592" s="17">
        <f>F592 * VLOOKUP('GASB Data'!A592,Check!$A$2:$F$11,6,FALSE)</f>
        <v>3092658.2046000003</v>
      </c>
    </row>
    <row r="593" spans="1:7" x14ac:dyDescent="0.2">
      <c r="A593">
        <v>2017</v>
      </c>
      <c r="B593" s="3" t="s">
        <v>72</v>
      </c>
      <c r="C593" s="3" t="s">
        <v>592</v>
      </c>
      <c r="D593" s="3" t="s">
        <v>592</v>
      </c>
      <c r="E593" s="8">
        <v>24048541</v>
      </c>
      <c r="F593" s="2">
        <v>2.1550000000000001E-4</v>
      </c>
      <c r="G593" s="17">
        <f>F593 * VLOOKUP('GASB Data'!A593,Check!$A$2:$F$11,6,FALSE)</f>
        <v>310577.30700000003</v>
      </c>
    </row>
    <row r="594" spans="1:7" x14ac:dyDescent="0.2">
      <c r="A594">
        <v>2017</v>
      </c>
      <c r="B594" s="3" t="s">
        <v>73</v>
      </c>
      <c r="C594" s="3" t="s">
        <v>881</v>
      </c>
      <c r="D594" s="3" t="s">
        <v>881</v>
      </c>
      <c r="E594" s="8">
        <v>29870367</v>
      </c>
      <c r="F594" s="2">
        <v>2.677E-4</v>
      </c>
      <c r="G594" s="17">
        <f>F594 * VLOOKUP('GASB Data'!A594,Check!$A$2:$F$11,6,FALSE)</f>
        <v>385807.63380000001</v>
      </c>
    </row>
    <row r="595" spans="1:7" x14ac:dyDescent="0.2">
      <c r="A595">
        <v>2017</v>
      </c>
      <c r="B595" s="3" t="s">
        <v>74</v>
      </c>
      <c r="C595" s="3" t="s">
        <v>882</v>
      </c>
      <c r="D595" s="3" t="s">
        <v>882</v>
      </c>
      <c r="E595" s="8">
        <v>4545615</v>
      </c>
      <c r="F595" s="2">
        <v>4.07E-5</v>
      </c>
      <c r="G595" s="17">
        <f>F595 * VLOOKUP('GASB Data'!A595,Check!$A$2:$F$11,6,FALSE)</f>
        <v>58656.595800000003</v>
      </c>
    </row>
    <row r="596" spans="1:7" x14ac:dyDescent="0.2">
      <c r="A596">
        <v>2017</v>
      </c>
      <c r="B596" s="3" t="s">
        <v>75</v>
      </c>
      <c r="C596" s="3" t="s">
        <v>595</v>
      </c>
      <c r="D596" s="3" t="s">
        <v>595</v>
      </c>
      <c r="E596" s="8">
        <v>205992198</v>
      </c>
      <c r="F596" s="2">
        <v>1.8461E-3</v>
      </c>
      <c r="G596" s="17">
        <f>F596 * VLOOKUP('GASB Data'!A596,Check!$A$2:$F$11,6,FALSE)</f>
        <v>2660588.2434</v>
      </c>
    </row>
    <row r="597" spans="1:7" x14ac:dyDescent="0.2">
      <c r="A597">
        <v>2017</v>
      </c>
      <c r="B597" s="3" t="s">
        <v>76</v>
      </c>
      <c r="C597" s="3" t="s">
        <v>883</v>
      </c>
      <c r="D597" s="3" t="s">
        <v>883</v>
      </c>
      <c r="E597" s="8">
        <v>5348323613</v>
      </c>
      <c r="F597" s="2">
        <v>4.7932000000000002E-2</v>
      </c>
      <c r="G597" s="17">
        <f>F597 * VLOOKUP('GASB Data'!A597,Check!$A$2:$F$11,6,FALSE)</f>
        <v>69079310.807999998</v>
      </c>
    </row>
    <row r="598" spans="1:7" x14ac:dyDescent="0.2">
      <c r="A598">
        <v>2017</v>
      </c>
      <c r="B598" s="3" t="s">
        <v>77</v>
      </c>
      <c r="C598" s="3" t="s">
        <v>597</v>
      </c>
      <c r="D598" s="3" t="s">
        <v>597</v>
      </c>
      <c r="E598" s="8">
        <v>596173822</v>
      </c>
      <c r="F598" s="2">
        <v>5.3429000000000003E-3</v>
      </c>
      <c r="G598" s="17">
        <f>F598 * VLOOKUP('GASB Data'!A598,Check!$A$2:$F$11,6,FALSE)</f>
        <v>7700155.4226000002</v>
      </c>
    </row>
    <row r="599" spans="1:7" x14ac:dyDescent="0.2">
      <c r="A599">
        <v>2017</v>
      </c>
      <c r="B599" s="3" t="s">
        <v>78</v>
      </c>
      <c r="C599" s="3" t="s">
        <v>884</v>
      </c>
      <c r="D599" s="3" t="s">
        <v>884</v>
      </c>
      <c r="E599" s="8">
        <v>161619641</v>
      </c>
      <c r="F599" s="2">
        <v>1.4484000000000001E-3</v>
      </c>
      <c r="G599" s="17">
        <f>F599 * VLOOKUP('GASB Data'!A599,Check!$A$2:$F$11,6,FALSE)</f>
        <v>2087425.3896000001</v>
      </c>
    </row>
    <row r="600" spans="1:7" x14ac:dyDescent="0.2">
      <c r="A600">
        <v>2017</v>
      </c>
      <c r="B600" s="3" t="s">
        <v>79</v>
      </c>
      <c r="C600" s="3" t="s">
        <v>885</v>
      </c>
      <c r="D600" s="3" t="s">
        <v>885</v>
      </c>
      <c r="E600" s="8">
        <v>126699569</v>
      </c>
      <c r="F600" s="2">
        <v>1.1355E-3</v>
      </c>
      <c r="G600" s="17">
        <f>F600 * VLOOKUP('GASB Data'!A600,Check!$A$2:$F$11,6,FALSE)</f>
        <v>1636475.787</v>
      </c>
    </row>
    <row r="601" spans="1:7" x14ac:dyDescent="0.2">
      <c r="A601">
        <v>2017</v>
      </c>
      <c r="B601" s="3" t="s">
        <v>80</v>
      </c>
      <c r="C601" s="3" t="s">
        <v>886</v>
      </c>
      <c r="D601" s="3" t="s">
        <v>886</v>
      </c>
      <c r="E601" s="8">
        <v>494994126</v>
      </c>
      <c r="F601" s="2">
        <v>4.4362000000000004E-3</v>
      </c>
      <c r="G601" s="17">
        <f>F601 * VLOOKUP('GASB Data'!A601,Check!$A$2:$F$11,6,FALSE)</f>
        <v>6393424.8228000002</v>
      </c>
    </row>
    <row r="602" spans="1:7" x14ac:dyDescent="0.2">
      <c r="A602">
        <v>2017</v>
      </c>
      <c r="B602" s="3" t="s">
        <v>81</v>
      </c>
      <c r="C602" s="3" t="s">
        <v>887</v>
      </c>
      <c r="D602" s="3" t="s">
        <v>887</v>
      </c>
      <c r="E602" s="8">
        <v>53309050</v>
      </c>
      <c r="F602" s="2">
        <v>4.7780000000000001E-4</v>
      </c>
      <c r="G602" s="17">
        <f>F602 * VLOOKUP('GASB Data'!A602,Check!$A$2:$F$11,6,FALSE)</f>
        <v>688602.49320000003</v>
      </c>
    </row>
    <row r="603" spans="1:7" x14ac:dyDescent="0.2">
      <c r="A603">
        <v>2017</v>
      </c>
      <c r="B603" s="3" t="s">
        <v>82</v>
      </c>
      <c r="C603" s="3" t="s">
        <v>888</v>
      </c>
      <c r="D603" s="3" t="s">
        <v>888</v>
      </c>
      <c r="E603" s="8">
        <v>185355842</v>
      </c>
      <c r="F603" s="2">
        <v>1.6612E-3</v>
      </c>
      <c r="G603" s="17">
        <f>F603 * VLOOKUP('GASB Data'!A603,Check!$A$2:$F$11,6,FALSE)</f>
        <v>2394111.4728000001</v>
      </c>
    </row>
    <row r="604" spans="1:7" x14ac:dyDescent="0.2">
      <c r="A604">
        <v>2017</v>
      </c>
      <c r="B604" s="3" t="s">
        <v>632</v>
      </c>
      <c r="C604" s="3" t="s">
        <v>889</v>
      </c>
      <c r="D604" s="3" t="s">
        <v>889</v>
      </c>
      <c r="E604" s="8">
        <v>21732118</v>
      </c>
      <c r="F604" s="2">
        <v>1.9479999999999999E-4</v>
      </c>
      <c r="G604" s="17">
        <f>F604 * VLOOKUP('GASB Data'!A604,Check!$A$2:$F$11,6,FALSE)</f>
        <v>280744.59119999997</v>
      </c>
    </row>
    <row r="605" spans="1:7" x14ac:dyDescent="0.2">
      <c r="A605">
        <v>2017</v>
      </c>
      <c r="B605" s="3" t="s">
        <v>83</v>
      </c>
      <c r="C605" s="3" t="s">
        <v>890</v>
      </c>
      <c r="D605" s="3" t="s">
        <v>890</v>
      </c>
      <c r="E605" s="8">
        <v>619398450</v>
      </c>
      <c r="F605" s="2">
        <v>5.5510999999999998E-3</v>
      </c>
      <c r="G605" s="17">
        <f>F605 * VLOOKUP('GASB Data'!A605,Check!$A$2:$F$11,6,FALSE)</f>
        <v>8000212.0133999996</v>
      </c>
    </row>
    <row r="606" spans="1:7" x14ac:dyDescent="0.2">
      <c r="A606">
        <v>2017</v>
      </c>
      <c r="B606" s="3" t="s">
        <v>84</v>
      </c>
      <c r="C606" s="3" t="s">
        <v>891</v>
      </c>
      <c r="D606" s="3" t="s">
        <v>891</v>
      </c>
      <c r="E606" s="8">
        <v>1744458</v>
      </c>
      <c r="F606" s="2">
        <v>1.56E-5</v>
      </c>
      <c r="G606" s="17">
        <f>F606 * VLOOKUP('GASB Data'!A606,Check!$A$2:$F$11,6,FALSE)</f>
        <v>22482.626400000001</v>
      </c>
    </row>
    <row r="607" spans="1:7" x14ac:dyDescent="0.2">
      <c r="A607">
        <v>2017</v>
      </c>
      <c r="B607" s="3" t="s">
        <v>86</v>
      </c>
      <c r="C607" s="3" t="s">
        <v>892</v>
      </c>
      <c r="D607" s="3" t="s">
        <v>892</v>
      </c>
      <c r="E607" s="8">
        <v>926745</v>
      </c>
      <c r="F607" s="2">
        <v>8.3000000000000002E-6</v>
      </c>
      <c r="G607" s="17">
        <f>F607 * VLOOKUP('GASB Data'!A607,Check!$A$2:$F$11,6,FALSE)</f>
        <v>11961.9102</v>
      </c>
    </row>
    <row r="608" spans="1:7" x14ac:dyDescent="0.2">
      <c r="A608">
        <v>2017</v>
      </c>
      <c r="B608" s="3" t="s">
        <v>87</v>
      </c>
      <c r="C608" s="3" t="s">
        <v>893</v>
      </c>
      <c r="D608" s="3" t="s">
        <v>893</v>
      </c>
      <c r="E608" s="8">
        <v>1471317</v>
      </c>
      <c r="F608" s="2">
        <v>1.3200000000000001E-5</v>
      </c>
      <c r="G608" s="17">
        <f>F608 * VLOOKUP('GASB Data'!A608,Check!$A$2:$F$11,6,FALSE)</f>
        <v>19023.7608</v>
      </c>
    </row>
    <row r="609" spans="1:7" x14ac:dyDescent="0.2">
      <c r="A609">
        <v>2017</v>
      </c>
      <c r="B609" s="3" t="s">
        <v>88</v>
      </c>
      <c r="C609" s="3" t="s">
        <v>894</v>
      </c>
      <c r="D609" s="3" t="s">
        <v>894</v>
      </c>
      <c r="E609" s="8">
        <v>86482745</v>
      </c>
      <c r="F609" s="2">
        <v>7.7510000000000003E-4</v>
      </c>
      <c r="G609" s="17">
        <f>F609 * VLOOKUP('GASB Data'!A609,Check!$A$2:$F$11,6,FALSE)</f>
        <v>1117069.4694000001</v>
      </c>
    </row>
    <row r="610" spans="1:7" x14ac:dyDescent="0.2">
      <c r="A610">
        <v>2017</v>
      </c>
      <c r="B610" s="3" t="s">
        <v>89</v>
      </c>
      <c r="C610" s="3" t="s">
        <v>610</v>
      </c>
      <c r="D610" s="3" t="s">
        <v>610</v>
      </c>
      <c r="E610" s="8">
        <v>7789302009</v>
      </c>
      <c r="F610" s="2">
        <v>6.9808099999999998E-2</v>
      </c>
      <c r="G610" s="17">
        <f>F610 * VLOOKUP('GASB Data'!A610,Check!$A$2:$F$11,6,FALSE)</f>
        <v>100607014.8714</v>
      </c>
    </row>
    <row r="611" spans="1:7" x14ac:dyDescent="0.2">
      <c r="A611">
        <v>2017</v>
      </c>
      <c r="B611" s="3" t="s">
        <v>90</v>
      </c>
      <c r="C611" s="3" t="s">
        <v>611</v>
      </c>
      <c r="D611" s="3" t="s">
        <v>611</v>
      </c>
      <c r="E611" s="8">
        <v>692350989</v>
      </c>
      <c r="F611" s="2">
        <v>6.2049000000000002E-3</v>
      </c>
      <c r="G611" s="17">
        <f>F611 * VLOOKUP('GASB Data'!A611,Check!$A$2:$F$11,6,FALSE)</f>
        <v>8942464.6505999994</v>
      </c>
    </row>
    <row r="612" spans="1:7" x14ac:dyDescent="0.2">
      <c r="A612">
        <v>2017</v>
      </c>
      <c r="B612" s="3" t="s">
        <v>91</v>
      </c>
      <c r="C612" s="3" t="s">
        <v>895</v>
      </c>
      <c r="D612" s="3" t="s">
        <v>895</v>
      </c>
      <c r="E612" s="8">
        <v>91819373</v>
      </c>
      <c r="F612" s="2">
        <v>8.229E-4</v>
      </c>
      <c r="G612" s="17">
        <f>F612 * VLOOKUP('GASB Data'!A612,Check!$A$2:$F$11,6,FALSE)</f>
        <v>1185958.5426</v>
      </c>
    </row>
    <row r="613" spans="1:7" x14ac:dyDescent="0.2">
      <c r="A613">
        <v>2017</v>
      </c>
      <c r="B613" s="3" t="s">
        <v>92</v>
      </c>
      <c r="C613" s="3" t="s">
        <v>613</v>
      </c>
      <c r="D613" s="3" t="s">
        <v>613</v>
      </c>
      <c r="E613" s="8">
        <v>1542362058</v>
      </c>
      <c r="F613" s="2">
        <v>1.38227E-2</v>
      </c>
      <c r="G613" s="17">
        <f>F613 * VLOOKUP('GASB Data'!A613,Check!$A$2:$F$11,6,FALSE)</f>
        <v>19921192.303800002</v>
      </c>
    </row>
    <row r="614" spans="1:7" x14ac:dyDescent="0.2">
      <c r="A614">
        <v>2017</v>
      </c>
      <c r="B614" s="3" t="s">
        <v>93</v>
      </c>
      <c r="C614" s="3" t="s">
        <v>614</v>
      </c>
      <c r="D614" s="3" t="s">
        <v>614</v>
      </c>
      <c r="E614" s="8">
        <v>110863952</v>
      </c>
      <c r="F614" s="2">
        <v>9.9360000000000008E-4</v>
      </c>
      <c r="G614" s="17">
        <f>F614 * VLOOKUP('GASB Data'!A614,Check!$A$2:$F$11,6,FALSE)</f>
        <v>1431970.3584</v>
      </c>
    </row>
    <row r="615" spans="1:7" x14ac:dyDescent="0.2">
      <c r="A615">
        <v>2017</v>
      </c>
      <c r="B615" s="3" t="s">
        <v>94</v>
      </c>
      <c r="C615" s="3" t="s">
        <v>615</v>
      </c>
      <c r="D615" s="3" t="s">
        <v>615</v>
      </c>
      <c r="E615" s="8">
        <v>229110326</v>
      </c>
      <c r="F615" s="2">
        <v>2.0533000000000001E-3</v>
      </c>
      <c r="G615" s="17">
        <f>F615 * VLOOKUP('GASB Data'!A615,Check!$A$2:$F$11,6,FALSE)</f>
        <v>2959203.6402000003</v>
      </c>
    </row>
    <row r="616" spans="1:7" x14ac:dyDescent="0.2">
      <c r="A616">
        <v>2017</v>
      </c>
      <c r="B616" s="3" t="s">
        <v>95</v>
      </c>
      <c r="C616" s="3" t="s">
        <v>896</v>
      </c>
      <c r="D616" s="3" t="s">
        <v>896</v>
      </c>
      <c r="E616" s="8">
        <v>451547449</v>
      </c>
      <c r="F616" s="2">
        <v>4.0467999999999997E-3</v>
      </c>
      <c r="G616" s="17">
        <f>F616 * VLOOKUP('GASB Data'!A616,Check!$A$2:$F$11,6,FALSE)</f>
        <v>5832223.8791999994</v>
      </c>
    </row>
    <row r="617" spans="1:7" x14ac:dyDescent="0.2">
      <c r="A617">
        <v>2017</v>
      </c>
      <c r="B617" s="3" t="s">
        <v>96</v>
      </c>
      <c r="C617" s="3" t="s">
        <v>897</v>
      </c>
      <c r="D617" s="3" t="s">
        <v>897</v>
      </c>
      <c r="E617" s="8">
        <v>396360093</v>
      </c>
      <c r="F617" s="2">
        <v>3.5522000000000001E-3</v>
      </c>
      <c r="G617" s="17">
        <f>F617 * VLOOKUP('GASB Data'!A617,Check!$A$2:$F$11,6,FALSE)</f>
        <v>5119409.3267999999</v>
      </c>
    </row>
    <row r="618" spans="1:7" x14ac:dyDescent="0.2">
      <c r="A618">
        <v>2017</v>
      </c>
      <c r="B618" s="3" t="s">
        <v>97</v>
      </c>
      <c r="C618" s="3" t="s">
        <v>618</v>
      </c>
      <c r="D618" s="3" t="s">
        <v>618</v>
      </c>
      <c r="E618" s="8">
        <v>544849327</v>
      </c>
      <c r="F618" s="2">
        <v>4.8830000000000002E-3</v>
      </c>
      <c r="G618" s="17">
        <f>F618 * VLOOKUP('GASB Data'!A618,Check!$A$2:$F$11,6,FALSE)</f>
        <v>7037350.3020000001</v>
      </c>
    </row>
    <row r="619" spans="1:7" x14ac:dyDescent="0.2">
      <c r="A619">
        <v>2017</v>
      </c>
      <c r="B619" s="3" t="s">
        <v>98</v>
      </c>
      <c r="C619" s="3" t="s">
        <v>898</v>
      </c>
      <c r="D619" s="3" t="s">
        <v>898</v>
      </c>
      <c r="E619" s="8">
        <v>206659613</v>
      </c>
      <c r="F619" s="2">
        <v>1.8521E-3</v>
      </c>
      <c r="G619" s="17">
        <f>F619 * VLOOKUP('GASB Data'!A619,Check!$A$2:$F$11,6,FALSE)</f>
        <v>2669235.4073999999</v>
      </c>
    </row>
    <row r="620" spans="1:7" x14ac:dyDescent="0.2">
      <c r="A620">
        <v>2017</v>
      </c>
      <c r="B620" s="3" t="s">
        <v>99</v>
      </c>
      <c r="C620" s="3" t="s">
        <v>899</v>
      </c>
      <c r="D620" s="3" t="s">
        <v>899</v>
      </c>
      <c r="E620" s="8">
        <v>2483770015</v>
      </c>
      <c r="F620" s="2">
        <v>2.2259600000000001E-2</v>
      </c>
      <c r="G620" s="17">
        <f>F620 * VLOOKUP('GASB Data'!A620,Check!$A$2:$F$11,6,FALSE)</f>
        <v>32080401.962400001</v>
      </c>
    </row>
    <row r="621" spans="1:7" x14ac:dyDescent="0.2">
      <c r="A621">
        <v>2017</v>
      </c>
      <c r="B621" s="3" t="s">
        <v>100</v>
      </c>
      <c r="C621" s="3" t="s">
        <v>42</v>
      </c>
      <c r="D621" s="3" t="s">
        <v>42</v>
      </c>
      <c r="E621" s="8">
        <v>3481142087</v>
      </c>
      <c r="F621" s="2">
        <v>3.1198099999999999E-2</v>
      </c>
      <c r="G621" s="17">
        <f>F621 * VLOOKUP('GASB Data'!A621,Check!$A$2:$F$11,6,FALSE)</f>
        <v>44962514.531400003</v>
      </c>
    </row>
    <row r="622" spans="1:7" x14ac:dyDescent="0.2">
      <c r="A622">
        <v>2017</v>
      </c>
      <c r="B622" s="3" t="s">
        <v>101</v>
      </c>
      <c r="C622" s="3" t="s">
        <v>622</v>
      </c>
      <c r="D622" s="3" t="s">
        <v>622</v>
      </c>
      <c r="E622" s="8">
        <v>132762577</v>
      </c>
      <c r="F622" s="2">
        <v>1.1898E-3</v>
      </c>
      <c r="G622" s="17">
        <f>F622 * VLOOKUP('GASB Data'!A622,Check!$A$2:$F$11,6,FALSE)</f>
        <v>1714732.6211999999</v>
      </c>
    </row>
    <row r="623" spans="1:7" x14ac:dyDescent="0.2">
      <c r="A623">
        <v>2017</v>
      </c>
      <c r="B623" s="3" t="s">
        <v>633</v>
      </c>
      <c r="C623" s="3" t="s">
        <v>623</v>
      </c>
      <c r="D623" s="3" t="s">
        <v>623</v>
      </c>
      <c r="E623" s="8">
        <v>15117702</v>
      </c>
      <c r="F623" s="2">
        <v>1.3549999999999999E-4</v>
      </c>
      <c r="G623" s="17">
        <f>F623 * VLOOKUP('GASB Data'!A623,Check!$A$2:$F$11,6,FALSE)</f>
        <v>195281.78699999998</v>
      </c>
    </row>
    <row r="624" spans="1:7" x14ac:dyDescent="0.2">
      <c r="A624">
        <v>2017</v>
      </c>
      <c r="B624" s="3" t="s">
        <v>102</v>
      </c>
      <c r="C624" s="3" t="s">
        <v>624</v>
      </c>
      <c r="D624" s="3" t="s">
        <v>624</v>
      </c>
      <c r="E624" s="8">
        <v>4048453011</v>
      </c>
      <c r="F624" s="2">
        <v>3.6282500000000002E-2</v>
      </c>
      <c r="G624" s="17">
        <f>F624 * VLOOKUP('GASB Data'!A624,Check!$A$2:$F$11,6,FALSE)</f>
        <v>52290121.305</v>
      </c>
    </row>
    <row r="625" spans="1:7" x14ac:dyDescent="0.2">
      <c r="A625">
        <v>2017</v>
      </c>
      <c r="B625" s="3" t="s">
        <v>103</v>
      </c>
      <c r="C625" s="3" t="s">
        <v>625</v>
      </c>
      <c r="D625" s="3" t="s">
        <v>625</v>
      </c>
      <c r="E625" s="8">
        <v>20057750</v>
      </c>
      <c r="F625" s="2">
        <v>1.7980000000000001E-4</v>
      </c>
      <c r="G625" s="17">
        <f>F625 * VLOOKUP('GASB Data'!A625,Check!$A$2:$F$11,6,FALSE)</f>
        <v>259126.68120000002</v>
      </c>
    </row>
    <row r="626" spans="1:7" x14ac:dyDescent="0.2">
      <c r="A626">
        <v>2017</v>
      </c>
      <c r="B626" s="3" t="s">
        <v>104</v>
      </c>
      <c r="C626" s="3" t="s">
        <v>626</v>
      </c>
      <c r="D626" s="3" t="s">
        <v>626</v>
      </c>
      <c r="E626" s="8">
        <v>348613025</v>
      </c>
      <c r="F626" s="2">
        <v>3.1243E-3</v>
      </c>
      <c r="G626" s="17">
        <f>F626 * VLOOKUP('GASB Data'!A626,Check!$A$2:$F$11,6,FALSE)</f>
        <v>4502722.4141999995</v>
      </c>
    </row>
    <row r="627" spans="1:7" x14ac:dyDescent="0.2">
      <c r="A627">
        <v>2017</v>
      </c>
      <c r="B627" s="3" t="s">
        <v>105</v>
      </c>
      <c r="C627" s="3" t="s">
        <v>627</v>
      </c>
      <c r="D627" s="3" t="s">
        <v>627</v>
      </c>
      <c r="E627" s="8">
        <v>248372912</v>
      </c>
      <c r="F627" s="2">
        <v>2.2258999999999998E-3</v>
      </c>
      <c r="G627" s="17">
        <f>F627 * VLOOKUP('GASB Data'!A627,Check!$A$2:$F$11,6,FALSE)</f>
        <v>3207953.7245999998</v>
      </c>
    </row>
    <row r="628" spans="1:7" x14ac:dyDescent="0.2">
      <c r="A628">
        <v>2017</v>
      </c>
      <c r="B628" s="3" t="s">
        <v>106</v>
      </c>
      <c r="C628" s="3" t="s">
        <v>628</v>
      </c>
      <c r="D628" s="3" t="s">
        <v>628</v>
      </c>
      <c r="E628" s="8">
        <v>422552416</v>
      </c>
      <c r="F628" s="2">
        <v>3.7869000000000002E-3</v>
      </c>
      <c r="G628" s="17">
        <f>F628 * VLOOKUP('GASB Data'!A628,Check!$A$2:$F$11,6,FALSE)</f>
        <v>5457657.5586000001</v>
      </c>
    </row>
    <row r="629" spans="1:7" x14ac:dyDescent="0.2">
      <c r="A629">
        <v>2017</v>
      </c>
      <c r="B629" s="3" t="s">
        <v>107</v>
      </c>
      <c r="C629" s="3" t="s">
        <v>629</v>
      </c>
      <c r="D629" s="3" t="s">
        <v>629</v>
      </c>
      <c r="E629" s="8">
        <v>140563536</v>
      </c>
      <c r="F629" s="2">
        <v>1.2597000000000001E-3</v>
      </c>
      <c r="G629" s="17">
        <f>F629 * VLOOKUP('GASB Data'!A629,Check!$A$2:$F$11,6,FALSE)</f>
        <v>1815472.0818</v>
      </c>
    </row>
    <row r="630" spans="1:7" x14ac:dyDescent="0.2">
      <c r="A630">
        <v>2017</v>
      </c>
      <c r="B630" s="3" t="s">
        <v>108</v>
      </c>
      <c r="C630" s="3" t="s">
        <v>630</v>
      </c>
      <c r="D630" s="3" t="s">
        <v>630</v>
      </c>
      <c r="E630" s="8">
        <v>783351130</v>
      </c>
      <c r="F630" s="2">
        <v>7.0204000000000004E-3</v>
      </c>
      <c r="G630" s="17">
        <f>F630 * VLOOKUP('GASB Data'!A630,Check!$A$2:$F$11,6,FALSE)</f>
        <v>10117758.3576</v>
      </c>
    </row>
    <row r="631" spans="1:7" x14ac:dyDescent="0.2">
      <c r="A631">
        <v>2017</v>
      </c>
      <c r="B631" s="3" t="s">
        <v>109</v>
      </c>
      <c r="C631" s="3" t="s">
        <v>631</v>
      </c>
      <c r="D631" s="3" t="s">
        <v>631</v>
      </c>
      <c r="E631" s="8">
        <v>416312318</v>
      </c>
      <c r="F631" s="2">
        <v>3.7309999999999999E-3</v>
      </c>
      <c r="G631" s="17">
        <f>F631 * VLOOKUP('GASB Data'!A631,Check!$A$2:$F$11,6,FALSE)</f>
        <v>5377094.8140000002</v>
      </c>
    </row>
    <row r="632" spans="1:7" x14ac:dyDescent="0.2">
      <c r="A632">
        <v>2017</v>
      </c>
      <c r="B632" s="3" t="s">
        <v>110</v>
      </c>
      <c r="C632" s="3" t="s">
        <v>634</v>
      </c>
      <c r="D632" s="3" t="s">
        <v>634</v>
      </c>
      <c r="E632" s="8">
        <v>111497951</v>
      </c>
      <c r="F632" s="2">
        <v>9.992E-4</v>
      </c>
      <c r="G632" s="17">
        <f>F632 * VLOOKUP('GASB Data'!A632,Check!$A$2:$F$11,6,FALSE)</f>
        <v>1440041.0448</v>
      </c>
    </row>
    <row r="633" spans="1:7" x14ac:dyDescent="0.2">
      <c r="A633">
        <v>2017</v>
      </c>
      <c r="B633" s="3" t="s">
        <v>111</v>
      </c>
      <c r="C633" s="3" t="s">
        <v>635</v>
      </c>
      <c r="D633" s="3" t="s">
        <v>635</v>
      </c>
      <c r="E633" s="8">
        <v>949860645</v>
      </c>
      <c r="F633" s="2">
        <v>8.5126999999999998E-3</v>
      </c>
      <c r="G633" s="17">
        <f>F633 * VLOOKUP('GASB Data'!A633,Check!$A$2:$F$11,6,FALSE)</f>
        <v>12268452.163799999</v>
      </c>
    </row>
    <row r="634" spans="1:7" x14ac:dyDescent="0.2">
      <c r="A634">
        <v>2017</v>
      </c>
      <c r="B634" s="3" t="s">
        <v>166</v>
      </c>
      <c r="C634" s="3" t="s">
        <v>636</v>
      </c>
      <c r="D634" s="3" t="s">
        <v>636</v>
      </c>
      <c r="E634" s="8">
        <v>18061528</v>
      </c>
      <c r="F634" s="2">
        <v>1.6190000000000001E-4</v>
      </c>
      <c r="G634" s="17">
        <f>F634 * VLOOKUP('GASB Data'!A634,Check!$A$2:$F$11,6,FALSE)</f>
        <v>233329.30860000002</v>
      </c>
    </row>
    <row r="635" spans="1:7" x14ac:dyDescent="0.2">
      <c r="A635">
        <v>2017</v>
      </c>
      <c r="B635" s="3" t="s">
        <v>167</v>
      </c>
      <c r="C635" s="3" t="s">
        <v>637</v>
      </c>
      <c r="D635" s="3" t="s">
        <v>637</v>
      </c>
      <c r="E635" s="8">
        <v>23215779</v>
      </c>
      <c r="F635" s="2">
        <v>2.0809999999999999E-4</v>
      </c>
      <c r="G635" s="17">
        <f>F635 * VLOOKUP('GASB Data'!A635,Check!$A$2:$F$11,6,FALSE)</f>
        <v>299912.47139999998</v>
      </c>
    </row>
    <row r="636" spans="1:7" x14ac:dyDescent="0.2">
      <c r="A636">
        <v>2017</v>
      </c>
      <c r="B636" s="3" t="s">
        <v>168</v>
      </c>
      <c r="C636" s="3" t="s">
        <v>638</v>
      </c>
      <c r="D636" s="3" t="s">
        <v>638</v>
      </c>
      <c r="E636" s="8">
        <v>14492454</v>
      </c>
      <c r="F636" s="2">
        <v>1.2990000000000001E-4</v>
      </c>
      <c r="G636" s="17">
        <f>F636 * VLOOKUP('GASB Data'!A636,Check!$A$2:$F$11,6,FALSE)</f>
        <v>187211.10060000001</v>
      </c>
    </row>
    <row r="637" spans="1:7" x14ac:dyDescent="0.2">
      <c r="A637">
        <v>2017</v>
      </c>
      <c r="B637" s="3" t="s">
        <v>169</v>
      </c>
      <c r="C637" s="3" t="s">
        <v>639</v>
      </c>
      <c r="D637" s="3" t="s">
        <v>639</v>
      </c>
      <c r="E637" s="8">
        <v>103332063</v>
      </c>
      <c r="F637" s="2">
        <v>9.2610000000000001E-4</v>
      </c>
      <c r="G637" s="17">
        <f>F637 * VLOOKUP('GASB Data'!A637,Check!$A$2:$F$11,6,FALSE)</f>
        <v>1334689.7634000001</v>
      </c>
    </row>
    <row r="638" spans="1:7" x14ac:dyDescent="0.2">
      <c r="A638">
        <v>2017</v>
      </c>
      <c r="B638" s="3" t="s">
        <v>170</v>
      </c>
      <c r="C638" s="3" t="s">
        <v>640</v>
      </c>
      <c r="D638" s="3" t="s">
        <v>640</v>
      </c>
      <c r="E638" s="8">
        <v>217932511</v>
      </c>
      <c r="F638" s="2">
        <v>1.9530999999999999E-3</v>
      </c>
      <c r="G638" s="17">
        <f>F638 * VLOOKUP('GASB Data'!A638,Check!$A$2:$F$11,6,FALSE)</f>
        <v>2814796.0014</v>
      </c>
    </row>
    <row r="639" spans="1:7" x14ac:dyDescent="0.2">
      <c r="A639">
        <v>2017</v>
      </c>
      <c r="B639" s="3" t="s">
        <v>171</v>
      </c>
      <c r="C639" s="3" t="s">
        <v>641</v>
      </c>
      <c r="D639" s="3" t="s">
        <v>641</v>
      </c>
      <c r="E639" s="8">
        <v>70607599</v>
      </c>
      <c r="F639" s="2">
        <v>6.3279999999999999E-4</v>
      </c>
      <c r="G639" s="17">
        <f>F639 * VLOOKUP('GASB Data'!A639,Check!$A$2:$F$11,6,FALSE)</f>
        <v>911987.56319999998</v>
      </c>
    </row>
    <row r="640" spans="1:7" x14ac:dyDescent="0.2">
      <c r="A640">
        <v>2017</v>
      </c>
      <c r="B640" s="3" t="s">
        <v>172</v>
      </c>
      <c r="C640" s="3" t="s">
        <v>642</v>
      </c>
      <c r="D640" s="3" t="s">
        <v>642</v>
      </c>
      <c r="E640" s="8">
        <v>135495354</v>
      </c>
      <c r="F640" s="2">
        <v>1.2143E-3</v>
      </c>
      <c r="G640" s="17">
        <f>F640 * VLOOKUP('GASB Data'!A640,Check!$A$2:$F$11,6,FALSE)</f>
        <v>1750041.8742</v>
      </c>
    </row>
    <row r="641" spans="1:7" x14ac:dyDescent="0.2">
      <c r="A641">
        <v>2017</v>
      </c>
      <c r="B641" s="3" t="s">
        <v>173</v>
      </c>
      <c r="C641" s="3" t="s">
        <v>643</v>
      </c>
      <c r="D641" s="3" t="s">
        <v>643</v>
      </c>
      <c r="E641" s="8">
        <v>93904404</v>
      </c>
      <c r="F641" s="2">
        <v>8.4159999999999997E-4</v>
      </c>
      <c r="G641" s="17">
        <f>F641 * VLOOKUP('GASB Data'!A641,Check!$A$2:$F$11,6,FALSE)</f>
        <v>1212908.8703999999</v>
      </c>
    </row>
    <row r="642" spans="1:7" x14ac:dyDescent="0.2">
      <c r="A642">
        <v>2017</v>
      </c>
      <c r="B642" s="3" t="s">
        <v>174</v>
      </c>
      <c r="C642" s="3" t="s">
        <v>644</v>
      </c>
      <c r="D642" s="3" t="s">
        <v>644</v>
      </c>
      <c r="E642" s="8">
        <v>142665603</v>
      </c>
      <c r="F642" s="2">
        <v>1.2786E-3</v>
      </c>
      <c r="G642" s="17">
        <f>F642 * VLOOKUP('GASB Data'!A642,Check!$A$2:$F$11,6,FALSE)</f>
        <v>1842710.6483999998</v>
      </c>
    </row>
    <row r="643" spans="1:7" x14ac:dyDescent="0.2">
      <c r="A643">
        <v>2017</v>
      </c>
      <c r="B643" s="3" t="s">
        <v>175</v>
      </c>
      <c r="C643" s="3" t="s">
        <v>645</v>
      </c>
      <c r="D643" s="3" t="s">
        <v>645</v>
      </c>
      <c r="E643" s="8">
        <v>110223425</v>
      </c>
      <c r="F643" s="2">
        <v>9.8780000000000005E-4</v>
      </c>
      <c r="G643" s="17">
        <f>F643 * VLOOKUP('GASB Data'!A643,Check!$A$2:$F$11,6,FALSE)</f>
        <v>1423611.4332000001</v>
      </c>
    </row>
    <row r="644" spans="1:7" x14ac:dyDescent="0.2">
      <c r="A644">
        <v>2017</v>
      </c>
      <c r="B644" s="3" t="s">
        <v>176</v>
      </c>
      <c r="C644" s="3" t="s">
        <v>646</v>
      </c>
      <c r="D644" s="3" t="s">
        <v>646</v>
      </c>
      <c r="E644" s="8">
        <v>2431729</v>
      </c>
      <c r="F644" s="2">
        <v>2.1800000000000001E-5</v>
      </c>
      <c r="G644" s="17">
        <f>F644 * VLOOKUP('GASB Data'!A644,Check!$A$2:$F$11,6,FALSE)</f>
        <v>31418.029200000001</v>
      </c>
    </row>
    <row r="645" spans="1:7" x14ac:dyDescent="0.2">
      <c r="A645">
        <v>2017</v>
      </c>
      <c r="B645" s="3" t="s">
        <v>177</v>
      </c>
      <c r="C645" s="3" t="s">
        <v>647</v>
      </c>
      <c r="D645" s="3" t="s">
        <v>647</v>
      </c>
      <c r="E645" s="8">
        <v>285956668</v>
      </c>
      <c r="F645" s="2">
        <v>2.5628000000000001E-3</v>
      </c>
      <c r="G645" s="17">
        <f>F645 * VLOOKUP('GASB Data'!A645,Check!$A$2:$F$11,6,FALSE)</f>
        <v>3693491.9832000001</v>
      </c>
    </row>
    <row r="646" spans="1:7" x14ac:dyDescent="0.2">
      <c r="A646">
        <v>2017</v>
      </c>
      <c r="B646" s="3" t="s">
        <v>178</v>
      </c>
      <c r="C646" s="3" t="s">
        <v>648</v>
      </c>
      <c r="D646" s="3" t="s">
        <v>648</v>
      </c>
      <c r="E646" s="8">
        <v>55049599</v>
      </c>
      <c r="F646" s="2">
        <v>4.9339999999999996E-4</v>
      </c>
      <c r="G646" s="17">
        <f>F646 * VLOOKUP('GASB Data'!A646,Check!$A$2:$F$11,6,FALSE)</f>
        <v>711085.11959999998</v>
      </c>
    </row>
    <row r="647" spans="1:7" x14ac:dyDescent="0.2">
      <c r="A647">
        <v>2017</v>
      </c>
      <c r="B647" s="3" t="s">
        <v>179</v>
      </c>
      <c r="C647" s="3" t="s">
        <v>649</v>
      </c>
      <c r="D647" s="3" t="s">
        <v>649</v>
      </c>
      <c r="E647" s="8">
        <v>108124458</v>
      </c>
      <c r="F647" s="2">
        <v>9.6900000000000003E-4</v>
      </c>
      <c r="G647" s="17">
        <f>F647 * VLOOKUP('GASB Data'!A647,Check!$A$2:$F$11,6,FALSE)</f>
        <v>1396516.986</v>
      </c>
    </row>
    <row r="648" spans="1:7" x14ac:dyDescent="0.2">
      <c r="A648">
        <v>2017</v>
      </c>
      <c r="B648" s="3" t="s">
        <v>180</v>
      </c>
      <c r="C648" s="3" t="s">
        <v>650</v>
      </c>
      <c r="D648" s="3" t="s">
        <v>650</v>
      </c>
      <c r="E648" s="8">
        <v>188631723</v>
      </c>
      <c r="F648" s="2">
        <v>1.6904999999999999E-3</v>
      </c>
      <c r="G648" s="17">
        <f>F648 * VLOOKUP('GASB Data'!A648,Check!$A$2:$F$11,6,FALSE)</f>
        <v>2436338.4569999999</v>
      </c>
    </row>
    <row r="649" spans="1:7" x14ac:dyDescent="0.2">
      <c r="A649">
        <v>2017</v>
      </c>
      <c r="B649" s="3" t="s">
        <v>181</v>
      </c>
      <c r="C649" s="3" t="s">
        <v>651</v>
      </c>
      <c r="D649" s="3" t="s">
        <v>651</v>
      </c>
      <c r="E649" s="8">
        <v>37268222</v>
      </c>
      <c r="F649" s="2">
        <v>3.3399999999999999E-4</v>
      </c>
      <c r="G649" s="17">
        <f>F649 * VLOOKUP('GASB Data'!A649,Check!$A$2:$F$11,6,FALSE)</f>
        <v>481358.79599999997</v>
      </c>
    </row>
    <row r="650" spans="1:7" x14ac:dyDescent="0.2">
      <c r="A650">
        <v>2017</v>
      </c>
      <c r="B650" s="3" t="s">
        <v>182</v>
      </c>
      <c r="C650" s="3" t="s">
        <v>652</v>
      </c>
      <c r="D650" s="3" t="s">
        <v>652</v>
      </c>
      <c r="E650" s="8">
        <v>536979296</v>
      </c>
      <c r="F650" s="2">
        <v>4.8123999999999997E-3</v>
      </c>
      <c r="G650" s="17">
        <f>F650 * VLOOKUP('GASB Data'!A650,Check!$A$2:$F$11,6,FALSE)</f>
        <v>6935602.0055999998</v>
      </c>
    </row>
    <row r="651" spans="1:7" x14ac:dyDescent="0.2">
      <c r="A651">
        <v>2017</v>
      </c>
      <c r="B651" s="3" t="s">
        <v>183</v>
      </c>
      <c r="C651" s="3" t="s">
        <v>653</v>
      </c>
      <c r="D651" s="3" t="s">
        <v>653</v>
      </c>
      <c r="E651" s="8">
        <v>52099063</v>
      </c>
      <c r="F651" s="2">
        <v>4.6690000000000002E-4</v>
      </c>
      <c r="G651" s="17">
        <f>F651 * VLOOKUP('GASB Data'!A651,Check!$A$2:$F$11,6,FALSE)</f>
        <v>672893.47860000003</v>
      </c>
    </row>
    <row r="652" spans="1:7" x14ac:dyDescent="0.2">
      <c r="A652">
        <v>2017</v>
      </c>
      <c r="B652" s="3" t="s">
        <v>184</v>
      </c>
      <c r="C652" s="3" t="s">
        <v>654</v>
      </c>
      <c r="D652" s="3" t="s">
        <v>654</v>
      </c>
      <c r="E652" s="8">
        <v>1109105141</v>
      </c>
      <c r="F652" s="2">
        <v>9.9398000000000004E-3</v>
      </c>
      <c r="G652" s="17">
        <f>F652 * VLOOKUP('GASB Data'!A652,Check!$A$2:$F$11,6,FALSE)</f>
        <v>14325180.121200001</v>
      </c>
    </row>
    <row r="653" spans="1:7" x14ac:dyDescent="0.2">
      <c r="A653">
        <v>2017</v>
      </c>
      <c r="B653" s="3" t="s">
        <v>185</v>
      </c>
      <c r="C653" s="3" t="s">
        <v>900</v>
      </c>
      <c r="D653" s="3" t="s">
        <v>900</v>
      </c>
      <c r="E653" s="8">
        <v>7583726</v>
      </c>
      <c r="F653" s="2">
        <v>6.7999999999999999E-5</v>
      </c>
      <c r="G653" s="17">
        <f>F653 * VLOOKUP('GASB Data'!A653,Check!$A$2:$F$11,6,FALSE)</f>
        <v>98001.191999999995</v>
      </c>
    </row>
    <row r="654" spans="1:7" x14ac:dyDescent="0.2">
      <c r="A654">
        <v>2017</v>
      </c>
      <c r="B654" s="3" t="s">
        <v>186</v>
      </c>
      <c r="C654" s="3" t="s">
        <v>656</v>
      </c>
      <c r="D654" s="3" t="s">
        <v>656</v>
      </c>
      <c r="E654" s="8">
        <v>18166857</v>
      </c>
      <c r="F654" s="2">
        <v>1.628E-4</v>
      </c>
      <c r="G654" s="17">
        <f>F654 * VLOOKUP('GASB Data'!A654,Check!$A$2:$F$11,6,FALSE)</f>
        <v>234626.38320000001</v>
      </c>
    </row>
    <row r="655" spans="1:7" x14ac:dyDescent="0.2">
      <c r="A655">
        <v>2017</v>
      </c>
      <c r="B655" s="3" t="s">
        <v>187</v>
      </c>
      <c r="C655" s="3" t="s">
        <v>657</v>
      </c>
      <c r="D655" s="3" t="s">
        <v>657</v>
      </c>
      <c r="E655" s="8">
        <v>177521295</v>
      </c>
      <c r="F655" s="2">
        <v>1.591E-3</v>
      </c>
      <c r="G655" s="17">
        <f>F655 * VLOOKUP('GASB Data'!A655,Check!$A$2:$F$11,6,FALSE)</f>
        <v>2292939.6540000001</v>
      </c>
    </row>
    <row r="656" spans="1:7" x14ac:dyDescent="0.2">
      <c r="A656">
        <v>2017</v>
      </c>
      <c r="B656" s="3" t="s">
        <v>188</v>
      </c>
      <c r="C656" s="3" t="s">
        <v>658</v>
      </c>
      <c r="D656" s="3" t="s">
        <v>658</v>
      </c>
      <c r="E656" s="8">
        <v>250622571</v>
      </c>
      <c r="F656" s="2">
        <v>2.2461E-3</v>
      </c>
      <c r="G656" s="17">
        <f>F656 * VLOOKUP('GASB Data'!A656,Check!$A$2:$F$11,6,FALSE)</f>
        <v>3237065.8434000001</v>
      </c>
    </row>
    <row r="657" spans="1:7" x14ac:dyDescent="0.2">
      <c r="A657">
        <v>2017</v>
      </c>
      <c r="B657" s="3" t="s">
        <v>189</v>
      </c>
      <c r="C657" s="3" t="s">
        <v>659</v>
      </c>
      <c r="D657" s="3" t="s">
        <v>659</v>
      </c>
      <c r="E657" s="8">
        <v>500793523</v>
      </c>
      <c r="F657" s="2">
        <v>4.4881000000000001E-3</v>
      </c>
      <c r="G657" s="17">
        <f>F657 * VLOOKUP('GASB Data'!A657,Check!$A$2:$F$11,6,FALSE)</f>
        <v>6468222.7914000005</v>
      </c>
    </row>
    <row r="658" spans="1:7" x14ac:dyDescent="0.2">
      <c r="A658">
        <v>2017</v>
      </c>
      <c r="B658" s="3" t="s">
        <v>190</v>
      </c>
      <c r="C658" s="3" t="s">
        <v>901</v>
      </c>
      <c r="D658" s="3" t="s">
        <v>901</v>
      </c>
      <c r="E658" s="8">
        <v>60274233</v>
      </c>
      <c r="F658" s="2">
        <v>5.4020000000000001E-4</v>
      </c>
      <c r="G658" s="17">
        <f>F658 * VLOOKUP('GASB Data'!A658,Check!$A$2:$F$11,6,FALSE)</f>
        <v>778532.99880000006</v>
      </c>
    </row>
    <row r="659" spans="1:7" x14ac:dyDescent="0.2">
      <c r="A659">
        <v>2017</v>
      </c>
      <c r="B659" s="3" t="s">
        <v>191</v>
      </c>
      <c r="C659" s="3" t="s">
        <v>661</v>
      </c>
      <c r="D659" s="3" t="s">
        <v>661</v>
      </c>
      <c r="E659" s="8">
        <v>1342479109</v>
      </c>
      <c r="F659" s="2">
        <v>1.20313E-2</v>
      </c>
      <c r="G659" s="17">
        <f>F659 * VLOOKUP('GASB Data'!A659,Check!$A$2:$F$11,6,FALSE)</f>
        <v>17339437.372200001</v>
      </c>
    </row>
    <row r="660" spans="1:7" x14ac:dyDescent="0.2">
      <c r="A660">
        <v>2017</v>
      </c>
      <c r="B660" s="3" t="s">
        <v>192</v>
      </c>
      <c r="C660" s="3" t="s">
        <v>662</v>
      </c>
      <c r="D660" s="3" t="s">
        <v>662</v>
      </c>
      <c r="E660" s="8">
        <v>33118082</v>
      </c>
      <c r="F660" s="2">
        <v>2.968E-4</v>
      </c>
      <c r="G660" s="17">
        <f>F660 * VLOOKUP('GASB Data'!A660,Check!$A$2:$F$11,6,FALSE)</f>
        <v>427746.37920000002</v>
      </c>
    </row>
    <row r="661" spans="1:7" x14ac:dyDescent="0.2">
      <c r="A661">
        <v>2017</v>
      </c>
      <c r="B661" s="3" t="s">
        <v>193</v>
      </c>
      <c r="C661" s="3" t="s">
        <v>663</v>
      </c>
      <c r="D661" s="3" t="s">
        <v>663</v>
      </c>
      <c r="E661" s="8">
        <v>243085392</v>
      </c>
      <c r="F661" s="2">
        <v>2.1784999999999999E-3</v>
      </c>
      <c r="G661" s="17">
        <f>F661 * VLOOKUP('GASB Data'!A661,Check!$A$2:$F$11,6,FALSE)</f>
        <v>3139641.1289999997</v>
      </c>
    </row>
    <row r="662" spans="1:7" x14ac:dyDescent="0.2">
      <c r="A662">
        <v>2017</v>
      </c>
      <c r="B662" s="3" t="s">
        <v>194</v>
      </c>
      <c r="C662" s="3" t="s">
        <v>664</v>
      </c>
      <c r="D662" s="3" t="s">
        <v>664</v>
      </c>
      <c r="E662" s="8">
        <v>515914199</v>
      </c>
      <c r="F662" s="2">
        <v>4.6236000000000003E-3</v>
      </c>
      <c r="G662" s="17">
        <f>F662 * VLOOKUP('GASB Data'!A662,Check!$A$2:$F$11,6,FALSE)</f>
        <v>6663504.5784</v>
      </c>
    </row>
    <row r="663" spans="1:7" x14ac:dyDescent="0.2">
      <c r="A663">
        <v>2017</v>
      </c>
      <c r="B663" s="3" t="s">
        <v>195</v>
      </c>
      <c r="C663" s="3" t="s">
        <v>665</v>
      </c>
      <c r="D663" s="3" t="s">
        <v>665</v>
      </c>
      <c r="E663" s="8">
        <v>101875557</v>
      </c>
      <c r="F663" s="2">
        <v>9.1299999999999997E-4</v>
      </c>
      <c r="G663" s="17">
        <f>F663 * VLOOKUP('GASB Data'!A663,Check!$A$2:$F$11,6,FALSE)</f>
        <v>1315810.122</v>
      </c>
    </row>
    <row r="664" spans="1:7" x14ac:dyDescent="0.2">
      <c r="A664">
        <v>2017</v>
      </c>
      <c r="B664" s="3" t="s">
        <v>196</v>
      </c>
      <c r="C664" s="3" t="s">
        <v>666</v>
      </c>
      <c r="D664" s="3" t="s">
        <v>666</v>
      </c>
      <c r="E664" s="8">
        <v>79290210</v>
      </c>
      <c r="F664" s="2">
        <v>7.1060000000000003E-4</v>
      </c>
      <c r="G664" s="17">
        <f>F664 * VLOOKUP('GASB Data'!A664,Check!$A$2:$F$11,6,FALSE)</f>
        <v>1024112.4564</v>
      </c>
    </row>
    <row r="665" spans="1:7" x14ac:dyDescent="0.2">
      <c r="A665">
        <v>2017</v>
      </c>
      <c r="B665" s="3" t="s">
        <v>197</v>
      </c>
      <c r="C665" s="3" t="s">
        <v>667</v>
      </c>
      <c r="D665" s="3" t="s">
        <v>667</v>
      </c>
      <c r="E665" s="8">
        <v>360886582</v>
      </c>
      <c r="F665" s="2">
        <v>3.2342999999999998E-3</v>
      </c>
      <c r="G665" s="17">
        <f>F665 * VLOOKUP('GASB Data'!A665,Check!$A$2:$F$11,6,FALSE)</f>
        <v>4661253.7541999994</v>
      </c>
    </row>
    <row r="666" spans="1:7" x14ac:dyDescent="0.2">
      <c r="A666">
        <v>2017</v>
      </c>
      <c r="B666" s="3" t="s">
        <v>198</v>
      </c>
      <c r="C666" s="3" t="s">
        <v>668</v>
      </c>
      <c r="D666" s="3" t="s">
        <v>668</v>
      </c>
      <c r="E666" s="8">
        <v>54771425</v>
      </c>
      <c r="F666" s="2">
        <v>4.9089999999999995E-4</v>
      </c>
      <c r="G666" s="17">
        <f>F666 * VLOOKUP('GASB Data'!A666,Check!$A$2:$F$11,6,FALSE)</f>
        <v>707482.13459999987</v>
      </c>
    </row>
    <row r="667" spans="1:7" x14ac:dyDescent="0.2">
      <c r="A667">
        <v>2017</v>
      </c>
      <c r="B667" s="3" t="s">
        <v>199</v>
      </c>
      <c r="C667" s="3" t="s">
        <v>669</v>
      </c>
      <c r="D667" s="3" t="s">
        <v>669</v>
      </c>
      <c r="E667" s="8">
        <v>108975521</v>
      </c>
      <c r="F667" s="2">
        <v>9.7659999999999999E-4</v>
      </c>
      <c r="G667" s="17">
        <f>F667 * VLOOKUP('GASB Data'!A667,Check!$A$2:$F$11,6,FALSE)</f>
        <v>1407470.0604000001</v>
      </c>
    </row>
    <row r="668" spans="1:7" x14ac:dyDescent="0.2">
      <c r="A668">
        <v>2017</v>
      </c>
      <c r="B668" s="3" t="s">
        <v>200</v>
      </c>
      <c r="C668" s="3" t="s">
        <v>670</v>
      </c>
      <c r="D668" s="3" t="s">
        <v>670</v>
      </c>
      <c r="E668" s="8">
        <v>658207932</v>
      </c>
      <c r="F668" s="2">
        <v>5.8989000000000003E-3</v>
      </c>
      <c r="G668" s="17">
        <f>F668 * VLOOKUP('GASB Data'!A668,Check!$A$2:$F$11,6,FALSE)</f>
        <v>8501459.2866000012</v>
      </c>
    </row>
    <row r="669" spans="1:7" x14ac:dyDescent="0.2">
      <c r="A669">
        <v>2017</v>
      </c>
      <c r="B669" s="3" t="s">
        <v>201</v>
      </c>
      <c r="C669" s="3" t="s">
        <v>671</v>
      </c>
      <c r="D669" s="3" t="s">
        <v>671</v>
      </c>
      <c r="E669" s="8">
        <v>129261859</v>
      </c>
      <c r="F669" s="2">
        <v>1.1584E-3</v>
      </c>
      <c r="G669" s="17">
        <f>F669 * VLOOKUP('GASB Data'!A669,Check!$A$2:$F$11,6,FALSE)</f>
        <v>1669479.1295999999</v>
      </c>
    </row>
    <row r="670" spans="1:7" x14ac:dyDescent="0.2">
      <c r="A670">
        <v>2017</v>
      </c>
      <c r="B670" s="3" t="s">
        <v>202</v>
      </c>
      <c r="C670" s="3" t="s">
        <v>672</v>
      </c>
      <c r="D670" s="3" t="s">
        <v>672</v>
      </c>
      <c r="E670" s="8">
        <v>170619652</v>
      </c>
      <c r="F670" s="2">
        <v>1.5291E-3</v>
      </c>
      <c r="G670" s="17">
        <f>F670 * VLOOKUP('GASB Data'!A670,Check!$A$2:$F$11,6,FALSE)</f>
        <v>2203729.7453999999</v>
      </c>
    </row>
    <row r="671" spans="1:7" x14ac:dyDescent="0.2">
      <c r="A671">
        <v>2017</v>
      </c>
      <c r="B671" s="3" t="s">
        <v>203</v>
      </c>
      <c r="C671" s="3" t="s">
        <v>673</v>
      </c>
      <c r="D671" s="3" t="s">
        <v>673</v>
      </c>
      <c r="E671" s="8">
        <v>144377208</v>
      </c>
      <c r="F671" s="2">
        <v>1.2939E-3</v>
      </c>
      <c r="G671" s="17">
        <f>F671 * VLOOKUP('GASB Data'!A671,Check!$A$2:$F$11,6,FALSE)</f>
        <v>1864760.9165999999</v>
      </c>
    </row>
    <row r="672" spans="1:7" x14ac:dyDescent="0.2">
      <c r="A672">
        <v>2017</v>
      </c>
      <c r="B672" s="3" t="s">
        <v>204</v>
      </c>
      <c r="C672" s="3" t="s">
        <v>674</v>
      </c>
      <c r="D672" s="3" t="s">
        <v>674</v>
      </c>
      <c r="E672" s="8">
        <v>409149781</v>
      </c>
      <c r="F672" s="2">
        <v>3.6668E-3</v>
      </c>
      <c r="G672" s="17">
        <f>F672 * VLOOKUP('GASB Data'!A672,Check!$A$2:$F$11,6,FALSE)</f>
        <v>5284570.1591999996</v>
      </c>
    </row>
    <row r="673" spans="1:7" x14ac:dyDescent="0.2">
      <c r="A673">
        <v>2017</v>
      </c>
      <c r="B673" s="3" t="s">
        <v>205</v>
      </c>
      <c r="C673" s="3" t="s">
        <v>675</v>
      </c>
      <c r="D673" s="3" t="s">
        <v>675</v>
      </c>
      <c r="E673" s="8">
        <v>164882870</v>
      </c>
      <c r="F673" s="2">
        <v>1.4777E-3</v>
      </c>
      <c r="G673" s="17">
        <f>F673 * VLOOKUP('GASB Data'!A673,Check!$A$2:$F$11,6,FALSE)</f>
        <v>2129652.3738000002</v>
      </c>
    </row>
    <row r="674" spans="1:7" x14ac:dyDescent="0.2">
      <c r="A674">
        <v>2017</v>
      </c>
      <c r="B674" s="3" t="s">
        <v>206</v>
      </c>
      <c r="C674" s="3" t="s">
        <v>676</v>
      </c>
      <c r="D674" s="3" t="s">
        <v>676</v>
      </c>
      <c r="E674" s="8">
        <v>37174057</v>
      </c>
      <c r="F674" s="2">
        <v>3.3320000000000002E-4</v>
      </c>
      <c r="G674" s="17">
        <f>F674 * VLOOKUP('GASB Data'!A674,Check!$A$2:$F$11,6,FALSE)</f>
        <v>480205.84080000001</v>
      </c>
    </row>
    <row r="675" spans="1:7" x14ac:dyDescent="0.2">
      <c r="A675">
        <v>2017</v>
      </c>
      <c r="B675" s="3" t="s">
        <v>207</v>
      </c>
      <c r="C675" s="3" t="s">
        <v>677</v>
      </c>
      <c r="D675" s="3" t="s">
        <v>677</v>
      </c>
      <c r="E675" s="8">
        <v>93185331</v>
      </c>
      <c r="F675" s="2">
        <v>8.3509999999999997E-4</v>
      </c>
      <c r="G675" s="17">
        <f>F675 * VLOOKUP('GASB Data'!A675,Check!$A$2:$F$11,6,FALSE)</f>
        <v>1203541.1094</v>
      </c>
    </row>
    <row r="676" spans="1:7" x14ac:dyDescent="0.2">
      <c r="A676">
        <v>2017</v>
      </c>
      <c r="B676" s="3" t="s">
        <v>208</v>
      </c>
      <c r="C676" s="3" t="s">
        <v>678</v>
      </c>
      <c r="D676" s="3" t="s">
        <v>678</v>
      </c>
      <c r="E676" s="8">
        <v>61717373</v>
      </c>
      <c r="F676" s="2">
        <v>5.5309999999999995E-4</v>
      </c>
      <c r="G676" s="17">
        <f>F676 * VLOOKUP('GASB Data'!A676,Check!$A$2:$F$11,6,FALSE)</f>
        <v>797124.40139999997</v>
      </c>
    </row>
    <row r="677" spans="1:7" x14ac:dyDescent="0.2">
      <c r="A677">
        <v>2017</v>
      </c>
      <c r="B677" s="3" t="s">
        <v>209</v>
      </c>
      <c r="C677" s="3" t="s">
        <v>679</v>
      </c>
      <c r="D677" s="3" t="s">
        <v>679</v>
      </c>
      <c r="E677" s="8">
        <v>693044225</v>
      </c>
      <c r="F677" s="2">
        <v>6.2110999999999998E-3</v>
      </c>
      <c r="G677" s="17">
        <f>F677 * VLOOKUP('GASB Data'!A677,Check!$A$2:$F$11,6,FALSE)</f>
        <v>8951400.0534000006</v>
      </c>
    </row>
    <row r="678" spans="1:7" x14ac:dyDescent="0.2">
      <c r="A678">
        <v>2017</v>
      </c>
      <c r="B678" s="3" t="s">
        <v>210</v>
      </c>
      <c r="C678" s="3" t="s">
        <v>680</v>
      </c>
      <c r="D678" s="3" t="s">
        <v>680</v>
      </c>
      <c r="E678" s="8">
        <v>69961278</v>
      </c>
      <c r="F678" s="2">
        <v>6.2699999999999995E-4</v>
      </c>
      <c r="G678" s="17">
        <f>F678 * VLOOKUP('GASB Data'!A678,Check!$A$2:$F$11,6,FALSE)</f>
        <v>903628.63799999992</v>
      </c>
    </row>
    <row r="679" spans="1:7" x14ac:dyDescent="0.2">
      <c r="A679">
        <v>2017</v>
      </c>
      <c r="B679" s="3" t="s">
        <v>211</v>
      </c>
      <c r="C679" s="3" t="s">
        <v>681</v>
      </c>
      <c r="D679" s="3" t="s">
        <v>681</v>
      </c>
      <c r="E679" s="8">
        <v>249810409</v>
      </c>
      <c r="F679" s="2">
        <v>2.2388E-3</v>
      </c>
      <c r="G679" s="17">
        <f>F679 * VLOOKUP('GASB Data'!A679,Check!$A$2:$F$11,6,FALSE)</f>
        <v>3226545.1272</v>
      </c>
    </row>
    <row r="680" spans="1:7" x14ac:dyDescent="0.2">
      <c r="A680">
        <v>2017</v>
      </c>
      <c r="B680" s="3" t="s">
        <v>212</v>
      </c>
      <c r="C680" s="3" t="s">
        <v>682</v>
      </c>
      <c r="D680" s="3" t="s">
        <v>682</v>
      </c>
      <c r="E680" s="8">
        <v>64493808</v>
      </c>
      <c r="F680" s="2">
        <v>5.7799999999999995E-4</v>
      </c>
      <c r="G680" s="17">
        <f>F680 * VLOOKUP('GASB Data'!A680,Check!$A$2:$F$11,6,FALSE)</f>
        <v>833010.13199999998</v>
      </c>
    </row>
    <row r="681" spans="1:7" x14ac:dyDescent="0.2">
      <c r="A681">
        <v>2017</v>
      </c>
      <c r="B681" s="3" t="s">
        <v>213</v>
      </c>
      <c r="C681" s="3" t="s">
        <v>683</v>
      </c>
      <c r="D681" s="3" t="s">
        <v>683</v>
      </c>
      <c r="E681" s="8">
        <v>94106860</v>
      </c>
      <c r="F681" s="2">
        <v>8.4340000000000001E-4</v>
      </c>
      <c r="G681" s="17">
        <f>F681 * VLOOKUP('GASB Data'!A681,Check!$A$2:$F$11,6,FALSE)</f>
        <v>1215503.0196</v>
      </c>
    </row>
    <row r="682" spans="1:7" x14ac:dyDescent="0.2">
      <c r="A682">
        <v>2017</v>
      </c>
      <c r="B682" s="3" t="s">
        <v>215</v>
      </c>
      <c r="C682" s="3" t="s">
        <v>902</v>
      </c>
      <c r="D682" s="3" t="s">
        <v>902</v>
      </c>
      <c r="E682" s="8">
        <v>535353970</v>
      </c>
      <c r="F682" s="2">
        <v>4.7978999999999999E-3</v>
      </c>
      <c r="G682" s="17">
        <f>F682 * VLOOKUP('GASB Data'!A682,Check!$A$2:$F$11,6,FALSE)</f>
        <v>6914704.6925999997</v>
      </c>
    </row>
    <row r="683" spans="1:7" x14ac:dyDescent="0.2">
      <c r="A683">
        <v>2017</v>
      </c>
      <c r="B683" s="3" t="s">
        <v>216</v>
      </c>
      <c r="C683" s="3" t="s">
        <v>685</v>
      </c>
      <c r="D683" s="3" t="s">
        <v>685</v>
      </c>
      <c r="E683" s="8">
        <v>84334023</v>
      </c>
      <c r="F683" s="2">
        <v>7.5580000000000005E-4</v>
      </c>
      <c r="G683" s="17">
        <f>F683 * VLOOKUP('GASB Data'!A683,Check!$A$2:$F$11,6,FALSE)</f>
        <v>1089254.4252000002</v>
      </c>
    </row>
    <row r="684" spans="1:7" x14ac:dyDescent="0.2">
      <c r="A684">
        <v>2017</v>
      </c>
      <c r="B684" s="3" t="s">
        <v>217</v>
      </c>
      <c r="C684" s="3" t="s">
        <v>686</v>
      </c>
      <c r="D684" s="3" t="s">
        <v>686</v>
      </c>
      <c r="E684" s="8">
        <v>1923428026</v>
      </c>
      <c r="F684" s="2">
        <v>1.7237800000000001E-2</v>
      </c>
      <c r="G684" s="17">
        <f>F684 * VLOOKUP('GASB Data'!A684,Check!$A$2:$F$11,6,FALSE)</f>
        <v>24843013.933200002</v>
      </c>
    </row>
    <row r="685" spans="1:7" x14ac:dyDescent="0.2">
      <c r="A685">
        <v>2017</v>
      </c>
      <c r="B685" s="3" t="s">
        <v>218</v>
      </c>
      <c r="C685" s="3" t="s">
        <v>687</v>
      </c>
      <c r="D685" s="3" t="s">
        <v>687</v>
      </c>
      <c r="E685" s="8">
        <v>285706899</v>
      </c>
      <c r="F685" s="2">
        <v>2.5604999999999998E-3</v>
      </c>
      <c r="G685" s="17">
        <f>F685 * VLOOKUP('GASB Data'!A685,Check!$A$2:$F$11,6,FALSE)</f>
        <v>3690177.2369999997</v>
      </c>
    </row>
    <row r="686" spans="1:7" x14ac:dyDescent="0.2">
      <c r="A686">
        <v>2017</v>
      </c>
      <c r="B686" s="3" t="s">
        <v>219</v>
      </c>
      <c r="C686" s="3" t="s">
        <v>688</v>
      </c>
      <c r="D686" s="3" t="s">
        <v>688</v>
      </c>
      <c r="E686" s="8">
        <v>180868100</v>
      </c>
      <c r="F686" s="2">
        <v>1.6209E-3</v>
      </c>
      <c r="G686" s="17">
        <f>F686 * VLOOKUP('GASB Data'!A686,Check!$A$2:$F$11,6,FALSE)</f>
        <v>2336031.3546000002</v>
      </c>
    </row>
    <row r="687" spans="1:7" x14ac:dyDescent="0.2">
      <c r="A687">
        <v>2017</v>
      </c>
      <c r="B687" s="3" t="s">
        <v>274</v>
      </c>
      <c r="C687" s="3" t="s">
        <v>689</v>
      </c>
      <c r="D687" s="3" t="s">
        <v>689</v>
      </c>
      <c r="E687" s="8">
        <v>243570816</v>
      </c>
      <c r="F687" s="2">
        <v>2.1829000000000002E-3</v>
      </c>
      <c r="G687" s="17">
        <f>F687 * VLOOKUP('GASB Data'!A687,Check!$A$2:$F$11,6,FALSE)</f>
        <v>3145982.3826000001</v>
      </c>
    </row>
    <row r="688" spans="1:7" x14ac:dyDescent="0.2">
      <c r="A688">
        <v>2017</v>
      </c>
      <c r="B688" s="3" t="s">
        <v>275</v>
      </c>
      <c r="C688" s="3" t="s">
        <v>690</v>
      </c>
      <c r="D688" s="3" t="s">
        <v>690</v>
      </c>
      <c r="E688" s="8">
        <v>728853363</v>
      </c>
      <c r="F688" s="2">
        <v>6.5319999999999996E-3</v>
      </c>
      <c r="G688" s="17">
        <f>F688 * VLOOKUP('GASB Data'!A688,Check!$A$2:$F$11,6,FALSE)</f>
        <v>9413879.2079999987</v>
      </c>
    </row>
    <row r="689" spans="1:7" x14ac:dyDescent="0.2">
      <c r="A689">
        <v>2017</v>
      </c>
      <c r="B689" s="3" t="s">
        <v>276</v>
      </c>
      <c r="C689" s="3" t="s">
        <v>903</v>
      </c>
      <c r="D689" s="3" t="s">
        <v>903</v>
      </c>
      <c r="E689" s="8">
        <v>15970188</v>
      </c>
      <c r="F689" s="2">
        <v>1.4310000000000001E-4</v>
      </c>
      <c r="G689" s="17">
        <f>F689 * VLOOKUP('GASB Data'!A689,Check!$A$2:$F$11,6,FALSE)</f>
        <v>206234.86140000002</v>
      </c>
    </row>
    <row r="690" spans="1:7" x14ac:dyDescent="0.2">
      <c r="A690">
        <v>2017</v>
      </c>
      <c r="B690" s="3" t="s">
        <v>277</v>
      </c>
      <c r="C690" s="3" t="s">
        <v>692</v>
      </c>
      <c r="D690" s="3" t="s">
        <v>692</v>
      </c>
      <c r="E690" s="8">
        <v>107564248</v>
      </c>
      <c r="F690" s="2">
        <v>9.6400000000000001E-4</v>
      </c>
      <c r="G690" s="17">
        <f>F690 * VLOOKUP('GASB Data'!A690,Check!$A$2:$F$11,6,FALSE)</f>
        <v>1389311.0160000001</v>
      </c>
    </row>
    <row r="691" spans="1:7" x14ac:dyDescent="0.2">
      <c r="A691">
        <v>2017</v>
      </c>
      <c r="B691" s="3" t="s">
        <v>278</v>
      </c>
      <c r="C691" s="3" t="s">
        <v>693</v>
      </c>
      <c r="D691" s="3" t="s">
        <v>693</v>
      </c>
      <c r="E691" s="8">
        <v>136873721</v>
      </c>
      <c r="F691" s="2">
        <v>1.2267000000000001E-3</v>
      </c>
      <c r="G691" s="17">
        <f>F691 * VLOOKUP('GASB Data'!A691,Check!$A$2:$F$11,6,FALSE)</f>
        <v>1767912.6798</v>
      </c>
    </row>
    <row r="692" spans="1:7" x14ac:dyDescent="0.2">
      <c r="A692">
        <v>2017</v>
      </c>
      <c r="B692" s="3" t="s">
        <v>279</v>
      </c>
      <c r="C692" s="3" t="s">
        <v>694</v>
      </c>
      <c r="D692" s="3" t="s">
        <v>694</v>
      </c>
      <c r="E692" s="8">
        <v>113200782</v>
      </c>
      <c r="F692" s="2">
        <v>1.0145E-3</v>
      </c>
      <c r="G692" s="17">
        <f>F692 * VLOOKUP('GASB Data'!A692,Check!$A$2:$F$11,6,FALSE)</f>
        <v>1462091.3130000001</v>
      </c>
    </row>
    <row r="693" spans="1:7" x14ac:dyDescent="0.2">
      <c r="A693">
        <v>2017</v>
      </c>
      <c r="B693" s="3" t="s">
        <v>280</v>
      </c>
      <c r="C693" s="3" t="s">
        <v>695</v>
      </c>
      <c r="D693" s="3" t="s">
        <v>695</v>
      </c>
      <c r="E693" s="8">
        <v>276229277</v>
      </c>
      <c r="F693" s="2">
        <v>2.4756000000000001E-3</v>
      </c>
      <c r="G693" s="17">
        <f>F693 * VLOOKUP('GASB Data'!A693,Check!$A$2:$F$11,6,FALSE)</f>
        <v>3567819.8664000002</v>
      </c>
    </row>
    <row r="694" spans="1:7" x14ac:dyDescent="0.2">
      <c r="A694">
        <v>2017</v>
      </c>
      <c r="B694" s="3" t="s">
        <v>281</v>
      </c>
      <c r="C694" s="3" t="s">
        <v>904</v>
      </c>
      <c r="D694" s="3" t="s">
        <v>904</v>
      </c>
      <c r="E694" s="8">
        <v>9335117</v>
      </c>
      <c r="F694" s="2">
        <v>8.3700000000000002E-5</v>
      </c>
      <c r="G694" s="17">
        <f>F694 * VLOOKUP('GASB Data'!A694,Check!$A$2:$F$11,6,FALSE)</f>
        <v>120627.9378</v>
      </c>
    </row>
    <row r="695" spans="1:7" x14ac:dyDescent="0.2">
      <c r="A695">
        <v>2017</v>
      </c>
      <c r="B695" s="3" t="s">
        <v>282</v>
      </c>
      <c r="C695" s="3" t="s">
        <v>697</v>
      </c>
      <c r="D695" s="3" t="s">
        <v>697</v>
      </c>
      <c r="E695" s="8">
        <v>31516644</v>
      </c>
      <c r="F695" s="2">
        <v>2.8249999999999998E-4</v>
      </c>
      <c r="G695" s="17">
        <f>F695 * VLOOKUP('GASB Data'!A695,Check!$A$2:$F$11,6,FALSE)</f>
        <v>407137.30499999999</v>
      </c>
    </row>
    <row r="696" spans="1:7" x14ac:dyDescent="0.2">
      <c r="A696">
        <v>2017</v>
      </c>
      <c r="B696" s="3" t="s">
        <v>283</v>
      </c>
      <c r="C696" s="3" t="s">
        <v>698</v>
      </c>
      <c r="D696" s="3" t="s">
        <v>698</v>
      </c>
      <c r="E696" s="8">
        <v>397257673</v>
      </c>
      <c r="F696" s="2">
        <v>3.5601999999999999E-3</v>
      </c>
      <c r="G696" s="17">
        <f>F696 * VLOOKUP('GASB Data'!A696,Check!$A$2:$F$11,6,FALSE)</f>
        <v>5130938.8788000001</v>
      </c>
    </row>
    <row r="697" spans="1:7" x14ac:dyDescent="0.2">
      <c r="A697">
        <v>2017</v>
      </c>
      <c r="B697" s="3" t="s">
        <v>284</v>
      </c>
      <c r="C697" s="3" t="s">
        <v>699</v>
      </c>
      <c r="D697" s="3" t="s">
        <v>699</v>
      </c>
      <c r="E697" s="8">
        <v>44967033</v>
      </c>
      <c r="F697" s="2">
        <v>4.0299999999999998E-4</v>
      </c>
      <c r="G697" s="17">
        <f>F697 * VLOOKUP('GASB Data'!A697,Check!$A$2:$F$11,6,FALSE)</f>
        <v>580801.18200000003</v>
      </c>
    </row>
    <row r="698" spans="1:7" x14ac:dyDescent="0.2">
      <c r="A698">
        <v>2017</v>
      </c>
      <c r="B698" s="3" t="s">
        <v>285</v>
      </c>
      <c r="C698" s="3" t="s">
        <v>700</v>
      </c>
      <c r="D698" s="3" t="s">
        <v>700</v>
      </c>
      <c r="E698" s="8">
        <v>1731244671</v>
      </c>
      <c r="F698" s="2">
        <v>1.55155E-2</v>
      </c>
      <c r="G698" s="17">
        <f>F698 * VLOOKUP('GASB Data'!A698,Check!$A$2:$F$11,6,FALSE)</f>
        <v>22360845.506999999</v>
      </c>
    </row>
    <row r="699" spans="1:7" x14ac:dyDescent="0.2">
      <c r="A699">
        <v>2017</v>
      </c>
      <c r="B699" s="3" t="s">
        <v>286</v>
      </c>
      <c r="C699" s="3" t="s">
        <v>905</v>
      </c>
      <c r="D699" s="3" t="s">
        <v>905</v>
      </c>
      <c r="E699" s="8">
        <v>25217314</v>
      </c>
      <c r="F699" s="2">
        <v>2.2599999999999999E-4</v>
      </c>
      <c r="G699" s="17">
        <f>F699 * VLOOKUP('GASB Data'!A699,Check!$A$2:$F$11,6,FALSE)</f>
        <v>325709.84399999998</v>
      </c>
    </row>
    <row r="700" spans="1:7" x14ac:dyDescent="0.2">
      <c r="A700">
        <v>2017</v>
      </c>
      <c r="B700" s="3" t="s">
        <v>287</v>
      </c>
      <c r="C700" s="3" t="s">
        <v>702</v>
      </c>
      <c r="D700" s="3" t="s">
        <v>702</v>
      </c>
      <c r="E700" s="8">
        <v>15825069</v>
      </c>
      <c r="F700" s="2">
        <v>1.418E-4</v>
      </c>
      <c r="G700" s="17">
        <f>F700 * VLOOKUP('GASB Data'!A700,Check!$A$2:$F$11,6,FALSE)</f>
        <v>204361.30920000002</v>
      </c>
    </row>
    <row r="701" spans="1:7" x14ac:dyDescent="0.2">
      <c r="A701">
        <v>2017</v>
      </c>
      <c r="B701" s="3" t="s">
        <v>288</v>
      </c>
      <c r="C701" s="3" t="s">
        <v>703</v>
      </c>
      <c r="D701" s="3" t="s">
        <v>703</v>
      </c>
      <c r="E701" s="8">
        <v>51332407</v>
      </c>
      <c r="F701" s="2">
        <v>4.6000000000000001E-4</v>
      </c>
      <c r="G701" s="17">
        <f>F701 * VLOOKUP('GASB Data'!A701,Check!$A$2:$F$11,6,FALSE)</f>
        <v>662949.24</v>
      </c>
    </row>
    <row r="702" spans="1:7" x14ac:dyDescent="0.2">
      <c r="A702">
        <v>2017</v>
      </c>
      <c r="B702" s="3" t="s">
        <v>289</v>
      </c>
      <c r="C702" s="3" t="s">
        <v>704</v>
      </c>
      <c r="D702" s="3" t="s">
        <v>704</v>
      </c>
      <c r="E702" s="8">
        <v>149112446</v>
      </c>
      <c r="F702" s="2">
        <v>1.3364E-3</v>
      </c>
      <c r="G702" s="17">
        <f>F702 * VLOOKUP('GASB Data'!A702,Check!$A$2:$F$11,6,FALSE)</f>
        <v>1926011.6616</v>
      </c>
    </row>
    <row r="703" spans="1:7" x14ac:dyDescent="0.2">
      <c r="A703">
        <v>2017</v>
      </c>
      <c r="B703" s="3" t="s">
        <v>290</v>
      </c>
      <c r="C703" s="3" t="s">
        <v>705</v>
      </c>
      <c r="D703" s="3" t="s">
        <v>705</v>
      </c>
      <c r="E703" s="8">
        <v>12663035</v>
      </c>
      <c r="F703" s="2">
        <v>1.1349999999999999E-4</v>
      </c>
      <c r="G703" s="17">
        <f>F703 * VLOOKUP('GASB Data'!A703,Check!$A$2:$F$11,6,FALSE)</f>
        <v>163575.519</v>
      </c>
    </row>
    <row r="704" spans="1:7" x14ac:dyDescent="0.2">
      <c r="A704">
        <v>2017</v>
      </c>
      <c r="B704" s="3" t="s">
        <v>291</v>
      </c>
      <c r="C704" s="3" t="s">
        <v>706</v>
      </c>
      <c r="D704" s="3" t="s">
        <v>706</v>
      </c>
      <c r="E704" s="8">
        <v>33690979</v>
      </c>
      <c r="F704" s="2">
        <v>3.0190000000000002E-4</v>
      </c>
      <c r="G704" s="17">
        <f>F704 * VLOOKUP('GASB Data'!A704,Check!$A$2:$F$11,6,FALSE)</f>
        <v>435096.46860000002</v>
      </c>
    </row>
    <row r="705" spans="1:7" x14ac:dyDescent="0.2">
      <c r="A705">
        <v>2017</v>
      </c>
      <c r="B705" s="3" t="s">
        <v>293</v>
      </c>
      <c r="C705" s="3" t="s">
        <v>708</v>
      </c>
      <c r="D705" s="3" t="s">
        <v>708</v>
      </c>
      <c r="E705" s="8">
        <v>8550698</v>
      </c>
      <c r="F705" s="2">
        <v>7.6600000000000005E-5</v>
      </c>
      <c r="G705" s="17">
        <f>F705 * VLOOKUP('GASB Data'!A705,Check!$A$2:$F$11,6,FALSE)</f>
        <v>110395.46040000001</v>
      </c>
    </row>
    <row r="706" spans="1:7" x14ac:dyDescent="0.2">
      <c r="A706">
        <v>2017</v>
      </c>
      <c r="B706" s="3" t="s">
        <v>294</v>
      </c>
      <c r="C706" s="3" t="s">
        <v>709</v>
      </c>
      <c r="D706" s="3" t="s">
        <v>709</v>
      </c>
      <c r="E706" s="8">
        <v>255893851</v>
      </c>
      <c r="F706" s="2">
        <v>2.2932999999999999E-3</v>
      </c>
      <c r="G706" s="17">
        <f>F706 * VLOOKUP('GASB Data'!A706,Check!$A$2:$F$11,6,FALSE)</f>
        <v>3305090.2001999998</v>
      </c>
    </row>
    <row r="707" spans="1:7" x14ac:dyDescent="0.2">
      <c r="A707">
        <v>2017</v>
      </c>
      <c r="B707" s="3" t="s">
        <v>295</v>
      </c>
      <c r="C707" s="3" t="s">
        <v>710</v>
      </c>
      <c r="D707" s="3" t="s">
        <v>710</v>
      </c>
      <c r="E707" s="8">
        <v>63509737</v>
      </c>
      <c r="F707" s="2">
        <v>5.6919999999999996E-4</v>
      </c>
      <c r="G707" s="17">
        <f>F707 * VLOOKUP('GASB Data'!A707,Check!$A$2:$F$11,6,FALSE)</f>
        <v>820327.62479999999</v>
      </c>
    </row>
    <row r="708" spans="1:7" x14ac:dyDescent="0.2">
      <c r="A708">
        <v>2017</v>
      </c>
      <c r="B708" s="3" t="s">
        <v>296</v>
      </c>
      <c r="C708" s="3" t="s">
        <v>711</v>
      </c>
      <c r="D708" s="3" t="s">
        <v>711</v>
      </c>
      <c r="E708" s="8">
        <v>2287557608</v>
      </c>
      <c r="F708" s="2">
        <v>2.0501200000000001E-2</v>
      </c>
      <c r="G708" s="17">
        <f>F708 * VLOOKUP('GASB Data'!A708,Check!$A$2:$F$11,6,FALSE)</f>
        <v>29546206.432800002</v>
      </c>
    </row>
    <row r="709" spans="1:7" x14ac:dyDescent="0.2">
      <c r="A709">
        <v>2017</v>
      </c>
      <c r="B709" s="3" t="s">
        <v>297</v>
      </c>
      <c r="C709" s="3" t="s">
        <v>712</v>
      </c>
      <c r="D709" s="3" t="s">
        <v>712</v>
      </c>
      <c r="E709" s="8">
        <v>18270637</v>
      </c>
      <c r="F709" s="2">
        <v>1.6369999999999999E-4</v>
      </c>
      <c r="G709" s="17">
        <f>F709 * VLOOKUP('GASB Data'!A709,Check!$A$2:$F$11,6,FALSE)</f>
        <v>235923.4578</v>
      </c>
    </row>
    <row r="710" spans="1:7" x14ac:dyDescent="0.2">
      <c r="A710">
        <v>2017</v>
      </c>
      <c r="B710" s="3" t="s">
        <v>298</v>
      </c>
      <c r="C710" s="3" t="s">
        <v>713</v>
      </c>
      <c r="D710" s="3" t="s">
        <v>713</v>
      </c>
      <c r="E710" s="8">
        <v>220510079</v>
      </c>
      <c r="F710" s="2">
        <v>1.9762E-3</v>
      </c>
      <c r="G710" s="17">
        <f>F710 * VLOOKUP('GASB Data'!A710,Check!$A$2:$F$11,6,FALSE)</f>
        <v>2848087.5828</v>
      </c>
    </row>
    <row r="711" spans="1:7" x14ac:dyDescent="0.2">
      <c r="A711">
        <v>2017</v>
      </c>
      <c r="B711" s="3" t="s">
        <v>299</v>
      </c>
      <c r="C711" s="3" t="s">
        <v>714</v>
      </c>
      <c r="D711" s="3" t="s">
        <v>714</v>
      </c>
      <c r="E711" s="8">
        <v>360940256</v>
      </c>
      <c r="F711" s="2">
        <v>3.2347999999999999E-3</v>
      </c>
      <c r="G711" s="17">
        <f>F711 * VLOOKUP('GASB Data'!A711,Check!$A$2:$F$11,6,FALSE)</f>
        <v>4661974.3511999995</v>
      </c>
    </row>
    <row r="712" spans="1:7" x14ac:dyDescent="0.2">
      <c r="A712">
        <v>2017</v>
      </c>
      <c r="B712" s="3" t="s">
        <v>300</v>
      </c>
      <c r="C712" s="3" t="s">
        <v>715</v>
      </c>
      <c r="D712" s="3" t="s">
        <v>715</v>
      </c>
      <c r="E712" s="8">
        <v>8719617</v>
      </c>
      <c r="F712" s="2">
        <v>7.8100000000000001E-5</v>
      </c>
      <c r="G712" s="17">
        <f>F712 * VLOOKUP('GASB Data'!A712,Check!$A$2:$F$11,6,FALSE)</f>
        <v>112557.25140000001</v>
      </c>
    </row>
    <row r="713" spans="1:7" x14ac:dyDescent="0.2">
      <c r="A713">
        <v>2017</v>
      </c>
      <c r="B713" s="3" t="s">
        <v>301</v>
      </c>
      <c r="C713" s="3" t="s">
        <v>716</v>
      </c>
      <c r="D713" s="3" t="s">
        <v>716</v>
      </c>
      <c r="E713" s="8">
        <v>1223988054</v>
      </c>
      <c r="F713" s="2">
        <v>1.0969400000000001E-2</v>
      </c>
      <c r="G713" s="17">
        <f>F713 * VLOOKUP('GASB Data'!A713,Check!$A$2:$F$11,6,FALSE)</f>
        <v>15809033.4636</v>
      </c>
    </row>
    <row r="714" spans="1:7" x14ac:dyDescent="0.2">
      <c r="A714">
        <v>2017</v>
      </c>
      <c r="B714" s="3" t="s">
        <v>302</v>
      </c>
      <c r="C714" s="3" t="s">
        <v>717</v>
      </c>
      <c r="D714" s="3" t="s">
        <v>717</v>
      </c>
      <c r="E714" s="8">
        <v>161880767</v>
      </c>
      <c r="F714" s="2">
        <v>1.4507999999999999E-3</v>
      </c>
      <c r="G714" s="17">
        <f>F714 * VLOOKUP('GASB Data'!A714,Check!$A$2:$F$11,6,FALSE)</f>
        <v>2090884.2551999998</v>
      </c>
    </row>
    <row r="715" spans="1:7" x14ac:dyDescent="0.2">
      <c r="A715">
        <v>2017</v>
      </c>
      <c r="B715" s="3" t="s">
        <v>303</v>
      </c>
      <c r="C715" s="3" t="s">
        <v>718</v>
      </c>
      <c r="D715" s="3" t="s">
        <v>718</v>
      </c>
      <c r="E715" s="8">
        <v>84629625</v>
      </c>
      <c r="F715" s="2">
        <v>7.5849999999999995E-4</v>
      </c>
      <c r="G715" s="17">
        <f>F715 * VLOOKUP('GASB Data'!A715,Check!$A$2:$F$11,6,FALSE)</f>
        <v>1093145.649</v>
      </c>
    </row>
    <row r="716" spans="1:7" x14ac:dyDescent="0.2">
      <c r="A716">
        <v>2017</v>
      </c>
      <c r="B716" s="3" t="s">
        <v>304</v>
      </c>
      <c r="C716" s="3" t="s">
        <v>719</v>
      </c>
      <c r="D716" s="3" t="s">
        <v>719</v>
      </c>
      <c r="E716" s="8">
        <v>65119923</v>
      </c>
      <c r="F716" s="2">
        <v>5.8359999999999998E-4</v>
      </c>
      <c r="G716" s="17">
        <f>F716 * VLOOKUP('GASB Data'!A716,Check!$A$2:$F$11,6,FALSE)</f>
        <v>841080.81839999999</v>
      </c>
    </row>
    <row r="717" spans="1:7" x14ac:dyDescent="0.2">
      <c r="A717">
        <v>2017</v>
      </c>
      <c r="B717" s="3" t="s">
        <v>305</v>
      </c>
      <c r="C717" s="3" t="s">
        <v>720</v>
      </c>
      <c r="D717" s="3" t="s">
        <v>720</v>
      </c>
      <c r="E717" s="8">
        <v>325180992</v>
      </c>
      <c r="F717" s="2">
        <v>2.9142999999999999E-3</v>
      </c>
      <c r="G717" s="17">
        <f>F717 * VLOOKUP('GASB Data'!A717,Check!$A$2:$F$11,6,FALSE)</f>
        <v>4200071.6742000002</v>
      </c>
    </row>
    <row r="718" spans="1:7" x14ac:dyDescent="0.2">
      <c r="A718">
        <v>2017</v>
      </c>
      <c r="B718" s="3" t="s">
        <v>306</v>
      </c>
      <c r="C718" s="3" t="s">
        <v>721</v>
      </c>
      <c r="D718" s="3" t="s">
        <v>721</v>
      </c>
      <c r="E718" s="8">
        <v>146505436</v>
      </c>
      <c r="F718" s="2">
        <v>1.3129999999999999E-3</v>
      </c>
      <c r="G718" s="17">
        <f>F718 * VLOOKUP('GASB Data'!A718,Check!$A$2:$F$11,6,FALSE)</f>
        <v>1892287.7219999998</v>
      </c>
    </row>
    <row r="719" spans="1:7" x14ac:dyDescent="0.2">
      <c r="A719">
        <v>2017</v>
      </c>
      <c r="B719" s="3" t="s">
        <v>307</v>
      </c>
      <c r="C719" s="3" t="s">
        <v>722</v>
      </c>
      <c r="D719" s="3" t="s">
        <v>722</v>
      </c>
      <c r="E719" s="8">
        <v>3283608850</v>
      </c>
      <c r="F719" s="2">
        <v>2.94278E-2</v>
      </c>
      <c r="G719" s="17">
        <f>F719 * VLOOKUP('GASB Data'!A719,Check!$A$2:$F$11,6,FALSE)</f>
        <v>42411168.793200001</v>
      </c>
    </row>
    <row r="720" spans="1:7" x14ac:dyDescent="0.2">
      <c r="A720">
        <v>2017</v>
      </c>
      <c r="B720" s="3" t="s">
        <v>308</v>
      </c>
      <c r="C720" s="3" t="s">
        <v>723</v>
      </c>
      <c r="D720" s="3" t="s">
        <v>723</v>
      </c>
      <c r="E720" s="8">
        <v>286134518</v>
      </c>
      <c r="F720" s="2">
        <v>2.5642999999999998E-3</v>
      </c>
      <c r="G720" s="17">
        <f>F720 * VLOOKUP('GASB Data'!A720,Check!$A$2:$F$11,6,FALSE)</f>
        <v>3695653.7741999999</v>
      </c>
    </row>
    <row r="721" spans="1:7" x14ac:dyDescent="0.2">
      <c r="A721">
        <v>2017</v>
      </c>
      <c r="B721" s="3" t="s">
        <v>309</v>
      </c>
      <c r="C721" s="3" t="s">
        <v>724</v>
      </c>
      <c r="D721" s="3" t="s">
        <v>724</v>
      </c>
      <c r="E721" s="8">
        <v>107658514</v>
      </c>
      <c r="F721" s="2">
        <v>9.6480000000000003E-4</v>
      </c>
      <c r="G721" s="17">
        <f>F721 * VLOOKUP('GASB Data'!A721,Check!$A$2:$F$11,6,FALSE)</f>
        <v>1390463.9712</v>
      </c>
    </row>
    <row r="722" spans="1:7" x14ac:dyDescent="0.2">
      <c r="A722">
        <v>2017</v>
      </c>
      <c r="B722" s="3" t="s">
        <v>310</v>
      </c>
      <c r="C722" s="3" t="s">
        <v>725</v>
      </c>
      <c r="D722" s="3" t="s">
        <v>725</v>
      </c>
      <c r="E722" s="8">
        <v>51450040</v>
      </c>
      <c r="F722" s="2">
        <v>4.6109999999999999E-4</v>
      </c>
      <c r="G722" s="17">
        <f>F722 * VLOOKUP('GASB Data'!A722,Check!$A$2:$F$11,6,FALSE)</f>
        <v>664534.55339999998</v>
      </c>
    </row>
    <row r="723" spans="1:7" x14ac:dyDescent="0.2">
      <c r="A723">
        <v>2017</v>
      </c>
      <c r="B723" s="3" t="s">
        <v>311</v>
      </c>
      <c r="C723" s="3" t="s">
        <v>726</v>
      </c>
      <c r="D723" s="3" t="s">
        <v>726</v>
      </c>
      <c r="E723" s="8">
        <v>121378461</v>
      </c>
      <c r="F723" s="2">
        <v>1.0878000000000001E-3</v>
      </c>
      <c r="G723" s="17">
        <f>F723 * VLOOKUP('GASB Data'!A723,Check!$A$2:$F$11,6,FALSE)</f>
        <v>1567730.8332000002</v>
      </c>
    </row>
    <row r="724" spans="1:7" x14ac:dyDescent="0.2">
      <c r="A724">
        <v>2017</v>
      </c>
      <c r="B724" s="3" t="s">
        <v>312</v>
      </c>
      <c r="C724" s="3" t="s">
        <v>727</v>
      </c>
      <c r="D724" s="3" t="s">
        <v>727</v>
      </c>
      <c r="E724" s="8">
        <v>48610401</v>
      </c>
      <c r="F724" s="2">
        <v>4.3560000000000002E-4</v>
      </c>
      <c r="G724" s="17">
        <f>F724 * VLOOKUP('GASB Data'!A724,Check!$A$2:$F$11,6,FALSE)</f>
        <v>627784.10640000005</v>
      </c>
    </row>
    <row r="725" spans="1:7" x14ac:dyDescent="0.2">
      <c r="A725">
        <v>2017</v>
      </c>
      <c r="B725" s="3" t="s">
        <v>313</v>
      </c>
      <c r="C725" s="3" t="s">
        <v>728</v>
      </c>
      <c r="D725" s="3" t="s">
        <v>728</v>
      </c>
      <c r="E725" s="8">
        <v>796503412</v>
      </c>
      <c r="F725" s="2">
        <v>7.1383000000000002E-3</v>
      </c>
      <c r="G725" s="17">
        <f>F725 * VLOOKUP('GASB Data'!A725,Check!$A$2:$F$11,6,FALSE)</f>
        <v>10287675.1302</v>
      </c>
    </row>
    <row r="726" spans="1:7" x14ac:dyDescent="0.2">
      <c r="A726">
        <v>2017</v>
      </c>
      <c r="B726" s="3" t="s">
        <v>314</v>
      </c>
      <c r="C726" s="3" t="s">
        <v>729</v>
      </c>
      <c r="D726" s="3" t="s">
        <v>729</v>
      </c>
      <c r="E726" s="8">
        <v>315126314</v>
      </c>
      <c r="F726" s="2">
        <v>2.8241999999999998E-3</v>
      </c>
      <c r="G726" s="17">
        <f>F726 * VLOOKUP('GASB Data'!A726,Check!$A$2:$F$11,6,FALSE)</f>
        <v>4070220.0947999996</v>
      </c>
    </row>
    <row r="727" spans="1:7" x14ac:dyDescent="0.2">
      <c r="A727">
        <v>2017</v>
      </c>
      <c r="B727" s="3" t="s">
        <v>315</v>
      </c>
      <c r="C727" s="3" t="s">
        <v>730</v>
      </c>
      <c r="D727" s="3" t="s">
        <v>730</v>
      </c>
      <c r="E727" s="8">
        <v>63077762</v>
      </c>
      <c r="F727" s="2">
        <v>5.6530000000000003E-4</v>
      </c>
      <c r="G727" s="17">
        <f>F727 * VLOOKUP('GASB Data'!A727,Check!$A$2:$F$11,6,FALSE)</f>
        <v>814706.9682</v>
      </c>
    </row>
    <row r="728" spans="1:7" x14ac:dyDescent="0.2">
      <c r="A728">
        <v>2017</v>
      </c>
      <c r="B728" s="3" t="s">
        <v>316</v>
      </c>
      <c r="C728" s="3" t="s">
        <v>731</v>
      </c>
      <c r="D728" s="3" t="s">
        <v>731</v>
      </c>
      <c r="E728" s="8">
        <v>567371227</v>
      </c>
      <c r="F728" s="2">
        <v>5.0848000000000004E-3</v>
      </c>
      <c r="G728" s="17">
        <f>F728 * VLOOKUP('GASB Data'!A728,Check!$A$2:$F$11,6,FALSE)</f>
        <v>7328183.2512000008</v>
      </c>
    </row>
    <row r="729" spans="1:7" x14ac:dyDescent="0.2">
      <c r="A729">
        <v>2017</v>
      </c>
      <c r="B729" s="3" t="s">
        <v>317</v>
      </c>
      <c r="C729" s="3" t="s">
        <v>732</v>
      </c>
      <c r="D729" s="3" t="s">
        <v>732</v>
      </c>
      <c r="E729" s="8">
        <v>6895199</v>
      </c>
      <c r="F729" s="2">
        <v>6.1799999999999998E-5</v>
      </c>
      <c r="G729" s="17">
        <f>F729 * VLOOKUP('GASB Data'!A729,Check!$A$2:$F$11,6,FALSE)</f>
        <v>89065.789199999999</v>
      </c>
    </row>
    <row r="730" spans="1:7" x14ac:dyDescent="0.2">
      <c r="A730">
        <v>2017</v>
      </c>
      <c r="B730" s="3" t="s">
        <v>318</v>
      </c>
      <c r="C730" s="3" t="s">
        <v>733</v>
      </c>
      <c r="D730" s="3" t="s">
        <v>733</v>
      </c>
      <c r="E730" s="8">
        <v>74057743</v>
      </c>
      <c r="F730" s="2">
        <v>6.6370000000000003E-4</v>
      </c>
      <c r="G730" s="17">
        <f>F730 * VLOOKUP('GASB Data'!A730,Check!$A$2:$F$11,6,FALSE)</f>
        <v>956520.45780000009</v>
      </c>
    </row>
    <row r="731" spans="1:7" x14ac:dyDescent="0.2">
      <c r="A731">
        <v>2017</v>
      </c>
      <c r="B731" s="3" t="s">
        <v>319</v>
      </c>
      <c r="C731" s="3" t="s">
        <v>734</v>
      </c>
      <c r="D731" s="3" t="s">
        <v>734</v>
      </c>
      <c r="E731" s="8">
        <v>135753047</v>
      </c>
      <c r="F731" s="2">
        <v>1.2166E-3</v>
      </c>
      <c r="G731" s="17">
        <f>F731 * VLOOKUP('GASB Data'!A731,Check!$A$2:$F$11,6,FALSE)</f>
        <v>1753356.6203999999</v>
      </c>
    </row>
    <row r="732" spans="1:7" x14ac:dyDescent="0.2">
      <c r="A732">
        <v>2017</v>
      </c>
      <c r="B732" s="3" t="s">
        <v>320</v>
      </c>
      <c r="C732" s="3" t="s">
        <v>735</v>
      </c>
      <c r="D732" s="3" t="s">
        <v>735</v>
      </c>
      <c r="E732" s="8">
        <v>28092715</v>
      </c>
      <c r="F732" s="2">
        <v>2.5179999999999999E-4</v>
      </c>
      <c r="G732" s="17">
        <f>F732 * VLOOKUP('GASB Data'!A732,Check!$A$2:$F$11,6,FALSE)</f>
        <v>362892.64919999999</v>
      </c>
    </row>
    <row r="733" spans="1:7" x14ac:dyDescent="0.2">
      <c r="A733">
        <v>2017</v>
      </c>
      <c r="B733" s="3" t="s">
        <v>321</v>
      </c>
      <c r="C733" s="3" t="s">
        <v>736</v>
      </c>
      <c r="D733" s="3" t="s">
        <v>736</v>
      </c>
      <c r="E733" s="8">
        <v>368268143</v>
      </c>
      <c r="F733" s="2">
        <v>3.3004000000000002E-3</v>
      </c>
      <c r="G733" s="17">
        <f>F733 * VLOOKUP('GASB Data'!A733,Check!$A$2:$F$11,6,FALSE)</f>
        <v>4756516.6776000001</v>
      </c>
    </row>
    <row r="734" spans="1:7" x14ac:dyDescent="0.2">
      <c r="A734">
        <v>2017</v>
      </c>
      <c r="B734" s="3" t="s">
        <v>322</v>
      </c>
      <c r="C734" s="3" t="s">
        <v>737</v>
      </c>
      <c r="D734" s="3" t="s">
        <v>737</v>
      </c>
      <c r="E734" s="8">
        <v>41716472</v>
      </c>
      <c r="F734" s="2">
        <v>3.7389999999999998E-4</v>
      </c>
      <c r="G734" s="17">
        <f>F734 * VLOOKUP('GASB Data'!A734,Check!$A$2:$F$11,6,FALSE)</f>
        <v>538862.43660000002</v>
      </c>
    </row>
    <row r="735" spans="1:7" x14ac:dyDescent="0.2">
      <c r="A735">
        <v>2017</v>
      </c>
      <c r="B735" s="3" t="s">
        <v>323</v>
      </c>
      <c r="C735" s="3" t="s">
        <v>906</v>
      </c>
      <c r="D735" s="3" t="s">
        <v>906</v>
      </c>
      <c r="E735" s="8">
        <v>818121941</v>
      </c>
      <c r="F735" s="2">
        <v>7.332E-3</v>
      </c>
      <c r="G735" s="17">
        <f>F735 * VLOOKUP('GASB Data'!A735,Check!$A$2:$F$11,6,FALSE)</f>
        <v>10566834.408</v>
      </c>
    </row>
    <row r="736" spans="1:7" x14ac:dyDescent="0.2">
      <c r="A736">
        <v>2017</v>
      </c>
      <c r="B736" s="3" t="s">
        <v>324</v>
      </c>
      <c r="C736" s="3" t="s">
        <v>907</v>
      </c>
      <c r="D736" s="3" t="s">
        <v>907</v>
      </c>
      <c r="E736" s="8">
        <v>20046853</v>
      </c>
      <c r="F736" s="2">
        <v>1.797E-4</v>
      </c>
      <c r="G736" s="17">
        <f>F736 * VLOOKUP('GASB Data'!A736,Check!$A$2:$F$11,6,FALSE)</f>
        <v>258982.5618</v>
      </c>
    </row>
    <row r="737" spans="1:7" x14ac:dyDescent="0.2">
      <c r="A737">
        <v>2017</v>
      </c>
      <c r="B737" s="3" t="s">
        <v>325</v>
      </c>
      <c r="C737" s="3" t="s">
        <v>740</v>
      </c>
      <c r="D737" s="3" t="s">
        <v>740</v>
      </c>
      <c r="E737" s="8">
        <v>1405369</v>
      </c>
      <c r="F737" s="2">
        <v>1.26E-5</v>
      </c>
      <c r="G737" s="17">
        <f>F737 * VLOOKUP('GASB Data'!A737,Check!$A$2:$F$11,6,FALSE)</f>
        <v>18159.044399999999</v>
      </c>
    </row>
    <row r="738" spans="1:7" x14ac:dyDescent="0.2">
      <c r="A738">
        <v>2017</v>
      </c>
      <c r="B738" s="3" t="s">
        <v>326</v>
      </c>
      <c r="C738" s="3" t="s">
        <v>741</v>
      </c>
      <c r="D738" s="3" t="s">
        <v>741</v>
      </c>
      <c r="E738" s="8">
        <v>81480507</v>
      </c>
      <c r="F738" s="2">
        <v>7.3019999999999997E-4</v>
      </c>
      <c r="G738" s="17">
        <f>F738 * VLOOKUP('GASB Data'!A738,Check!$A$2:$F$11,6,FALSE)</f>
        <v>1052359.8588</v>
      </c>
    </row>
    <row r="739" spans="1:7" x14ac:dyDescent="0.2">
      <c r="A739">
        <v>2017</v>
      </c>
      <c r="B739" s="3" t="s">
        <v>327</v>
      </c>
      <c r="C739" s="3" t="s">
        <v>742</v>
      </c>
      <c r="D739" s="3" t="s">
        <v>742</v>
      </c>
      <c r="E739" s="8">
        <v>254308486</v>
      </c>
      <c r="F739" s="2">
        <v>2.2791E-3</v>
      </c>
      <c r="G739" s="17">
        <f>F739 * VLOOKUP('GASB Data'!A739,Check!$A$2:$F$11,6,FALSE)</f>
        <v>3284625.2453999999</v>
      </c>
    </row>
    <row r="740" spans="1:7" x14ac:dyDescent="0.2">
      <c r="A740">
        <v>2017</v>
      </c>
      <c r="B740" s="3" t="s">
        <v>382</v>
      </c>
      <c r="C740" s="3" t="s">
        <v>743</v>
      </c>
      <c r="D740" s="3" t="s">
        <v>743</v>
      </c>
      <c r="E740" s="8">
        <v>168291187</v>
      </c>
      <c r="F740" s="2">
        <v>1.5081999999999999E-3</v>
      </c>
      <c r="G740" s="17">
        <f>F740 * VLOOKUP('GASB Data'!A740,Check!$A$2:$F$11,6,FALSE)</f>
        <v>2173608.7908000001</v>
      </c>
    </row>
    <row r="741" spans="1:7" x14ac:dyDescent="0.2">
      <c r="A741">
        <v>2017</v>
      </c>
      <c r="B741" s="3" t="s">
        <v>383</v>
      </c>
      <c r="C741" s="3" t="s">
        <v>744</v>
      </c>
      <c r="D741" s="3" t="s">
        <v>744</v>
      </c>
      <c r="E741" s="8">
        <v>78261928</v>
      </c>
      <c r="F741" s="2">
        <v>7.0140000000000003E-4</v>
      </c>
      <c r="G741" s="17">
        <f>F741 * VLOOKUP('GASB Data'!A741,Check!$A$2:$F$11,6,FALSE)</f>
        <v>1010853.4716</v>
      </c>
    </row>
    <row r="742" spans="1:7" x14ac:dyDescent="0.2">
      <c r="A742">
        <v>2017</v>
      </c>
      <c r="B742" s="3" t="s">
        <v>384</v>
      </c>
      <c r="C742" s="3" t="s">
        <v>745</v>
      </c>
      <c r="D742" s="3" t="s">
        <v>745</v>
      </c>
      <c r="E742" s="8">
        <v>1479635526</v>
      </c>
      <c r="F742" s="2">
        <v>1.3260600000000001E-2</v>
      </c>
      <c r="G742" s="17">
        <f>F742 * VLOOKUP('GASB Data'!A742,Check!$A$2:$F$11,6,FALSE)</f>
        <v>19111097.156400003</v>
      </c>
    </row>
    <row r="743" spans="1:7" x14ac:dyDescent="0.2">
      <c r="A743">
        <v>2017</v>
      </c>
      <c r="B743" s="3" t="s">
        <v>385</v>
      </c>
      <c r="C743" s="3" t="s">
        <v>746</v>
      </c>
      <c r="D743" s="3" t="s">
        <v>746</v>
      </c>
      <c r="E743" s="8">
        <v>129540835</v>
      </c>
      <c r="F743" s="2">
        <v>1.1609000000000001E-3</v>
      </c>
      <c r="G743" s="17">
        <f>F743 * VLOOKUP('GASB Data'!A743,Check!$A$2:$F$11,6,FALSE)</f>
        <v>1673082.1146000002</v>
      </c>
    </row>
    <row r="744" spans="1:7" x14ac:dyDescent="0.2">
      <c r="A744">
        <v>2017</v>
      </c>
      <c r="B744" s="3" t="s">
        <v>386</v>
      </c>
      <c r="C744" s="3" t="s">
        <v>747</v>
      </c>
      <c r="D744" s="3" t="s">
        <v>747</v>
      </c>
      <c r="E744" s="8">
        <v>31951075</v>
      </c>
      <c r="F744" s="2">
        <v>2.8630000000000002E-4</v>
      </c>
      <c r="G744" s="17">
        <f>F744 * VLOOKUP('GASB Data'!A744,Check!$A$2:$F$11,6,FALSE)</f>
        <v>412613.84220000001</v>
      </c>
    </row>
    <row r="745" spans="1:7" x14ac:dyDescent="0.2">
      <c r="A745">
        <v>2017</v>
      </c>
      <c r="B745" s="3" t="s">
        <v>387</v>
      </c>
      <c r="C745" s="3" t="s">
        <v>748</v>
      </c>
      <c r="D745" s="3" t="s">
        <v>748</v>
      </c>
      <c r="E745" s="8">
        <v>62635939</v>
      </c>
      <c r="F745" s="2">
        <v>5.6130000000000004E-4</v>
      </c>
      <c r="G745" s="17">
        <f>F745 * VLOOKUP('GASB Data'!A745,Check!$A$2:$F$11,6,FALSE)</f>
        <v>808942.19220000005</v>
      </c>
    </row>
    <row r="746" spans="1:7" x14ac:dyDescent="0.2">
      <c r="A746">
        <v>2017</v>
      </c>
      <c r="B746" s="3" t="s">
        <v>388</v>
      </c>
      <c r="C746" s="3" t="s">
        <v>749</v>
      </c>
      <c r="D746" s="3" t="s">
        <v>749</v>
      </c>
      <c r="E746" s="8">
        <v>449347568</v>
      </c>
      <c r="F746" s="2">
        <v>4.0270999999999996E-3</v>
      </c>
      <c r="G746" s="17">
        <f>F746 * VLOOKUP('GASB Data'!A746,Check!$A$2:$F$11,6,FALSE)</f>
        <v>5803832.3573999992</v>
      </c>
    </row>
    <row r="747" spans="1:7" x14ac:dyDescent="0.2">
      <c r="A747">
        <v>2017</v>
      </c>
      <c r="B747" s="3" t="s">
        <v>389</v>
      </c>
      <c r="C747" s="3" t="s">
        <v>750</v>
      </c>
      <c r="D747" s="3" t="s">
        <v>750</v>
      </c>
      <c r="E747" s="8">
        <v>157002192</v>
      </c>
      <c r="F747" s="2">
        <v>1.4071000000000001E-3</v>
      </c>
      <c r="G747" s="17">
        <f>F747 * VLOOKUP('GASB Data'!A747,Check!$A$2:$F$11,6,FALSE)</f>
        <v>2027904.0774000001</v>
      </c>
    </row>
    <row r="748" spans="1:7" x14ac:dyDescent="0.2">
      <c r="A748">
        <v>2017</v>
      </c>
      <c r="B748" s="3" t="s">
        <v>390</v>
      </c>
      <c r="C748" s="3" t="s">
        <v>751</v>
      </c>
      <c r="D748" s="3" t="s">
        <v>751</v>
      </c>
      <c r="E748" s="8">
        <v>329280474</v>
      </c>
      <c r="F748" s="2">
        <v>2.9510000000000001E-3</v>
      </c>
      <c r="G748" s="17">
        <f>F748 * VLOOKUP('GASB Data'!A748,Check!$A$2:$F$11,6,FALSE)</f>
        <v>4252963.4939999999</v>
      </c>
    </row>
    <row r="749" spans="1:7" x14ac:dyDescent="0.2">
      <c r="A749">
        <v>2017</v>
      </c>
      <c r="B749" s="3" t="s">
        <v>391</v>
      </c>
      <c r="C749" s="3" t="s">
        <v>752</v>
      </c>
      <c r="D749" s="3" t="s">
        <v>752</v>
      </c>
      <c r="E749" s="8">
        <v>4149807</v>
      </c>
      <c r="F749" s="2">
        <v>3.7200000000000003E-5</v>
      </c>
      <c r="G749" s="17">
        <f>F749 * VLOOKUP('GASB Data'!A749,Check!$A$2:$F$11,6,FALSE)</f>
        <v>53612.416800000006</v>
      </c>
    </row>
    <row r="750" spans="1:7" x14ac:dyDescent="0.2">
      <c r="A750">
        <v>2017</v>
      </c>
      <c r="B750" s="3" t="s">
        <v>392</v>
      </c>
      <c r="C750" s="3" t="s">
        <v>753</v>
      </c>
      <c r="D750" s="3" t="s">
        <v>753</v>
      </c>
      <c r="E750" s="8">
        <v>116751879</v>
      </c>
      <c r="F750" s="2">
        <v>1.0463E-3</v>
      </c>
      <c r="G750" s="17">
        <f>F750 * VLOOKUP('GASB Data'!A750,Check!$A$2:$F$11,6,FALSE)</f>
        <v>1507921.2822</v>
      </c>
    </row>
    <row r="751" spans="1:7" x14ac:dyDescent="0.2">
      <c r="A751">
        <v>2017</v>
      </c>
      <c r="B751" s="3" t="s">
        <v>393</v>
      </c>
      <c r="C751" s="3" t="s">
        <v>754</v>
      </c>
      <c r="D751" s="3" t="s">
        <v>754</v>
      </c>
      <c r="E751" s="8">
        <v>458444217</v>
      </c>
      <c r="F751" s="2">
        <v>4.1085999999999996E-3</v>
      </c>
      <c r="G751" s="17">
        <f>F751 * VLOOKUP('GASB Data'!A751,Check!$A$2:$F$11,6,FALSE)</f>
        <v>5921289.6683999998</v>
      </c>
    </row>
    <row r="752" spans="1:7" x14ac:dyDescent="0.2">
      <c r="A752">
        <v>2017</v>
      </c>
      <c r="B752" s="3" t="s">
        <v>394</v>
      </c>
      <c r="C752" s="3" t="s">
        <v>755</v>
      </c>
      <c r="D752" s="3" t="s">
        <v>755</v>
      </c>
      <c r="E752" s="8">
        <v>193476151</v>
      </c>
      <c r="F752" s="2">
        <v>1.7339E-3</v>
      </c>
      <c r="G752" s="17">
        <f>F752 * VLOOKUP('GASB Data'!A752,Check!$A$2:$F$11,6,FALSE)</f>
        <v>2498886.2766</v>
      </c>
    </row>
    <row r="753" spans="1:7" x14ac:dyDescent="0.2">
      <c r="A753">
        <v>2017</v>
      </c>
      <c r="B753" s="3" t="s">
        <v>395</v>
      </c>
      <c r="C753" s="3" t="s">
        <v>756</v>
      </c>
      <c r="D753" s="3" t="s">
        <v>756</v>
      </c>
      <c r="E753" s="8">
        <v>106598388</v>
      </c>
      <c r="F753" s="2">
        <v>9.5529999999999996E-4</v>
      </c>
      <c r="G753" s="17">
        <f>F753 * VLOOKUP('GASB Data'!A753,Check!$A$2:$F$11,6,FALSE)</f>
        <v>1376772.6281999999</v>
      </c>
    </row>
    <row r="754" spans="1:7" x14ac:dyDescent="0.2">
      <c r="A754">
        <v>2017</v>
      </c>
      <c r="B754" s="3" t="s">
        <v>396</v>
      </c>
      <c r="C754" s="3" t="s">
        <v>757</v>
      </c>
      <c r="D754" s="3" t="s">
        <v>757</v>
      </c>
      <c r="E754" s="8">
        <v>150494484</v>
      </c>
      <c r="F754" s="2">
        <v>1.3487E-3</v>
      </c>
      <c r="G754" s="17">
        <f>F754 * VLOOKUP('GASB Data'!A754,Check!$A$2:$F$11,6,FALSE)</f>
        <v>1943738.3477999999</v>
      </c>
    </row>
    <row r="755" spans="1:7" x14ac:dyDescent="0.2">
      <c r="A755">
        <v>2017</v>
      </c>
      <c r="B755" s="3" t="s">
        <v>397</v>
      </c>
      <c r="C755" s="3" t="s">
        <v>758</v>
      </c>
      <c r="D755" s="3" t="s">
        <v>758</v>
      </c>
      <c r="E755" s="8">
        <v>26190443</v>
      </c>
      <c r="F755" s="2">
        <v>2.3470000000000001E-4</v>
      </c>
      <c r="G755" s="17">
        <f>F755 * VLOOKUP('GASB Data'!A755,Check!$A$2:$F$11,6,FALSE)</f>
        <v>338248.23180000001</v>
      </c>
    </row>
    <row r="756" spans="1:7" x14ac:dyDescent="0.2">
      <c r="A756">
        <v>2017</v>
      </c>
      <c r="B756" s="3" t="s">
        <v>398</v>
      </c>
      <c r="C756" s="3" t="s">
        <v>759</v>
      </c>
      <c r="D756" s="3" t="s">
        <v>759</v>
      </c>
      <c r="E756" s="8">
        <v>278388316</v>
      </c>
      <c r="F756" s="2">
        <v>2.4949E-3</v>
      </c>
      <c r="G756" s="17">
        <f>F756 * VLOOKUP('GASB Data'!A756,Check!$A$2:$F$11,6,FALSE)</f>
        <v>3595634.9106000001</v>
      </c>
    </row>
    <row r="757" spans="1:7" x14ac:dyDescent="0.2">
      <c r="A757">
        <v>2017</v>
      </c>
      <c r="B757" s="3" t="s">
        <v>399</v>
      </c>
      <c r="C757" s="3" t="s">
        <v>760</v>
      </c>
      <c r="D757" s="3" t="s">
        <v>760</v>
      </c>
      <c r="E757" s="8">
        <v>39141545</v>
      </c>
      <c r="F757" s="2">
        <v>3.5080000000000002E-4</v>
      </c>
      <c r="G757" s="17">
        <f>F757 * VLOOKUP('GASB Data'!A757,Check!$A$2:$F$11,6,FALSE)</f>
        <v>505570.85520000005</v>
      </c>
    </row>
    <row r="758" spans="1:7" x14ac:dyDescent="0.2">
      <c r="A758">
        <v>2017</v>
      </c>
      <c r="B758" s="3" t="s">
        <v>400</v>
      </c>
      <c r="C758" s="3" t="s">
        <v>761</v>
      </c>
      <c r="D758" s="3" t="s">
        <v>761</v>
      </c>
      <c r="E758" s="8">
        <v>6670406256</v>
      </c>
      <c r="F758" s="2">
        <v>5.97805E-2</v>
      </c>
      <c r="G758" s="17">
        <f>F758 * VLOOKUP('GASB Data'!A758,Check!$A$2:$F$11,6,FALSE)</f>
        <v>86155297.916999996</v>
      </c>
    </row>
    <row r="759" spans="1:7" x14ac:dyDescent="0.2">
      <c r="A759">
        <v>2017</v>
      </c>
      <c r="B759" s="3" t="s">
        <v>401</v>
      </c>
      <c r="C759" s="3" t="s">
        <v>762</v>
      </c>
      <c r="D759" s="3" t="s">
        <v>762</v>
      </c>
      <c r="E759" s="8">
        <v>3218431</v>
      </c>
      <c r="F759" s="2">
        <v>2.8799999999999999E-5</v>
      </c>
      <c r="G759" s="17">
        <f>F759 * VLOOKUP('GASB Data'!A759,Check!$A$2:$F$11,6,FALSE)</f>
        <v>41506.387199999997</v>
      </c>
    </row>
    <row r="760" spans="1:7" x14ac:dyDescent="0.2">
      <c r="A760">
        <v>2017</v>
      </c>
      <c r="B760" s="3" t="s">
        <v>403</v>
      </c>
      <c r="C760" s="3" t="s">
        <v>764</v>
      </c>
      <c r="D760" s="3" t="s">
        <v>764</v>
      </c>
      <c r="E760" s="8">
        <v>49079120</v>
      </c>
      <c r="F760" s="2">
        <v>4.3980000000000001E-4</v>
      </c>
      <c r="G760" s="17">
        <f>F760 * VLOOKUP('GASB Data'!A760,Check!$A$2:$F$11,6,FALSE)</f>
        <v>633837.12120000005</v>
      </c>
    </row>
    <row r="761" spans="1:7" x14ac:dyDescent="0.2">
      <c r="A761">
        <v>2017</v>
      </c>
      <c r="B761" s="3" t="s">
        <v>404</v>
      </c>
      <c r="C761" s="3" t="s">
        <v>908</v>
      </c>
      <c r="D761" s="3" t="s">
        <v>908</v>
      </c>
      <c r="E761" s="8">
        <v>26743037</v>
      </c>
      <c r="F761" s="2">
        <v>2.397E-4</v>
      </c>
      <c r="G761" s="17">
        <f>F761 * VLOOKUP('GASB Data'!A761,Check!$A$2:$F$11,6,FALSE)</f>
        <v>345454.20179999998</v>
      </c>
    </row>
    <row r="762" spans="1:7" x14ac:dyDescent="0.2">
      <c r="A762">
        <v>2017</v>
      </c>
      <c r="B762" s="3" t="s">
        <v>405</v>
      </c>
      <c r="C762" s="3" t="s">
        <v>766</v>
      </c>
      <c r="D762" s="3" t="s">
        <v>766</v>
      </c>
      <c r="E762" s="8">
        <v>568667604</v>
      </c>
      <c r="F762" s="2">
        <v>5.0964000000000001E-3</v>
      </c>
      <c r="G762" s="17">
        <f>F762 * VLOOKUP('GASB Data'!A762,Check!$A$2:$F$11,6,FALSE)</f>
        <v>7344901.1015999997</v>
      </c>
    </row>
    <row r="763" spans="1:7" x14ac:dyDescent="0.2">
      <c r="A763">
        <v>2017</v>
      </c>
      <c r="B763" s="3" t="s">
        <v>406</v>
      </c>
      <c r="C763" s="3" t="s">
        <v>767</v>
      </c>
      <c r="D763" s="3" t="s">
        <v>767</v>
      </c>
      <c r="E763" s="8">
        <v>61440037</v>
      </c>
      <c r="F763" s="2">
        <v>5.5060000000000005E-4</v>
      </c>
      <c r="G763" s="17">
        <f>F763 * VLOOKUP('GASB Data'!A763,Check!$A$2:$F$11,6,FALSE)</f>
        <v>793521.4164000001</v>
      </c>
    </row>
    <row r="764" spans="1:7" x14ac:dyDescent="0.2">
      <c r="A764">
        <v>2017</v>
      </c>
      <c r="B764" s="3" t="s">
        <v>407</v>
      </c>
      <c r="C764" s="3" t="s">
        <v>768</v>
      </c>
      <c r="D764" s="3" t="s">
        <v>768</v>
      </c>
      <c r="E764" s="8">
        <v>21645876</v>
      </c>
      <c r="F764" s="2">
        <v>1.94E-4</v>
      </c>
      <c r="G764" s="17">
        <f>F764 * VLOOKUP('GASB Data'!A764,Check!$A$2:$F$11,6,FALSE)</f>
        <v>279591.636</v>
      </c>
    </row>
    <row r="765" spans="1:7" x14ac:dyDescent="0.2">
      <c r="A765">
        <v>2017</v>
      </c>
      <c r="B765" s="3" t="s">
        <v>408</v>
      </c>
      <c r="C765" s="3" t="s">
        <v>769</v>
      </c>
      <c r="D765" s="3" t="s">
        <v>769</v>
      </c>
      <c r="E765" s="8">
        <v>68307617</v>
      </c>
      <c r="F765" s="2">
        <v>6.1220000000000003E-4</v>
      </c>
      <c r="G765" s="17">
        <f>F765 * VLOOKUP('GASB Data'!A765,Check!$A$2:$F$11,6,FALSE)</f>
        <v>882298.96680000005</v>
      </c>
    </row>
    <row r="766" spans="1:7" x14ac:dyDescent="0.2">
      <c r="A766">
        <v>2017</v>
      </c>
      <c r="B766" s="3" t="s">
        <v>409</v>
      </c>
      <c r="C766" s="3" t="s">
        <v>770</v>
      </c>
      <c r="D766" s="3" t="s">
        <v>770</v>
      </c>
      <c r="E766" s="8">
        <v>15805487</v>
      </c>
      <c r="F766" s="2">
        <v>1.416E-4</v>
      </c>
      <c r="G766" s="17">
        <f>F766 * VLOOKUP('GASB Data'!A766,Check!$A$2:$F$11,6,FALSE)</f>
        <v>204073.0704</v>
      </c>
    </row>
    <row r="767" spans="1:7" x14ac:dyDescent="0.2">
      <c r="A767">
        <v>2017</v>
      </c>
      <c r="B767" s="3" t="s">
        <v>410</v>
      </c>
      <c r="C767" s="3" t="s">
        <v>771</v>
      </c>
      <c r="D767" s="3" t="s">
        <v>771</v>
      </c>
      <c r="E767" s="8">
        <v>83637435</v>
      </c>
      <c r="F767" s="2">
        <v>7.4960000000000001E-4</v>
      </c>
      <c r="G767" s="17">
        <f>F767 * VLOOKUP('GASB Data'!A767,Check!$A$2:$F$11,6,FALSE)</f>
        <v>1080319.0223999999</v>
      </c>
    </row>
    <row r="768" spans="1:7" x14ac:dyDescent="0.2">
      <c r="A768">
        <v>2017</v>
      </c>
      <c r="B768" s="3" t="s">
        <v>411</v>
      </c>
      <c r="C768" s="3" t="s">
        <v>772</v>
      </c>
      <c r="D768" s="3" t="s">
        <v>772</v>
      </c>
      <c r="E768" s="8">
        <v>24180698</v>
      </c>
      <c r="F768" s="2">
        <v>2.1670000000000001E-4</v>
      </c>
      <c r="G768" s="17">
        <f>F768 * VLOOKUP('GASB Data'!A768,Check!$A$2:$F$11,6,FALSE)</f>
        <v>312306.73980000004</v>
      </c>
    </row>
    <row r="769" spans="1:7" x14ac:dyDescent="0.2">
      <c r="A769">
        <v>2017</v>
      </c>
      <c r="B769" s="3" t="s">
        <v>412</v>
      </c>
      <c r="C769" s="3" t="s">
        <v>773</v>
      </c>
      <c r="D769" s="3" t="s">
        <v>773</v>
      </c>
      <c r="E769" s="8">
        <v>46289444</v>
      </c>
      <c r="F769" s="2">
        <v>4.148E-4</v>
      </c>
      <c r="G769" s="17">
        <f>F769 * VLOOKUP('GASB Data'!A769,Check!$A$2:$F$11,6,FALSE)</f>
        <v>597807.27119999996</v>
      </c>
    </row>
    <row r="770" spans="1:7" x14ac:dyDescent="0.2">
      <c r="A770">
        <v>2017</v>
      </c>
      <c r="B770" s="3" t="s">
        <v>413</v>
      </c>
      <c r="C770" s="3" t="s">
        <v>774</v>
      </c>
      <c r="D770" s="3" t="s">
        <v>774</v>
      </c>
      <c r="E770" s="8">
        <v>177747489</v>
      </c>
      <c r="F770" s="2">
        <v>1.593E-3</v>
      </c>
      <c r="G770" s="17">
        <f>F770 * VLOOKUP('GASB Data'!A770,Check!$A$2:$F$11,6,FALSE)</f>
        <v>2295822.0419999999</v>
      </c>
    </row>
    <row r="771" spans="1:7" x14ac:dyDescent="0.2">
      <c r="A771">
        <v>2017</v>
      </c>
      <c r="B771" s="3" t="s">
        <v>414</v>
      </c>
      <c r="C771" s="3" t="s">
        <v>775</v>
      </c>
      <c r="D771" s="3" t="s">
        <v>775</v>
      </c>
      <c r="E771" s="8">
        <v>32074475</v>
      </c>
      <c r="F771" s="2">
        <v>2.875E-4</v>
      </c>
      <c r="G771" s="17">
        <f>F771 * VLOOKUP('GASB Data'!A771,Check!$A$2:$F$11,6,FALSE)</f>
        <v>414343.27499999997</v>
      </c>
    </row>
    <row r="772" spans="1:7" x14ac:dyDescent="0.2">
      <c r="A772">
        <v>2017</v>
      </c>
      <c r="B772" s="3" t="s">
        <v>415</v>
      </c>
      <c r="C772" s="3" t="s">
        <v>776</v>
      </c>
      <c r="D772" s="3" t="s">
        <v>776</v>
      </c>
      <c r="E772" s="8">
        <v>566147642</v>
      </c>
      <c r="F772" s="2">
        <v>5.0737999999999998E-3</v>
      </c>
      <c r="G772" s="17">
        <f>F772 * VLOOKUP('GASB Data'!A772,Check!$A$2:$F$11,6,FALSE)</f>
        <v>7312330.1172000002</v>
      </c>
    </row>
    <row r="773" spans="1:7" x14ac:dyDescent="0.2">
      <c r="A773">
        <v>2017</v>
      </c>
      <c r="B773" s="3" t="s">
        <v>416</v>
      </c>
      <c r="C773" s="3" t="s">
        <v>777</v>
      </c>
      <c r="D773" s="3" t="s">
        <v>777</v>
      </c>
      <c r="E773" s="8">
        <v>8718927</v>
      </c>
      <c r="F773" s="2">
        <v>7.8100000000000001E-5</v>
      </c>
      <c r="G773" s="17">
        <f>F773 * VLOOKUP('GASB Data'!A773,Check!$A$2:$F$11,6,FALSE)</f>
        <v>112557.25140000001</v>
      </c>
    </row>
    <row r="774" spans="1:7" x14ac:dyDescent="0.2">
      <c r="A774">
        <v>2017</v>
      </c>
      <c r="B774" s="3" t="s">
        <v>417</v>
      </c>
      <c r="C774" s="3" t="s">
        <v>778</v>
      </c>
      <c r="D774" s="3" t="s">
        <v>778</v>
      </c>
      <c r="E774" s="8">
        <v>13318400</v>
      </c>
      <c r="F774" s="2">
        <v>1.194E-4</v>
      </c>
      <c r="G774" s="17">
        <f>F774 * VLOOKUP('GASB Data'!A774,Check!$A$2:$F$11,6,FALSE)</f>
        <v>172078.56359999999</v>
      </c>
    </row>
    <row r="775" spans="1:7" x14ac:dyDescent="0.2">
      <c r="A775">
        <v>2017</v>
      </c>
      <c r="B775" s="3" t="s">
        <v>418</v>
      </c>
      <c r="C775" s="3" t="s">
        <v>779</v>
      </c>
      <c r="D775" s="3" t="s">
        <v>779</v>
      </c>
      <c r="E775" s="8">
        <v>106134738</v>
      </c>
      <c r="F775" s="2">
        <v>9.5120000000000003E-4</v>
      </c>
      <c r="G775" s="17">
        <f>F775 * VLOOKUP('GASB Data'!A775,Check!$A$2:$F$11,6,FALSE)</f>
        <v>1370863.7328000001</v>
      </c>
    </row>
    <row r="776" spans="1:7" x14ac:dyDescent="0.2">
      <c r="A776">
        <v>2017</v>
      </c>
      <c r="B776" s="3" t="s">
        <v>912</v>
      </c>
      <c r="C776" s="3" t="s">
        <v>909</v>
      </c>
      <c r="D776" s="3" t="s">
        <v>909</v>
      </c>
      <c r="E776" s="8">
        <v>4236867</v>
      </c>
      <c r="F776" s="2">
        <v>3.8000000000000002E-5</v>
      </c>
      <c r="G776" s="17">
        <f>F776 * VLOOKUP('GASB Data'!A776,Check!$A$2:$F$11,6,FALSE)</f>
        <v>54765.372000000003</v>
      </c>
    </row>
    <row r="777" spans="1:7" x14ac:dyDescent="0.2">
      <c r="A777">
        <v>2017</v>
      </c>
      <c r="B777" s="3" t="s">
        <v>419</v>
      </c>
      <c r="C777" s="3" t="s">
        <v>780</v>
      </c>
      <c r="D777" s="3" t="s">
        <v>780</v>
      </c>
      <c r="E777" s="8">
        <v>629253756</v>
      </c>
      <c r="F777" s="2">
        <v>5.6394000000000001E-3</v>
      </c>
      <c r="G777" s="17">
        <f>F777 * VLOOKUP('GASB Data'!A777,Check!$A$2:$F$11,6,FALSE)</f>
        <v>8127469.4435999999</v>
      </c>
    </row>
    <row r="778" spans="1:7" x14ac:dyDescent="0.2">
      <c r="A778">
        <v>2017</v>
      </c>
      <c r="B778" s="3" t="s">
        <v>420</v>
      </c>
      <c r="C778" s="3" t="s">
        <v>781</v>
      </c>
      <c r="D778" s="3" t="s">
        <v>781</v>
      </c>
      <c r="E778" s="8">
        <v>108655194</v>
      </c>
      <c r="F778" s="2">
        <v>9.7380000000000003E-4</v>
      </c>
      <c r="G778" s="17">
        <f>F778 * VLOOKUP('GASB Data'!A778,Check!$A$2:$F$11,6,FALSE)</f>
        <v>1403434.7172000001</v>
      </c>
    </row>
    <row r="779" spans="1:7" x14ac:dyDescent="0.2">
      <c r="A779">
        <v>2017</v>
      </c>
      <c r="B779" s="3" t="s">
        <v>421</v>
      </c>
      <c r="C779" s="3" t="s">
        <v>782</v>
      </c>
      <c r="D779" s="3" t="s">
        <v>782</v>
      </c>
      <c r="E779" s="8">
        <v>1224858909</v>
      </c>
      <c r="F779" s="2">
        <v>1.0977199999999999E-2</v>
      </c>
      <c r="G779" s="17">
        <f>F779 * VLOOKUP('GASB Data'!A779,Check!$A$2:$F$11,6,FALSE)</f>
        <v>15820274.776799999</v>
      </c>
    </row>
    <row r="780" spans="1:7" x14ac:dyDescent="0.2">
      <c r="A780">
        <v>2017</v>
      </c>
      <c r="B780" s="3" t="s">
        <v>422</v>
      </c>
      <c r="C780" s="3" t="s">
        <v>910</v>
      </c>
      <c r="D780" s="3" t="s">
        <v>910</v>
      </c>
      <c r="E780" s="8">
        <v>15949104</v>
      </c>
      <c r="F780" s="2">
        <v>1.429E-4</v>
      </c>
      <c r="G780" s="17">
        <f>F780 * VLOOKUP('GASB Data'!A780,Check!$A$2:$F$11,6,FALSE)</f>
        <v>205946.6226</v>
      </c>
    </row>
    <row r="781" spans="1:7" x14ac:dyDescent="0.2">
      <c r="A781">
        <v>2017</v>
      </c>
      <c r="B781" s="3" t="s">
        <v>423</v>
      </c>
      <c r="C781" s="3" t="s">
        <v>784</v>
      </c>
      <c r="D781" s="3" t="s">
        <v>784</v>
      </c>
      <c r="E781" s="8">
        <v>5490685</v>
      </c>
      <c r="F781" s="2">
        <v>4.9200000000000003E-5</v>
      </c>
      <c r="G781" s="17">
        <f>F781 * VLOOKUP('GASB Data'!A781,Check!$A$2:$F$11,6,FALSE)</f>
        <v>70906.7448</v>
      </c>
    </row>
    <row r="782" spans="1:7" x14ac:dyDescent="0.2">
      <c r="A782">
        <v>2017</v>
      </c>
      <c r="B782" s="3" t="s">
        <v>424</v>
      </c>
      <c r="C782" s="3" t="s">
        <v>785</v>
      </c>
      <c r="D782" s="3" t="s">
        <v>785</v>
      </c>
      <c r="E782" s="8">
        <v>248044459</v>
      </c>
      <c r="F782" s="2">
        <v>2.2230000000000001E-3</v>
      </c>
      <c r="G782" s="17">
        <f>F782 * VLOOKUP('GASB Data'!A782,Check!$A$2:$F$11,6,FALSE)</f>
        <v>3203774.2620000001</v>
      </c>
    </row>
    <row r="783" spans="1:7" x14ac:dyDescent="0.2">
      <c r="A783">
        <v>2017</v>
      </c>
      <c r="B783" s="3" t="s">
        <v>425</v>
      </c>
      <c r="C783" s="3" t="s">
        <v>786</v>
      </c>
      <c r="D783" s="3" t="s">
        <v>786</v>
      </c>
      <c r="E783" s="8">
        <v>87578947</v>
      </c>
      <c r="F783" s="2">
        <v>7.8490000000000005E-4</v>
      </c>
      <c r="G783" s="17">
        <f>F783 * VLOOKUP('GASB Data'!A783,Check!$A$2:$F$11,6,FALSE)</f>
        <v>1131193.1706000001</v>
      </c>
    </row>
    <row r="784" spans="1:7" x14ac:dyDescent="0.2">
      <c r="A784">
        <v>2017</v>
      </c>
      <c r="B784" s="3" t="s">
        <v>426</v>
      </c>
      <c r="C784" s="3" t="s">
        <v>787</v>
      </c>
      <c r="D784" s="3" t="s">
        <v>787</v>
      </c>
      <c r="E784" s="8">
        <v>50379709</v>
      </c>
      <c r="F784" s="2">
        <v>4.5150000000000002E-4</v>
      </c>
      <c r="G784" s="17">
        <f>F784 * VLOOKUP('GASB Data'!A784,Check!$A$2:$F$11,6,FALSE)</f>
        <v>650699.09100000001</v>
      </c>
    </row>
    <row r="785" spans="1:7" x14ac:dyDescent="0.2">
      <c r="A785">
        <v>2017</v>
      </c>
      <c r="B785" s="3" t="s">
        <v>427</v>
      </c>
      <c r="C785" s="3" t="s">
        <v>788</v>
      </c>
      <c r="D785" s="3" t="s">
        <v>788</v>
      </c>
      <c r="E785" s="8">
        <v>1025252797</v>
      </c>
      <c r="F785" s="2">
        <v>9.1883999999999993E-3</v>
      </c>
      <c r="G785" s="17">
        <f>F785 * VLOOKUP('GASB Data'!A785,Check!$A$2:$F$11,6,FALSE)</f>
        <v>13242266.9496</v>
      </c>
    </row>
    <row r="786" spans="1:7" x14ac:dyDescent="0.2">
      <c r="A786">
        <v>2017</v>
      </c>
      <c r="B786" s="3" t="s">
        <v>428</v>
      </c>
      <c r="C786" s="3" t="s">
        <v>789</v>
      </c>
      <c r="D786" s="3" t="s">
        <v>789</v>
      </c>
      <c r="E786" s="8">
        <v>3610520</v>
      </c>
      <c r="F786" s="2">
        <v>3.2400000000000001E-5</v>
      </c>
      <c r="G786" s="17">
        <f>F786 * VLOOKUP('GASB Data'!A786,Check!$A$2:$F$11,6,FALSE)</f>
        <v>46694.685600000004</v>
      </c>
    </row>
    <row r="787" spans="1:7" x14ac:dyDescent="0.2">
      <c r="A787">
        <v>2017</v>
      </c>
      <c r="B787" s="3" t="s">
        <v>429</v>
      </c>
      <c r="C787" s="3" t="s">
        <v>790</v>
      </c>
      <c r="D787" s="3" t="s">
        <v>790</v>
      </c>
      <c r="E787" s="8">
        <v>121168385</v>
      </c>
      <c r="F787" s="2">
        <v>1.0859000000000001E-3</v>
      </c>
      <c r="G787" s="17">
        <f>F787 * VLOOKUP('GASB Data'!A787,Check!$A$2:$F$11,6,FALSE)</f>
        <v>1564992.5646000002</v>
      </c>
    </row>
    <row r="788" spans="1:7" x14ac:dyDescent="0.2">
      <c r="A788">
        <v>2017</v>
      </c>
      <c r="B788" s="3" t="s">
        <v>430</v>
      </c>
      <c r="C788" s="3" t="s">
        <v>791</v>
      </c>
      <c r="D788" s="3" t="s">
        <v>791</v>
      </c>
      <c r="E788" s="8">
        <v>390787956</v>
      </c>
      <c r="F788" s="2">
        <v>3.5022999999999999E-3</v>
      </c>
      <c r="G788" s="17">
        <f>F788 * VLOOKUP('GASB Data'!A788,Check!$A$2:$F$11,6,FALSE)</f>
        <v>5047493.7461999999</v>
      </c>
    </row>
    <row r="789" spans="1:7" x14ac:dyDescent="0.2">
      <c r="A789">
        <v>2017</v>
      </c>
      <c r="B789" s="3" t="s">
        <v>432</v>
      </c>
      <c r="C789" s="3" t="s">
        <v>792</v>
      </c>
      <c r="D789" s="3" t="s">
        <v>792</v>
      </c>
      <c r="E789" s="8">
        <v>13998242</v>
      </c>
      <c r="F789" s="2">
        <v>1.2549999999999999E-4</v>
      </c>
      <c r="G789" s="17">
        <f>F789 * VLOOKUP('GASB Data'!A789,Check!$A$2:$F$11,6,FALSE)</f>
        <v>180869.84699999998</v>
      </c>
    </row>
    <row r="790" spans="1:7" x14ac:dyDescent="0.2">
      <c r="A790">
        <v>2017</v>
      </c>
      <c r="B790" s="3" t="s">
        <v>433</v>
      </c>
      <c r="C790" s="3" t="s">
        <v>911</v>
      </c>
      <c r="D790" s="3" t="s">
        <v>911</v>
      </c>
      <c r="E790" s="8">
        <v>733237542</v>
      </c>
      <c r="F790" s="2">
        <v>6.5713000000000004E-3</v>
      </c>
      <c r="G790" s="17">
        <f>F790 * VLOOKUP('GASB Data'!A790,Check!$A$2:$F$11,6,FALSE)</f>
        <v>9470518.1322000008</v>
      </c>
    </row>
    <row r="791" spans="1:7" x14ac:dyDescent="0.2">
      <c r="A791">
        <v>2017</v>
      </c>
      <c r="B791" s="3" t="s">
        <v>434</v>
      </c>
      <c r="C791" s="3" t="s">
        <v>794</v>
      </c>
      <c r="D791" s="3" t="s">
        <v>794</v>
      </c>
      <c r="E791" s="8">
        <v>72415073</v>
      </c>
      <c r="F791" s="2">
        <v>6.4899999999999995E-4</v>
      </c>
      <c r="G791" s="17">
        <f>F791 * VLOOKUP('GASB Data'!A791,Check!$A$2:$F$11,6,FALSE)</f>
        <v>935334.90599999996</v>
      </c>
    </row>
    <row r="792" spans="1:7" x14ac:dyDescent="0.2">
      <c r="A792">
        <v>2017</v>
      </c>
      <c r="B792" s="3" t="s">
        <v>435</v>
      </c>
      <c r="C792" s="3" t="s">
        <v>795</v>
      </c>
      <c r="D792" s="3" t="s">
        <v>795</v>
      </c>
      <c r="E792" s="8">
        <v>24908881</v>
      </c>
      <c r="F792" s="2">
        <v>2.232E-4</v>
      </c>
      <c r="G792" s="17">
        <f>F792 * VLOOKUP('GASB Data'!A792,Check!$A$2:$F$11,6,FALSE)</f>
        <v>321674.50079999998</v>
      </c>
    </row>
    <row r="793" spans="1:7" x14ac:dyDescent="0.2">
      <c r="A793">
        <v>2017</v>
      </c>
      <c r="B793" s="3" t="s">
        <v>490</v>
      </c>
      <c r="C793" s="3" t="s">
        <v>796</v>
      </c>
      <c r="D793" s="3" t="s">
        <v>796</v>
      </c>
      <c r="E793" s="8">
        <v>24811162</v>
      </c>
      <c r="F793" s="2">
        <v>2.2240000000000001E-4</v>
      </c>
      <c r="G793" s="17">
        <f>F793 * VLOOKUP('GASB Data'!A793,Check!$A$2:$F$11,6,FALSE)</f>
        <v>320521.54560000001</v>
      </c>
    </row>
    <row r="794" spans="1:7" x14ac:dyDescent="0.2">
      <c r="A794">
        <v>2017</v>
      </c>
      <c r="B794" s="3" t="s">
        <v>491</v>
      </c>
      <c r="C794" s="3" t="s">
        <v>797</v>
      </c>
      <c r="D794" s="3" t="s">
        <v>797</v>
      </c>
      <c r="E794" s="8">
        <v>243530993</v>
      </c>
      <c r="F794" s="2">
        <v>2.1825E-3</v>
      </c>
      <c r="G794" s="17">
        <f>F794 * VLOOKUP('GASB Data'!A794,Check!$A$2:$F$11,6,FALSE)</f>
        <v>3145405.9049999998</v>
      </c>
    </row>
    <row r="795" spans="1:7" x14ac:dyDescent="0.2">
      <c r="A795">
        <v>2017</v>
      </c>
      <c r="B795" s="3" t="s">
        <v>850</v>
      </c>
      <c r="C795" s="3" t="s">
        <v>913</v>
      </c>
      <c r="D795" s="3" t="s">
        <v>913</v>
      </c>
      <c r="E795" s="8">
        <v>9799858</v>
      </c>
      <c r="F795" s="2">
        <v>8.7800000000000006E-5</v>
      </c>
      <c r="G795" s="17">
        <f>F795 * VLOOKUP('GASB Data'!A795,Check!$A$2:$F$11,6,FALSE)</f>
        <v>126536.83320000001</v>
      </c>
    </row>
    <row r="796" spans="1:7" x14ac:dyDescent="0.2">
      <c r="A796">
        <v>2017</v>
      </c>
      <c r="B796" s="3" t="s">
        <v>492</v>
      </c>
      <c r="C796" s="3" t="s">
        <v>799</v>
      </c>
      <c r="D796" s="3" t="s">
        <v>799</v>
      </c>
      <c r="E796" s="8">
        <v>58996269</v>
      </c>
      <c r="F796" s="2">
        <v>5.287E-4</v>
      </c>
      <c r="G796" s="17">
        <f>F796 * VLOOKUP('GASB Data'!A796,Check!$A$2:$F$11,6,FALSE)</f>
        <v>761959.26780000003</v>
      </c>
    </row>
    <row r="797" spans="1:7" x14ac:dyDescent="0.2">
      <c r="A797">
        <v>2017</v>
      </c>
      <c r="B797" s="3" t="s">
        <v>493</v>
      </c>
      <c r="C797" s="3" t="s">
        <v>800</v>
      </c>
      <c r="D797" s="3" t="s">
        <v>800</v>
      </c>
      <c r="E797" s="8">
        <v>364179257</v>
      </c>
      <c r="F797" s="2">
        <v>3.2637999999999999E-3</v>
      </c>
      <c r="G797" s="17">
        <f>F797 * VLOOKUP('GASB Data'!A797,Check!$A$2:$F$11,6,FALSE)</f>
        <v>4703768.9771999996</v>
      </c>
    </row>
    <row r="798" spans="1:7" x14ac:dyDescent="0.2">
      <c r="A798">
        <v>2017</v>
      </c>
      <c r="B798" s="3" t="s">
        <v>494</v>
      </c>
      <c r="C798" s="3" t="s">
        <v>801</v>
      </c>
      <c r="D798" s="3" t="s">
        <v>801</v>
      </c>
      <c r="E798" s="8">
        <v>81309798</v>
      </c>
      <c r="F798" s="2">
        <v>7.2869999999999999E-4</v>
      </c>
      <c r="G798" s="17">
        <f>F798 * VLOOKUP('GASB Data'!A798,Check!$A$2:$F$11,6,FALSE)</f>
        <v>1050198.0678000001</v>
      </c>
    </row>
    <row r="799" spans="1:7" x14ac:dyDescent="0.2">
      <c r="A799">
        <v>2017</v>
      </c>
      <c r="B799" s="3" t="s">
        <v>495</v>
      </c>
      <c r="C799" s="3" t="s">
        <v>802</v>
      </c>
      <c r="D799" s="3" t="s">
        <v>802</v>
      </c>
      <c r="E799" s="8">
        <v>216013326</v>
      </c>
      <c r="F799" s="2">
        <v>1.9358999999999999E-3</v>
      </c>
      <c r="G799" s="17">
        <f>F799 * VLOOKUP('GASB Data'!A799,Check!$A$2:$F$11,6,FALSE)</f>
        <v>2790007.4646000001</v>
      </c>
    </row>
    <row r="800" spans="1:7" x14ac:dyDescent="0.2">
      <c r="A800">
        <v>2017</v>
      </c>
      <c r="B800" s="3" t="s">
        <v>496</v>
      </c>
      <c r="C800" s="3" t="s">
        <v>803</v>
      </c>
      <c r="D800" s="3" t="s">
        <v>803</v>
      </c>
      <c r="E800" s="8">
        <v>24021628</v>
      </c>
      <c r="F800" s="2">
        <v>2.153E-4</v>
      </c>
      <c r="G800" s="17">
        <f>F800 * VLOOKUP('GASB Data'!A800,Check!$A$2:$F$11,6,FALSE)</f>
        <v>310289.06819999998</v>
      </c>
    </row>
    <row r="801" spans="1:7" x14ac:dyDescent="0.2">
      <c r="A801">
        <v>2017</v>
      </c>
      <c r="B801" s="3" t="s">
        <v>497</v>
      </c>
      <c r="C801" s="3" t="s">
        <v>804</v>
      </c>
      <c r="D801" s="3" t="s">
        <v>804</v>
      </c>
      <c r="E801" s="8">
        <v>58065024</v>
      </c>
      <c r="F801" s="2">
        <v>5.2039999999999996E-4</v>
      </c>
      <c r="G801" s="17">
        <f>F801 * VLOOKUP('GASB Data'!A801,Check!$A$2:$F$11,6,FALSE)</f>
        <v>749997.35759999999</v>
      </c>
    </row>
    <row r="802" spans="1:7" x14ac:dyDescent="0.2">
      <c r="A802">
        <v>2017</v>
      </c>
      <c r="B802" s="3" t="s">
        <v>498</v>
      </c>
      <c r="C802" s="3" t="s">
        <v>805</v>
      </c>
      <c r="D802" s="3" t="s">
        <v>805</v>
      </c>
      <c r="E802" s="8">
        <v>1003664624</v>
      </c>
      <c r="F802" s="2">
        <v>8.9949000000000001E-3</v>
      </c>
      <c r="G802" s="17">
        <f>F802 * VLOOKUP('GASB Data'!A802,Check!$A$2:$F$11,6,FALSE)</f>
        <v>12963395.910600001</v>
      </c>
    </row>
    <row r="803" spans="1:7" x14ac:dyDescent="0.2">
      <c r="A803">
        <v>2017</v>
      </c>
      <c r="B803" s="3" t="s">
        <v>499</v>
      </c>
      <c r="C803" s="3" t="s">
        <v>806</v>
      </c>
      <c r="D803" s="3" t="s">
        <v>806</v>
      </c>
      <c r="E803" s="8">
        <v>236642958</v>
      </c>
      <c r="F803" s="2">
        <v>2.1207999999999999E-3</v>
      </c>
      <c r="G803" s="17">
        <f>F803 * VLOOKUP('GASB Data'!A803,Check!$A$2:$F$11,6,FALSE)</f>
        <v>3056484.2352</v>
      </c>
    </row>
    <row r="804" spans="1:7" x14ac:dyDescent="0.2">
      <c r="A804">
        <v>2017</v>
      </c>
      <c r="B804" s="3" t="s">
        <v>500</v>
      </c>
      <c r="C804" s="3" t="s">
        <v>807</v>
      </c>
      <c r="D804" s="3" t="s">
        <v>807</v>
      </c>
      <c r="E804" s="8">
        <v>113341232</v>
      </c>
      <c r="F804" s="2">
        <v>1.0158000000000001E-3</v>
      </c>
      <c r="G804" s="17">
        <f>F804 * VLOOKUP('GASB Data'!A804,Check!$A$2:$F$11,6,FALSE)</f>
        <v>1463964.8652000001</v>
      </c>
    </row>
    <row r="805" spans="1:7" x14ac:dyDescent="0.2">
      <c r="A805">
        <v>2017</v>
      </c>
      <c r="B805" s="3" t="s">
        <v>501</v>
      </c>
      <c r="C805" s="3" t="s">
        <v>808</v>
      </c>
      <c r="D805" s="3" t="s">
        <v>808</v>
      </c>
      <c r="E805" s="8">
        <v>709248263</v>
      </c>
      <c r="F805" s="2">
        <v>6.3562999999999996E-3</v>
      </c>
      <c r="G805" s="17">
        <f>F805 * VLOOKUP('GASB Data'!A805,Check!$A$2:$F$11,6,FALSE)</f>
        <v>9160661.4221999999</v>
      </c>
    </row>
    <row r="806" spans="1:7" x14ac:dyDescent="0.2">
      <c r="A806">
        <v>2017</v>
      </c>
      <c r="B806" s="3" t="s">
        <v>502</v>
      </c>
      <c r="C806" s="3" t="s">
        <v>809</v>
      </c>
      <c r="D806" s="3" t="s">
        <v>809</v>
      </c>
      <c r="E806" s="8">
        <v>28417484</v>
      </c>
      <c r="F806" s="2">
        <v>2.5470000000000001E-4</v>
      </c>
      <c r="G806" s="17">
        <f>F806 * VLOOKUP('GASB Data'!A806,Check!$A$2:$F$11,6,FALSE)</f>
        <v>367072.11180000001</v>
      </c>
    </row>
    <row r="807" spans="1:7" x14ac:dyDescent="0.2">
      <c r="A807">
        <v>2017</v>
      </c>
      <c r="B807" s="3" t="s">
        <v>503</v>
      </c>
      <c r="C807" s="3" t="s">
        <v>810</v>
      </c>
      <c r="D807" s="3" t="s">
        <v>810</v>
      </c>
      <c r="E807" s="8">
        <v>88096732</v>
      </c>
      <c r="F807" s="2">
        <v>7.8950000000000005E-4</v>
      </c>
      <c r="G807" s="17">
        <f>F807 * VLOOKUP('GASB Data'!A807,Check!$A$2:$F$11,6,FALSE)</f>
        <v>1137822.6630000002</v>
      </c>
    </row>
    <row r="808" spans="1:7" x14ac:dyDescent="0.2">
      <c r="A808">
        <v>2017</v>
      </c>
      <c r="B808" s="3" t="s">
        <v>504</v>
      </c>
      <c r="C808" s="3" t="s">
        <v>811</v>
      </c>
      <c r="D808" s="3" t="s">
        <v>811</v>
      </c>
      <c r="E808" s="8">
        <v>218774643</v>
      </c>
      <c r="F808" s="2">
        <v>1.9607000000000001E-3</v>
      </c>
      <c r="G808" s="17">
        <f>F808 * VLOOKUP('GASB Data'!A808,Check!$A$2:$F$11,6,FALSE)</f>
        <v>2825749.0758000002</v>
      </c>
    </row>
    <row r="809" spans="1:7" x14ac:dyDescent="0.2">
      <c r="A809">
        <v>2017</v>
      </c>
      <c r="B809" s="3" t="s">
        <v>505</v>
      </c>
      <c r="C809" s="3" t="s">
        <v>812</v>
      </c>
      <c r="D809" s="3" t="s">
        <v>812</v>
      </c>
      <c r="E809" s="8">
        <v>299616428</v>
      </c>
      <c r="F809" s="2">
        <v>2.6852E-3</v>
      </c>
      <c r="G809" s="17">
        <f>F809 * VLOOKUP('GASB Data'!A809,Check!$A$2:$F$11,6,FALSE)</f>
        <v>3869894.1288000001</v>
      </c>
    </row>
    <row r="810" spans="1:7" x14ac:dyDescent="0.2">
      <c r="A810">
        <v>2017</v>
      </c>
      <c r="B810" s="3" t="s">
        <v>506</v>
      </c>
      <c r="C810" s="3" t="s">
        <v>813</v>
      </c>
      <c r="D810" s="3" t="s">
        <v>813</v>
      </c>
      <c r="E810" s="8">
        <v>90010272</v>
      </c>
      <c r="F810" s="2">
        <v>8.0670000000000004E-4</v>
      </c>
      <c r="G810" s="17">
        <f>F810 * VLOOKUP('GASB Data'!A810,Check!$A$2:$F$11,6,FALSE)</f>
        <v>1162611.1998000001</v>
      </c>
    </row>
    <row r="811" spans="1:7" x14ac:dyDescent="0.2">
      <c r="A811">
        <v>2017</v>
      </c>
      <c r="B811" s="3" t="s">
        <v>507</v>
      </c>
      <c r="C811" s="3" t="s">
        <v>814</v>
      </c>
      <c r="D811" s="3" t="s">
        <v>814</v>
      </c>
      <c r="E811" s="8">
        <v>929256354</v>
      </c>
      <c r="F811" s="2">
        <v>8.3280000000000003E-3</v>
      </c>
      <c r="G811" s="17">
        <f>F811 * VLOOKUP('GASB Data'!A811,Check!$A$2:$F$11,6,FALSE)</f>
        <v>12002263.632000001</v>
      </c>
    </row>
    <row r="812" spans="1:7" x14ac:dyDescent="0.2">
      <c r="A812">
        <v>2017</v>
      </c>
      <c r="B812" s="3" t="s">
        <v>508</v>
      </c>
      <c r="C812" s="3" t="s">
        <v>815</v>
      </c>
      <c r="D812" s="3" t="s">
        <v>815</v>
      </c>
      <c r="E812" s="8">
        <v>7012755</v>
      </c>
      <c r="F812" s="2">
        <v>6.2799999999999995E-5</v>
      </c>
      <c r="G812" s="17">
        <f>F812 * VLOOKUP('GASB Data'!A812,Check!$A$2:$F$11,6,FALSE)</f>
        <v>90506.983199999988</v>
      </c>
    </row>
    <row r="813" spans="1:7" x14ac:dyDescent="0.2">
      <c r="A813">
        <v>2017</v>
      </c>
      <c r="B813" s="3" t="s">
        <v>509</v>
      </c>
      <c r="C813" s="3" t="s">
        <v>816</v>
      </c>
      <c r="D813" s="3" t="s">
        <v>816</v>
      </c>
      <c r="E813" s="8">
        <v>70656761</v>
      </c>
      <c r="F813" s="2">
        <v>6.332E-4</v>
      </c>
      <c r="G813" s="17">
        <f>F813 * VLOOKUP('GASB Data'!A813,Check!$A$2:$F$11,6,FALSE)</f>
        <v>912564.04079999996</v>
      </c>
    </row>
    <row r="814" spans="1:7" x14ac:dyDescent="0.2">
      <c r="A814">
        <v>2017</v>
      </c>
      <c r="B814" s="3" t="s">
        <v>510</v>
      </c>
      <c r="C814" s="3" t="s">
        <v>817</v>
      </c>
      <c r="D814" s="3" t="s">
        <v>817</v>
      </c>
      <c r="E814" s="8">
        <v>490794817</v>
      </c>
      <c r="F814" s="2">
        <v>4.3984999999999996E-3</v>
      </c>
      <c r="G814" s="17">
        <f>F814 * VLOOKUP('GASB Data'!A814,Check!$A$2:$F$11,6,FALSE)</f>
        <v>6339091.8089999994</v>
      </c>
    </row>
    <row r="815" spans="1:7" x14ac:dyDescent="0.2">
      <c r="A815">
        <v>2017</v>
      </c>
      <c r="B815" s="3" t="s">
        <v>511</v>
      </c>
      <c r="C815" s="3" t="s">
        <v>818</v>
      </c>
      <c r="D815" s="3" t="s">
        <v>818</v>
      </c>
      <c r="E815" s="8">
        <v>6594311</v>
      </c>
      <c r="F815" s="2">
        <v>5.91E-5</v>
      </c>
      <c r="G815" s="17">
        <f>F815 * VLOOKUP('GASB Data'!A815,Check!$A$2:$F$11,6,FALSE)</f>
        <v>85174.565400000007</v>
      </c>
    </row>
    <row r="816" spans="1:7" x14ac:dyDescent="0.2">
      <c r="A816">
        <v>2017</v>
      </c>
      <c r="B816" s="3" t="s">
        <v>512</v>
      </c>
      <c r="C816" s="3" t="s">
        <v>819</v>
      </c>
      <c r="D816" s="3" t="s">
        <v>819</v>
      </c>
      <c r="E816" s="8">
        <v>60090326</v>
      </c>
      <c r="F816" s="2">
        <v>5.3850000000000002E-4</v>
      </c>
      <c r="G816" s="17">
        <f>F816 * VLOOKUP('GASB Data'!A816,Check!$A$2:$F$11,6,FALSE)</f>
        <v>776082.96900000004</v>
      </c>
    </row>
    <row r="817" spans="1:7" x14ac:dyDescent="0.2">
      <c r="A817">
        <v>2017</v>
      </c>
      <c r="B817" s="3" t="s">
        <v>513</v>
      </c>
      <c r="C817" s="3" t="s">
        <v>820</v>
      </c>
      <c r="D817" s="3" t="s">
        <v>820</v>
      </c>
      <c r="E817" s="8">
        <v>808211061</v>
      </c>
      <c r="F817" s="2">
        <v>7.2432E-3</v>
      </c>
      <c r="G817" s="17">
        <f>F817 * VLOOKUP('GASB Data'!A817,Check!$A$2:$F$11,6,FALSE)</f>
        <v>10438856.380799999</v>
      </c>
    </row>
    <row r="818" spans="1:7" x14ac:dyDescent="0.2">
      <c r="A818">
        <v>2017</v>
      </c>
      <c r="B818" s="3" t="s">
        <v>514</v>
      </c>
      <c r="C818" s="3" t="s">
        <v>821</v>
      </c>
      <c r="D818" s="3" t="s">
        <v>821</v>
      </c>
      <c r="E818" s="8">
        <v>155841828</v>
      </c>
      <c r="F818" s="2">
        <v>1.3967000000000001E-3</v>
      </c>
      <c r="G818" s="17">
        <f>F818 * VLOOKUP('GASB Data'!A818,Check!$A$2:$F$11,6,FALSE)</f>
        <v>2012915.6598</v>
      </c>
    </row>
    <row r="819" spans="1:7" x14ac:dyDescent="0.2">
      <c r="A819">
        <v>2017</v>
      </c>
      <c r="B819" s="3" t="s">
        <v>515</v>
      </c>
      <c r="C819" s="3" t="s">
        <v>822</v>
      </c>
      <c r="D819" s="3" t="s">
        <v>822</v>
      </c>
      <c r="E819" s="8">
        <v>363214231</v>
      </c>
      <c r="F819" s="2">
        <v>3.2550999999999999E-3</v>
      </c>
      <c r="G819" s="17">
        <f>F819 * VLOOKUP('GASB Data'!A819,Check!$A$2:$F$11,6,FALSE)</f>
        <v>4691230.5893999999</v>
      </c>
    </row>
    <row r="820" spans="1:7" x14ac:dyDescent="0.2">
      <c r="A820">
        <v>2017</v>
      </c>
      <c r="B820" s="3" t="s">
        <v>516</v>
      </c>
      <c r="C820" s="3" t="s">
        <v>823</v>
      </c>
      <c r="D820" s="3" t="s">
        <v>823</v>
      </c>
      <c r="E820" s="8">
        <v>74436815</v>
      </c>
      <c r="F820" s="2">
        <v>6.6710000000000001E-4</v>
      </c>
      <c r="G820" s="17">
        <f>F820 * VLOOKUP('GASB Data'!A820,Check!$A$2:$F$11,6,FALSE)</f>
        <v>961420.51740000001</v>
      </c>
    </row>
    <row r="821" spans="1:7" x14ac:dyDescent="0.2">
      <c r="A821">
        <v>2017</v>
      </c>
      <c r="B821" s="3" t="s">
        <v>517</v>
      </c>
      <c r="C821" s="3" t="s">
        <v>824</v>
      </c>
      <c r="D821" s="3" t="s">
        <v>824</v>
      </c>
      <c r="E821" s="8">
        <v>346105579</v>
      </c>
      <c r="F821" s="2">
        <v>3.1018E-3</v>
      </c>
      <c r="G821" s="17">
        <f>F821 * VLOOKUP('GASB Data'!A821,Check!$A$2:$F$11,6,FALSE)</f>
        <v>4470295.5492000002</v>
      </c>
    </row>
    <row r="822" spans="1:7" x14ac:dyDescent="0.2">
      <c r="A822">
        <v>2017</v>
      </c>
      <c r="B822" s="3" t="s">
        <v>518</v>
      </c>
      <c r="C822" s="3" t="s">
        <v>825</v>
      </c>
      <c r="D822" s="3" t="s">
        <v>825</v>
      </c>
      <c r="E822" s="8">
        <v>51570288</v>
      </c>
      <c r="F822" s="2">
        <v>4.6220000000000001E-4</v>
      </c>
      <c r="G822" s="17">
        <f>F822 * VLOOKUP('GASB Data'!A822,Check!$A$2:$F$11,6,FALSE)</f>
        <v>666119.86680000008</v>
      </c>
    </row>
    <row r="823" spans="1:7" x14ac:dyDescent="0.2">
      <c r="A823">
        <v>2017</v>
      </c>
      <c r="B823" s="3" t="s">
        <v>519</v>
      </c>
      <c r="C823" s="3" t="s">
        <v>826</v>
      </c>
      <c r="D823" s="3" t="s">
        <v>826</v>
      </c>
      <c r="E823" s="8">
        <v>131283200</v>
      </c>
      <c r="F823" s="2">
        <v>1.1766000000000001E-3</v>
      </c>
      <c r="G823" s="17">
        <f>F823 * VLOOKUP('GASB Data'!A823,Check!$A$2:$F$11,6,FALSE)</f>
        <v>1695708.8604000001</v>
      </c>
    </row>
    <row r="824" spans="1:7" x14ac:dyDescent="0.2">
      <c r="A824">
        <v>2017</v>
      </c>
      <c r="B824" s="3" t="s">
        <v>520</v>
      </c>
      <c r="C824" s="3" t="s">
        <v>827</v>
      </c>
      <c r="D824" s="3" t="s">
        <v>827</v>
      </c>
      <c r="E824" s="8">
        <v>274065577</v>
      </c>
      <c r="F824" s="2">
        <v>2.4562E-3</v>
      </c>
      <c r="G824" s="17">
        <f>F824 * VLOOKUP('GASB Data'!A824,Check!$A$2:$F$11,6,FALSE)</f>
        <v>3539860.7028000001</v>
      </c>
    </row>
    <row r="825" spans="1:7" x14ac:dyDescent="0.2">
      <c r="A825">
        <v>2017</v>
      </c>
      <c r="B825" s="3" t="s">
        <v>521</v>
      </c>
      <c r="C825" s="3" t="s">
        <v>828</v>
      </c>
      <c r="D825" s="3" t="s">
        <v>828</v>
      </c>
      <c r="E825" s="8">
        <v>336891388</v>
      </c>
      <c r="F825" s="2">
        <v>3.0192000000000001E-3</v>
      </c>
      <c r="G825" s="17">
        <f>F825 * VLOOKUP('GASB Data'!A825,Check!$A$2:$F$11,6,FALSE)</f>
        <v>4351252.9248000002</v>
      </c>
    </row>
    <row r="826" spans="1:7" x14ac:dyDescent="0.2">
      <c r="A826">
        <v>2017</v>
      </c>
      <c r="B826" s="3" t="s">
        <v>522</v>
      </c>
      <c r="C826" s="3" t="s">
        <v>829</v>
      </c>
      <c r="D826" s="3" t="s">
        <v>829</v>
      </c>
      <c r="E826" s="8">
        <v>13718097</v>
      </c>
      <c r="F826" s="2">
        <v>1.2290000000000001E-4</v>
      </c>
      <c r="G826" s="17">
        <f>F826 * VLOOKUP('GASB Data'!A826,Check!$A$2:$F$11,6,FALSE)</f>
        <v>177122.7426</v>
      </c>
    </row>
    <row r="827" spans="1:7" x14ac:dyDescent="0.2">
      <c r="A827">
        <v>2017</v>
      </c>
      <c r="B827" s="3" t="s">
        <v>523</v>
      </c>
      <c r="C827" s="3" t="s">
        <v>830</v>
      </c>
      <c r="D827" s="3" t="s">
        <v>830</v>
      </c>
      <c r="E827" s="8">
        <v>88469407</v>
      </c>
      <c r="F827" s="2">
        <v>7.9290000000000003E-4</v>
      </c>
      <c r="G827" s="17">
        <f>F827 * VLOOKUP('GASB Data'!A827,Check!$A$2:$F$11,6,FALSE)</f>
        <v>1142722.7226</v>
      </c>
    </row>
    <row r="828" spans="1:7" x14ac:dyDescent="0.2">
      <c r="A828">
        <v>2017</v>
      </c>
      <c r="B828" s="3" t="s">
        <v>524</v>
      </c>
      <c r="C828" s="3" t="s">
        <v>831</v>
      </c>
      <c r="D828" s="3" t="s">
        <v>831</v>
      </c>
      <c r="E828" s="8">
        <v>260388909</v>
      </c>
      <c r="F828" s="2">
        <v>2.3335999999999999E-3</v>
      </c>
      <c r="G828" s="17">
        <f>F828 * VLOOKUP('GASB Data'!A828,Check!$A$2:$F$11,6,FALSE)</f>
        <v>3363170.3183999998</v>
      </c>
    </row>
    <row r="829" spans="1:7" x14ac:dyDescent="0.2">
      <c r="A829">
        <v>2017</v>
      </c>
      <c r="B829" s="3" t="s">
        <v>525</v>
      </c>
      <c r="C829" s="3" t="s">
        <v>832</v>
      </c>
      <c r="D829" s="3" t="s">
        <v>832</v>
      </c>
      <c r="E829" s="8">
        <v>340330820</v>
      </c>
      <c r="F829" s="2">
        <v>3.0501E-3</v>
      </c>
      <c r="G829" s="17">
        <f>F829 * VLOOKUP('GASB Data'!A829,Check!$A$2:$F$11,6,FALSE)</f>
        <v>4395785.8194000004</v>
      </c>
    </row>
    <row r="830" spans="1:7" x14ac:dyDescent="0.2">
      <c r="A830">
        <v>2017</v>
      </c>
      <c r="B830" s="3" t="s">
        <v>526</v>
      </c>
      <c r="C830" s="3" t="s">
        <v>833</v>
      </c>
      <c r="D830" s="3" t="s">
        <v>833</v>
      </c>
      <c r="E830" s="8">
        <v>3895502</v>
      </c>
      <c r="F830" s="2">
        <v>3.4900000000000001E-5</v>
      </c>
      <c r="G830" s="17">
        <f>F830 * VLOOKUP('GASB Data'!A830,Check!$A$2:$F$11,6,FALSE)</f>
        <v>50297.670600000005</v>
      </c>
    </row>
    <row r="831" spans="1:7" x14ac:dyDescent="0.2">
      <c r="A831">
        <v>2017</v>
      </c>
      <c r="B831" s="3" t="s">
        <v>527</v>
      </c>
      <c r="C831" s="3" t="s">
        <v>834</v>
      </c>
      <c r="D831" s="3" t="s">
        <v>834</v>
      </c>
      <c r="E831" s="8">
        <v>25080178</v>
      </c>
      <c r="F831" s="2">
        <v>2.2479999999999999E-4</v>
      </c>
      <c r="G831" s="17">
        <f>F831 * VLOOKUP('GASB Data'!A831,Check!$A$2:$F$11,6,FALSE)</f>
        <v>323980.41119999997</v>
      </c>
    </row>
    <row r="832" spans="1:7" x14ac:dyDescent="0.2">
      <c r="A832">
        <v>2017</v>
      </c>
      <c r="B832" s="3" t="s">
        <v>528</v>
      </c>
      <c r="C832" s="3" t="s">
        <v>835</v>
      </c>
      <c r="D832" s="3" t="s">
        <v>835</v>
      </c>
      <c r="E832" s="8">
        <v>93915966</v>
      </c>
      <c r="F832" s="2">
        <v>8.4170000000000002E-4</v>
      </c>
      <c r="G832" s="17">
        <f>F832 * VLOOKUP('GASB Data'!A832,Check!$A$2:$F$11,6,FALSE)</f>
        <v>1213052.9898000001</v>
      </c>
    </row>
    <row r="833" spans="1:7" x14ac:dyDescent="0.2">
      <c r="A833">
        <v>2017</v>
      </c>
      <c r="B833" s="3" t="s">
        <v>529</v>
      </c>
      <c r="C833" s="3" t="s">
        <v>836</v>
      </c>
      <c r="D833" s="3" t="s">
        <v>836</v>
      </c>
      <c r="E833" s="8">
        <v>66265136</v>
      </c>
      <c r="F833" s="2">
        <v>5.9389999999999996E-4</v>
      </c>
      <c r="G833" s="17">
        <f>F833 * VLOOKUP('GASB Data'!A833,Check!$A$2:$F$11,6,FALSE)</f>
        <v>855925.11659999995</v>
      </c>
    </row>
    <row r="834" spans="1:7" x14ac:dyDescent="0.2">
      <c r="A834">
        <v>2017</v>
      </c>
      <c r="B834" s="3" t="s">
        <v>530</v>
      </c>
      <c r="C834" s="3" t="s">
        <v>837</v>
      </c>
      <c r="D834" s="3" t="s">
        <v>837</v>
      </c>
      <c r="E834" s="8">
        <v>55365942</v>
      </c>
      <c r="F834" s="2">
        <v>4.9620000000000003E-4</v>
      </c>
      <c r="G834" s="17">
        <f>F834 * VLOOKUP('GASB Data'!A834,Check!$A$2:$F$11,6,FALSE)</f>
        <v>715120.4628000001</v>
      </c>
    </row>
    <row r="835" spans="1:7" x14ac:dyDescent="0.2">
      <c r="A835">
        <v>2017</v>
      </c>
      <c r="B835" s="3" t="s">
        <v>531</v>
      </c>
      <c r="C835" s="3" t="s">
        <v>838</v>
      </c>
      <c r="D835" s="3" t="s">
        <v>838</v>
      </c>
      <c r="E835" s="8">
        <v>101390078</v>
      </c>
      <c r="F835" s="2">
        <v>9.0870000000000002E-4</v>
      </c>
      <c r="G835" s="17">
        <f>F835 * VLOOKUP('GASB Data'!A835,Check!$A$2:$F$11,6,FALSE)</f>
        <v>1309612.9878</v>
      </c>
    </row>
    <row r="836" spans="1:7" x14ac:dyDescent="0.2">
      <c r="A836">
        <v>2017</v>
      </c>
      <c r="B836" s="3" t="s">
        <v>532</v>
      </c>
      <c r="C836" s="3" t="s">
        <v>914</v>
      </c>
      <c r="D836" s="3" t="s">
        <v>914</v>
      </c>
      <c r="E836" s="8">
        <v>5823545</v>
      </c>
      <c r="F836" s="2">
        <v>5.2200000000000002E-5</v>
      </c>
      <c r="G836" s="17">
        <f>F836 * VLOOKUP('GASB Data'!A836,Check!$A$2:$F$11,6,FALSE)</f>
        <v>75230.326799999995</v>
      </c>
    </row>
    <row r="837" spans="1:7" x14ac:dyDescent="0.2">
      <c r="A837">
        <v>2017</v>
      </c>
      <c r="B837" s="3" t="s">
        <v>533</v>
      </c>
      <c r="C837" s="3" t="s">
        <v>840</v>
      </c>
      <c r="D837" s="3" t="s">
        <v>840</v>
      </c>
      <c r="E837" s="8">
        <v>171805284</v>
      </c>
      <c r="F837" s="2">
        <v>1.5397E-3</v>
      </c>
      <c r="G837" s="17">
        <f>F837 * VLOOKUP('GASB Data'!A837,Check!$A$2:$F$11,6,FALSE)</f>
        <v>2219006.4018000001</v>
      </c>
    </row>
    <row r="838" spans="1:7" x14ac:dyDescent="0.2">
      <c r="A838">
        <v>2017</v>
      </c>
      <c r="B838" s="3" t="s">
        <v>534</v>
      </c>
      <c r="C838" s="3" t="s">
        <v>841</v>
      </c>
      <c r="D838" s="3" t="s">
        <v>841</v>
      </c>
      <c r="E838" s="8">
        <v>14068295</v>
      </c>
      <c r="F838" s="2">
        <v>1.261E-4</v>
      </c>
      <c r="G838" s="17">
        <f>F838 * VLOOKUP('GASB Data'!A838,Check!$A$2:$F$11,6,FALSE)</f>
        <v>181734.56340000001</v>
      </c>
    </row>
    <row r="839" spans="1:7" x14ac:dyDescent="0.2">
      <c r="A839">
        <v>2017</v>
      </c>
      <c r="B839" s="3" t="s">
        <v>535</v>
      </c>
      <c r="C839" s="3" t="s">
        <v>842</v>
      </c>
      <c r="D839" s="3" t="s">
        <v>842</v>
      </c>
      <c r="E839" s="8">
        <v>37607345</v>
      </c>
      <c r="F839" s="2">
        <v>3.3700000000000001E-4</v>
      </c>
      <c r="G839" s="17">
        <f>F839 * VLOOKUP('GASB Data'!A839,Check!$A$2:$F$11,6,FALSE)</f>
        <v>485682.37800000003</v>
      </c>
    </row>
    <row r="840" spans="1:7" x14ac:dyDescent="0.2">
      <c r="A840">
        <v>2017</v>
      </c>
      <c r="B840" s="3" t="s">
        <v>536</v>
      </c>
      <c r="C840" s="3" t="s">
        <v>843</v>
      </c>
      <c r="D840" s="3" t="s">
        <v>843</v>
      </c>
      <c r="E840" s="8">
        <v>1780858105</v>
      </c>
      <c r="F840" s="2">
        <v>1.5960100000000001E-2</v>
      </c>
      <c r="G840" s="17">
        <f>F840 * VLOOKUP('GASB Data'!A840,Check!$A$2:$F$11,6,FALSE)</f>
        <v>23001600.3594</v>
      </c>
    </row>
    <row r="841" spans="1:7" x14ac:dyDescent="0.2">
      <c r="A841">
        <v>2017</v>
      </c>
      <c r="B841" s="3" t="s">
        <v>537</v>
      </c>
      <c r="C841" s="3" t="s">
        <v>844</v>
      </c>
      <c r="D841" s="3" t="s">
        <v>844</v>
      </c>
      <c r="E841" s="8">
        <v>262064743</v>
      </c>
      <c r="F841" s="2">
        <v>2.3486000000000002E-3</v>
      </c>
      <c r="G841" s="17">
        <f>F841 * VLOOKUP('GASB Data'!A841,Check!$A$2:$F$11,6,FALSE)</f>
        <v>3384788.2284000004</v>
      </c>
    </row>
    <row r="842" spans="1:7" x14ac:dyDescent="0.2">
      <c r="A842">
        <v>2017</v>
      </c>
      <c r="B842" s="3" t="s">
        <v>538</v>
      </c>
      <c r="C842" s="3" t="s">
        <v>845</v>
      </c>
      <c r="D842" s="3" t="s">
        <v>845</v>
      </c>
      <c r="E842" s="8">
        <v>21851133</v>
      </c>
      <c r="F842" s="2">
        <v>1.9579999999999999E-4</v>
      </c>
      <c r="G842" s="17">
        <f>F842 * VLOOKUP('GASB Data'!A842,Check!$A$2:$F$11,6,FALSE)</f>
        <v>282185.78519999998</v>
      </c>
    </row>
    <row r="843" spans="1:7" x14ac:dyDescent="0.2">
      <c r="A843">
        <v>2017</v>
      </c>
      <c r="B843" s="3" t="s">
        <v>539</v>
      </c>
      <c r="C843" s="3" t="s">
        <v>846</v>
      </c>
      <c r="D843" s="3" t="s">
        <v>846</v>
      </c>
      <c r="E843" s="8">
        <v>108255672</v>
      </c>
      <c r="F843" s="2">
        <v>9.7019999999999995E-4</v>
      </c>
      <c r="G843" s="17">
        <f>F843 * VLOOKUP('GASB Data'!A843,Check!$A$2:$F$11,6,FALSE)</f>
        <v>1398246.4187999999</v>
      </c>
    </row>
    <row r="844" spans="1:7" x14ac:dyDescent="0.2">
      <c r="A844">
        <v>2017</v>
      </c>
      <c r="B844" s="3" t="s">
        <v>540</v>
      </c>
      <c r="C844" s="3" t="s">
        <v>915</v>
      </c>
      <c r="D844" s="3" t="s">
        <v>915</v>
      </c>
      <c r="E844" s="8">
        <v>7325370371</v>
      </c>
      <c r="F844" s="2">
        <v>6.5650399999999998E-2</v>
      </c>
      <c r="G844" s="17">
        <f>F844 * VLOOKUP('GASB Data'!A844,Check!$A$2:$F$11,6,FALSE)</f>
        <v>94614962.577600002</v>
      </c>
    </row>
    <row r="845" spans="1:7" x14ac:dyDescent="0.2">
      <c r="A845">
        <v>2017</v>
      </c>
      <c r="B845" s="3" t="s">
        <v>541</v>
      </c>
      <c r="C845" s="3" t="s">
        <v>848</v>
      </c>
      <c r="D845" s="3" t="s">
        <v>848</v>
      </c>
      <c r="E845" s="8">
        <v>21651915</v>
      </c>
      <c r="F845" s="2">
        <v>1.94E-4</v>
      </c>
      <c r="G845" s="17">
        <f>F845 * VLOOKUP('GASB Data'!A845,Check!$A$2:$F$11,6,FALSE)</f>
        <v>279591.636</v>
      </c>
    </row>
    <row r="846" spans="1:7" x14ac:dyDescent="0.2">
      <c r="A846">
        <v>2017</v>
      </c>
      <c r="B846" s="3" t="s">
        <v>542</v>
      </c>
      <c r="C846" s="3" t="s">
        <v>849</v>
      </c>
      <c r="D846" s="3" t="s">
        <v>849</v>
      </c>
      <c r="E846" s="8">
        <v>20086123</v>
      </c>
      <c r="F846" s="2">
        <v>1.8000000000000001E-4</v>
      </c>
      <c r="G846" s="17">
        <f>F846 * VLOOKUP('GASB Data'!A846,Check!$A$2:$F$11,6,FALSE)</f>
        <v>259414.92</v>
      </c>
    </row>
    <row r="847" spans="1:7" x14ac:dyDescent="0.2">
      <c r="A847">
        <v>2017</v>
      </c>
      <c r="B847" s="3" t="s">
        <v>543</v>
      </c>
      <c r="C847" s="3" t="s">
        <v>851</v>
      </c>
      <c r="D847" s="3" t="s">
        <v>851</v>
      </c>
      <c r="E847" s="8">
        <v>604103593</v>
      </c>
      <c r="F847" s="2">
        <v>5.4140000000000004E-3</v>
      </c>
      <c r="G847" s="17">
        <f>F847 * VLOOKUP('GASB Data'!A847,Check!$A$2:$F$11,6,FALSE)</f>
        <v>7802624.3160000006</v>
      </c>
    </row>
    <row r="848" spans="1:7" x14ac:dyDescent="0.2">
      <c r="A848">
        <v>2017</v>
      </c>
      <c r="B848" s="3" t="s">
        <v>561</v>
      </c>
      <c r="C848" s="3" t="s">
        <v>916</v>
      </c>
      <c r="D848" s="3" t="s">
        <v>916</v>
      </c>
      <c r="E848" s="8">
        <v>42789747</v>
      </c>
      <c r="F848" s="2">
        <v>3.835E-4</v>
      </c>
      <c r="G848" s="17">
        <f>F848 * VLOOKUP('GASB Data'!A848,Check!$A$2:$F$11,6,FALSE)</f>
        <v>552697.89899999998</v>
      </c>
    </row>
    <row r="849" spans="1:7" x14ac:dyDescent="0.2">
      <c r="A849">
        <v>2017</v>
      </c>
      <c r="B849" s="3" t="s">
        <v>562</v>
      </c>
      <c r="C849" s="3" t="s">
        <v>853</v>
      </c>
      <c r="D849" s="3" t="s">
        <v>853</v>
      </c>
      <c r="E849" s="8">
        <v>23852049</v>
      </c>
      <c r="F849" s="2">
        <v>2.1379999999999999E-4</v>
      </c>
      <c r="G849" s="17">
        <f>F849 * VLOOKUP('GASB Data'!A849,Check!$A$2:$F$11,6,FALSE)</f>
        <v>308127.27720000001</v>
      </c>
    </row>
    <row r="850" spans="1:7" x14ac:dyDescent="0.2">
      <c r="A850">
        <v>2017</v>
      </c>
      <c r="B850" s="3" t="s">
        <v>563</v>
      </c>
      <c r="C850" s="3" t="s">
        <v>854</v>
      </c>
      <c r="D850" s="3" t="s">
        <v>854</v>
      </c>
      <c r="E850" s="8">
        <v>96315767</v>
      </c>
      <c r="F850" s="2">
        <v>8.6319999999999995E-4</v>
      </c>
      <c r="G850" s="17">
        <f>F850 * VLOOKUP('GASB Data'!A850,Check!$A$2:$F$11,6,FALSE)</f>
        <v>1244038.6608</v>
      </c>
    </row>
    <row r="851" spans="1:7" x14ac:dyDescent="0.2">
      <c r="A851">
        <v>2017</v>
      </c>
      <c r="B851" s="3" t="s">
        <v>564</v>
      </c>
      <c r="C851" s="3" t="s">
        <v>855</v>
      </c>
      <c r="D851" s="3" t="s">
        <v>855</v>
      </c>
      <c r="E851" s="8">
        <v>6702694</v>
      </c>
      <c r="F851" s="2">
        <v>6.0099999999999997E-5</v>
      </c>
      <c r="G851" s="17">
        <f>F851 * VLOOKUP('GASB Data'!A851,Check!$A$2:$F$11,6,FALSE)</f>
        <v>86615.759399999995</v>
      </c>
    </row>
    <row r="852" spans="1:7" x14ac:dyDescent="0.2">
      <c r="A852">
        <v>2017</v>
      </c>
      <c r="B852" s="3" t="s">
        <v>565</v>
      </c>
      <c r="C852" s="3" t="s">
        <v>856</v>
      </c>
      <c r="D852" s="3" t="s">
        <v>856</v>
      </c>
      <c r="E852" s="8">
        <v>69028583</v>
      </c>
      <c r="F852" s="2">
        <v>6.1859999999999997E-4</v>
      </c>
      <c r="G852" s="17">
        <f>F852 * VLOOKUP('GASB Data'!A852,Check!$A$2:$F$11,6,FALSE)</f>
        <v>891522.60839999991</v>
      </c>
    </row>
    <row r="853" spans="1:7" x14ac:dyDescent="0.2">
      <c r="A853">
        <v>2017</v>
      </c>
      <c r="B853" s="3" t="s">
        <v>566</v>
      </c>
      <c r="C853" s="3" t="s">
        <v>857</v>
      </c>
      <c r="D853" s="3" t="s">
        <v>857</v>
      </c>
      <c r="E853" s="8">
        <v>35854146</v>
      </c>
      <c r="F853" s="2">
        <v>3.213E-4</v>
      </c>
      <c r="G853" s="17">
        <f>F853 * VLOOKUP('GASB Data'!A853,Check!$A$2:$F$11,6,FALSE)</f>
        <v>463055.63219999999</v>
      </c>
    </row>
    <row r="854" spans="1:7" x14ac:dyDescent="0.2">
      <c r="A854">
        <v>2017</v>
      </c>
      <c r="B854" s="3" t="s">
        <v>567</v>
      </c>
      <c r="C854" s="3" t="s">
        <v>858</v>
      </c>
      <c r="D854" s="3" t="s">
        <v>858</v>
      </c>
      <c r="E854" s="8">
        <v>220229617</v>
      </c>
      <c r="F854" s="2">
        <v>1.9737000000000001E-3</v>
      </c>
      <c r="G854" s="17">
        <f>F854 * VLOOKUP('GASB Data'!A854,Check!$A$2:$F$11,6,FALSE)</f>
        <v>2844484.5978000001</v>
      </c>
    </row>
    <row r="855" spans="1:7" x14ac:dyDescent="0.2">
      <c r="A855">
        <v>2017</v>
      </c>
      <c r="B855" s="3" t="s">
        <v>568</v>
      </c>
      <c r="C855" s="3" t="s">
        <v>917</v>
      </c>
      <c r="D855" s="3" t="s">
        <v>917</v>
      </c>
      <c r="E855" s="8">
        <v>7537769</v>
      </c>
      <c r="F855" s="2">
        <v>6.7600000000000003E-5</v>
      </c>
      <c r="G855" s="17">
        <f>F855 * VLOOKUP('GASB Data'!A855,Check!$A$2:$F$11,6,FALSE)</f>
        <v>97424.714400000012</v>
      </c>
    </row>
    <row r="856" spans="1:7" x14ac:dyDescent="0.2">
      <c r="A856">
        <v>2017</v>
      </c>
      <c r="B856" s="3" t="s">
        <v>569</v>
      </c>
      <c r="C856" s="3" t="s">
        <v>860</v>
      </c>
      <c r="D856" s="3" t="s">
        <v>860</v>
      </c>
      <c r="E856" s="8">
        <v>726545459</v>
      </c>
      <c r="F856" s="2">
        <v>6.5113000000000002E-3</v>
      </c>
      <c r="G856" s="17">
        <f>F856 * VLOOKUP('GASB Data'!A856,Check!$A$2:$F$11,6,FALSE)</f>
        <v>9384046.4922000002</v>
      </c>
    </row>
    <row r="857" spans="1:7" x14ac:dyDescent="0.2">
      <c r="A857">
        <v>2017</v>
      </c>
      <c r="B857" s="3" t="s">
        <v>570</v>
      </c>
      <c r="C857" s="3" t="s">
        <v>861</v>
      </c>
      <c r="D857" s="3" t="s">
        <v>861</v>
      </c>
      <c r="E857" s="8">
        <v>107136679</v>
      </c>
      <c r="F857" s="2">
        <v>9.6020000000000003E-4</v>
      </c>
      <c r="G857" s="17">
        <f>F857 * VLOOKUP('GASB Data'!A857,Check!$A$2:$F$11,6,FALSE)</f>
        <v>1383834.4788000002</v>
      </c>
    </row>
    <row r="858" spans="1:7" x14ac:dyDescent="0.2">
      <c r="A858">
        <v>2017</v>
      </c>
      <c r="B858" s="3" t="s">
        <v>571</v>
      </c>
      <c r="C858" s="3" t="s">
        <v>862</v>
      </c>
      <c r="D858" s="3" t="s">
        <v>862</v>
      </c>
      <c r="E858" s="8">
        <v>419629405</v>
      </c>
      <c r="F858" s="2">
        <v>3.7607000000000001E-3</v>
      </c>
      <c r="G858" s="17">
        <f>F858 * VLOOKUP('GASB Data'!A858,Check!$A$2:$F$11,6,FALSE)</f>
        <v>5419898.2757999999</v>
      </c>
    </row>
    <row r="859" spans="1:7" x14ac:dyDescent="0.2">
      <c r="A859">
        <v>2017</v>
      </c>
      <c r="B859" s="3" t="s">
        <v>572</v>
      </c>
      <c r="C859" s="3" t="s">
        <v>863</v>
      </c>
      <c r="D859" s="3" t="s">
        <v>863</v>
      </c>
      <c r="E859" s="8">
        <v>17363539</v>
      </c>
      <c r="F859" s="2">
        <v>1.5559999999999999E-4</v>
      </c>
      <c r="G859" s="17">
        <f>F859 * VLOOKUP('GASB Data'!A859,Check!$A$2:$F$11,6,FALSE)</f>
        <v>224249.78639999998</v>
      </c>
    </row>
    <row r="860" spans="1:7" x14ac:dyDescent="0.2">
      <c r="A860">
        <v>2017</v>
      </c>
      <c r="B860" s="3" t="s">
        <v>573</v>
      </c>
      <c r="C860" s="3" t="s">
        <v>864</v>
      </c>
      <c r="D860" s="3" t="s">
        <v>864</v>
      </c>
      <c r="E860" s="8">
        <v>100820123</v>
      </c>
      <c r="F860" s="2">
        <v>9.0359999999999995E-4</v>
      </c>
      <c r="G860" s="17">
        <f>F860 * VLOOKUP('GASB Data'!A860,Check!$A$2:$F$11,6,FALSE)</f>
        <v>1302262.8983999998</v>
      </c>
    </row>
    <row r="861" spans="1:7" x14ac:dyDescent="0.2">
      <c r="A861">
        <v>2017</v>
      </c>
      <c r="B861" s="3" t="s">
        <v>574</v>
      </c>
      <c r="C861" s="3" t="s">
        <v>865</v>
      </c>
      <c r="D861" s="3" t="s">
        <v>865</v>
      </c>
      <c r="E861" s="8">
        <v>473185542</v>
      </c>
      <c r="F861" s="2">
        <v>4.2407E-3</v>
      </c>
      <c r="G861" s="17">
        <f>F861 * VLOOKUP('GASB Data'!A861,Check!$A$2:$F$11,6,FALSE)</f>
        <v>6111671.3958000001</v>
      </c>
    </row>
    <row r="862" spans="1:7" x14ac:dyDescent="0.2">
      <c r="A862">
        <v>2017</v>
      </c>
      <c r="B862" s="3" t="s">
        <v>575</v>
      </c>
      <c r="C862" s="3" t="s">
        <v>866</v>
      </c>
      <c r="D862" s="3" t="s">
        <v>866</v>
      </c>
      <c r="E862" s="8">
        <v>56445641</v>
      </c>
      <c r="F862" s="2">
        <v>5.0589999999999999E-4</v>
      </c>
      <c r="G862" s="17">
        <f>F862 * VLOOKUP('GASB Data'!A862,Check!$A$2:$F$11,6,FALSE)</f>
        <v>729100.04460000002</v>
      </c>
    </row>
    <row r="863" spans="1:7" x14ac:dyDescent="0.2">
      <c r="A863">
        <v>2017</v>
      </c>
      <c r="B863" s="3" t="s">
        <v>576</v>
      </c>
      <c r="C863" s="3" t="s">
        <v>867</v>
      </c>
      <c r="D863" s="3" t="s">
        <v>867</v>
      </c>
      <c r="E863" s="8">
        <v>238568407</v>
      </c>
      <c r="F863" s="2">
        <v>2.1381E-3</v>
      </c>
      <c r="G863" s="17">
        <f>F863 * VLOOKUP('GASB Data'!A863,Check!$A$2:$F$11,6,FALSE)</f>
        <v>3081416.8914000001</v>
      </c>
    </row>
    <row r="864" spans="1:7" x14ac:dyDescent="0.2">
      <c r="A864">
        <v>2017</v>
      </c>
      <c r="B864" s="3" t="s">
        <v>577</v>
      </c>
      <c r="C864" s="3" t="s">
        <v>918</v>
      </c>
      <c r="D864" s="3" t="s">
        <v>918</v>
      </c>
      <c r="E864" s="8">
        <v>3396919503</v>
      </c>
      <c r="F864" s="2">
        <v>3.04433E-2</v>
      </c>
      <c r="G864" s="17">
        <f>F864 * VLOOKUP('GASB Data'!A864,Check!$A$2:$F$11,6,FALSE)</f>
        <v>43874701.3002</v>
      </c>
    </row>
    <row r="865" spans="1:7" x14ac:dyDescent="0.2">
      <c r="A865">
        <v>2017</v>
      </c>
      <c r="B865" s="3" t="s">
        <v>871</v>
      </c>
      <c r="C865" s="3" t="s">
        <v>919</v>
      </c>
      <c r="D865" s="3" t="s">
        <v>919</v>
      </c>
      <c r="E865" s="8">
        <v>2180645</v>
      </c>
      <c r="F865" s="2">
        <v>1.95E-5</v>
      </c>
      <c r="G865" s="17">
        <f>F865 * VLOOKUP('GASB Data'!A865,Check!$A$2:$F$11,6,FALSE)</f>
        <v>28103.282999999999</v>
      </c>
    </row>
    <row r="866" spans="1:7" x14ac:dyDescent="0.2">
      <c r="A866">
        <v>2017</v>
      </c>
      <c r="B866" s="3" t="s">
        <v>872</v>
      </c>
      <c r="C866" s="3" t="s">
        <v>920</v>
      </c>
      <c r="D866" s="3" t="s">
        <v>920</v>
      </c>
      <c r="E866" s="8">
        <v>82022485</v>
      </c>
      <c r="F866" s="2">
        <v>7.3510000000000003E-4</v>
      </c>
      <c r="G866" s="17">
        <f>F866 * VLOOKUP('GASB Data'!A866,Check!$A$2:$F$11,6,FALSE)</f>
        <v>1059421.7094000001</v>
      </c>
    </row>
    <row r="867" spans="1:7" x14ac:dyDescent="0.2">
      <c r="A867">
        <v>2018</v>
      </c>
      <c r="B867" s="3" t="s">
        <v>58</v>
      </c>
      <c r="C867" s="3" t="s">
        <v>578</v>
      </c>
      <c r="D867" s="3" t="s">
        <v>578</v>
      </c>
      <c r="E867" s="8">
        <v>125491609</v>
      </c>
      <c r="F867" s="2">
        <v>1.0799E-3</v>
      </c>
      <c r="G867" s="17">
        <f>F867 * VLOOKUP('GASB Data'!A867,Check!$A$2:$F$11,6,FALSE)</f>
        <v>1730972.7899</v>
      </c>
    </row>
    <row r="868" spans="1:7" x14ac:dyDescent="0.2">
      <c r="A868">
        <v>2018</v>
      </c>
      <c r="B868" s="3" t="s">
        <v>59</v>
      </c>
      <c r="C868" s="3" t="s">
        <v>579</v>
      </c>
      <c r="D868" s="3" t="s">
        <v>579</v>
      </c>
      <c r="E868" s="8">
        <v>357392519</v>
      </c>
      <c r="F868" s="2">
        <v>3.0755000000000001E-3</v>
      </c>
      <c r="G868" s="17">
        <f>F868 * VLOOKUP('GASB Data'!A868,Check!$A$2:$F$11,6,FALSE)</f>
        <v>4929722.0255000005</v>
      </c>
    </row>
    <row r="869" spans="1:7" x14ac:dyDescent="0.2">
      <c r="A869">
        <v>2018</v>
      </c>
      <c r="B869" s="3" t="s">
        <v>60</v>
      </c>
      <c r="C869" s="3" t="s">
        <v>874</v>
      </c>
      <c r="D869" s="3" t="s">
        <v>874</v>
      </c>
      <c r="E869" s="8">
        <v>90769866</v>
      </c>
      <c r="F869" s="2">
        <v>7.8109999999999996E-4</v>
      </c>
      <c r="G869" s="17">
        <f>F869 * VLOOKUP('GASB Data'!A869,Check!$A$2:$F$11,6,FALSE)</f>
        <v>1252025.9711</v>
      </c>
    </row>
    <row r="870" spans="1:7" x14ac:dyDescent="0.2">
      <c r="A870">
        <v>2018</v>
      </c>
      <c r="B870" s="3" t="s">
        <v>61</v>
      </c>
      <c r="C870" s="3" t="s">
        <v>581</v>
      </c>
      <c r="D870" s="3" t="s">
        <v>581</v>
      </c>
      <c r="E870" s="8">
        <v>557282887</v>
      </c>
      <c r="F870" s="2">
        <v>4.7955999999999997E-3</v>
      </c>
      <c r="G870" s="17">
        <f>F870 * VLOOKUP('GASB Data'!A870,Check!$A$2:$F$11,6,FALSE)</f>
        <v>7686872.0355999991</v>
      </c>
    </row>
    <row r="871" spans="1:7" x14ac:dyDescent="0.2">
      <c r="A871">
        <v>2018</v>
      </c>
      <c r="B871" s="3" t="s">
        <v>62</v>
      </c>
      <c r="C871" s="3" t="s">
        <v>582</v>
      </c>
      <c r="D871" s="3" t="s">
        <v>582</v>
      </c>
      <c r="E871" s="8">
        <v>2372855741</v>
      </c>
      <c r="F871" s="2">
        <v>2.0419099999999999E-2</v>
      </c>
      <c r="G871" s="17">
        <f>F871 * VLOOKUP('GASB Data'!A871,Check!$A$2:$F$11,6,FALSE)</f>
        <v>32729795.809099998</v>
      </c>
    </row>
    <row r="872" spans="1:7" x14ac:dyDescent="0.2">
      <c r="A872">
        <v>2018</v>
      </c>
      <c r="B872" s="3" t="s">
        <v>63</v>
      </c>
      <c r="C872" s="3" t="s">
        <v>875</v>
      </c>
      <c r="D872" s="3" t="s">
        <v>875</v>
      </c>
      <c r="E872" s="8">
        <v>19321348</v>
      </c>
      <c r="F872" s="2">
        <v>1.663E-4</v>
      </c>
      <c r="G872" s="17">
        <f>F872 * VLOOKUP('GASB Data'!A872,Check!$A$2:$F$11,6,FALSE)</f>
        <v>266562.4363</v>
      </c>
    </row>
    <row r="873" spans="1:7" x14ac:dyDescent="0.2">
      <c r="A873">
        <v>2018</v>
      </c>
      <c r="B873" s="3" t="s">
        <v>64</v>
      </c>
      <c r="C873" s="3" t="s">
        <v>584</v>
      </c>
      <c r="D873" s="3" t="s">
        <v>584</v>
      </c>
      <c r="E873" s="8">
        <v>178502714</v>
      </c>
      <c r="F873" s="2">
        <v>1.5361000000000001E-3</v>
      </c>
      <c r="G873" s="17">
        <f>F873 * VLOOKUP('GASB Data'!A873,Check!$A$2:$F$11,6,FALSE)</f>
        <v>2462216.2261000001</v>
      </c>
    </row>
    <row r="874" spans="1:7" x14ac:dyDescent="0.2">
      <c r="A874">
        <v>2018</v>
      </c>
      <c r="B874" s="3" t="s">
        <v>65</v>
      </c>
      <c r="C874" s="3" t="s">
        <v>876</v>
      </c>
      <c r="D874" s="3" t="s">
        <v>876</v>
      </c>
      <c r="E874" s="8">
        <v>35336367</v>
      </c>
      <c r="F874" s="2">
        <v>3.0410000000000002E-4</v>
      </c>
      <c r="G874" s="17">
        <f>F874 * VLOOKUP('GASB Data'!A874,Check!$A$2:$F$11,6,FALSE)</f>
        <v>487442.19410000002</v>
      </c>
    </row>
    <row r="875" spans="1:7" x14ac:dyDescent="0.2">
      <c r="A875">
        <v>2018</v>
      </c>
      <c r="B875" s="3" t="s">
        <v>66</v>
      </c>
      <c r="C875" s="3" t="s">
        <v>586</v>
      </c>
      <c r="D875" s="3" t="s">
        <v>586</v>
      </c>
      <c r="E875" s="8">
        <v>313048534</v>
      </c>
      <c r="F875" s="2">
        <v>2.6938999999999999E-3</v>
      </c>
      <c r="G875" s="17">
        <f>F875 * VLOOKUP('GASB Data'!A875,Check!$A$2:$F$11,6,FALSE)</f>
        <v>4318055.0038999999</v>
      </c>
    </row>
    <row r="876" spans="1:7" x14ac:dyDescent="0.2">
      <c r="A876">
        <v>2018</v>
      </c>
      <c r="B876" s="3" t="s">
        <v>67</v>
      </c>
      <c r="C876" s="3" t="s">
        <v>877</v>
      </c>
      <c r="D876" s="3" t="s">
        <v>877</v>
      </c>
      <c r="E876" s="8">
        <v>81168298</v>
      </c>
      <c r="F876" s="2">
        <v>6.9850000000000001E-4</v>
      </c>
      <c r="G876" s="17">
        <f>F876 * VLOOKUP('GASB Data'!A876,Check!$A$2:$F$11,6,FALSE)</f>
        <v>1119626.3485000001</v>
      </c>
    </row>
    <row r="877" spans="1:7" x14ac:dyDescent="0.2">
      <c r="A877">
        <v>2018</v>
      </c>
      <c r="B877" s="3" t="s">
        <v>68</v>
      </c>
      <c r="C877" s="3" t="s">
        <v>878</v>
      </c>
      <c r="D877" s="3" t="s">
        <v>878</v>
      </c>
      <c r="E877" s="8">
        <v>78022310</v>
      </c>
      <c r="F877" s="2">
        <v>6.7139999999999995E-4</v>
      </c>
      <c r="G877" s="17">
        <f>F877 * VLOOKUP('GASB Data'!A877,Check!$A$2:$F$11,6,FALSE)</f>
        <v>1076187.7313999999</v>
      </c>
    </row>
    <row r="878" spans="1:7" x14ac:dyDescent="0.2">
      <c r="A878">
        <v>2018</v>
      </c>
      <c r="B878" s="3" t="s">
        <v>924</v>
      </c>
      <c r="C878" s="3" t="s">
        <v>921</v>
      </c>
      <c r="D878" s="3" t="s">
        <v>921</v>
      </c>
      <c r="E878" s="8">
        <v>26547587</v>
      </c>
      <c r="F878" s="2">
        <v>2.284E-4</v>
      </c>
      <c r="G878" s="17">
        <f>F878 * VLOOKUP('GASB Data'!A878,Check!$A$2:$F$11,6,FALSE)</f>
        <v>366102.58840000001</v>
      </c>
    </row>
    <row r="879" spans="1:7" x14ac:dyDescent="0.2">
      <c r="A879">
        <v>2018</v>
      </c>
      <c r="B879" s="3" t="s">
        <v>69</v>
      </c>
      <c r="C879" s="3" t="s">
        <v>879</v>
      </c>
      <c r="D879" s="3" t="s">
        <v>879</v>
      </c>
      <c r="E879" s="8">
        <v>550610909</v>
      </c>
      <c r="F879" s="2">
        <v>4.7381999999999997E-3</v>
      </c>
      <c r="G879" s="17">
        <f>F879 * VLOOKUP('GASB Data'!A879,Check!$A$2:$F$11,6,FALSE)</f>
        <v>7594865.5181999998</v>
      </c>
    </row>
    <row r="880" spans="1:7" x14ac:dyDescent="0.2">
      <c r="A880">
        <v>2018</v>
      </c>
      <c r="B880" s="3" t="s">
        <v>70</v>
      </c>
      <c r="C880" s="3" t="s">
        <v>880</v>
      </c>
      <c r="D880" s="3" t="s">
        <v>880</v>
      </c>
      <c r="E880" s="8">
        <v>64813801</v>
      </c>
      <c r="F880" s="2">
        <v>5.5769999999999995E-4</v>
      </c>
      <c r="G880" s="17">
        <f>F880 * VLOOKUP('GASB Data'!A880,Check!$A$2:$F$11,6,FALSE)</f>
        <v>893937.88769999996</v>
      </c>
    </row>
    <row r="881" spans="1:7" x14ac:dyDescent="0.2">
      <c r="A881">
        <v>2018</v>
      </c>
      <c r="B881" s="3" t="s">
        <v>71</v>
      </c>
      <c r="C881" s="3" t="s">
        <v>591</v>
      </c>
      <c r="D881" s="3" t="s">
        <v>591</v>
      </c>
      <c r="E881" s="8">
        <v>249991249</v>
      </c>
      <c r="F881" s="2">
        <v>2.1511999999999998E-3</v>
      </c>
      <c r="G881" s="17">
        <f>F881 * VLOOKUP('GASB Data'!A881,Check!$A$2:$F$11,6,FALSE)</f>
        <v>3448160.6311999997</v>
      </c>
    </row>
    <row r="882" spans="1:7" x14ac:dyDescent="0.2">
      <c r="A882">
        <v>2018</v>
      </c>
      <c r="B882" s="3" t="s">
        <v>72</v>
      </c>
      <c r="C882" s="3" t="s">
        <v>592</v>
      </c>
      <c r="D882" s="3" t="s">
        <v>592</v>
      </c>
      <c r="E882" s="8">
        <v>26023024</v>
      </c>
      <c r="F882" s="2">
        <v>2.2389999999999999E-4</v>
      </c>
      <c r="G882" s="17">
        <f>F882 * VLOOKUP('GASB Data'!A882,Check!$A$2:$F$11,6,FALSE)</f>
        <v>358889.53389999998</v>
      </c>
    </row>
    <row r="883" spans="1:7" x14ac:dyDescent="0.2">
      <c r="A883">
        <v>2018</v>
      </c>
      <c r="B883" s="3" t="s">
        <v>73</v>
      </c>
      <c r="C883" s="3" t="s">
        <v>881</v>
      </c>
      <c r="D883" s="3" t="s">
        <v>881</v>
      </c>
      <c r="E883" s="8">
        <v>28696174</v>
      </c>
      <c r="F883" s="2">
        <v>2.4689999999999998E-4</v>
      </c>
      <c r="G883" s="17">
        <f>F883 * VLOOKUP('GASB Data'!A883,Check!$A$2:$F$11,6,FALSE)</f>
        <v>395756.25689999998</v>
      </c>
    </row>
    <row r="884" spans="1:7" x14ac:dyDescent="0.2">
      <c r="A884">
        <v>2018</v>
      </c>
      <c r="B884" s="3" t="s">
        <v>74</v>
      </c>
      <c r="C884" s="3" t="s">
        <v>882</v>
      </c>
      <c r="D884" s="3" t="s">
        <v>882</v>
      </c>
      <c r="E884" s="8">
        <v>5274932</v>
      </c>
      <c r="F884" s="2">
        <v>4.5399999999999999E-5</v>
      </c>
      <c r="G884" s="17">
        <f>F884 * VLOOKUP('GASB Data'!A884,Check!$A$2:$F$11,6,FALSE)</f>
        <v>72771.705399999992</v>
      </c>
    </row>
    <row r="885" spans="1:7" x14ac:dyDescent="0.2">
      <c r="A885">
        <v>2018</v>
      </c>
      <c r="B885" s="3" t="s">
        <v>75</v>
      </c>
      <c r="C885" s="3" t="s">
        <v>595</v>
      </c>
      <c r="D885" s="3" t="s">
        <v>595</v>
      </c>
      <c r="E885" s="8">
        <v>218287604</v>
      </c>
      <c r="F885" s="2">
        <v>1.8783999999999999E-3</v>
      </c>
      <c r="G885" s="17">
        <f>F885 * VLOOKUP('GASB Data'!A885,Check!$A$2:$F$11,6,FALSE)</f>
        <v>3010889.2383999997</v>
      </c>
    </row>
    <row r="886" spans="1:7" x14ac:dyDescent="0.2">
      <c r="A886">
        <v>2018</v>
      </c>
      <c r="B886" s="3" t="s">
        <v>76</v>
      </c>
      <c r="C886" s="3" t="s">
        <v>883</v>
      </c>
      <c r="D886" s="3" t="s">
        <v>883</v>
      </c>
      <c r="E886" s="8">
        <v>5643791229</v>
      </c>
      <c r="F886" s="2">
        <v>4.85663E-2</v>
      </c>
      <c r="G886" s="17">
        <f>F886 * VLOOKUP('GASB Data'!A886,Check!$A$2:$F$11,6,FALSE)</f>
        <v>77846970.836300001</v>
      </c>
    </row>
    <row r="887" spans="1:7" x14ac:dyDescent="0.2">
      <c r="A887">
        <v>2018</v>
      </c>
      <c r="B887" s="3" t="s">
        <v>77</v>
      </c>
      <c r="C887" s="3" t="s">
        <v>597</v>
      </c>
      <c r="D887" s="3" t="s">
        <v>597</v>
      </c>
      <c r="E887" s="8">
        <v>541411862</v>
      </c>
      <c r="F887" s="2">
        <v>4.6589999999999999E-3</v>
      </c>
      <c r="G887" s="17">
        <f>F887 * VLOOKUP('GASB Data'!A887,Check!$A$2:$F$11,6,FALSE)</f>
        <v>7467915.7589999996</v>
      </c>
    </row>
    <row r="888" spans="1:7" x14ac:dyDescent="0.2">
      <c r="A888">
        <v>2018</v>
      </c>
      <c r="B888" s="3" t="s">
        <v>78</v>
      </c>
      <c r="C888" s="3" t="s">
        <v>884</v>
      </c>
      <c r="D888" s="3" t="s">
        <v>884</v>
      </c>
      <c r="E888" s="8">
        <v>234607307</v>
      </c>
      <c r="F888" s="2">
        <v>2.0189000000000001E-3</v>
      </c>
      <c r="G888" s="17">
        <f>F888 * VLOOKUP('GASB Data'!A888,Check!$A$2:$F$11,6,FALSE)</f>
        <v>3236096.8289000001</v>
      </c>
    </row>
    <row r="889" spans="1:7" x14ac:dyDescent="0.2">
      <c r="A889">
        <v>2018</v>
      </c>
      <c r="B889" s="3" t="s">
        <v>79</v>
      </c>
      <c r="C889" s="3" t="s">
        <v>885</v>
      </c>
      <c r="D889" s="3" t="s">
        <v>885</v>
      </c>
      <c r="E889" s="8">
        <v>134322024</v>
      </c>
      <c r="F889" s="2">
        <v>1.1559000000000001E-3</v>
      </c>
      <c r="G889" s="17">
        <f>F889 * VLOOKUP('GASB Data'!A889,Check!$A$2:$F$11,6,FALSE)</f>
        <v>1852793.2659</v>
      </c>
    </row>
    <row r="890" spans="1:7" x14ac:dyDescent="0.2">
      <c r="A890">
        <v>2018</v>
      </c>
      <c r="B890" s="3" t="s">
        <v>80</v>
      </c>
      <c r="C890" s="3" t="s">
        <v>886</v>
      </c>
      <c r="D890" s="3" t="s">
        <v>886</v>
      </c>
      <c r="E890" s="8">
        <v>526699965</v>
      </c>
      <c r="F890" s="2">
        <v>4.5323999999999998E-3</v>
      </c>
      <c r="G890" s="17">
        <f>F890 * VLOOKUP('GASB Data'!A890,Check!$A$2:$F$11,6,FALSE)</f>
        <v>7264988.4923999999</v>
      </c>
    </row>
    <row r="891" spans="1:7" x14ac:dyDescent="0.2">
      <c r="A891">
        <v>2018</v>
      </c>
      <c r="B891" s="3" t="s">
        <v>81</v>
      </c>
      <c r="C891" s="3" t="s">
        <v>887</v>
      </c>
      <c r="D891" s="3" t="s">
        <v>887</v>
      </c>
      <c r="E891" s="8">
        <v>56282712</v>
      </c>
      <c r="F891" s="2">
        <v>4.8430000000000001E-4</v>
      </c>
      <c r="G891" s="17">
        <f>F891 * VLOOKUP('GASB Data'!A891,Check!$A$2:$F$11,6,FALSE)</f>
        <v>776284.95429999998</v>
      </c>
    </row>
    <row r="892" spans="1:7" x14ac:dyDescent="0.2">
      <c r="A892">
        <v>2018</v>
      </c>
      <c r="B892" s="3" t="s">
        <v>82</v>
      </c>
      <c r="C892" s="3" t="s">
        <v>888</v>
      </c>
      <c r="D892" s="3" t="s">
        <v>888</v>
      </c>
      <c r="E892" s="8">
        <v>180216218</v>
      </c>
      <c r="F892" s="2">
        <v>1.5508E-3</v>
      </c>
      <c r="G892" s="17">
        <f>F892 * VLOOKUP('GASB Data'!A892,Check!$A$2:$F$11,6,FALSE)</f>
        <v>2485778.8708000001</v>
      </c>
    </row>
    <row r="893" spans="1:7" x14ac:dyDescent="0.2">
      <c r="A893">
        <v>2018</v>
      </c>
      <c r="B893" s="3" t="s">
        <v>632</v>
      </c>
      <c r="C893" s="3" t="s">
        <v>889</v>
      </c>
      <c r="D893" s="3" t="s">
        <v>889</v>
      </c>
      <c r="E893" s="8">
        <v>18817183</v>
      </c>
      <c r="F893" s="2">
        <v>1.6190000000000001E-4</v>
      </c>
      <c r="G893" s="17">
        <f>F893 * VLOOKUP('GASB Data'!A893,Check!$A$2:$F$11,6,FALSE)</f>
        <v>259509.67190000002</v>
      </c>
    </row>
    <row r="894" spans="1:7" x14ac:dyDescent="0.2">
      <c r="A894">
        <v>2018</v>
      </c>
      <c r="B894" s="3" t="s">
        <v>83</v>
      </c>
      <c r="C894" s="3" t="s">
        <v>890</v>
      </c>
      <c r="D894" s="3" t="s">
        <v>890</v>
      </c>
      <c r="E894" s="8">
        <v>650449436</v>
      </c>
      <c r="F894" s="2">
        <v>5.5973000000000004E-3</v>
      </c>
      <c r="G894" s="17">
        <f>F894 * VLOOKUP('GASB Data'!A894,Check!$A$2:$F$11,6,FALSE)</f>
        <v>8971917.7673000004</v>
      </c>
    </row>
    <row r="895" spans="1:7" x14ac:dyDescent="0.2">
      <c r="A895">
        <v>2018</v>
      </c>
      <c r="B895" s="3" t="s">
        <v>84</v>
      </c>
      <c r="C895" s="3" t="s">
        <v>891</v>
      </c>
      <c r="D895" s="3" t="s">
        <v>891</v>
      </c>
      <c r="E895" s="8">
        <v>1864845</v>
      </c>
      <c r="F895" s="2">
        <v>1.5999999999999999E-5</v>
      </c>
      <c r="G895" s="17">
        <f>F895 * VLOOKUP('GASB Data'!A895,Check!$A$2:$F$11,6,FALSE)</f>
        <v>25646.415999999997</v>
      </c>
    </row>
    <row r="896" spans="1:7" x14ac:dyDescent="0.2">
      <c r="A896">
        <v>2018</v>
      </c>
      <c r="B896" s="3" t="s">
        <v>925</v>
      </c>
      <c r="C896" s="3" t="s">
        <v>922</v>
      </c>
      <c r="D896" s="3" t="s">
        <v>922</v>
      </c>
      <c r="E896" s="8">
        <v>194760</v>
      </c>
      <c r="F896" s="2">
        <v>1.7E-6</v>
      </c>
      <c r="G896" s="17">
        <f>F896 * VLOOKUP('GASB Data'!A896,Check!$A$2:$F$11,6,FALSE)</f>
        <v>2724.9317000000001</v>
      </c>
    </row>
    <row r="897" spans="1:7" x14ac:dyDescent="0.2">
      <c r="A897">
        <v>2018</v>
      </c>
      <c r="B897" s="3" t="s">
        <v>86</v>
      </c>
      <c r="C897" s="3" t="s">
        <v>892</v>
      </c>
      <c r="D897" s="3" t="s">
        <v>892</v>
      </c>
      <c r="E897" s="8">
        <v>974874</v>
      </c>
      <c r="F897" s="2">
        <v>8.3999999999999992E-6</v>
      </c>
      <c r="G897" s="17">
        <f>F897 * VLOOKUP('GASB Data'!A897,Check!$A$2:$F$11,6,FALSE)</f>
        <v>13464.368399999999</v>
      </c>
    </row>
    <row r="898" spans="1:7" x14ac:dyDescent="0.2">
      <c r="A898">
        <v>2018</v>
      </c>
      <c r="B898" s="3" t="s">
        <v>87</v>
      </c>
      <c r="C898" s="3" t="s">
        <v>893</v>
      </c>
      <c r="D898" s="3" t="s">
        <v>893</v>
      </c>
      <c r="E898" s="8">
        <v>2333932</v>
      </c>
      <c r="F898" s="2">
        <v>2.0100000000000001E-5</v>
      </c>
      <c r="G898" s="17">
        <f>F898 * VLOOKUP('GASB Data'!A898,Check!$A$2:$F$11,6,FALSE)</f>
        <v>32218.310100000002</v>
      </c>
    </row>
    <row r="899" spans="1:7" x14ac:dyDescent="0.2">
      <c r="A899">
        <v>2018</v>
      </c>
      <c r="B899" s="3" t="s">
        <v>88</v>
      </c>
      <c r="C899" s="3" t="s">
        <v>894</v>
      </c>
      <c r="D899" s="3" t="s">
        <v>894</v>
      </c>
      <c r="E899" s="8">
        <v>92567258</v>
      </c>
      <c r="F899" s="2">
        <v>7.9659999999999996E-4</v>
      </c>
      <c r="G899" s="17">
        <f>F899 * VLOOKUP('GASB Data'!A899,Check!$A$2:$F$11,6,FALSE)</f>
        <v>1276870.9365999999</v>
      </c>
    </row>
    <row r="900" spans="1:7" x14ac:dyDescent="0.2">
      <c r="A900">
        <v>2018</v>
      </c>
      <c r="B900" s="3" t="s">
        <v>89</v>
      </c>
      <c r="C900" s="3" t="s">
        <v>610</v>
      </c>
      <c r="D900" s="3" t="s">
        <v>610</v>
      </c>
      <c r="E900" s="8">
        <v>8143947776</v>
      </c>
      <c r="F900" s="2">
        <v>7.0080400000000001E-2</v>
      </c>
      <c r="G900" s="17">
        <f>F900 * VLOOKUP('GASB Data'!A900,Check!$A$2:$F$11,6,FALSE)</f>
        <v>112331943.2404</v>
      </c>
    </row>
    <row r="901" spans="1:7" x14ac:dyDescent="0.2">
      <c r="A901">
        <v>2018</v>
      </c>
      <c r="B901" s="3" t="s">
        <v>90</v>
      </c>
      <c r="C901" s="3" t="s">
        <v>611</v>
      </c>
      <c r="D901" s="3" t="s">
        <v>611</v>
      </c>
      <c r="E901" s="8">
        <v>729565719</v>
      </c>
      <c r="F901" s="2">
        <v>6.2781E-3</v>
      </c>
      <c r="G901" s="17">
        <f>F901 * VLOOKUP('GASB Data'!A901,Check!$A$2:$F$11,6,FALSE)</f>
        <v>10063172.768100001</v>
      </c>
    </row>
    <row r="902" spans="1:7" x14ac:dyDescent="0.2">
      <c r="A902">
        <v>2018</v>
      </c>
      <c r="B902" s="3" t="s">
        <v>91</v>
      </c>
      <c r="C902" s="3" t="s">
        <v>895</v>
      </c>
      <c r="D902" s="3" t="s">
        <v>895</v>
      </c>
      <c r="E902" s="8">
        <v>100256561</v>
      </c>
      <c r="F902" s="2">
        <v>8.6269999999999999E-4</v>
      </c>
      <c r="G902" s="17">
        <f>F902 * VLOOKUP('GASB Data'!A902,Check!$A$2:$F$11,6,FALSE)</f>
        <v>1382822.6927</v>
      </c>
    </row>
    <row r="903" spans="1:7" x14ac:dyDescent="0.2">
      <c r="A903">
        <v>2018</v>
      </c>
      <c r="B903" s="3" t="s">
        <v>92</v>
      </c>
      <c r="C903" s="3" t="s">
        <v>613</v>
      </c>
      <c r="D903" s="3" t="s">
        <v>613</v>
      </c>
      <c r="E903" s="8">
        <v>1643167798</v>
      </c>
      <c r="F903" s="2">
        <v>1.41399E-2</v>
      </c>
      <c r="G903" s="17">
        <f>F903 * VLOOKUP('GASB Data'!A903,Check!$A$2:$F$11,6,FALSE)</f>
        <v>22664859.8499</v>
      </c>
    </row>
    <row r="904" spans="1:7" x14ac:dyDescent="0.2">
      <c r="A904">
        <v>2018</v>
      </c>
      <c r="B904" s="3" t="s">
        <v>93</v>
      </c>
      <c r="C904" s="3" t="s">
        <v>614</v>
      </c>
      <c r="D904" s="3" t="s">
        <v>614</v>
      </c>
      <c r="E904" s="8">
        <v>116197261</v>
      </c>
      <c r="F904" s="2">
        <v>9.9989999999999996E-4</v>
      </c>
      <c r="G904" s="17">
        <f>F904 * VLOOKUP('GASB Data'!A904,Check!$A$2:$F$11,6,FALSE)</f>
        <v>1602740.7098999999</v>
      </c>
    </row>
    <row r="905" spans="1:7" x14ac:dyDescent="0.2">
      <c r="A905">
        <v>2018</v>
      </c>
      <c r="B905" s="3" t="s">
        <v>94</v>
      </c>
      <c r="C905" s="3" t="s">
        <v>615</v>
      </c>
      <c r="D905" s="3" t="s">
        <v>615</v>
      </c>
      <c r="E905" s="8">
        <v>250878261</v>
      </c>
      <c r="F905" s="2">
        <v>2.1589000000000001E-3</v>
      </c>
      <c r="G905" s="17">
        <f>F905 * VLOOKUP('GASB Data'!A905,Check!$A$2:$F$11,6,FALSE)</f>
        <v>3460502.9689000002</v>
      </c>
    </row>
    <row r="906" spans="1:7" x14ac:dyDescent="0.2">
      <c r="A906">
        <v>2018</v>
      </c>
      <c r="B906" s="3" t="s">
        <v>95</v>
      </c>
      <c r="C906" s="3" t="s">
        <v>896</v>
      </c>
      <c r="D906" s="3" t="s">
        <v>896</v>
      </c>
      <c r="E906" s="8">
        <v>492237024</v>
      </c>
      <c r="F906" s="2">
        <v>4.2357999999999996E-3</v>
      </c>
      <c r="G906" s="17">
        <f>F906 * VLOOKUP('GASB Data'!A906,Check!$A$2:$F$11,6,FALSE)</f>
        <v>6789568.0557999993</v>
      </c>
    </row>
    <row r="907" spans="1:7" x14ac:dyDescent="0.2">
      <c r="A907">
        <v>2018</v>
      </c>
      <c r="B907" s="3" t="s">
        <v>96</v>
      </c>
      <c r="C907" s="3" t="s">
        <v>897</v>
      </c>
      <c r="D907" s="3" t="s">
        <v>897</v>
      </c>
      <c r="E907" s="8">
        <v>406188159</v>
      </c>
      <c r="F907" s="2">
        <v>3.4954000000000001E-3</v>
      </c>
      <c r="G907" s="17">
        <f>F907 * VLOOKUP('GASB Data'!A907,Check!$A$2:$F$11,6,FALSE)</f>
        <v>5602780.1554000005</v>
      </c>
    </row>
    <row r="908" spans="1:7" x14ac:dyDescent="0.2">
      <c r="A908">
        <v>2018</v>
      </c>
      <c r="B908" s="3" t="s">
        <v>97</v>
      </c>
      <c r="C908" s="3" t="s">
        <v>618</v>
      </c>
      <c r="D908" s="3" t="s">
        <v>618</v>
      </c>
      <c r="E908" s="8">
        <v>588636546</v>
      </c>
      <c r="F908" s="2">
        <v>5.0654000000000003E-3</v>
      </c>
      <c r="G908" s="17">
        <f>F908 * VLOOKUP('GASB Data'!A908,Check!$A$2:$F$11,6,FALSE)</f>
        <v>8119334.7254000008</v>
      </c>
    </row>
    <row r="909" spans="1:7" x14ac:dyDescent="0.2">
      <c r="A909">
        <v>2018</v>
      </c>
      <c r="B909" s="3" t="s">
        <v>98</v>
      </c>
      <c r="C909" s="3" t="s">
        <v>898</v>
      </c>
      <c r="D909" s="3" t="s">
        <v>898</v>
      </c>
      <c r="E909" s="8">
        <v>217274196</v>
      </c>
      <c r="F909" s="2">
        <v>1.8697E-3</v>
      </c>
      <c r="G909" s="17">
        <f>F909 * VLOOKUP('GASB Data'!A909,Check!$A$2:$F$11,6,FALSE)</f>
        <v>2996943.9997</v>
      </c>
    </row>
    <row r="910" spans="1:7" x14ac:dyDescent="0.2">
      <c r="A910">
        <v>2018</v>
      </c>
      <c r="B910" s="3" t="s">
        <v>99</v>
      </c>
      <c r="C910" s="3" t="s">
        <v>899</v>
      </c>
      <c r="D910" s="3" t="s">
        <v>899</v>
      </c>
      <c r="E910" s="8">
        <v>2587216713</v>
      </c>
      <c r="F910" s="2">
        <v>2.2263700000000001E-2</v>
      </c>
      <c r="G910" s="17">
        <f>F910 * VLOOKUP('GASB Data'!A910,Check!$A$2:$F$11,6,FALSE)</f>
        <v>35686506.993699998</v>
      </c>
    </row>
    <row r="911" spans="1:7" x14ac:dyDescent="0.2">
      <c r="A911">
        <v>2018</v>
      </c>
      <c r="B911" s="3" t="s">
        <v>100</v>
      </c>
      <c r="C911" s="3" t="s">
        <v>923</v>
      </c>
      <c r="D911" s="3" t="s">
        <v>923</v>
      </c>
      <c r="E911" s="8">
        <v>3689775663</v>
      </c>
      <c r="F911" s="2">
        <v>3.1751500000000002E-2</v>
      </c>
      <c r="G911" s="17">
        <f>F911 * VLOOKUP('GASB Data'!A911,Check!$A$2:$F$11,6,FALSE)</f>
        <v>50894511.101500005</v>
      </c>
    </row>
    <row r="912" spans="1:7" x14ac:dyDescent="0.2">
      <c r="A912">
        <v>2018</v>
      </c>
      <c r="B912" s="3" t="s">
        <v>101</v>
      </c>
      <c r="C912" s="3" t="s">
        <v>622</v>
      </c>
      <c r="D912" s="3" t="s">
        <v>622</v>
      </c>
      <c r="E912" s="8">
        <v>127304013</v>
      </c>
      <c r="F912" s="2">
        <v>1.0954999999999999E-3</v>
      </c>
      <c r="G912" s="17">
        <f>F912 * VLOOKUP('GASB Data'!A912,Check!$A$2:$F$11,6,FALSE)</f>
        <v>1755978.0454999998</v>
      </c>
    </row>
    <row r="913" spans="1:7" x14ac:dyDescent="0.2">
      <c r="A913">
        <v>2018</v>
      </c>
      <c r="B913" s="3" t="s">
        <v>633</v>
      </c>
      <c r="C913" s="3" t="s">
        <v>623</v>
      </c>
      <c r="D913" s="3" t="s">
        <v>623</v>
      </c>
      <c r="E913" s="8">
        <v>15523647</v>
      </c>
      <c r="F913" s="2">
        <v>1.3359999999999999E-4</v>
      </c>
      <c r="G913" s="17">
        <f>F913 * VLOOKUP('GASB Data'!A913,Check!$A$2:$F$11,6,FALSE)</f>
        <v>214147.5736</v>
      </c>
    </row>
    <row r="914" spans="1:7" x14ac:dyDescent="0.2">
      <c r="A914">
        <v>2018</v>
      </c>
      <c r="B914" s="3" t="s">
        <v>102</v>
      </c>
      <c r="C914" s="3" t="s">
        <v>624</v>
      </c>
      <c r="D914" s="3" t="s">
        <v>624</v>
      </c>
      <c r="E914" s="8">
        <v>4226168327</v>
      </c>
      <c r="F914" s="2">
        <v>3.6367299999999998E-2</v>
      </c>
      <c r="G914" s="17">
        <f>F914 * VLOOKUP('GASB Data'!A914,Check!$A$2:$F$11,6,FALSE)</f>
        <v>58293181.537299998</v>
      </c>
    </row>
    <row r="915" spans="1:7" x14ac:dyDescent="0.2">
      <c r="A915">
        <v>2018</v>
      </c>
      <c r="B915" s="3" t="s">
        <v>103</v>
      </c>
      <c r="C915" s="3" t="s">
        <v>625</v>
      </c>
      <c r="D915" s="3" t="s">
        <v>625</v>
      </c>
      <c r="E915" s="8">
        <v>19552527</v>
      </c>
      <c r="F915" s="2">
        <v>1.683E-4</v>
      </c>
      <c r="G915" s="17">
        <f>F915 * VLOOKUP('GASB Data'!A915,Check!$A$2:$F$11,6,FALSE)</f>
        <v>269768.23829999997</v>
      </c>
    </row>
    <row r="916" spans="1:7" x14ac:dyDescent="0.2">
      <c r="A916">
        <v>2018</v>
      </c>
      <c r="B916" s="3" t="s">
        <v>104</v>
      </c>
      <c r="C916" s="3" t="s">
        <v>626</v>
      </c>
      <c r="D916" s="3" t="s">
        <v>626</v>
      </c>
      <c r="E916" s="8">
        <v>368118319</v>
      </c>
      <c r="F916" s="2">
        <v>3.1678000000000001E-3</v>
      </c>
      <c r="G916" s="17">
        <f>F916 * VLOOKUP('GASB Data'!A916,Check!$A$2:$F$11,6,FALSE)</f>
        <v>5077669.7878</v>
      </c>
    </row>
    <row r="917" spans="1:7" x14ac:dyDescent="0.2">
      <c r="A917">
        <v>2018</v>
      </c>
      <c r="B917" s="3" t="s">
        <v>105</v>
      </c>
      <c r="C917" s="3" t="s">
        <v>627</v>
      </c>
      <c r="D917" s="3" t="s">
        <v>627</v>
      </c>
      <c r="E917" s="8">
        <v>262910912</v>
      </c>
      <c r="F917" s="2">
        <v>2.2623999999999999E-3</v>
      </c>
      <c r="G917" s="17">
        <f>F917 * VLOOKUP('GASB Data'!A917,Check!$A$2:$F$11,6,FALSE)</f>
        <v>3626403.2223999999</v>
      </c>
    </row>
    <row r="918" spans="1:7" x14ac:dyDescent="0.2">
      <c r="A918">
        <v>2018</v>
      </c>
      <c r="B918" s="3" t="s">
        <v>106</v>
      </c>
      <c r="C918" s="3" t="s">
        <v>628</v>
      </c>
      <c r="D918" s="3" t="s">
        <v>628</v>
      </c>
      <c r="E918" s="8">
        <v>419939462</v>
      </c>
      <c r="F918" s="2">
        <v>3.6137000000000001E-3</v>
      </c>
      <c r="G918" s="17">
        <f>F918 * VLOOKUP('GASB Data'!A918,Check!$A$2:$F$11,6,FALSE)</f>
        <v>5792403.3437000001</v>
      </c>
    </row>
    <row r="919" spans="1:7" x14ac:dyDescent="0.2">
      <c r="A919">
        <v>2018</v>
      </c>
      <c r="B919" s="3" t="s">
        <v>107</v>
      </c>
      <c r="C919" s="3" t="s">
        <v>629</v>
      </c>
      <c r="D919" s="3" t="s">
        <v>629</v>
      </c>
      <c r="E919" s="8">
        <v>142365610</v>
      </c>
      <c r="F919" s="2">
        <v>1.2251E-3</v>
      </c>
      <c r="G919" s="17">
        <f>F919 * VLOOKUP('GASB Data'!A919,Check!$A$2:$F$11,6,FALSE)</f>
        <v>1963714.0151</v>
      </c>
    </row>
    <row r="920" spans="1:7" x14ac:dyDescent="0.2">
      <c r="A920">
        <v>2018</v>
      </c>
      <c r="B920" s="3" t="s">
        <v>108</v>
      </c>
      <c r="C920" s="3" t="s">
        <v>630</v>
      </c>
      <c r="D920" s="3" t="s">
        <v>630</v>
      </c>
      <c r="E920" s="8">
        <v>830669304</v>
      </c>
      <c r="F920" s="2">
        <v>7.1481000000000001E-3</v>
      </c>
      <c r="G920" s="17">
        <f>F920 * VLOOKUP('GASB Data'!A920,Check!$A$2:$F$11,6,FALSE)</f>
        <v>11457696.6381</v>
      </c>
    </row>
    <row r="921" spans="1:7" x14ac:dyDescent="0.2">
      <c r="A921">
        <v>2018</v>
      </c>
      <c r="B921" s="3" t="s">
        <v>109</v>
      </c>
      <c r="C921" s="3" t="s">
        <v>631</v>
      </c>
      <c r="D921" s="3" t="s">
        <v>631</v>
      </c>
      <c r="E921" s="8">
        <v>452242708</v>
      </c>
      <c r="F921" s="2">
        <v>3.8917000000000001E-3</v>
      </c>
      <c r="G921" s="17">
        <f>F921 * VLOOKUP('GASB Data'!A921,Check!$A$2:$F$11,6,FALSE)</f>
        <v>6238009.8217000002</v>
      </c>
    </row>
    <row r="922" spans="1:7" x14ac:dyDescent="0.2">
      <c r="A922">
        <v>2018</v>
      </c>
      <c r="B922" s="3" t="s">
        <v>110</v>
      </c>
      <c r="C922" s="3" t="s">
        <v>634</v>
      </c>
      <c r="D922" s="3" t="s">
        <v>634</v>
      </c>
      <c r="E922" s="8">
        <v>110890483</v>
      </c>
      <c r="F922" s="2">
        <v>9.5419999999999999E-4</v>
      </c>
      <c r="G922" s="17">
        <f>F922 * VLOOKUP('GASB Data'!A922,Check!$A$2:$F$11,6,FALSE)</f>
        <v>1529488.1342</v>
      </c>
    </row>
    <row r="923" spans="1:7" x14ac:dyDescent="0.2">
      <c r="A923">
        <v>2018</v>
      </c>
      <c r="B923" s="3" t="s">
        <v>111</v>
      </c>
      <c r="C923" s="3" t="s">
        <v>635</v>
      </c>
      <c r="D923" s="3" t="s">
        <v>635</v>
      </c>
      <c r="E923" s="8">
        <v>974922019</v>
      </c>
      <c r="F923" s="2">
        <v>8.3894999999999994E-3</v>
      </c>
      <c r="G923" s="17">
        <f>F923 * VLOOKUP('GASB Data'!A923,Check!$A$2:$F$11,6,FALSE)</f>
        <v>13447537.939499998</v>
      </c>
    </row>
    <row r="924" spans="1:7" x14ac:dyDescent="0.2">
      <c r="A924">
        <v>2018</v>
      </c>
      <c r="B924" s="3" t="s">
        <v>166</v>
      </c>
      <c r="C924" s="3" t="s">
        <v>636</v>
      </c>
      <c r="D924" s="3" t="s">
        <v>636</v>
      </c>
      <c r="E924" s="8">
        <v>19804926</v>
      </c>
      <c r="F924" s="2">
        <v>1.7039999999999999E-4</v>
      </c>
      <c r="G924" s="17">
        <f>F924 * VLOOKUP('GASB Data'!A924,Check!$A$2:$F$11,6,FALSE)</f>
        <v>273134.33039999998</v>
      </c>
    </row>
    <row r="925" spans="1:7" x14ac:dyDescent="0.2">
      <c r="A925">
        <v>2018</v>
      </c>
      <c r="B925" s="3" t="s">
        <v>167</v>
      </c>
      <c r="C925" s="3" t="s">
        <v>637</v>
      </c>
      <c r="D925" s="3" t="s">
        <v>637</v>
      </c>
      <c r="E925" s="8">
        <v>25759722</v>
      </c>
      <c r="F925" s="2">
        <v>2.2169999999999999E-4</v>
      </c>
      <c r="G925" s="17">
        <f>F925 * VLOOKUP('GASB Data'!A925,Check!$A$2:$F$11,6,FALSE)</f>
        <v>355363.15169999999</v>
      </c>
    </row>
    <row r="926" spans="1:7" x14ac:dyDescent="0.2">
      <c r="A926">
        <v>2018</v>
      </c>
      <c r="B926" s="3" t="s">
        <v>168</v>
      </c>
      <c r="C926" s="3" t="s">
        <v>638</v>
      </c>
      <c r="D926" s="3" t="s">
        <v>638</v>
      </c>
      <c r="E926" s="8">
        <v>15585286</v>
      </c>
      <c r="F926" s="2">
        <v>1.3410000000000001E-4</v>
      </c>
      <c r="G926" s="17">
        <f>F926 * VLOOKUP('GASB Data'!A926,Check!$A$2:$F$11,6,FALSE)</f>
        <v>214949.02410000001</v>
      </c>
    </row>
    <row r="927" spans="1:7" x14ac:dyDescent="0.2">
      <c r="A927">
        <v>2018</v>
      </c>
      <c r="B927" s="3" t="s">
        <v>169</v>
      </c>
      <c r="C927" s="3" t="s">
        <v>639</v>
      </c>
      <c r="D927" s="3" t="s">
        <v>639</v>
      </c>
      <c r="E927" s="8">
        <v>109283024</v>
      </c>
      <c r="F927" s="2">
        <v>9.4039999999999998E-4</v>
      </c>
      <c r="G927" s="17">
        <f>F927 * VLOOKUP('GASB Data'!A927,Check!$A$2:$F$11,6,FALSE)</f>
        <v>1507368.1003999999</v>
      </c>
    </row>
    <row r="928" spans="1:7" x14ac:dyDescent="0.2">
      <c r="A928">
        <v>2018</v>
      </c>
      <c r="B928" s="3" t="s">
        <v>170</v>
      </c>
      <c r="C928" s="3" t="s">
        <v>640</v>
      </c>
      <c r="D928" s="3" t="s">
        <v>640</v>
      </c>
      <c r="E928" s="8">
        <v>226487664</v>
      </c>
      <c r="F928" s="2">
        <v>1.949E-3</v>
      </c>
      <c r="G928" s="17">
        <f>F928 * VLOOKUP('GASB Data'!A928,Check!$A$2:$F$11,6,FALSE)</f>
        <v>3124054.0490000001</v>
      </c>
    </row>
    <row r="929" spans="1:7" x14ac:dyDescent="0.2">
      <c r="A929">
        <v>2018</v>
      </c>
      <c r="B929" s="3" t="s">
        <v>171</v>
      </c>
      <c r="C929" s="3" t="s">
        <v>641</v>
      </c>
      <c r="D929" s="3" t="s">
        <v>641</v>
      </c>
      <c r="E929" s="8">
        <v>73509724</v>
      </c>
      <c r="F929" s="2">
        <v>6.3259999999999998E-4</v>
      </c>
      <c r="G929" s="17">
        <f>F929 * VLOOKUP('GASB Data'!A929,Check!$A$2:$F$11,6,FALSE)</f>
        <v>1013995.1725999999</v>
      </c>
    </row>
    <row r="930" spans="1:7" x14ac:dyDescent="0.2">
      <c r="A930">
        <v>2018</v>
      </c>
      <c r="B930" s="3" t="s">
        <v>172</v>
      </c>
      <c r="C930" s="3" t="s">
        <v>642</v>
      </c>
      <c r="D930" s="3" t="s">
        <v>642</v>
      </c>
      <c r="E930" s="8">
        <v>134628342</v>
      </c>
      <c r="F930" s="2">
        <v>1.1585E-3</v>
      </c>
      <c r="G930" s="17">
        <f>F930 * VLOOKUP('GASB Data'!A930,Check!$A$2:$F$11,6,FALSE)</f>
        <v>1856960.8085</v>
      </c>
    </row>
    <row r="931" spans="1:7" x14ac:dyDescent="0.2">
      <c r="A931">
        <v>2018</v>
      </c>
      <c r="B931" s="3" t="s">
        <v>173</v>
      </c>
      <c r="C931" s="3" t="s">
        <v>643</v>
      </c>
      <c r="D931" s="3" t="s">
        <v>643</v>
      </c>
      <c r="E931" s="8">
        <v>89172137</v>
      </c>
      <c r="F931" s="2">
        <v>7.674E-4</v>
      </c>
      <c r="G931" s="17">
        <f>F931 * VLOOKUP('GASB Data'!A931,Check!$A$2:$F$11,6,FALSE)</f>
        <v>1230066.2274</v>
      </c>
    </row>
    <row r="932" spans="1:7" x14ac:dyDescent="0.2">
      <c r="A932">
        <v>2018</v>
      </c>
      <c r="B932" s="3" t="s">
        <v>174</v>
      </c>
      <c r="C932" s="3" t="s">
        <v>644</v>
      </c>
      <c r="D932" s="3" t="s">
        <v>644</v>
      </c>
      <c r="E932" s="8">
        <v>147741436</v>
      </c>
      <c r="F932" s="2">
        <v>1.2714E-3</v>
      </c>
      <c r="G932" s="17">
        <f>F932 * VLOOKUP('GASB Data'!A932,Check!$A$2:$F$11,6,FALSE)</f>
        <v>2037928.3314</v>
      </c>
    </row>
    <row r="933" spans="1:7" x14ac:dyDescent="0.2">
      <c r="A933">
        <v>2018</v>
      </c>
      <c r="B933" s="3" t="s">
        <v>175</v>
      </c>
      <c r="C933" s="3" t="s">
        <v>645</v>
      </c>
      <c r="D933" s="3" t="s">
        <v>645</v>
      </c>
      <c r="E933" s="8">
        <v>111746406</v>
      </c>
      <c r="F933" s="2">
        <v>9.6159999999999995E-4</v>
      </c>
      <c r="G933" s="17">
        <f>F933 * VLOOKUP('GASB Data'!A933,Check!$A$2:$F$11,6,FALSE)</f>
        <v>1541349.6015999999</v>
      </c>
    </row>
    <row r="934" spans="1:7" x14ac:dyDescent="0.2">
      <c r="A934">
        <v>2018</v>
      </c>
      <c r="B934" s="3" t="s">
        <v>176</v>
      </c>
      <c r="C934" s="3" t="s">
        <v>646</v>
      </c>
      <c r="D934" s="3" t="s">
        <v>646</v>
      </c>
      <c r="E934" s="8">
        <v>2685969</v>
      </c>
      <c r="F934" s="2">
        <v>2.3099999999999999E-5</v>
      </c>
      <c r="G934" s="17">
        <f>F934 * VLOOKUP('GASB Data'!A934,Check!$A$2:$F$11,6,FALSE)</f>
        <v>37027.013099999996</v>
      </c>
    </row>
    <row r="935" spans="1:7" x14ac:dyDescent="0.2">
      <c r="A935">
        <v>2018</v>
      </c>
      <c r="B935" s="3" t="s">
        <v>177</v>
      </c>
      <c r="C935" s="3" t="s">
        <v>647</v>
      </c>
      <c r="D935" s="3" t="s">
        <v>647</v>
      </c>
      <c r="E935" s="8">
        <v>292588086</v>
      </c>
      <c r="F935" s="2">
        <v>2.5178000000000002E-3</v>
      </c>
      <c r="G935" s="17">
        <f>F935 * VLOOKUP('GASB Data'!A935,Check!$A$2:$F$11,6,FALSE)</f>
        <v>4035784.1378000001</v>
      </c>
    </row>
    <row r="936" spans="1:7" x14ac:dyDescent="0.2">
      <c r="A936">
        <v>2018</v>
      </c>
      <c r="B936" s="3" t="s">
        <v>178</v>
      </c>
      <c r="C936" s="3" t="s">
        <v>648</v>
      </c>
      <c r="D936" s="3" t="s">
        <v>648</v>
      </c>
      <c r="E936" s="8">
        <v>55451953</v>
      </c>
      <c r="F936" s="2">
        <v>4.772E-4</v>
      </c>
      <c r="G936" s="17">
        <f>F936 * VLOOKUP('GASB Data'!A936,Check!$A$2:$F$11,6,FALSE)</f>
        <v>764904.35719999997</v>
      </c>
    </row>
    <row r="937" spans="1:7" x14ac:dyDescent="0.2">
      <c r="A937">
        <v>2018</v>
      </c>
      <c r="B937" s="3" t="s">
        <v>179</v>
      </c>
      <c r="C937" s="3" t="s">
        <v>649</v>
      </c>
      <c r="D937" s="3" t="s">
        <v>649</v>
      </c>
      <c r="E937" s="8">
        <v>98536942</v>
      </c>
      <c r="F937" s="2">
        <v>8.4789999999999996E-4</v>
      </c>
      <c r="G937" s="17">
        <f>F937 * VLOOKUP('GASB Data'!A937,Check!$A$2:$F$11,6,FALSE)</f>
        <v>1359099.7578999999</v>
      </c>
    </row>
    <row r="938" spans="1:7" x14ac:dyDescent="0.2">
      <c r="A938">
        <v>2018</v>
      </c>
      <c r="B938" s="3" t="s">
        <v>180</v>
      </c>
      <c r="C938" s="3" t="s">
        <v>650</v>
      </c>
      <c r="D938" s="3" t="s">
        <v>650</v>
      </c>
      <c r="E938" s="8">
        <v>191718583</v>
      </c>
      <c r="F938" s="2">
        <v>1.6498000000000001E-3</v>
      </c>
      <c r="G938" s="17">
        <f>F938 * VLOOKUP('GASB Data'!A938,Check!$A$2:$F$11,6,FALSE)</f>
        <v>2644466.0698000002</v>
      </c>
    </row>
    <row r="939" spans="1:7" x14ac:dyDescent="0.2">
      <c r="A939">
        <v>2018</v>
      </c>
      <c r="B939" s="3" t="s">
        <v>181</v>
      </c>
      <c r="C939" s="3" t="s">
        <v>651</v>
      </c>
      <c r="D939" s="3" t="s">
        <v>651</v>
      </c>
      <c r="E939" s="8">
        <v>37691813</v>
      </c>
      <c r="F939" s="2">
        <v>3.2430000000000002E-4</v>
      </c>
      <c r="G939" s="17">
        <f>F939 * VLOOKUP('GASB Data'!A939,Check!$A$2:$F$11,6,FALSE)</f>
        <v>519820.79430000001</v>
      </c>
    </row>
    <row r="940" spans="1:7" x14ac:dyDescent="0.2">
      <c r="A940">
        <v>2018</v>
      </c>
      <c r="B940" s="3" t="s">
        <v>182</v>
      </c>
      <c r="C940" s="3" t="s">
        <v>652</v>
      </c>
      <c r="D940" s="3" t="s">
        <v>652</v>
      </c>
      <c r="E940" s="8">
        <v>566554111</v>
      </c>
      <c r="F940" s="2">
        <v>4.8752999999999999E-3</v>
      </c>
      <c r="G940" s="17">
        <f>F940 * VLOOKUP('GASB Data'!A940,Check!$A$2:$F$11,6,FALSE)</f>
        <v>7814623.2452999996</v>
      </c>
    </row>
    <row r="941" spans="1:7" x14ac:dyDescent="0.2">
      <c r="A941">
        <v>2018</v>
      </c>
      <c r="B941" s="3" t="s">
        <v>183</v>
      </c>
      <c r="C941" s="3" t="s">
        <v>653</v>
      </c>
      <c r="D941" s="3" t="s">
        <v>653</v>
      </c>
      <c r="E941" s="8">
        <v>51519482</v>
      </c>
      <c r="F941" s="2">
        <v>4.4329999999999999E-4</v>
      </c>
      <c r="G941" s="17">
        <f>F941 * VLOOKUP('GASB Data'!A941,Check!$A$2:$F$11,6,FALSE)</f>
        <v>710566.01329999999</v>
      </c>
    </row>
    <row r="942" spans="1:7" x14ac:dyDescent="0.2">
      <c r="A942">
        <v>2018</v>
      </c>
      <c r="B942" s="3" t="s">
        <v>184</v>
      </c>
      <c r="C942" s="3" t="s">
        <v>654</v>
      </c>
      <c r="D942" s="3" t="s">
        <v>654</v>
      </c>
      <c r="E942" s="8">
        <v>1170136234</v>
      </c>
      <c r="F942" s="2">
        <v>1.00693E-2</v>
      </c>
      <c r="G942" s="17">
        <f>F942 * VLOOKUP('GASB Data'!A942,Check!$A$2:$F$11,6,FALSE)</f>
        <v>16140091.0393</v>
      </c>
    </row>
    <row r="943" spans="1:7" x14ac:dyDescent="0.2">
      <c r="A943">
        <v>2018</v>
      </c>
      <c r="B943" s="3" t="s">
        <v>185</v>
      </c>
      <c r="C943" s="3" t="s">
        <v>900</v>
      </c>
      <c r="D943" s="3" t="s">
        <v>900</v>
      </c>
      <c r="E943" s="8">
        <v>7831616</v>
      </c>
      <c r="F943" s="2">
        <v>6.7399999999999998E-5</v>
      </c>
      <c r="G943" s="17">
        <f>F943 * VLOOKUP('GASB Data'!A943,Check!$A$2:$F$11,6,FALSE)</f>
        <v>108035.52739999999</v>
      </c>
    </row>
    <row r="944" spans="1:7" x14ac:dyDescent="0.2">
      <c r="A944">
        <v>2018</v>
      </c>
      <c r="B944" s="3" t="s">
        <v>186</v>
      </c>
      <c r="C944" s="3" t="s">
        <v>656</v>
      </c>
      <c r="D944" s="3" t="s">
        <v>656</v>
      </c>
      <c r="E944" s="8">
        <v>20045294</v>
      </c>
      <c r="F944" s="2">
        <v>1.7249999999999999E-4</v>
      </c>
      <c r="G944" s="17">
        <f>F944 * VLOOKUP('GASB Data'!A944,Check!$A$2:$F$11,6,FALSE)</f>
        <v>276500.42249999999</v>
      </c>
    </row>
    <row r="945" spans="1:7" x14ac:dyDescent="0.2">
      <c r="A945">
        <v>2018</v>
      </c>
      <c r="B945" s="3" t="s">
        <v>187</v>
      </c>
      <c r="C945" s="3" t="s">
        <v>657</v>
      </c>
      <c r="D945" s="3" t="s">
        <v>657</v>
      </c>
      <c r="E945" s="8">
        <v>186793884</v>
      </c>
      <c r="F945" s="2">
        <v>1.6073999999999999E-3</v>
      </c>
      <c r="G945" s="17">
        <f>F945 * VLOOKUP('GASB Data'!A945,Check!$A$2:$F$11,6,FALSE)</f>
        <v>2576503.0674000001</v>
      </c>
    </row>
    <row r="946" spans="1:7" x14ac:dyDescent="0.2">
      <c r="A946">
        <v>2018</v>
      </c>
      <c r="B946" s="3" t="s">
        <v>188</v>
      </c>
      <c r="C946" s="3" t="s">
        <v>658</v>
      </c>
      <c r="D946" s="3" t="s">
        <v>658</v>
      </c>
      <c r="E946" s="8">
        <v>273877077</v>
      </c>
      <c r="F946" s="2">
        <v>2.3568E-3</v>
      </c>
      <c r="G946" s="17">
        <f>F946 * VLOOKUP('GASB Data'!A946,Check!$A$2:$F$11,6,FALSE)</f>
        <v>3777717.0767999999</v>
      </c>
    </row>
    <row r="947" spans="1:7" x14ac:dyDescent="0.2">
      <c r="A947">
        <v>2018</v>
      </c>
      <c r="B947" s="3" t="s">
        <v>189</v>
      </c>
      <c r="C947" s="3" t="s">
        <v>659</v>
      </c>
      <c r="D947" s="3" t="s">
        <v>659</v>
      </c>
      <c r="E947" s="8">
        <v>506590537</v>
      </c>
      <c r="F947" s="2">
        <v>4.3593E-3</v>
      </c>
      <c r="G947" s="17">
        <f>F947 * VLOOKUP('GASB Data'!A947,Check!$A$2:$F$11,6,FALSE)</f>
        <v>6987526.3293000003</v>
      </c>
    </row>
    <row r="948" spans="1:7" x14ac:dyDescent="0.2">
      <c r="A948">
        <v>2018</v>
      </c>
      <c r="B948" s="3" t="s">
        <v>190</v>
      </c>
      <c r="C948" s="3" t="s">
        <v>901</v>
      </c>
      <c r="D948" s="3" t="s">
        <v>901</v>
      </c>
      <c r="E948" s="8">
        <v>61438721</v>
      </c>
      <c r="F948" s="2">
        <v>5.287E-4</v>
      </c>
      <c r="G948" s="17">
        <f>F948 * VLOOKUP('GASB Data'!A948,Check!$A$2:$F$11,6,FALSE)</f>
        <v>847453.75870000001</v>
      </c>
    </row>
    <row r="949" spans="1:7" x14ac:dyDescent="0.2">
      <c r="A949">
        <v>2018</v>
      </c>
      <c r="B949" s="3" t="s">
        <v>191</v>
      </c>
      <c r="C949" s="3" t="s">
        <v>661</v>
      </c>
      <c r="D949" s="3" t="s">
        <v>661</v>
      </c>
      <c r="E949" s="8">
        <v>1416518502</v>
      </c>
      <c r="F949" s="2">
        <v>1.2189500000000001E-2</v>
      </c>
      <c r="G949" s="17">
        <f>F949 * VLOOKUP('GASB Data'!A949,Check!$A$2:$F$11,6,FALSE)</f>
        <v>19538561.739500001</v>
      </c>
    </row>
    <row r="950" spans="1:7" x14ac:dyDescent="0.2">
      <c r="A950">
        <v>2018</v>
      </c>
      <c r="B950" s="3" t="s">
        <v>192</v>
      </c>
      <c r="C950" s="3" t="s">
        <v>662</v>
      </c>
      <c r="D950" s="3" t="s">
        <v>662</v>
      </c>
      <c r="E950" s="8">
        <v>31832673</v>
      </c>
      <c r="F950" s="2">
        <v>2.7389999999999999E-4</v>
      </c>
      <c r="G950" s="17">
        <f>F950 * VLOOKUP('GASB Data'!A950,Check!$A$2:$F$11,6,FALSE)</f>
        <v>439034.58389999997</v>
      </c>
    </row>
    <row r="951" spans="1:7" x14ac:dyDescent="0.2">
      <c r="A951">
        <v>2018</v>
      </c>
      <c r="B951" s="3" t="s">
        <v>193</v>
      </c>
      <c r="C951" s="3" t="s">
        <v>663</v>
      </c>
      <c r="D951" s="3" t="s">
        <v>663</v>
      </c>
      <c r="E951" s="8">
        <v>249057180</v>
      </c>
      <c r="F951" s="2">
        <v>2.1432000000000001E-3</v>
      </c>
      <c r="G951" s="17">
        <f>F951 * VLOOKUP('GASB Data'!A951,Check!$A$2:$F$11,6,FALSE)</f>
        <v>3435337.4232000001</v>
      </c>
    </row>
    <row r="952" spans="1:7" x14ac:dyDescent="0.2">
      <c r="A952">
        <v>2018</v>
      </c>
      <c r="B952" s="3" t="s">
        <v>194</v>
      </c>
      <c r="C952" s="3" t="s">
        <v>664</v>
      </c>
      <c r="D952" s="3" t="s">
        <v>664</v>
      </c>
      <c r="E952" s="8">
        <v>531085603</v>
      </c>
      <c r="F952" s="2">
        <v>4.5700999999999997E-3</v>
      </c>
      <c r="G952" s="17">
        <f>F952 * VLOOKUP('GASB Data'!A952,Check!$A$2:$F$11,6,FALSE)</f>
        <v>7325417.8600999992</v>
      </c>
    </row>
    <row r="953" spans="1:7" x14ac:dyDescent="0.2">
      <c r="A953">
        <v>2018</v>
      </c>
      <c r="B953" s="3" t="s">
        <v>195</v>
      </c>
      <c r="C953" s="3" t="s">
        <v>665</v>
      </c>
      <c r="D953" s="3" t="s">
        <v>665</v>
      </c>
      <c r="E953" s="8">
        <v>108576138</v>
      </c>
      <c r="F953" s="2">
        <v>9.343E-4</v>
      </c>
      <c r="G953" s="17">
        <f>F953 * VLOOKUP('GASB Data'!A953,Check!$A$2:$F$11,6,FALSE)</f>
        <v>1497590.4043000001</v>
      </c>
    </row>
    <row r="954" spans="1:7" x14ac:dyDescent="0.2">
      <c r="A954">
        <v>2018</v>
      </c>
      <c r="B954" s="3" t="s">
        <v>196</v>
      </c>
      <c r="C954" s="3" t="s">
        <v>666</v>
      </c>
      <c r="D954" s="3" t="s">
        <v>666</v>
      </c>
      <c r="E954" s="8">
        <v>82729490</v>
      </c>
      <c r="F954" s="2">
        <v>7.1190000000000001E-4</v>
      </c>
      <c r="G954" s="17">
        <f>F954 * VLOOKUP('GASB Data'!A954,Check!$A$2:$F$11,6,FALSE)</f>
        <v>1141105.2219</v>
      </c>
    </row>
    <row r="955" spans="1:7" x14ac:dyDescent="0.2">
      <c r="A955">
        <v>2018</v>
      </c>
      <c r="B955" s="3" t="s">
        <v>197</v>
      </c>
      <c r="C955" s="3" t="s">
        <v>667</v>
      </c>
      <c r="D955" s="3" t="s">
        <v>667</v>
      </c>
      <c r="E955" s="8">
        <v>373476671</v>
      </c>
      <c r="F955" s="2">
        <v>3.2139E-3</v>
      </c>
      <c r="G955" s="17">
        <f>F955 * VLOOKUP('GASB Data'!A955,Check!$A$2:$F$11,6,FALSE)</f>
        <v>5151563.5239000004</v>
      </c>
    </row>
    <row r="956" spans="1:7" x14ac:dyDescent="0.2">
      <c r="A956">
        <v>2018</v>
      </c>
      <c r="B956" s="3" t="s">
        <v>198</v>
      </c>
      <c r="C956" s="3" t="s">
        <v>668</v>
      </c>
      <c r="D956" s="3" t="s">
        <v>668</v>
      </c>
      <c r="E956" s="8">
        <v>54578074</v>
      </c>
      <c r="F956" s="2">
        <v>4.6969999999999998E-4</v>
      </c>
      <c r="G956" s="17">
        <f>F956 * VLOOKUP('GASB Data'!A956,Check!$A$2:$F$11,6,FALSE)</f>
        <v>752882.59970000002</v>
      </c>
    </row>
    <row r="957" spans="1:7" x14ac:dyDescent="0.2">
      <c r="A957">
        <v>2018</v>
      </c>
      <c r="B957" s="3" t="s">
        <v>199</v>
      </c>
      <c r="C957" s="3" t="s">
        <v>669</v>
      </c>
      <c r="D957" s="3" t="s">
        <v>669</v>
      </c>
      <c r="E957" s="8">
        <v>116622918</v>
      </c>
      <c r="F957" s="2">
        <v>1.0036000000000001E-3</v>
      </c>
      <c r="G957" s="17">
        <f>F957 * VLOOKUP('GASB Data'!A957,Check!$A$2:$F$11,6,FALSE)</f>
        <v>1608671.4436000001</v>
      </c>
    </row>
    <row r="958" spans="1:7" x14ac:dyDescent="0.2">
      <c r="A958">
        <v>2018</v>
      </c>
      <c r="B958" s="3" t="s">
        <v>200</v>
      </c>
      <c r="C958" s="3" t="s">
        <v>670</v>
      </c>
      <c r="D958" s="3" t="s">
        <v>670</v>
      </c>
      <c r="E958" s="8">
        <v>664883169</v>
      </c>
      <c r="F958" s="2">
        <v>5.7215E-3</v>
      </c>
      <c r="G958" s="17">
        <f>F958 * VLOOKUP('GASB Data'!A958,Check!$A$2:$F$11,6,FALSE)</f>
        <v>9170998.0714999996</v>
      </c>
    </row>
    <row r="959" spans="1:7" x14ac:dyDescent="0.2">
      <c r="A959">
        <v>2018</v>
      </c>
      <c r="B959" s="3" t="s">
        <v>201</v>
      </c>
      <c r="C959" s="3" t="s">
        <v>671</v>
      </c>
      <c r="D959" s="3" t="s">
        <v>671</v>
      </c>
      <c r="E959" s="8">
        <v>134988158</v>
      </c>
      <c r="F959" s="2">
        <v>1.1616E-3</v>
      </c>
      <c r="G959" s="17">
        <f>F959 * VLOOKUP('GASB Data'!A959,Check!$A$2:$F$11,6,FALSE)</f>
        <v>1861929.8016000001</v>
      </c>
    </row>
    <row r="960" spans="1:7" x14ac:dyDescent="0.2">
      <c r="A960">
        <v>2018</v>
      </c>
      <c r="B960" s="3" t="s">
        <v>202</v>
      </c>
      <c r="C960" s="3" t="s">
        <v>672</v>
      </c>
      <c r="D960" s="3" t="s">
        <v>672</v>
      </c>
      <c r="E960" s="8">
        <v>178340114</v>
      </c>
      <c r="F960" s="2">
        <v>1.5347E-3</v>
      </c>
      <c r="G960" s="17">
        <f>F960 * VLOOKUP('GASB Data'!A960,Check!$A$2:$F$11,6,FALSE)</f>
        <v>2459972.1647000001</v>
      </c>
    </row>
    <row r="961" spans="1:7" x14ac:dyDescent="0.2">
      <c r="A961">
        <v>2018</v>
      </c>
      <c r="B961" s="3" t="s">
        <v>203</v>
      </c>
      <c r="C961" s="3" t="s">
        <v>673</v>
      </c>
      <c r="D961" s="3" t="s">
        <v>673</v>
      </c>
      <c r="E961" s="8">
        <v>150448427</v>
      </c>
      <c r="F961" s="2">
        <v>1.2945999999999999E-3</v>
      </c>
      <c r="G961" s="17">
        <f>F961 * VLOOKUP('GASB Data'!A961,Check!$A$2:$F$11,6,FALSE)</f>
        <v>2075115.6345999998</v>
      </c>
    </row>
    <row r="962" spans="1:7" x14ac:dyDescent="0.2">
      <c r="A962">
        <v>2018</v>
      </c>
      <c r="B962" s="3" t="s">
        <v>204</v>
      </c>
      <c r="C962" s="3" t="s">
        <v>674</v>
      </c>
      <c r="D962" s="3" t="s">
        <v>674</v>
      </c>
      <c r="E962" s="8">
        <v>424620425</v>
      </c>
      <c r="F962" s="2">
        <v>3.6540000000000001E-3</v>
      </c>
      <c r="G962" s="17">
        <f>F962 * VLOOKUP('GASB Data'!A962,Check!$A$2:$F$11,6,FALSE)</f>
        <v>5857000.2540000007</v>
      </c>
    </row>
    <row r="963" spans="1:7" x14ac:dyDescent="0.2">
      <c r="A963">
        <v>2018</v>
      </c>
      <c r="B963" s="3" t="s">
        <v>205</v>
      </c>
      <c r="C963" s="3" t="s">
        <v>675</v>
      </c>
      <c r="D963" s="3" t="s">
        <v>675</v>
      </c>
      <c r="E963" s="8">
        <v>172900708</v>
      </c>
      <c r="F963" s="2">
        <v>1.4878999999999999E-3</v>
      </c>
      <c r="G963" s="17">
        <f>F963 * VLOOKUP('GASB Data'!A963,Check!$A$2:$F$11,6,FALSE)</f>
        <v>2384956.3978999997</v>
      </c>
    </row>
    <row r="964" spans="1:7" x14ac:dyDescent="0.2">
      <c r="A964">
        <v>2018</v>
      </c>
      <c r="B964" s="3" t="s">
        <v>206</v>
      </c>
      <c r="C964" s="3" t="s">
        <v>676</v>
      </c>
      <c r="D964" s="3" t="s">
        <v>676</v>
      </c>
      <c r="E964" s="8">
        <v>37412042</v>
      </c>
      <c r="F964" s="2">
        <v>3.2190000000000002E-4</v>
      </c>
      <c r="G964" s="17">
        <f>F964 * VLOOKUP('GASB Data'!A964,Check!$A$2:$F$11,6,FALSE)</f>
        <v>515973.83190000005</v>
      </c>
    </row>
    <row r="965" spans="1:7" x14ac:dyDescent="0.2">
      <c r="A965">
        <v>2018</v>
      </c>
      <c r="B965" s="3" t="s">
        <v>207</v>
      </c>
      <c r="C965" s="3" t="s">
        <v>677</v>
      </c>
      <c r="D965" s="3" t="s">
        <v>677</v>
      </c>
      <c r="E965" s="8">
        <v>95680621</v>
      </c>
      <c r="F965" s="2">
        <v>8.2339999999999996E-4</v>
      </c>
      <c r="G965" s="17">
        <f>F965 * VLOOKUP('GASB Data'!A965,Check!$A$2:$F$11,6,FALSE)</f>
        <v>1319828.6834</v>
      </c>
    </row>
    <row r="966" spans="1:7" x14ac:dyDescent="0.2">
      <c r="A966">
        <v>2018</v>
      </c>
      <c r="B966" s="3" t="s">
        <v>208</v>
      </c>
      <c r="C966" s="3" t="s">
        <v>678</v>
      </c>
      <c r="D966" s="3" t="s">
        <v>678</v>
      </c>
      <c r="E966" s="8">
        <v>65816034</v>
      </c>
      <c r="F966" s="2">
        <v>5.664E-4</v>
      </c>
      <c r="G966" s="17">
        <f>F966 * VLOOKUP('GASB Data'!A966,Check!$A$2:$F$11,6,FALSE)</f>
        <v>907883.12639999995</v>
      </c>
    </row>
    <row r="967" spans="1:7" x14ac:dyDescent="0.2">
      <c r="A967">
        <v>2018</v>
      </c>
      <c r="B967" s="3" t="s">
        <v>209</v>
      </c>
      <c r="C967" s="3" t="s">
        <v>679</v>
      </c>
      <c r="D967" s="3" t="s">
        <v>679</v>
      </c>
      <c r="E967" s="8">
        <v>700355586</v>
      </c>
      <c r="F967" s="2">
        <v>6.0267000000000003E-3</v>
      </c>
      <c r="G967" s="17">
        <f>F967 * VLOOKUP('GASB Data'!A967,Check!$A$2:$F$11,6,FALSE)</f>
        <v>9660203.4567000009</v>
      </c>
    </row>
    <row r="968" spans="1:7" x14ac:dyDescent="0.2">
      <c r="A968">
        <v>2018</v>
      </c>
      <c r="B968" s="3" t="s">
        <v>210</v>
      </c>
      <c r="C968" s="3" t="s">
        <v>680</v>
      </c>
      <c r="D968" s="3" t="s">
        <v>680</v>
      </c>
      <c r="E968" s="8">
        <v>68940564</v>
      </c>
      <c r="F968" s="2">
        <v>5.9329999999999995E-4</v>
      </c>
      <c r="G968" s="17">
        <f>F968 * VLOOKUP('GASB Data'!A968,Check!$A$2:$F$11,6,FALSE)</f>
        <v>951001.1632999999</v>
      </c>
    </row>
    <row r="969" spans="1:7" x14ac:dyDescent="0.2">
      <c r="A969">
        <v>2018</v>
      </c>
      <c r="B969" s="3" t="s">
        <v>211</v>
      </c>
      <c r="C969" s="3" t="s">
        <v>681</v>
      </c>
      <c r="D969" s="3" t="s">
        <v>681</v>
      </c>
      <c r="E969" s="8">
        <v>246019550</v>
      </c>
      <c r="F969" s="2">
        <v>2.1170999999999998E-3</v>
      </c>
      <c r="G969" s="17">
        <f>F969 * VLOOKUP('GASB Data'!A969,Check!$A$2:$F$11,6,FALSE)</f>
        <v>3393501.7070999998</v>
      </c>
    </row>
    <row r="970" spans="1:7" x14ac:dyDescent="0.2">
      <c r="A970">
        <v>2018</v>
      </c>
      <c r="B970" s="3" t="s">
        <v>212</v>
      </c>
      <c r="C970" s="3" t="s">
        <v>682</v>
      </c>
      <c r="D970" s="3" t="s">
        <v>682</v>
      </c>
      <c r="E970" s="8">
        <v>66174907</v>
      </c>
      <c r="F970" s="2">
        <v>5.6950000000000002E-4</v>
      </c>
      <c r="G970" s="17">
        <f>F970 * VLOOKUP('GASB Data'!A970,Check!$A$2:$F$11,6,FALSE)</f>
        <v>912852.11950000003</v>
      </c>
    </row>
    <row r="971" spans="1:7" x14ac:dyDescent="0.2">
      <c r="A971">
        <v>2018</v>
      </c>
      <c r="B971" s="3" t="s">
        <v>213</v>
      </c>
      <c r="C971" s="3" t="s">
        <v>683</v>
      </c>
      <c r="D971" s="3" t="s">
        <v>683</v>
      </c>
      <c r="E971" s="8">
        <v>95981508</v>
      </c>
      <c r="F971" s="2">
        <v>8.2589999999999996E-4</v>
      </c>
      <c r="G971" s="17">
        <f>F971 * VLOOKUP('GASB Data'!A971,Check!$A$2:$F$11,6,FALSE)</f>
        <v>1323835.9358999999</v>
      </c>
    </row>
    <row r="972" spans="1:7" x14ac:dyDescent="0.2">
      <c r="A972">
        <v>2018</v>
      </c>
      <c r="B972" s="3" t="s">
        <v>215</v>
      </c>
      <c r="C972" s="3" t="s">
        <v>902</v>
      </c>
      <c r="D972" s="3" t="s">
        <v>902</v>
      </c>
      <c r="E972" s="8">
        <v>554237286</v>
      </c>
      <c r="F972" s="2">
        <v>4.7694E-3</v>
      </c>
      <c r="G972" s="17">
        <f>F972 * VLOOKUP('GASB Data'!A972,Check!$A$2:$F$11,6,FALSE)</f>
        <v>7644876.0294000003</v>
      </c>
    </row>
    <row r="973" spans="1:7" x14ac:dyDescent="0.2">
      <c r="A973">
        <v>2018</v>
      </c>
      <c r="B973" s="3" t="s">
        <v>216</v>
      </c>
      <c r="C973" s="3" t="s">
        <v>685</v>
      </c>
      <c r="D973" s="3" t="s">
        <v>685</v>
      </c>
      <c r="E973" s="8">
        <v>89992505</v>
      </c>
      <c r="F973" s="2">
        <v>7.7439999999999996E-4</v>
      </c>
      <c r="G973" s="17">
        <f>F973 * VLOOKUP('GASB Data'!A973,Check!$A$2:$F$11,6,FALSE)</f>
        <v>1241286.5344</v>
      </c>
    </row>
    <row r="974" spans="1:7" x14ac:dyDescent="0.2">
      <c r="A974">
        <v>2018</v>
      </c>
      <c r="B974" s="3" t="s">
        <v>217</v>
      </c>
      <c r="C974" s="3" t="s">
        <v>686</v>
      </c>
      <c r="D974" s="3" t="s">
        <v>686</v>
      </c>
      <c r="E974" s="8">
        <v>1993228890</v>
      </c>
      <c r="F974" s="2">
        <v>1.7152299999999999E-2</v>
      </c>
      <c r="G974" s="17">
        <f>F974 * VLOOKUP('GASB Data'!A974,Check!$A$2:$F$11,6,FALSE)</f>
        <v>27493438.822299998</v>
      </c>
    </row>
    <row r="975" spans="1:7" x14ac:dyDescent="0.2">
      <c r="A975">
        <v>2018</v>
      </c>
      <c r="B975" s="3" t="s">
        <v>218</v>
      </c>
      <c r="C975" s="3" t="s">
        <v>687</v>
      </c>
      <c r="D975" s="3" t="s">
        <v>687</v>
      </c>
      <c r="E975" s="8">
        <v>295385556</v>
      </c>
      <c r="F975" s="2">
        <v>2.5419000000000001E-3</v>
      </c>
      <c r="G975" s="17">
        <f>F975 * VLOOKUP('GASB Data'!A975,Check!$A$2:$F$11,6,FALSE)</f>
        <v>4074414.0519000003</v>
      </c>
    </row>
    <row r="976" spans="1:7" x14ac:dyDescent="0.2">
      <c r="A976">
        <v>2018</v>
      </c>
      <c r="B976" s="3" t="s">
        <v>219</v>
      </c>
      <c r="C976" s="3" t="s">
        <v>688</v>
      </c>
      <c r="D976" s="3" t="s">
        <v>688</v>
      </c>
      <c r="E976" s="8">
        <v>186712844</v>
      </c>
      <c r="F976" s="2">
        <v>1.6067E-3</v>
      </c>
      <c r="G976" s="17">
        <f>F976 * VLOOKUP('GASB Data'!A976,Check!$A$2:$F$11,6,FALSE)</f>
        <v>2575381.0367000001</v>
      </c>
    </row>
    <row r="977" spans="1:7" x14ac:dyDescent="0.2">
      <c r="A977">
        <v>2018</v>
      </c>
      <c r="B977" s="3" t="s">
        <v>274</v>
      </c>
      <c r="C977" s="3" t="s">
        <v>689</v>
      </c>
      <c r="D977" s="3" t="s">
        <v>689</v>
      </c>
      <c r="E977" s="8">
        <v>259402801</v>
      </c>
      <c r="F977" s="2">
        <v>2.2322000000000002E-3</v>
      </c>
      <c r="G977" s="17">
        <f>F977 * VLOOKUP('GASB Data'!A977,Check!$A$2:$F$11,6,FALSE)</f>
        <v>3577995.6122000003</v>
      </c>
    </row>
    <row r="978" spans="1:7" x14ac:dyDescent="0.2">
      <c r="A978">
        <v>2018</v>
      </c>
      <c r="B978" s="3" t="s">
        <v>275</v>
      </c>
      <c r="C978" s="3" t="s">
        <v>690</v>
      </c>
      <c r="D978" s="3" t="s">
        <v>690</v>
      </c>
      <c r="E978" s="8">
        <v>763732229</v>
      </c>
      <c r="F978" s="2">
        <v>6.5721E-3</v>
      </c>
      <c r="G978" s="17">
        <f>F978 * VLOOKUP('GASB Data'!A978,Check!$A$2:$F$11,6,FALSE)</f>
        <v>10534425.6621</v>
      </c>
    </row>
    <row r="979" spans="1:7" x14ac:dyDescent="0.2">
      <c r="A979">
        <v>2018</v>
      </c>
      <c r="B979" s="3" t="s">
        <v>276</v>
      </c>
      <c r="C979" s="3" t="s">
        <v>903</v>
      </c>
      <c r="D979" s="3" t="s">
        <v>903</v>
      </c>
      <c r="E979" s="8">
        <v>19510366</v>
      </c>
      <c r="F979" s="2">
        <v>1.6789999999999999E-4</v>
      </c>
      <c r="G979" s="17">
        <f>F979 * VLOOKUP('GASB Data'!A979,Check!$A$2:$F$11,6,FALSE)</f>
        <v>269127.07789999997</v>
      </c>
    </row>
    <row r="980" spans="1:7" x14ac:dyDescent="0.2">
      <c r="A980">
        <v>2018</v>
      </c>
      <c r="B980" s="3" t="s">
        <v>277</v>
      </c>
      <c r="C980" s="3" t="s">
        <v>692</v>
      </c>
      <c r="D980" s="3" t="s">
        <v>692</v>
      </c>
      <c r="E980" s="8">
        <v>108619594</v>
      </c>
      <c r="F980" s="2">
        <v>9.3470000000000001E-4</v>
      </c>
      <c r="G980" s="17">
        <f>F980 * VLOOKUP('GASB Data'!A980,Check!$A$2:$F$11,6,FALSE)</f>
        <v>1498231.5647</v>
      </c>
    </row>
    <row r="981" spans="1:7" x14ac:dyDescent="0.2">
      <c r="A981">
        <v>2018</v>
      </c>
      <c r="B981" s="3" t="s">
        <v>278</v>
      </c>
      <c r="C981" s="3" t="s">
        <v>693</v>
      </c>
      <c r="D981" s="3" t="s">
        <v>693</v>
      </c>
      <c r="E981" s="8">
        <v>141631554</v>
      </c>
      <c r="F981" s="2">
        <v>1.2187999999999999E-3</v>
      </c>
      <c r="G981" s="17">
        <f>F981 * VLOOKUP('GASB Data'!A981,Check!$A$2:$F$11,6,FALSE)</f>
        <v>1953615.7387999999</v>
      </c>
    </row>
    <row r="982" spans="1:7" x14ac:dyDescent="0.2">
      <c r="A982">
        <v>2018</v>
      </c>
      <c r="B982" s="3" t="s">
        <v>279</v>
      </c>
      <c r="C982" s="3" t="s">
        <v>694</v>
      </c>
      <c r="D982" s="3" t="s">
        <v>694</v>
      </c>
      <c r="E982" s="8">
        <v>121941606</v>
      </c>
      <c r="F982" s="2">
        <v>1.0493E-3</v>
      </c>
      <c r="G982" s="17">
        <f>F982 * VLOOKUP('GASB Data'!A982,Check!$A$2:$F$11,6,FALSE)</f>
        <v>1681924.0193</v>
      </c>
    </row>
    <row r="983" spans="1:7" x14ac:dyDescent="0.2">
      <c r="A983">
        <v>2018</v>
      </c>
      <c r="B983" s="3" t="s">
        <v>280</v>
      </c>
      <c r="C983" s="3" t="s">
        <v>695</v>
      </c>
      <c r="D983" s="3" t="s">
        <v>695</v>
      </c>
      <c r="E983" s="8">
        <v>289294258</v>
      </c>
      <c r="F983" s="2">
        <v>2.4895E-3</v>
      </c>
      <c r="G983" s="17">
        <f>F983 * VLOOKUP('GASB Data'!A983,Check!$A$2:$F$11,6,FALSE)</f>
        <v>3990422.0395</v>
      </c>
    </row>
    <row r="984" spans="1:7" x14ac:dyDescent="0.2">
      <c r="A984">
        <v>2018</v>
      </c>
      <c r="B984" s="3" t="s">
        <v>281</v>
      </c>
      <c r="C984" s="3" t="s">
        <v>904</v>
      </c>
      <c r="D984" s="3" t="s">
        <v>904</v>
      </c>
      <c r="E984" s="8">
        <v>8872847</v>
      </c>
      <c r="F984" s="2">
        <v>7.64E-5</v>
      </c>
      <c r="G984" s="17">
        <f>F984 * VLOOKUP('GASB Data'!A984,Check!$A$2:$F$11,6,FALSE)</f>
        <v>122461.6364</v>
      </c>
    </row>
    <row r="985" spans="1:7" x14ac:dyDescent="0.2">
      <c r="A985">
        <v>2018</v>
      </c>
      <c r="B985" s="3" t="s">
        <v>282</v>
      </c>
      <c r="C985" s="3" t="s">
        <v>697</v>
      </c>
      <c r="D985" s="3" t="s">
        <v>697</v>
      </c>
      <c r="E985" s="8">
        <v>35714691</v>
      </c>
      <c r="F985" s="2">
        <v>3.0729999999999999E-4</v>
      </c>
      <c r="G985" s="17">
        <f>F985 * VLOOKUP('GASB Data'!A985,Check!$A$2:$F$11,6,FALSE)</f>
        <v>492571.47729999997</v>
      </c>
    </row>
    <row r="986" spans="1:7" x14ac:dyDescent="0.2">
      <c r="A986">
        <v>2018</v>
      </c>
      <c r="B986" s="3" t="s">
        <v>283</v>
      </c>
      <c r="C986" s="3" t="s">
        <v>698</v>
      </c>
      <c r="D986" s="3" t="s">
        <v>698</v>
      </c>
      <c r="E986" s="8">
        <v>402158623</v>
      </c>
      <c r="F986" s="2">
        <v>3.4607000000000001E-3</v>
      </c>
      <c r="G986" s="17">
        <f>F986 * VLOOKUP('GASB Data'!A986,Check!$A$2:$F$11,6,FALSE)</f>
        <v>5547159.4907</v>
      </c>
    </row>
    <row r="987" spans="1:7" x14ac:dyDescent="0.2">
      <c r="A987">
        <v>2018</v>
      </c>
      <c r="B987" s="3" t="s">
        <v>284</v>
      </c>
      <c r="C987" s="3" t="s">
        <v>699</v>
      </c>
      <c r="D987" s="3" t="s">
        <v>699</v>
      </c>
      <c r="E987" s="8">
        <v>45817028</v>
      </c>
      <c r="F987" s="2">
        <v>3.9429999999999999E-4</v>
      </c>
      <c r="G987" s="17">
        <f>F987 * VLOOKUP('GASB Data'!A987,Check!$A$2:$F$11,6,FALSE)</f>
        <v>632023.86430000002</v>
      </c>
    </row>
    <row r="988" spans="1:7" x14ac:dyDescent="0.2">
      <c r="A988">
        <v>2018</v>
      </c>
      <c r="B988" s="3" t="s">
        <v>285</v>
      </c>
      <c r="C988" s="3" t="s">
        <v>700</v>
      </c>
      <c r="D988" s="3" t="s">
        <v>700</v>
      </c>
      <c r="E988" s="8">
        <v>1772574700</v>
      </c>
      <c r="F988" s="2">
        <v>1.52535E-2</v>
      </c>
      <c r="G988" s="17">
        <f>F988 * VLOOKUP('GASB Data'!A988,Check!$A$2:$F$11,6,FALSE)</f>
        <v>24449850.403499998</v>
      </c>
    </row>
    <row r="989" spans="1:7" x14ac:dyDescent="0.2">
      <c r="A989">
        <v>2018</v>
      </c>
      <c r="B989" s="3" t="s">
        <v>286</v>
      </c>
      <c r="C989" s="3" t="s">
        <v>905</v>
      </c>
      <c r="D989" s="3" t="s">
        <v>905</v>
      </c>
      <c r="E989" s="8">
        <v>30834506</v>
      </c>
      <c r="F989" s="2">
        <v>2.653E-4</v>
      </c>
      <c r="G989" s="17">
        <f>F989 * VLOOKUP('GASB Data'!A989,Check!$A$2:$F$11,6,FALSE)</f>
        <v>425249.63530000002</v>
      </c>
    </row>
    <row r="990" spans="1:7" x14ac:dyDescent="0.2">
      <c r="A990">
        <v>2018</v>
      </c>
      <c r="B990" s="3" t="s">
        <v>287</v>
      </c>
      <c r="C990" s="3" t="s">
        <v>702</v>
      </c>
      <c r="D990" s="3" t="s">
        <v>702</v>
      </c>
      <c r="E990" s="8">
        <v>15712526</v>
      </c>
      <c r="F990" s="2">
        <v>1.3520000000000001E-4</v>
      </c>
      <c r="G990" s="17">
        <f>F990 * VLOOKUP('GASB Data'!A990,Check!$A$2:$F$11,6,FALSE)</f>
        <v>216712.21520000001</v>
      </c>
    </row>
    <row r="991" spans="1:7" x14ac:dyDescent="0.2">
      <c r="A991">
        <v>2018</v>
      </c>
      <c r="B991" s="3" t="s">
        <v>288</v>
      </c>
      <c r="C991" s="3" t="s">
        <v>703</v>
      </c>
      <c r="D991" s="3" t="s">
        <v>703</v>
      </c>
      <c r="E991" s="8">
        <v>48009547</v>
      </c>
      <c r="F991" s="2">
        <v>4.1310000000000001E-4</v>
      </c>
      <c r="G991" s="17">
        <f>F991 * VLOOKUP('GASB Data'!A991,Check!$A$2:$F$11,6,FALSE)</f>
        <v>662158.4031</v>
      </c>
    </row>
    <row r="992" spans="1:7" x14ac:dyDescent="0.2">
      <c r="A992">
        <v>2018</v>
      </c>
      <c r="B992" s="3" t="s">
        <v>289</v>
      </c>
      <c r="C992" s="3" t="s">
        <v>704</v>
      </c>
      <c r="D992" s="3" t="s">
        <v>704</v>
      </c>
      <c r="E992" s="8">
        <v>146305186</v>
      </c>
      <c r="F992" s="2">
        <v>1.2589999999999999E-3</v>
      </c>
      <c r="G992" s="17">
        <f>F992 * VLOOKUP('GASB Data'!A992,Check!$A$2:$F$11,6,FALSE)</f>
        <v>2018052.3589999999</v>
      </c>
    </row>
    <row r="993" spans="1:7" x14ac:dyDescent="0.2">
      <c r="A993">
        <v>2018</v>
      </c>
      <c r="B993" s="3" t="s">
        <v>290</v>
      </c>
      <c r="C993" s="3" t="s">
        <v>705</v>
      </c>
      <c r="D993" s="3" t="s">
        <v>705</v>
      </c>
      <c r="E993" s="8">
        <v>14159552</v>
      </c>
      <c r="F993" s="2">
        <v>1.2180000000000001E-4</v>
      </c>
      <c r="G993" s="17">
        <f>F993 * VLOOKUP('GASB Data'!A993,Check!$A$2:$F$11,6,FALSE)</f>
        <v>195233.34180000002</v>
      </c>
    </row>
    <row r="994" spans="1:7" x14ac:dyDescent="0.2">
      <c r="A994">
        <v>2018</v>
      </c>
      <c r="B994" s="3" t="s">
        <v>291</v>
      </c>
      <c r="C994" s="3" t="s">
        <v>706</v>
      </c>
      <c r="D994" s="3" t="s">
        <v>706</v>
      </c>
      <c r="E994" s="8">
        <v>41011094</v>
      </c>
      <c r="F994" s="2">
        <v>3.5290000000000001E-4</v>
      </c>
      <c r="G994" s="17">
        <f>F994 * VLOOKUP('GASB Data'!A994,Check!$A$2:$F$11,6,FALSE)</f>
        <v>565663.76289999997</v>
      </c>
    </row>
    <row r="995" spans="1:7" x14ac:dyDescent="0.2">
      <c r="A995">
        <v>2018</v>
      </c>
      <c r="B995" s="3" t="s">
        <v>293</v>
      </c>
      <c r="C995" s="3" t="s">
        <v>708</v>
      </c>
      <c r="D995" s="3" t="s">
        <v>708</v>
      </c>
      <c r="E995" s="8">
        <v>12035124</v>
      </c>
      <c r="F995" s="2">
        <v>1.036E-4</v>
      </c>
      <c r="G995" s="17">
        <f>F995 * VLOOKUP('GASB Data'!A995,Check!$A$2:$F$11,6,FALSE)</f>
        <v>166060.5436</v>
      </c>
    </row>
    <row r="996" spans="1:7" x14ac:dyDescent="0.2">
      <c r="A996">
        <v>2018</v>
      </c>
      <c r="B996" s="3" t="s">
        <v>294</v>
      </c>
      <c r="C996" s="3" t="s">
        <v>709</v>
      </c>
      <c r="D996" s="3" t="s">
        <v>709</v>
      </c>
      <c r="E996" s="8">
        <v>267747150</v>
      </c>
      <c r="F996" s="2">
        <v>2.3040000000000001E-3</v>
      </c>
      <c r="G996" s="17">
        <f>F996 * VLOOKUP('GASB Data'!A996,Check!$A$2:$F$11,6,FALSE)</f>
        <v>3693083.9040000001</v>
      </c>
    </row>
    <row r="997" spans="1:7" x14ac:dyDescent="0.2">
      <c r="A997">
        <v>2018</v>
      </c>
      <c r="B997" s="3" t="s">
        <v>295</v>
      </c>
      <c r="C997" s="3" t="s">
        <v>710</v>
      </c>
      <c r="D997" s="3" t="s">
        <v>710</v>
      </c>
      <c r="E997" s="8">
        <v>64357991</v>
      </c>
      <c r="F997" s="2">
        <v>5.5380000000000002E-4</v>
      </c>
      <c r="G997" s="17">
        <f>F997 * VLOOKUP('GASB Data'!A997,Check!$A$2:$F$11,6,FALSE)</f>
        <v>887686.57380000001</v>
      </c>
    </row>
    <row r="998" spans="1:7" x14ac:dyDescent="0.2">
      <c r="A998">
        <v>2018</v>
      </c>
      <c r="B998" s="3" t="s">
        <v>296</v>
      </c>
      <c r="C998" s="3" t="s">
        <v>711</v>
      </c>
      <c r="D998" s="3" t="s">
        <v>711</v>
      </c>
      <c r="E998" s="8">
        <v>2404141577</v>
      </c>
      <c r="F998" s="2">
        <v>2.06883E-2</v>
      </c>
      <c r="G998" s="17">
        <f>F998 * VLOOKUP('GASB Data'!A998,Check!$A$2:$F$11,6,FALSE)</f>
        <v>33161296.758299999</v>
      </c>
    </row>
    <row r="999" spans="1:7" x14ac:dyDescent="0.2">
      <c r="A999">
        <v>2018</v>
      </c>
      <c r="B999" s="3" t="s">
        <v>297</v>
      </c>
      <c r="C999" s="3" t="s">
        <v>712</v>
      </c>
      <c r="D999" s="3" t="s">
        <v>712</v>
      </c>
      <c r="E999" s="8">
        <v>20259603</v>
      </c>
      <c r="F999" s="2">
        <v>1.7430000000000001E-4</v>
      </c>
      <c r="G999" s="17">
        <f>F999 * VLOOKUP('GASB Data'!A999,Check!$A$2:$F$11,6,FALSE)</f>
        <v>279385.64429999999</v>
      </c>
    </row>
    <row r="1000" spans="1:7" x14ac:dyDescent="0.2">
      <c r="A1000">
        <v>2018</v>
      </c>
      <c r="B1000" s="3" t="s">
        <v>298</v>
      </c>
      <c r="C1000" s="3" t="s">
        <v>713</v>
      </c>
      <c r="D1000" s="3" t="s">
        <v>713</v>
      </c>
      <c r="E1000" s="8">
        <v>215259023</v>
      </c>
      <c r="F1000" s="2">
        <v>1.8523999999999999E-3</v>
      </c>
      <c r="G1000" s="17">
        <f>F1000 * VLOOKUP('GASB Data'!A1000,Check!$A$2:$F$11,6,FALSE)</f>
        <v>2969213.8123999997</v>
      </c>
    </row>
    <row r="1001" spans="1:7" x14ac:dyDescent="0.2">
      <c r="A1001">
        <v>2018</v>
      </c>
      <c r="B1001" s="3" t="s">
        <v>299</v>
      </c>
      <c r="C1001" s="3" t="s">
        <v>714</v>
      </c>
      <c r="D1001" s="3" t="s">
        <v>714</v>
      </c>
      <c r="E1001" s="8">
        <v>365363156</v>
      </c>
      <c r="F1001" s="2">
        <v>3.1440000000000001E-3</v>
      </c>
      <c r="G1001" s="17">
        <f>F1001 * VLOOKUP('GASB Data'!A1001,Check!$A$2:$F$11,6,FALSE)</f>
        <v>5039520.7439999999</v>
      </c>
    </row>
    <row r="1002" spans="1:7" x14ac:dyDescent="0.2">
      <c r="A1002">
        <v>2018</v>
      </c>
      <c r="B1002" s="3" t="s">
        <v>300</v>
      </c>
      <c r="C1002" s="3" t="s">
        <v>715</v>
      </c>
      <c r="D1002" s="3" t="s">
        <v>715</v>
      </c>
      <c r="E1002" s="8">
        <v>8797535</v>
      </c>
      <c r="F1002" s="2">
        <v>7.5699999999999997E-5</v>
      </c>
      <c r="G1002" s="17">
        <f>F1002 * VLOOKUP('GASB Data'!A1002,Check!$A$2:$F$11,6,FALSE)</f>
        <v>121339.6057</v>
      </c>
    </row>
    <row r="1003" spans="1:7" x14ac:dyDescent="0.2">
      <c r="A1003">
        <v>2018</v>
      </c>
      <c r="B1003" s="3" t="s">
        <v>301</v>
      </c>
      <c r="C1003" s="3" t="s">
        <v>716</v>
      </c>
      <c r="D1003" s="3" t="s">
        <v>716</v>
      </c>
      <c r="E1003" s="8">
        <v>1307224935</v>
      </c>
      <c r="F1003" s="2">
        <v>1.1249E-2</v>
      </c>
      <c r="G1003" s="17">
        <f>F1003 * VLOOKUP('GASB Data'!A1003,Check!$A$2:$F$11,6,FALSE)</f>
        <v>18031033.348999999</v>
      </c>
    </row>
    <row r="1004" spans="1:7" x14ac:dyDescent="0.2">
      <c r="A1004">
        <v>2018</v>
      </c>
      <c r="B1004" s="3" t="s">
        <v>302</v>
      </c>
      <c r="C1004" s="3" t="s">
        <v>717</v>
      </c>
      <c r="D1004" s="3" t="s">
        <v>717</v>
      </c>
      <c r="E1004" s="8">
        <v>159862058</v>
      </c>
      <c r="F1004" s="2">
        <v>1.3757000000000001E-3</v>
      </c>
      <c r="G1004" s="17">
        <f>F1004 * VLOOKUP('GASB Data'!A1004,Check!$A$2:$F$11,6,FALSE)</f>
        <v>2205110.9057</v>
      </c>
    </row>
    <row r="1005" spans="1:7" x14ac:dyDescent="0.2">
      <c r="A1005">
        <v>2018</v>
      </c>
      <c r="B1005" s="3" t="s">
        <v>303</v>
      </c>
      <c r="C1005" s="3" t="s">
        <v>718</v>
      </c>
      <c r="D1005" s="3" t="s">
        <v>718</v>
      </c>
      <c r="E1005" s="8">
        <v>86692864</v>
      </c>
      <c r="F1005" s="2">
        <v>7.4600000000000003E-4</v>
      </c>
      <c r="G1005" s="17">
        <f>F1005 * VLOOKUP('GASB Data'!A1005,Check!$A$2:$F$11,6,FALSE)</f>
        <v>1195764.1459999999</v>
      </c>
    </row>
    <row r="1006" spans="1:7" x14ac:dyDescent="0.2">
      <c r="A1006">
        <v>2018</v>
      </c>
      <c r="B1006" s="3" t="s">
        <v>304</v>
      </c>
      <c r="C1006" s="3" t="s">
        <v>719</v>
      </c>
      <c r="D1006" s="3" t="s">
        <v>719</v>
      </c>
      <c r="E1006" s="8">
        <v>65331041</v>
      </c>
      <c r="F1006" s="2">
        <v>5.622E-4</v>
      </c>
      <c r="G1006" s="17">
        <f>F1006 * VLOOKUP('GASB Data'!A1006,Check!$A$2:$F$11,6,FALSE)</f>
        <v>901150.94220000005</v>
      </c>
    </row>
    <row r="1007" spans="1:7" x14ac:dyDescent="0.2">
      <c r="A1007">
        <v>2018</v>
      </c>
      <c r="B1007" s="3" t="s">
        <v>305</v>
      </c>
      <c r="C1007" s="3" t="s">
        <v>720</v>
      </c>
      <c r="D1007" s="3" t="s">
        <v>720</v>
      </c>
      <c r="E1007" s="8">
        <v>325123562</v>
      </c>
      <c r="F1007" s="2">
        <v>2.7978E-3</v>
      </c>
      <c r="G1007" s="17">
        <f>F1007 * VLOOKUP('GASB Data'!A1007,Check!$A$2:$F$11,6,FALSE)</f>
        <v>4484596.4177999999</v>
      </c>
    </row>
    <row r="1008" spans="1:7" x14ac:dyDescent="0.2">
      <c r="A1008">
        <v>2018</v>
      </c>
      <c r="B1008" s="3" t="s">
        <v>306</v>
      </c>
      <c r="C1008" s="3" t="s">
        <v>721</v>
      </c>
      <c r="D1008" s="3" t="s">
        <v>721</v>
      </c>
      <c r="E1008" s="8">
        <v>149807040</v>
      </c>
      <c r="F1008" s="2">
        <v>1.2891000000000001E-3</v>
      </c>
      <c r="G1008" s="17">
        <f>F1008 * VLOOKUP('GASB Data'!A1008,Check!$A$2:$F$11,6,FALSE)</f>
        <v>2066299.6791000001</v>
      </c>
    </row>
    <row r="1009" spans="1:7" x14ac:dyDescent="0.2">
      <c r="A1009">
        <v>2018</v>
      </c>
      <c r="B1009" s="3" t="s">
        <v>307</v>
      </c>
      <c r="C1009" s="3" t="s">
        <v>722</v>
      </c>
      <c r="D1009" s="3" t="s">
        <v>722</v>
      </c>
      <c r="E1009" s="8">
        <v>3348350179</v>
      </c>
      <c r="F1009" s="2">
        <v>2.8813399999999999E-2</v>
      </c>
      <c r="G1009" s="17">
        <f>F1009 * VLOOKUP('GASB Data'!A1009,Check!$A$2:$F$11,6,FALSE)</f>
        <v>46185027.6734</v>
      </c>
    </row>
    <row r="1010" spans="1:7" x14ac:dyDescent="0.2">
      <c r="A1010">
        <v>2018</v>
      </c>
      <c r="B1010" s="3" t="s">
        <v>308</v>
      </c>
      <c r="C1010" s="3" t="s">
        <v>723</v>
      </c>
      <c r="D1010" s="3" t="s">
        <v>723</v>
      </c>
      <c r="E1010" s="8">
        <v>272625475</v>
      </c>
      <c r="F1010" s="2">
        <v>2.346E-3</v>
      </c>
      <c r="G1010" s="17">
        <f>F1010 * VLOOKUP('GASB Data'!A1010,Check!$A$2:$F$11,6,FALSE)</f>
        <v>3760405.7459999998</v>
      </c>
    </row>
    <row r="1011" spans="1:7" x14ac:dyDescent="0.2">
      <c r="A1011">
        <v>2018</v>
      </c>
      <c r="B1011" s="3" t="s">
        <v>309</v>
      </c>
      <c r="C1011" s="3" t="s">
        <v>724</v>
      </c>
      <c r="D1011" s="3" t="s">
        <v>724</v>
      </c>
      <c r="E1011" s="8">
        <v>112491007</v>
      </c>
      <c r="F1011" s="2">
        <v>9.68E-4</v>
      </c>
      <c r="G1011" s="17">
        <f>F1011 * VLOOKUP('GASB Data'!A1011,Check!$A$2:$F$11,6,FALSE)</f>
        <v>1551608.1680000001</v>
      </c>
    </row>
    <row r="1012" spans="1:7" x14ac:dyDescent="0.2">
      <c r="A1012">
        <v>2018</v>
      </c>
      <c r="B1012" s="3" t="s">
        <v>310</v>
      </c>
      <c r="C1012" s="3" t="s">
        <v>725</v>
      </c>
      <c r="D1012" s="3" t="s">
        <v>725</v>
      </c>
      <c r="E1012" s="8">
        <v>49377677</v>
      </c>
      <c r="F1012" s="2">
        <v>4.2489999999999997E-4</v>
      </c>
      <c r="G1012" s="17">
        <f>F1012 * VLOOKUP('GASB Data'!A1012,Check!$A$2:$F$11,6,FALSE)</f>
        <v>681072.63489999995</v>
      </c>
    </row>
    <row r="1013" spans="1:7" x14ac:dyDescent="0.2">
      <c r="A1013">
        <v>2018</v>
      </c>
      <c r="B1013" s="3" t="s">
        <v>311</v>
      </c>
      <c r="C1013" s="3" t="s">
        <v>726</v>
      </c>
      <c r="D1013" s="3" t="s">
        <v>726</v>
      </c>
      <c r="E1013" s="8">
        <v>131669695</v>
      </c>
      <c r="F1013" s="2">
        <v>1.1330999999999999E-3</v>
      </c>
      <c r="G1013" s="17">
        <f>F1013 * VLOOKUP('GASB Data'!A1013,Check!$A$2:$F$11,6,FALSE)</f>
        <v>1816247.1231</v>
      </c>
    </row>
    <row r="1014" spans="1:7" x14ac:dyDescent="0.2">
      <c r="A1014">
        <v>2018</v>
      </c>
      <c r="B1014" s="3" t="s">
        <v>312</v>
      </c>
      <c r="C1014" s="3" t="s">
        <v>727</v>
      </c>
      <c r="D1014" s="3" t="s">
        <v>727</v>
      </c>
      <c r="E1014" s="8">
        <v>49150418</v>
      </c>
      <c r="F1014" s="2">
        <v>4.2299999999999998E-4</v>
      </c>
      <c r="G1014" s="17">
        <f>F1014 * VLOOKUP('GASB Data'!A1014,Check!$A$2:$F$11,6,FALSE)</f>
        <v>678027.12300000002</v>
      </c>
    </row>
    <row r="1015" spans="1:7" x14ac:dyDescent="0.2">
      <c r="A1015">
        <v>2018</v>
      </c>
      <c r="B1015" s="3" t="s">
        <v>313</v>
      </c>
      <c r="C1015" s="3" t="s">
        <v>728</v>
      </c>
      <c r="D1015" s="3" t="s">
        <v>728</v>
      </c>
      <c r="E1015" s="8">
        <v>833016993</v>
      </c>
      <c r="F1015" s="2">
        <v>7.1682999999999998E-3</v>
      </c>
      <c r="G1015" s="17">
        <f>F1015 * VLOOKUP('GASB Data'!A1015,Check!$A$2:$F$11,6,FALSE)</f>
        <v>11490075.238299999</v>
      </c>
    </row>
    <row r="1016" spans="1:7" x14ac:dyDescent="0.2">
      <c r="A1016">
        <v>2018</v>
      </c>
      <c r="B1016" s="3" t="s">
        <v>314</v>
      </c>
      <c r="C1016" s="3" t="s">
        <v>729</v>
      </c>
      <c r="D1016" s="3" t="s">
        <v>729</v>
      </c>
      <c r="E1016" s="8">
        <v>324042513</v>
      </c>
      <c r="F1016" s="2">
        <v>2.7885000000000002E-3</v>
      </c>
      <c r="G1016" s="17">
        <f>F1016 * VLOOKUP('GASB Data'!A1016,Check!$A$2:$F$11,6,FALSE)</f>
        <v>4469689.4385000002</v>
      </c>
    </row>
    <row r="1017" spans="1:7" x14ac:dyDescent="0.2">
      <c r="A1017">
        <v>2018</v>
      </c>
      <c r="B1017" s="3" t="s">
        <v>315</v>
      </c>
      <c r="C1017" s="3" t="s">
        <v>730</v>
      </c>
      <c r="D1017" s="3" t="s">
        <v>730</v>
      </c>
      <c r="E1017" s="8">
        <v>65092790</v>
      </c>
      <c r="F1017" s="2">
        <v>5.6010000000000001E-4</v>
      </c>
      <c r="G1017" s="17">
        <f>F1017 * VLOOKUP('GASB Data'!A1017,Check!$A$2:$F$11,6,FALSE)</f>
        <v>897784.85010000004</v>
      </c>
    </row>
    <row r="1018" spans="1:7" x14ac:dyDescent="0.2">
      <c r="A1018">
        <v>2018</v>
      </c>
      <c r="B1018" s="3" t="s">
        <v>316</v>
      </c>
      <c r="C1018" s="3" t="s">
        <v>731</v>
      </c>
      <c r="D1018" s="3" t="s">
        <v>731</v>
      </c>
      <c r="E1018" s="8">
        <v>592171628</v>
      </c>
      <c r="F1018" s="2">
        <v>5.0958000000000002E-3</v>
      </c>
      <c r="G1018" s="17">
        <f>F1018 * VLOOKUP('GASB Data'!A1018,Check!$A$2:$F$11,6,FALSE)</f>
        <v>8168062.9158000005</v>
      </c>
    </row>
    <row r="1019" spans="1:7" x14ac:dyDescent="0.2">
      <c r="A1019">
        <v>2018</v>
      </c>
      <c r="B1019" s="3" t="s">
        <v>317</v>
      </c>
      <c r="C1019" s="3" t="s">
        <v>732</v>
      </c>
      <c r="D1019" s="3" t="s">
        <v>732</v>
      </c>
      <c r="E1019" s="8">
        <v>8134880</v>
      </c>
      <c r="F1019" s="2">
        <v>6.9999999999999994E-5</v>
      </c>
      <c r="G1019" s="17">
        <f>F1019 * VLOOKUP('GASB Data'!A1019,Check!$A$2:$F$11,6,FALSE)</f>
        <v>112203.06999999999</v>
      </c>
    </row>
    <row r="1020" spans="1:7" x14ac:dyDescent="0.2">
      <c r="A1020">
        <v>2018</v>
      </c>
      <c r="B1020" s="3" t="s">
        <v>318</v>
      </c>
      <c r="C1020" s="3" t="s">
        <v>733</v>
      </c>
      <c r="D1020" s="3" t="s">
        <v>733</v>
      </c>
      <c r="E1020" s="8">
        <v>76362585</v>
      </c>
      <c r="F1020" s="2">
        <v>6.5709999999999998E-4</v>
      </c>
      <c r="G1020" s="17">
        <f>F1020 * VLOOKUP('GASB Data'!A1020,Check!$A$2:$F$11,6,FALSE)</f>
        <v>1053266.2471</v>
      </c>
    </row>
    <row r="1021" spans="1:7" x14ac:dyDescent="0.2">
      <c r="A1021">
        <v>2018</v>
      </c>
      <c r="B1021" s="3" t="s">
        <v>319</v>
      </c>
      <c r="C1021" s="3" t="s">
        <v>734</v>
      </c>
      <c r="D1021" s="3" t="s">
        <v>734</v>
      </c>
      <c r="E1021" s="8">
        <v>140492005</v>
      </c>
      <c r="F1021" s="2">
        <v>1.209E-3</v>
      </c>
      <c r="G1021" s="17">
        <f>F1021 * VLOOKUP('GASB Data'!A1021,Check!$A$2:$F$11,6,FALSE)</f>
        <v>1937907.3089999999</v>
      </c>
    </row>
    <row r="1022" spans="1:7" x14ac:dyDescent="0.2">
      <c r="A1022">
        <v>2018</v>
      </c>
      <c r="B1022" s="3" t="s">
        <v>320</v>
      </c>
      <c r="C1022" s="3" t="s">
        <v>735</v>
      </c>
      <c r="D1022" s="3" t="s">
        <v>735</v>
      </c>
      <c r="E1022" s="8">
        <v>27316964</v>
      </c>
      <c r="F1022" s="2">
        <v>2.351E-4</v>
      </c>
      <c r="G1022" s="17">
        <f>F1022 * VLOOKUP('GASB Data'!A1022,Check!$A$2:$F$11,6,FALSE)</f>
        <v>376842.02509999997</v>
      </c>
    </row>
    <row r="1023" spans="1:7" x14ac:dyDescent="0.2">
      <c r="A1023">
        <v>2018</v>
      </c>
      <c r="B1023" s="3" t="s">
        <v>321</v>
      </c>
      <c r="C1023" s="3" t="s">
        <v>736</v>
      </c>
      <c r="D1023" s="3" t="s">
        <v>736</v>
      </c>
      <c r="E1023" s="8">
        <v>385985645</v>
      </c>
      <c r="F1023" s="2">
        <v>3.3214999999999998E-3</v>
      </c>
      <c r="G1023" s="17">
        <f>F1023 * VLOOKUP('GASB Data'!A1023,Check!$A$2:$F$11,6,FALSE)</f>
        <v>5324035.6714999992</v>
      </c>
    </row>
    <row r="1024" spans="1:7" x14ac:dyDescent="0.2">
      <c r="A1024">
        <v>2018</v>
      </c>
      <c r="B1024" s="3" t="s">
        <v>322</v>
      </c>
      <c r="C1024" s="3" t="s">
        <v>737</v>
      </c>
      <c r="D1024" s="3" t="s">
        <v>737</v>
      </c>
      <c r="E1024" s="8">
        <v>44373172</v>
      </c>
      <c r="F1024" s="2">
        <v>3.8180000000000001E-4</v>
      </c>
      <c r="G1024" s="17">
        <f>F1024 * VLOOKUP('GASB Data'!A1024,Check!$A$2:$F$11,6,FALSE)</f>
        <v>611987.60180000006</v>
      </c>
    </row>
    <row r="1025" spans="1:7" x14ac:dyDescent="0.2">
      <c r="A1025">
        <v>2018</v>
      </c>
      <c r="B1025" s="3" t="s">
        <v>323</v>
      </c>
      <c r="C1025" s="3" t="s">
        <v>906</v>
      </c>
      <c r="D1025" s="3" t="s">
        <v>906</v>
      </c>
      <c r="E1025" s="8">
        <v>838544415</v>
      </c>
      <c r="F1025" s="2">
        <v>7.2158999999999999E-3</v>
      </c>
      <c r="G1025" s="17">
        <f>F1025 * VLOOKUP('GASB Data'!A1025,Check!$A$2:$F$11,6,FALSE)</f>
        <v>11566373.3259</v>
      </c>
    </row>
    <row r="1026" spans="1:7" x14ac:dyDescent="0.2">
      <c r="A1026">
        <v>2018</v>
      </c>
      <c r="B1026" s="3" t="s">
        <v>324</v>
      </c>
      <c r="C1026" s="3" t="s">
        <v>907</v>
      </c>
      <c r="D1026" s="3" t="s">
        <v>907</v>
      </c>
      <c r="E1026" s="8">
        <v>22356856</v>
      </c>
      <c r="F1026" s="2">
        <v>1.9239999999999999E-4</v>
      </c>
      <c r="G1026" s="17">
        <f>F1026 * VLOOKUP('GASB Data'!A1026,Check!$A$2:$F$11,6,FALSE)</f>
        <v>308398.15239999996</v>
      </c>
    </row>
    <row r="1027" spans="1:7" x14ac:dyDescent="0.2">
      <c r="A1027">
        <v>2018</v>
      </c>
      <c r="B1027" s="3" t="s">
        <v>325</v>
      </c>
      <c r="C1027" s="3" t="s">
        <v>740</v>
      </c>
      <c r="D1027" s="3" t="s">
        <v>740</v>
      </c>
      <c r="E1027" s="8">
        <v>973916</v>
      </c>
      <c r="F1027" s="2">
        <v>8.3999999999999992E-6</v>
      </c>
      <c r="G1027" s="17">
        <f>F1027 * VLOOKUP('GASB Data'!A1027,Check!$A$2:$F$11,6,FALSE)</f>
        <v>13464.368399999999</v>
      </c>
    </row>
    <row r="1028" spans="1:7" x14ac:dyDescent="0.2">
      <c r="A1028">
        <v>2018</v>
      </c>
      <c r="B1028" s="3" t="s">
        <v>326</v>
      </c>
      <c r="C1028" s="3" t="s">
        <v>741</v>
      </c>
      <c r="D1028" s="3" t="s">
        <v>741</v>
      </c>
      <c r="E1028" s="8">
        <v>81422933</v>
      </c>
      <c r="F1028" s="2">
        <v>7.0069999999999996E-4</v>
      </c>
      <c r="G1028" s="17">
        <f>F1028 * VLOOKUP('GASB Data'!A1028,Check!$A$2:$F$11,6,FALSE)</f>
        <v>1123152.7307</v>
      </c>
    </row>
    <row r="1029" spans="1:7" x14ac:dyDescent="0.2">
      <c r="A1029">
        <v>2018</v>
      </c>
      <c r="B1029" s="3" t="s">
        <v>327</v>
      </c>
      <c r="C1029" s="3" t="s">
        <v>742</v>
      </c>
      <c r="D1029" s="3" t="s">
        <v>742</v>
      </c>
      <c r="E1029" s="8">
        <v>268738218</v>
      </c>
      <c r="F1029" s="2">
        <v>2.3126000000000002E-3</v>
      </c>
      <c r="G1029" s="17">
        <f>F1029 * VLOOKUP('GASB Data'!A1029,Check!$A$2:$F$11,6,FALSE)</f>
        <v>3706868.8526000003</v>
      </c>
    </row>
    <row r="1030" spans="1:7" x14ac:dyDescent="0.2">
      <c r="A1030">
        <v>2018</v>
      </c>
      <c r="B1030" s="3" t="s">
        <v>382</v>
      </c>
      <c r="C1030" s="3" t="s">
        <v>743</v>
      </c>
      <c r="D1030" s="3" t="s">
        <v>743</v>
      </c>
      <c r="E1030" s="8">
        <v>173692751</v>
      </c>
      <c r="F1030" s="2">
        <v>1.4947000000000001E-3</v>
      </c>
      <c r="G1030" s="17">
        <f>F1030 * VLOOKUP('GASB Data'!A1030,Check!$A$2:$F$11,6,FALSE)</f>
        <v>2395856.1247</v>
      </c>
    </row>
    <row r="1031" spans="1:7" x14ac:dyDescent="0.2">
      <c r="A1031">
        <v>2018</v>
      </c>
      <c r="B1031" s="3" t="s">
        <v>383</v>
      </c>
      <c r="C1031" s="3" t="s">
        <v>744</v>
      </c>
      <c r="D1031" s="3" t="s">
        <v>744</v>
      </c>
      <c r="E1031" s="8">
        <v>81579606</v>
      </c>
      <c r="F1031" s="2">
        <v>7.0200000000000004E-4</v>
      </c>
      <c r="G1031" s="17">
        <f>F1031 * VLOOKUP('GASB Data'!A1031,Check!$A$2:$F$11,6,FALSE)</f>
        <v>1125236.5020000001</v>
      </c>
    </row>
    <row r="1032" spans="1:7" x14ac:dyDescent="0.2">
      <c r="A1032">
        <v>2018</v>
      </c>
      <c r="B1032" s="3" t="s">
        <v>384</v>
      </c>
      <c r="C1032" s="3" t="s">
        <v>745</v>
      </c>
      <c r="D1032" s="3" t="s">
        <v>745</v>
      </c>
      <c r="E1032" s="8">
        <v>1568800494</v>
      </c>
      <c r="F1032" s="2">
        <v>1.34999E-2</v>
      </c>
      <c r="G1032" s="17">
        <f>F1032 * VLOOKUP('GASB Data'!A1032,Check!$A$2:$F$11,6,FALSE)</f>
        <v>21639003.209899999</v>
      </c>
    </row>
    <row r="1033" spans="1:7" x14ac:dyDescent="0.2">
      <c r="A1033">
        <v>2018</v>
      </c>
      <c r="B1033" s="3" t="s">
        <v>385</v>
      </c>
      <c r="C1033" s="3" t="s">
        <v>746</v>
      </c>
      <c r="D1033" s="3" t="s">
        <v>746</v>
      </c>
      <c r="E1033" s="8">
        <v>133965890</v>
      </c>
      <c r="F1033" s="2">
        <v>1.1528E-3</v>
      </c>
      <c r="G1033" s="17">
        <f>F1033 * VLOOKUP('GASB Data'!A1033,Check!$A$2:$F$11,6,FALSE)</f>
        <v>1847824.2728000002</v>
      </c>
    </row>
    <row r="1034" spans="1:7" x14ac:dyDescent="0.2">
      <c r="A1034">
        <v>2018</v>
      </c>
      <c r="B1034" s="3" t="s">
        <v>386</v>
      </c>
      <c r="C1034" s="3" t="s">
        <v>747</v>
      </c>
      <c r="D1034" s="3" t="s">
        <v>747</v>
      </c>
      <c r="E1034" s="8">
        <v>34215569</v>
      </c>
      <c r="F1034" s="2">
        <v>2.944E-4</v>
      </c>
      <c r="G1034" s="17">
        <f>F1034 * VLOOKUP('GASB Data'!A1034,Check!$A$2:$F$11,6,FALSE)</f>
        <v>471894.05440000002</v>
      </c>
    </row>
    <row r="1035" spans="1:7" x14ac:dyDescent="0.2">
      <c r="A1035">
        <v>2018</v>
      </c>
      <c r="B1035" s="3" t="s">
        <v>387</v>
      </c>
      <c r="C1035" s="3" t="s">
        <v>748</v>
      </c>
      <c r="D1035" s="3" t="s">
        <v>748</v>
      </c>
      <c r="E1035" s="8">
        <v>65113727</v>
      </c>
      <c r="F1035" s="2">
        <v>5.6030000000000001E-4</v>
      </c>
      <c r="G1035" s="17">
        <f>F1035 * VLOOKUP('GASB Data'!A1035,Check!$A$2:$F$11,6,FALSE)</f>
        <v>898105.43030000001</v>
      </c>
    </row>
    <row r="1036" spans="1:7" x14ac:dyDescent="0.2">
      <c r="A1036">
        <v>2018</v>
      </c>
      <c r="B1036" s="3" t="s">
        <v>388</v>
      </c>
      <c r="C1036" s="3" t="s">
        <v>749</v>
      </c>
      <c r="D1036" s="3" t="s">
        <v>749</v>
      </c>
      <c r="E1036" s="8">
        <v>477980350</v>
      </c>
      <c r="F1036" s="2">
        <v>4.1130999999999997E-3</v>
      </c>
      <c r="G1036" s="17">
        <f>F1036 * VLOOKUP('GASB Data'!A1036,Check!$A$2:$F$11,6,FALSE)</f>
        <v>6592892.1030999999</v>
      </c>
    </row>
    <row r="1037" spans="1:7" x14ac:dyDescent="0.2">
      <c r="A1037">
        <v>2018</v>
      </c>
      <c r="B1037" s="3" t="s">
        <v>389</v>
      </c>
      <c r="C1037" s="3" t="s">
        <v>750</v>
      </c>
      <c r="D1037" s="3" t="s">
        <v>750</v>
      </c>
      <c r="E1037" s="8">
        <v>169907419</v>
      </c>
      <c r="F1037" s="2">
        <v>1.4621E-3</v>
      </c>
      <c r="G1037" s="17">
        <f>F1037 * VLOOKUP('GASB Data'!A1037,Check!$A$2:$F$11,6,FALSE)</f>
        <v>2343601.5521</v>
      </c>
    </row>
    <row r="1038" spans="1:7" x14ac:dyDescent="0.2">
      <c r="A1038">
        <v>2018</v>
      </c>
      <c r="B1038" s="3" t="s">
        <v>390</v>
      </c>
      <c r="C1038" s="3" t="s">
        <v>751</v>
      </c>
      <c r="D1038" s="3" t="s">
        <v>751</v>
      </c>
      <c r="E1038" s="8">
        <v>346558917</v>
      </c>
      <c r="F1038" s="2">
        <v>2.9822E-3</v>
      </c>
      <c r="G1038" s="17">
        <f>F1038 * VLOOKUP('GASB Data'!A1038,Check!$A$2:$F$11,6,FALSE)</f>
        <v>4780171.3622000003</v>
      </c>
    </row>
    <row r="1039" spans="1:7" x14ac:dyDescent="0.2">
      <c r="A1039">
        <v>2018</v>
      </c>
      <c r="B1039" s="3" t="s">
        <v>391</v>
      </c>
      <c r="C1039" s="3" t="s">
        <v>752</v>
      </c>
      <c r="D1039" s="3" t="s">
        <v>752</v>
      </c>
      <c r="E1039" s="8">
        <v>3749245</v>
      </c>
      <c r="F1039" s="2">
        <v>3.2299999999999999E-5</v>
      </c>
      <c r="G1039" s="17">
        <f>F1039 * VLOOKUP('GASB Data'!A1039,Check!$A$2:$F$11,6,FALSE)</f>
        <v>51773.702299999997</v>
      </c>
    </row>
    <row r="1040" spans="1:7" x14ac:dyDescent="0.2">
      <c r="A1040">
        <v>2018</v>
      </c>
      <c r="B1040" s="3" t="s">
        <v>392</v>
      </c>
      <c r="C1040" s="3" t="s">
        <v>753</v>
      </c>
      <c r="D1040" s="3" t="s">
        <v>753</v>
      </c>
      <c r="E1040" s="8">
        <v>117163081</v>
      </c>
      <c r="F1040" s="2">
        <v>1.0081999999999999E-3</v>
      </c>
      <c r="G1040" s="17">
        <f>F1040 * VLOOKUP('GASB Data'!A1040,Check!$A$2:$F$11,6,FALSE)</f>
        <v>1616044.7881999998</v>
      </c>
    </row>
    <row r="1041" spans="1:7" x14ac:dyDescent="0.2">
      <c r="A1041">
        <v>2018</v>
      </c>
      <c r="B1041" s="3" t="s">
        <v>393</v>
      </c>
      <c r="C1041" s="3" t="s">
        <v>754</v>
      </c>
      <c r="D1041" s="3" t="s">
        <v>754</v>
      </c>
      <c r="E1041" s="8">
        <v>473755563</v>
      </c>
      <c r="F1041" s="2">
        <v>4.0768000000000002E-3</v>
      </c>
      <c r="G1041" s="17">
        <f>F1041 * VLOOKUP('GASB Data'!A1041,Check!$A$2:$F$11,6,FALSE)</f>
        <v>6534706.7968000006</v>
      </c>
    </row>
    <row r="1042" spans="1:7" x14ac:dyDescent="0.2">
      <c r="A1042">
        <v>2018</v>
      </c>
      <c r="B1042" s="3" t="s">
        <v>394</v>
      </c>
      <c r="C1042" s="3" t="s">
        <v>755</v>
      </c>
      <c r="D1042" s="3" t="s">
        <v>755</v>
      </c>
      <c r="E1042" s="8">
        <v>203757406</v>
      </c>
      <c r="F1042" s="2">
        <v>1.7534E-3</v>
      </c>
      <c r="G1042" s="17">
        <f>F1042 * VLOOKUP('GASB Data'!A1042,Check!$A$2:$F$11,6,FALSE)</f>
        <v>2810526.6134000001</v>
      </c>
    </row>
    <row r="1043" spans="1:7" x14ac:dyDescent="0.2">
      <c r="A1043">
        <v>2018</v>
      </c>
      <c r="B1043" s="3" t="s">
        <v>395</v>
      </c>
      <c r="C1043" s="3" t="s">
        <v>756</v>
      </c>
      <c r="D1043" s="3" t="s">
        <v>756</v>
      </c>
      <c r="E1043" s="8">
        <v>109484786</v>
      </c>
      <c r="F1043" s="2">
        <v>9.4209999999999997E-4</v>
      </c>
      <c r="G1043" s="17">
        <f>F1043 * VLOOKUP('GASB Data'!A1043,Check!$A$2:$F$11,6,FALSE)</f>
        <v>1510093.0321</v>
      </c>
    </row>
    <row r="1044" spans="1:7" x14ac:dyDescent="0.2">
      <c r="A1044">
        <v>2018</v>
      </c>
      <c r="B1044" s="3" t="s">
        <v>396</v>
      </c>
      <c r="C1044" s="3" t="s">
        <v>757</v>
      </c>
      <c r="D1044" s="3" t="s">
        <v>757</v>
      </c>
      <c r="E1044" s="8">
        <v>148261044</v>
      </c>
      <c r="F1044" s="2">
        <v>1.2757999999999999E-3</v>
      </c>
      <c r="G1044" s="17">
        <f>F1044 * VLOOKUP('GASB Data'!A1044,Check!$A$2:$F$11,6,FALSE)</f>
        <v>2044981.0957999998</v>
      </c>
    </row>
    <row r="1045" spans="1:7" x14ac:dyDescent="0.2">
      <c r="A1045">
        <v>2018</v>
      </c>
      <c r="B1045" s="3" t="s">
        <v>397</v>
      </c>
      <c r="C1045" s="3" t="s">
        <v>758</v>
      </c>
      <c r="D1045" s="3" t="s">
        <v>758</v>
      </c>
      <c r="E1045" s="8">
        <v>28270580</v>
      </c>
      <c r="F1045" s="2">
        <v>2.433E-4</v>
      </c>
      <c r="G1045" s="17">
        <f>F1045 * VLOOKUP('GASB Data'!A1045,Check!$A$2:$F$11,6,FALSE)</f>
        <v>389985.81329999998</v>
      </c>
    </row>
    <row r="1046" spans="1:7" x14ac:dyDescent="0.2">
      <c r="A1046">
        <v>2018</v>
      </c>
      <c r="B1046" s="3" t="s">
        <v>398</v>
      </c>
      <c r="C1046" s="3" t="s">
        <v>759</v>
      </c>
      <c r="D1046" s="3" t="s">
        <v>759</v>
      </c>
      <c r="E1046" s="8">
        <v>289753330</v>
      </c>
      <c r="F1046" s="2">
        <v>2.4933999999999998E-3</v>
      </c>
      <c r="G1046" s="17">
        <f>F1046 * VLOOKUP('GASB Data'!A1046,Check!$A$2:$F$11,6,FALSE)</f>
        <v>3996673.3533999994</v>
      </c>
    </row>
    <row r="1047" spans="1:7" x14ac:dyDescent="0.2">
      <c r="A1047">
        <v>2018</v>
      </c>
      <c r="B1047" s="3" t="s">
        <v>399</v>
      </c>
      <c r="C1047" s="3" t="s">
        <v>760</v>
      </c>
      <c r="D1047" s="3" t="s">
        <v>760</v>
      </c>
      <c r="E1047" s="8">
        <v>36634635</v>
      </c>
      <c r="F1047" s="2">
        <v>3.1530000000000002E-4</v>
      </c>
      <c r="G1047" s="17">
        <f>F1047 * VLOOKUP('GASB Data'!A1047,Check!$A$2:$F$11,6,FALSE)</f>
        <v>505394.68530000001</v>
      </c>
    </row>
    <row r="1048" spans="1:7" x14ac:dyDescent="0.2">
      <c r="A1048">
        <v>2018</v>
      </c>
      <c r="B1048" s="3" t="s">
        <v>400</v>
      </c>
      <c r="C1048" s="3" t="s">
        <v>761</v>
      </c>
      <c r="D1048" s="3" t="s">
        <v>761</v>
      </c>
      <c r="E1048" s="8">
        <v>7006926479</v>
      </c>
      <c r="F1048" s="2">
        <v>6.0296500000000003E-2</v>
      </c>
      <c r="G1048" s="17">
        <f>F1048 * VLOOKUP('GASB Data'!A1048,Check!$A$2:$F$11,6,FALSE)</f>
        <v>96649320.146500006</v>
      </c>
    </row>
    <row r="1049" spans="1:7" x14ac:dyDescent="0.2">
      <c r="A1049">
        <v>2018</v>
      </c>
      <c r="B1049" s="3" t="s">
        <v>403</v>
      </c>
      <c r="C1049" s="3" t="s">
        <v>764</v>
      </c>
      <c r="D1049" s="3" t="s">
        <v>764</v>
      </c>
      <c r="E1049" s="8">
        <v>49744822</v>
      </c>
      <c r="F1049" s="2">
        <v>4.281E-4</v>
      </c>
      <c r="G1049" s="17">
        <f>F1049 * VLOOKUP('GASB Data'!A1049,Check!$A$2:$F$11,6,FALSE)</f>
        <v>686201.91810000001</v>
      </c>
    </row>
    <row r="1050" spans="1:7" x14ac:dyDescent="0.2">
      <c r="A1050">
        <v>2018</v>
      </c>
      <c r="B1050" s="3" t="s">
        <v>404</v>
      </c>
      <c r="C1050" s="3" t="s">
        <v>908</v>
      </c>
      <c r="D1050" s="3" t="s">
        <v>908</v>
      </c>
      <c r="E1050" s="8">
        <v>29527563</v>
      </c>
      <c r="F1050" s="2">
        <v>2.541E-4</v>
      </c>
      <c r="G1050" s="17">
        <f>F1050 * VLOOKUP('GASB Data'!A1050,Check!$A$2:$F$11,6,FALSE)</f>
        <v>407297.14409999998</v>
      </c>
    </row>
    <row r="1051" spans="1:7" x14ac:dyDescent="0.2">
      <c r="A1051">
        <v>2018</v>
      </c>
      <c r="B1051" s="3" t="s">
        <v>405</v>
      </c>
      <c r="C1051" s="3" t="s">
        <v>766</v>
      </c>
      <c r="D1051" s="3" t="s">
        <v>766</v>
      </c>
      <c r="E1051" s="8">
        <v>584274412</v>
      </c>
      <c r="F1051" s="2">
        <v>5.0277999999999998E-3</v>
      </c>
      <c r="G1051" s="17">
        <f>F1051 * VLOOKUP('GASB Data'!A1051,Check!$A$2:$F$11,6,FALSE)</f>
        <v>8059065.6477999995</v>
      </c>
    </row>
    <row r="1052" spans="1:7" x14ac:dyDescent="0.2">
      <c r="A1052">
        <v>2018</v>
      </c>
      <c r="B1052" s="3" t="s">
        <v>406</v>
      </c>
      <c r="C1052" s="3" t="s">
        <v>767</v>
      </c>
      <c r="D1052" s="3" t="s">
        <v>767</v>
      </c>
      <c r="E1052" s="8">
        <v>75078123</v>
      </c>
      <c r="F1052" s="2">
        <v>6.4610000000000004E-4</v>
      </c>
      <c r="G1052" s="17">
        <f>F1052 * VLOOKUP('GASB Data'!A1052,Check!$A$2:$F$11,6,FALSE)</f>
        <v>1035634.3361000001</v>
      </c>
    </row>
    <row r="1053" spans="1:7" x14ac:dyDescent="0.2">
      <c r="A1053">
        <v>2018</v>
      </c>
      <c r="B1053" s="3" t="s">
        <v>407</v>
      </c>
      <c r="C1053" s="3" t="s">
        <v>768</v>
      </c>
      <c r="D1053" s="3" t="s">
        <v>768</v>
      </c>
      <c r="E1053" s="8">
        <v>23562256</v>
      </c>
      <c r="F1053" s="2">
        <v>2.028E-4</v>
      </c>
      <c r="G1053" s="17">
        <f>F1053 * VLOOKUP('GASB Data'!A1053,Check!$A$2:$F$11,6,FALSE)</f>
        <v>325068.32279999997</v>
      </c>
    </row>
    <row r="1054" spans="1:7" x14ac:dyDescent="0.2">
      <c r="A1054">
        <v>2018</v>
      </c>
      <c r="B1054" s="3" t="s">
        <v>408</v>
      </c>
      <c r="C1054" s="3" t="s">
        <v>769</v>
      </c>
      <c r="D1054" s="3" t="s">
        <v>769</v>
      </c>
      <c r="E1054" s="8">
        <v>67016595</v>
      </c>
      <c r="F1054" s="2">
        <v>5.7669999999999998E-4</v>
      </c>
      <c r="G1054" s="17">
        <f>F1054 * VLOOKUP('GASB Data'!A1054,Check!$A$2:$F$11,6,FALSE)</f>
        <v>924393.00669999991</v>
      </c>
    </row>
    <row r="1055" spans="1:7" x14ac:dyDescent="0.2">
      <c r="A1055">
        <v>2018</v>
      </c>
      <c r="B1055" s="3" t="s">
        <v>409</v>
      </c>
      <c r="C1055" s="3" t="s">
        <v>770</v>
      </c>
      <c r="D1055" s="3" t="s">
        <v>770</v>
      </c>
      <c r="E1055" s="8">
        <v>15013124</v>
      </c>
      <c r="F1055" s="2">
        <v>1.292E-4</v>
      </c>
      <c r="G1055" s="17">
        <f>F1055 * VLOOKUP('GASB Data'!A1055,Check!$A$2:$F$11,6,FALSE)</f>
        <v>207094.80919999999</v>
      </c>
    </row>
    <row r="1056" spans="1:7" x14ac:dyDescent="0.2">
      <c r="A1056">
        <v>2018</v>
      </c>
      <c r="B1056" s="3" t="s">
        <v>410</v>
      </c>
      <c r="C1056" s="3" t="s">
        <v>771</v>
      </c>
      <c r="D1056" s="3" t="s">
        <v>771</v>
      </c>
      <c r="E1056" s="8">
        <v>84841557</v>
      </c>
      <c r="F1056" s="2">
        <v>7.3010000000000002E-4</v>
      </c>
      <c r="G1056" s="17">
        <f>F1056 * VLOOKUP('GASB Data'!A1056,Check!$A$2:$F$11,6,FALSE)</f>
        <v>1170278.0201000001</v>
      </c>
    </row>
    <row r="1057" spans="1:7" x14ac:dyDescent="0.2">
      <c r="A1057">
        <v>2018</v>
      </c>
      <c r="B1057" s="3" t="s">
        <v>411</v>
      </c>
      <c r="C1057" s="3" t="s">
        <v>772</v>
      </c>
      <c r="D1057" s="3" t="s">
        <v>772</v>
      </c>
      <c r="E1057" s="8">
        <v>30638899</v>
      </c>
      <c r="F1057" s="2">
        <v>2.6370000000000001E-4</v>
      </c>
      <c r="G1057" s="17">
        <f>F1057 * VLOOKUP('GASB Data'!A1057,Check!$A$2:$F$11,6,FALSE)</f>
        <v>422684.99369999999</v>
      </c>
    </row>
    <row r="1058" spans="1:7" x14ac:dyDescent="0.2">
      <c r="A1058">
        <v>2018</v>
      </c>
      <c r="B1058" s="3" t="s">
        <v>412</v>
      </c>
      <c r="C1058" s="3" t="s">
        <v>773</v>
      </c>
      <c r="D1058" s="3" t="s">
        <v>773</v>
      </c>
      <c r="E1058" s="8">
        <v>46112621</v>
      </c>
      <c r="F1058" s="2">
        <v>3.968E-4</v>
      </c>
      <c r="G1058" s="17">
        <f>F1058 * VLOOKUP('GASB Data'!A1058,Check!$A$2:$F$11,6,FALSE)</f>
        <v>636031.11679999996</v>
      </c>
    </row>
    <row r="1059" spans="1:7" x14ac:dyDescent="0.2">
      <c r="A1059">
        <v>2018</v>
      </c>
      <c r="B1059" s="3" t="s">
        <v>413</v>
      </c>
      <c r="C1059" s="3" t="s">
        <v>774</v>
      </c>
      <c r="D1059" s="3" t="s">
        <v>774</v>
      </c>
      <c r="E1059" s="8">
        <v>184389703</v>
      </c>
      <c r="F1059" s="2">
        <v>1.5866999999999999E-3</v>
      </c>
      <c r="G1059" s="17">
        <f>F1059 * VLOOKUP('GASB Data'!A1059,Check!$A$2:$F$11,6,FALSE)</f>
        <v>2543323.0167</v>
      </c>
    </row>
    <row r="1060" spans="1:7" x14ac:dyDescent="0.2">
      <c r="A1060">
        <v>2018</v>
      </c>
      <c r="B1060" s="3" t="s">
        <v>414</v>
      </c>
      <c r="C1060" s="3" t="s">
        <v>775</v>
      </c>
      <c r="D1060" s="3" t="s">
        <v>775</v>
      </c>
      <c r="E1060" s="8">
        <v>34008475</v>
      </c>
      <c r="F1060" s="2">
        <v>2.9270000000000001E-4</v>
      </c>
      <c r="G1060" s="17">
        <f>F1060 * VLOOKUP('GASB Data'!A1060,Check!$A$2:$F$11,6,FALSE)</f>
        <v>469169.12270000001</v>
      </c>
    </row>
    <row r="1061" spans="1:7" x14ac:dyDescent="0.2">
      <c r="A1061">
        <v>2018</v>
      </c>
      <c r="B1061" s="3" t="s">
        <v>415</v>
      </c>
      <c r="C1061" s="3" t="s">
        <v>776</v>
      </c>
      <c r="D1061" s="3" t="s">
        <v>776</v>
      </c>
      <c r="E1061" s="8">
        <v>576293587</v>
      </c>
      <c r="F1061" s="2">
        <v>4.9592000000000004E-3</v>
      </c>
      <c r="G1061" s="17">
        <f>F1061 * VLOOKUP('GASB Data'!A1061,Check!$A$2:$F$11,6,FALSE)</f>
        <v>7949106.639200001</v>
      </c>
    </row>
    <row r="1062" spans="1:7" x14ac:dyDescent="0.2">
      <c r="A1062">
        <v>2018</v>
      </c>
      <c r="B1062" s="3" t="s">
        <v>416</v>
      </c>
      <c r="C1062" s="3" t="s">
        <v>777</v>
      </c>
      <c r="D1062" s="3" t="s">
        <v>777</v>
      </c>
      <c r="E1062" s="8">
        <v>9749829</v>
      </c>
      <c r="F1062" s="2">
        <v>8.3900000000000006E-5</v>
      </c>
      <c r="G1062" s="17">
        <f>F1062 * VLOOKUP('GASB Data'!A1062,Check!$A$2:$F$11,6,FALSE)</f>
        <v>134483.39390000002</v>
      </c>
    </row>
    <row r="1063" spans="1:7" x14ac:dyDescent="0.2">
      <c r="A1063">
        <v>2018</v>
      </c>
      <c r="B1063" s="3" t="s">
        <v>417</v>
      </c>
      <c r="C1063" s="3" t="s">
        <v>778</v>
      </c>
      <c r="D1063" s="3" t="s">
        <v>778</v>
      </c>
      <c r="E1063" s="8">
        <v>14690358</v>
      </c>
      <c r="F1063" s="2">
        <v>1.2640000000000001E-4</v>
      </c>
      <c r="G1063" s="17">
        <f>F1063 * VLOOKUP('GASB Data'!A1063,Check!$A$2:$F$11,6,FALSE)</f>
        <v>202606.68640000001</v>
      </c>
    </row>
    <row r="1064" spans="1:7" x14ac:dyDescent="0.2">
      <c r="A1064">
        <v>2018</v>
      </c>
      <c r="B1064" s="3" t="s">
        <v>927</v>
      </c>
      <c r="C1064" s="3" t="s">
        <v>926</v>
      </c>
      <c r="D1064" s="3" t="s">
        <v>926</v>
      </c>
      <c r="E1064" s="8">
        <v>20344274</v>
      </c>
      <c r="F1064" s="2">
        <v>1.751E-4</v>
      </c>
      <c r="G1064" s="17">
        <f>F1064 * VLOOKUP('GASB Data'!A1064,Check!$A$2:$F$11,6,FALSE)</f>
        <v>280667.96509999997</v>
      </c>
    </row>
    <row r="1065" spans="1:7" x14ac:dyDescent="0.2">
      <c r="A1065">
        <v>2018</v>
      </c>
      <c r="B1065" s="3" t="s">
        <v>418</v>
      </c>
      <c r="C1065" s="3" t="s">
        <v>779</v>
      </c>
      <c r="D1065" s="3" t="s">
        <v>779</v>
      </c>
      <c r="E1065" s="8">
        <v>110416183</v>
      </c>
      <c r="F1065" s="2">
        <v>9.502E-4</v>
      </c>
      <c r="G1065" s="17">
        <f>F1065 * VLOOKUP('GASB Data'!A1065,Check!$A$2:$F$11,6,FALSE)</f>
        <v>1523076.5301999999</v>
      </c>
    </row>
    <row r="1066" spans="1:7" x14ac:dyDescent="0.2">
      <c r="A1066">
        <v>2018</v>
      </c>
      <c r="B1066" s="3" t="s">
        <v>419</v>
      </c>
      <c r="C1066" s="3" t="s">
        <v>780</v>
      </c>
      <c r="D1066" s="3" t="s">
        <v>780</v>
      </c>
      <c r="E1066" s="8">
        <v>639197025</v>
      </c>
      <c r="F1066" s="2">
        <v>5.5005000000000002E-3</v>
      </c>
      <c r="G1066" s="17">
        <f>F1066 * VLOOKUP('GASB Data'!A1066,Check!$A$2:$F$11,6,FALSE)</f>
        <v>8816756.9505000003</v>
      </c>
    </row>
    <row r="1067" spans="1:7" x14ac:dyDescent="0.2">
      <c r="A1067">
        <v>2018</v>
      </c>
      <c r="B1067" s="3" t="s">
        <v>420</v>
      </c>
      <c r="C1067" s="3" t="s">
        <v>781</v>
      </c>
      <c r="D1067" s="3" t="s">
        <v>781</v>
      </c>
      <c r="E1067" s="8">
        <v>104737489</v>
      </c>
      <c r="F1067" s="2">
        <v>9.0129999999999995E-4</v>
      </c>
      <c r="G1067" s="17">
        <f>F1067 * VLOOKUP('GASB Data'!A1067,Check!$A$2:$F$11,6,FALSE)</f>
        <v>1444694.6712999998</v>
      </c>
    </row>
    <row r="1068" spans="1:7" x14ac:dyDescent="0.2">
      <c r="A1068">
        <v>2018</v>
      </c>
      <c r="B1068" s="3" t="s">
        <v>421</v>
      </c>
      <c r="C1068" s="3" t="s">
        <v>782</v>
      </c>
      <c r="D1068" s="3" t="s">
        <v>782</v>
      </c>
      <c r="E1068" s="8">
        <v>1288330932</v>
      </c>
      <c r="F1068" s="2">
        <v>1.10864E-2</v>
      </c>
      <c r="G1068" s="17">
        <f>F1068 * VLOOKUP('GASB Data'!A1068,Check!$A$2:$F$11,6,FALSE)</f>
        <v>17770401.646400001</v>
      </c>
    </row>
    <row r="1069" spans="1:7" x14ac:dyDescent="0.2">
      <c r="A1069">
        <v>2018</v>
      </c>
      <c r="B1069" s="3" t="s">
        <v>422</v>
      </c>
      <c r="C1069" s="3" t="s">
        <v>910</v>
      </c>
      <c r="D1069" s="3" t="s">
        <v>910</v>
      </c>
      <c r="E1069" s="8">
        <v>16740135</v>
      </c>
      <c r="F1069" s="2">
        <v>1.4410000000000001E-4</v>
      </c>
      <c r="G1069" s="17">
        <f>F1069 * VLOOKUP('GASB Data'!A1069,Check!$A$2:$F$11,6,FALSE)</f>
        <v>230978.03410000002</v>
      </c>
    </row>
    <row r="1070" spans="1:7" x14ac:dyDescent="0.2">
      <c r="A1070">
        <v>2018</v>
      </c>
      <c r="B1070" s="3" t="s">
        <v>423</v>
      </c>
      <c r="C1070" s="3" t="s">
        <v>784</v>
      </c>
      <c r="D1070" s="3" t="s">
        <v>784</v>
      </c>
      <c r="E1070" s="8">
        <v>5933985</v>
      </c>
      <c r="F1070" s="2">
        <v>5.1100000000000002E-5</v>
      </c>
      <c r="G1070" s="17">
        <f>F1070 * VLOOKUP('GASB Data'!A1070,Check!$A$2:$F$11,6,FALSE)</f>
        <v>81908.241099999999</v>
      </c>
    </row>
    <row r="1071" spans="1:7" x14ac:dyDescent="0.2">
      <c r="A1071">
        <v>2018</v>
      </c>
      <c r="B1071" s="3" t="s">
        <v>424</v>
      </c>
      <c r="C1071" s="3" t="s">
        <v>785</v>
      </c>
      <c r="D1071" s="3" t="s">
        <v>785</v>
      </c>
      <c r="E1071" s="8">
        <v>250277169</v>
      </c>
      <c r="F1071" s="2">
        <v>2.1537000000000001E-3</v>
      </c>
      <c r="G1071" s="17">
        <f>F1071 * VLOOKUP('GASB Data'!A1071,Check!$A$2:$F$11,6,FALSE)</f>
        <v>3452167.8837000001</v>
      </c>
    </row>
    <row r="1072" spans="1:7" x14ac:dyDescent="0.2">
      <c r="A1072">
        <v>2018</v>
      </c>
      <c r="B1072" s="3" t="s">
        <v>425</v>
      </c>
      <c r="C1072" s="3" t="s">
        <v>786</v>
      </c>
      <c r="D1072" s="3" t="s">
        <v>786</v>
      </c>
      <c r="E1072" s="8">
        <v>89155771</v>
      </c>
      <c r="F1072" s="2">
        <v>7.672E-4</v>
      </c>
      <c r="G1072" s="17">
        <f>F1072 * VLOOKUP('GASB Data'!A1072,Check!$A$2:$F$11,6,FALSE)</f>
        <v>1229745.6472</v>
      </c>
    </row>
    <row r="1073" spans="1:7" x14ac:dyDescent="0.2">
      <c r="A1073">
        <v>2018</v>
      </c>
      <c r="B1073" s="3" t="s">
        <v>426</v>
      </c>
      <c r="C1073" s="3" t="s">
        <v>787</v>
      </c>
      <c r="D1073" s="3" t="s">
        <v>787</v>
      </c>
      <c r="E1073" s="8">
        <v>55165875</v>
      </c>
      <c r="F1073" s="2">
        <v>4.7469999999999999E-4</v>
      </c>
      <c r="G1073" s="17">
        <f>F1073 * VLOOKUP('GASB Data'!A1073,Check!$A$2:$F$11,6,FALSE)</f>
        <v>760897.10470000003</v>
      </c>
    </row>
    <row r="1074" spans="1:7" x14ac:dyDescent="0.2">
      <c r="A1074">
        <v>2018</v>
      </c>
      <c r="B1074" s="3" t="s">
        <v>427</v>
      </c>
      <c r="C1074" s="3" t="s">
        <v>788</v>
      </c>
      <c r="D1074" s="3" t="s">
        <v>788</v>
      </c>
      <c r="E1074" s="8">
        <v>1094742624</v>
      </c>
      <c r="F1074" s="2">
        <v>9.4205999999999995E-3</v>
      </c>
      <c r="G1074" s="17">
        <f>F1074 * VLOOKUP('GASB Data'!A1074,Check!$A$2:$F$11,6,FALSE)</f>
        <v>15100289.160599999</v>
      </c>
    </row>
    <row r="1075" spans="1:7" x14ac:dyDescent="0.2">
      <c r="A1075">
        <v>2018</v>
      </c>
      <c r="B1075" s="3" t="s">
        <v>428</v>
      </c>
      <c r="C1075" s="3" t="s">
        <v>789</v>
      </c>
      <c r="D1075" s="3" t="s">
        <v>789</v>
      </c>
      <c r="E1075" s="8">
        <v>3851383</v>
      </c>
      <c r="F1075" s="2">
        <v>3.3099999999999998E-5</v>
      </c>
      <c r="G1075" s="17">
        <f>F1075 * VLOOKUP('GASB Data'!A1075,Check!$A$2:$F$11,6,FALSE)</f>
        <v>53056.023099999999</v>
      </c>
    </row>
    <row r="1076" spans="1:7" x14ac:dyDescent="0.2">
      <c r="A1076">
        <v>2018</v>
      </c>
      <c r="B1076" s="3" t="s">
        <v>429</v>
      </c>
      <c r="C1076" s="3" t="s">
        <v>790</v>
      </c>
      <c r="D1076" s="3" t="s">
        <v>790</v>
      </c>
      <c r="E1076" s="8">
        <v>129991462</v>
      </c>
      <c r="F1076" s="2">
        <v>1.1186E-3</v>
      </c>
      <c r="G1076" s="17">
        <f>F1076 * VLOOKUP('GASB Data'!A1076,Check!$A$2:$F$11,6,FALSE)</f>
        <v>1793005.0585999999</v>
      </c>
    </row>
    <row r="1077" spans="1:7" x14ac:dyDescent="0.2">
      <c r="A1077">
        <v>2018</v>
      </c>
      <c r="B1077" s="3" t="s">
        <v>430</v>
      </c>
      <c r="C1077" s="3" t="s">
        <v>791</v>
      </c>
      <c r="D1077" s="3" t="s">
        <v>791</v>
      </c>
      <c r="E1077" s="8">
        <v>411228942</v>
      </c>
      <c r="F1077" s="2">
        <v>3.5387000000000001E-3</v>
      </c>
      <c r="G1077" s="17">
        <f>F1077 * VLOOKUP('GASB Data'!A1077,Check!$A$2:$F$11,6,FALSE)</f>
        <v>5672185.7686999999</v>
      </c>
    </row>
    <row r="1078" spans="1:7" x14ac:dyDescent="0.2">
      <c r="A1078">
        <v>2018</v>
      </c>
      <c r="B1078" s="3" t="s">
        <v>432</v>
      </c>
      <c r="C1078" s="3" t="s">
        <v>792</v>
      </c>
      <c r="D1078" s="3" t="s">
        <v>792</v>
      </c>
      <c r="E1078" s="8">
        <v>23372605</v>
      </c>
      <c r="F1078" s="2">
        <v>2.0110000000000001E-4</v>
      </c>
      <c r="G1078" s="17">
        <f>F1078 * VLOOKUP('GASB Data'!A1078,Check!$A$2:$F$11,6,FALSE)</f>
        <v>322343.39110000001</v>
      </c>
    </row>
    <row r="1079" spans="1:7" x14ac:dyDescent="0.2">
      <c r="A1079">
        <v>2018</v>
      </c>
      <c r="B1079" s="3" t="s">
        <v>433</v>
      </c>
      <c r="C1079" s="3" t="s">
        <v>911</v>
      </c>
      <c r="D1079" s="3" t="s">
        <v>911</v>
      </c>
      <c r="E1079" s="8">
        <v>777545751</v>
      </c>
      <c r="F1079" s="2">
        <v>6.6909999999999999E-3</v>
      </c>
      <c r="G1079" s="17">
        <f>F1079 * VLOOKUP('GASB Data'!A1079,Check!$A$2:$F$11,6,FALSE)</f>
        <v>10725010.591</v>
      </c>
    </row>
    <row r="1080" spans="1:7" x14ac:dyDescent="0.2">
      <c r="A1080">
        <v>2018</v>
      </c>
      <c r="B1080" s="3" t="s">
        <v>434</v>
      </c>
      <c r="C1080" s="3" t="s">
        <v>794</v>
      </c>
      <c r="D1080" s="3" t="s">
        <v>794</v>
      </c>
      <c r="E1080" s="8">
        <v>74311713</v>
      </c>
      <c r="F1080" s="2">
        <v>6.3949999999999999E-4</v>
      </c>
      <c r="G1080" s="17">
        <f>F1080 * VLOOKUP('GASB Data'!A1080,Check!$A$2:$F$11,6,FALSE)</f>
        <v>1025055.1895</v>
      </c>
    </row>
    <row r="1081" spans="1:7" x14ac:dyDescent="0.2">
      <c r="A1081">
        <v>2018</v>
      </c>
      <c r="B1081" s="3" t="s">
        <v>435</v>
      </c>
      <c r="C1081" s="3" t="s">
        <v>795</v>
      </c>
      <c r="D1081" s="3" t="s">
        <v>795</v>
      </c>
      <c r="E1081" s="8">
        <v>27621670</v>
      </c>
      <c r="F1081" s="2">
        <v>2.377E-4</v>
      </c>
      <c r="G1081" s="17">
        <f>F1081 * VLOOKUP('GASB Data'!A1081,Check!$A$2:$F$11,6,FALSE)</f>
        <v>381009.56770000001</v>
      </c>
    </row>
    <row r="1082" spans="1:7" x14ac:dyDescent="0.2">
      <c r="A1082">
        <v>2018</v>
      </c>
      <c r="B1082" s="3" t="s">
        <v>490</v>
      </c>
      <c r="C1082" s="3" t="s">
        <v>796</v>
      </c>
      <c r="D1082" s="3" t="s">
        <v>796</v>
      </c>
      <c r="E1082" s="8">
        <v>26233652</v>
      </c>
      <c r="F1082" s="2">
        <v>2.2570000000000001E-4</v>
      </c>
      <c r="G1082" s="17">
        <f>F1082 * VLOOKUP('GASB Data'!A1082,Check!$A$2:$F$11,6,FALSE)</f>
        <v>361774.75570000004</v>
      </c>
    </row>
    <row r="1083" spans="1:7" x14ac:dyDescent="0.2">
      <c r="A1083">
        <v>2018</v>
      </c>
      <c r="B1083" s="3" t="s">
        <v>491</v>
      </c>
      <c r="C1083" s="3" t="s">
        <v>797</v>
      </c>
      <c r="D1083" s="3" t="s">
        <v>797</v>
      </c>
      <c r="E1083" s="8">
        <v>254053484</v>
      </c>
      <c r="F1083" s="2">
        <v>2.1862000000000001E-3</v>
      </c>
      <c r="G1083" s="17">
        <f>F1083 * VLOOKUP('GASB Data'!A1083,Check!$A$2:$F$11,6,FALSE)</f>
        <v>3504262.1662000003</v>
      </c>
    </row>
    <row r="1084" spans="1:7" x14ac:dyDescent="0.2">
      <c r="A1084">
        <v>2018</v>
      </c>
      <c r="B1084" s="3" t="s">
        <v>850</v>
      </c>
      <c r="C1084" s="3" t="s">
        <v>913</v>
      </c>
      <c r="D1084" s="3" t="s">
        <v>913</v>
      </c>
      <c r="E1084" s="8">
        <v>12998130</v>
      </c>
      <c r="F1084" s="2">
        <v>1.119E-4</v>
      </c>
      <c r="G1084" s="17">
        <f>F1084 * VLOOKUP('GASB Data'!A1084,Check!$A$2:$F$11,6,FALSE)</f>
        <v>179364.6219</v>
      </c>
    </row>
    <row r="1085" spans="1:7" x14ac:dyDescent="0.2">
      <c r="A1085">
        <v>2018</v>
      </c>
      <c r="B1085" s="3" t="s">
        <v>492</v>
      </c>
      <c r="C1085" s="3" t="s">
        <v>799</v>
      </c>
      <c r="D1085" s="3" t="s">
        <v>799</v>
      </c>
      <c r="E1085" s="8">
        <v>60613084</v>
      </c>
      <c r="F1085" s="2">
        <v>5.2159999999999999E-4</v>
      </c>
      <c r="G1085" s="17">
        <f>F1085 * VLOOKUP('GASB Data'!A1085,Check!$A$2:$F$11,6,FALSE)</f>
        <v>836073.16159999999</v>
      </c>
    </row>
    <row r="1086" spans="1:7" x14ac:dyDescent="0.2">
      <c r="A1086">
        <v>2018</v>
      </c>
      <c r="B1086" s="3" t="s">
        <v>493</v>
      </c>
      <c r="C1086" s="3" t="s">
        <v>800</v>
      </c>
      <c r="D1086" s="3" t="s">
        <v>800</v>
      </c>
      <c r="E1086" s="8">
        <v>380021253</v>
      </c>
      <c r="F1086" s="2">
        <v>3.2702E-3</v>
      </c>
      <c r="G1086" s="17">
        <f>F1086 * VLOOKUP('GASB Data'!A1086,Check!$A$2:$F$11,6,FALSE)</f>
        <v>5241806.8502000002</v>
      </c>
    </row>
    <row r="1087" spans="1:7" x14ac:dyDescent="0.2">
      <c r="A1087">
        <v>2018</v>
      </c>
      <c r="B1087" s="3" t="s">
        <v>494</v>
      </c>
      <c r="C1087" s="3" t="s">
        <v>801</v>
      </c>
      <c r="D1087" s="3" t="s">
        <v>801</v>
      </c>
      <c r="E1087" s="8">
        <v>79736289</v>
      </c>
      <c r="F1087" s="2">
        <v>6.8619999999999998E-4</v>
      </c>
      <c r="G1087" s="17">
        <f>F1087 * VLOOKUP('GASB Data'!A1087,Check!$A$2:$F$11,6,FALSE)</f>
        <v>1099910.6661999999</v>
      </c>
    </row>
    <row r="1088" spans="1:7" x14ac:dyDescent="0.2">
      <c r="A1088">
        <v>2018</v>
      </c>
      <c r="B1088" s="3" t="s">
        <v>495</v>
      </c>
      <c r="C1088" s="3" t="s">
        <v>802</v>
      </c>
      <c r="D1088" s="3" t="s">
        <v>802</v>
      </c>
      <c r="E1088" s="8">
        <v>225672257</v>
      </c>
      <c r="F1088" s="2">
        <v>1.9419999999999999E-3</v>
      </c>
      <c r="G1088" s="17">
        <f>F1088 * VLOOKUP('GASB Data'!A1088,Check!$A$2:$F$11,6,FALSE)</f>
        <v>3112833.7420000001</v>
      </c>
    </row>
    <row r="1089" spans="1:7" x14ac:dyDescent="0.2">
      <c r="A1089">
        <v>2018</v>
      </c>
      <c r="B1089" s="3" t="s">
        <v>496</v>
      </c>
      <c r="C1089" s="3" t="s">
        <v>803</v>
      </c>
      <c r="D1089" s="3" t="s">
        <v>803</v>
      </c>
      <c r="E1089" s="8">
        <v>24678847</v>
      </c>
      <c r="F1089" s="2">
        <v>2.1240000000000001E-4</v>
      </c>
      <c r="G1089" s="17">
        <f>F1089 * VLOOKUP('GASB Data'!A1089,Check!$A$2:$F$11,6,FALSE)</f>
        <v>340456.17240000004</v>
      </c>
    </row>
    <row r="1090" spans="1:7" x14ac:dyDescent="0.2">
      <c r="A1090">
        <v>2018</v>
      </c>
      <c r="B1090" s="3" t="s">
        <v>497</v>
      </c>
      <c r="C1090" s="3" t="s">
        <v>804</v>
      </c>
      <c r="D1090" s="3" t="s">
        <v>804</v>
      </c>
      <c r="E1090" s="8">
        <v>55195238</v>
      </c>
      <c r="F1090" s="2">
        <v>4.75E-4</v>
      </c>
      <c r="G1090" s="17">
        <f>F1090 * VLOOKUP('GASB Data'!A1090,Check!$A$2:$F$11,6,FALSE)</f>
        <v>761377.97499999998</v>
      </c>
    </row>
    <row r="1091" spans="1:7" x14ac:dyDescent="0.2">
      <c r="A1091">
        <v>2018</v>
      </c>
      <c r="B1091" s="3" t="s">
        <v>498</v>
      </c>
      <c r="C1091" s="3" t="s">
        <v>805</v>
      </c>
      <c r="D1091" s="3" t="s">
        <v>805</v>
      </c>
      <c r="E1091" s="8">
        <v>1048490209</v>
      </c>
      <c r="F1091" s="2">
        <v>9.0224999999999993E-3</v>
      </c>
      <c r="G1091" s="17">
        <f>F1091 * VLOOKUP('GASB Data'!A1091,Check!$A$2:$F$11,6,FALSE)</f>
        <v>14462174.272499999</v>
      </c>
    </row>
    <row r="1092" spans="1:7" x14ac:dyDescent="0.2">
      <c r="A1092">
        <v>2018</v>
      </c>
      <c r="B1092" s="3" t="s">
        <v>499</v>
      </c>
      <c r="C1092" s="3" t="s">
        <v>806</v>
      </c>
      <c r="D1092" s="3" t="s">
        <v>806</v>
      </c>
      <c r="E1092" s="8">
        <v>237033907</v>
      </c>
      <c r="F1092" s="2">
        <v>2.0397000000000002E-3</v>
      </c>
      <c r="G1092" s="17">
        <f>F1092 * VLOOKUP('GASB Data'!A1092,Check!$A$2:$F$11,6,FALSE)</f>
        <v>3269437.1697000004</v>
      </c>
    </row>
    <row r="1093" spans="1:7" x14ac:dyDescent="0.2">
      <c r="A1093">
        <v>2018</v>
      </c>
      <c r="B1093" s="3" t="s">
        <v>500</v>
      </c>
      <c r="C1093" s="3" t="s">
        <v>807</v>
      </c>
      <c r="D1093" s="3" t="s">
        <v>807</v>
      </c>
      <c r="E1093" s="8">
        <v>115910943</v>
      </c>
      <c r="F1093" s="2">
        <v>9.9740000000000007E-4</v>
      </c>
      <c r="G1093" s="17">
        <f>F1093 * VLOOKUP('GASB Data'!A1093,Check!$A$2:$F$11,6,FALSE)</f>
        <v>1598733.4574000002</v>
      </c>
    </row>
    <row r="1094" spans="1:7" x14ac:dyDescent="0.2">
      <c r="A1094">
        <v>2018</v>
      </c>
      <c r="B1094" s="3" t="s">
        <v>501</v>
      </c>
      <c r="C1094" s="3" t="s">
        <v>808</v>
      </c>
      <c r="D1094" s="3" t="s">
        <v>808</v>
      </c>
      <c r="E1094" s="8">
        <v>718043918</v>
      </c>
      <c r="F1094" s="2">
        <v>6.1789999999999996E-3</v>
      </c>
      <c r="G1094" s="17">
        <f>F1094 * VLOOKUP('GASB Data'!A1094,Check!$A$2:$F$11,6,FALSE)</f>
        <v>9904325.2789999992</v>
      </c>
    </row>
    <row r="1095" spans="1:7" x14ac:dyDescent="0.2">
      <c r="A1095">
        <v>2018</v>
      </c>
      <c r="B1095" s="3" t="s">
        <v>502</v>
      </c>
      <c r="C1095" s="3" t="s">
        <v>809</v>
      </c>
      <c r="D1095" s="3" t="s">
        <v>809</v>
      </c>
      <c r="E1095" s="8">
        <v>35662720</v>
      </c>
      <c r="F1095" s="2">
        <v>3.0689999999999998E-4</v>
      </c>
      <c r="G1095" s="17">
        <f>F1095 * VLOOKUP('GASB Data'!A1095,Check!$A$2:$F$11,6,FALSE)</f>
        <v>491930.31689999998</v>
      </c>
    </row>
    <row r="1096" spans="1:7" x14ac:dyDescent="0.2">
      <c r="A1096">
        <v>2018</v>
      </c>
      <c r="B1096" s="3" t="s">
        <v>503</v>
      </c>
      <c r="C1096" s="3" t="s">
        <v>810</v>
      </c>
      <c r="D1096" s="3" t="s">
        <v>810</v>
      </c>
      <c r="E1096" s="8">
        <v>90138086</v>
      </c>
      <c r="F1096" s="2">
        <v>7.7570000000000004E-4</v>
      </c>
      <c r="G1096" s="17">
        <f>F1096 * VLOOKUP('GASB Data'!A1096,Check!$A$2:$F$11,6,FALSE)</f>
        <v>1243370.3057000001</v>
      </c>
    </row>
    <row r="1097" spans="1:7" x14ac:dyDescent="0.2">
      <c r="A1097">
        <v>2018</v>
      </c>
      <c r="B1097" s="3" t="s">
        <v>504</v>
      </c>
      <c r="C1097" s="3" t="s">
        <v>811</v>
      </c>
      <c r="D1097" s="3" t="s">
        <v>811</v>
      </c>
      <c r="E1097" s="8">
        <v>221390491</v>
      </c>
      <c r="F1097" s="2">
        <v>1.9051000000000001E-3</v>
      </c>
      <c r="G1097" s="17">
        <f>F1097 * VLOOKUP('GASB Data'!A1097,Check!$A$2:$F$11,6,FALSE)</f>
        <v>3053686.6951000001</v>
      </c>
    </row>
    <row r="1098" spans="1:7" x14ac:dyDescent="0.2">
      <c r="A1098">
        <v>2018</v>
      </c>
      <c r="B1098" s="3" t="s">
        <v>505</v>
      </c>
      <c r="C1098" s="3" t="s">
        <v>812</v>
      </c>
      <c r="D1098" s="3" t="s">
        <v>812</v>
      </c>
      <c r="E1098" s="8">
        <v>305059138</v>
      </c>
      <c r="F1098" s="2">
        <v>2.6251E-3</v>
      </c>
      <c r="G1098" s="17">
        <f>F1098 * VLOOKUP('GASB Data'!A1098,Check!$A$2:$F$11,6,FALSE)</f>
        <v>4207775.4150999999</v>
      </c>
    </row>
    <row r="1099" spans="1:7" x14ac:dyDescent="0.2">
      <c r="A1099">
        <v>2018</v>
      </c>
      <c r="B1099" s="3" t="s">
        <v>506</v>
      </c>
      <c r="C1099" s="3" t="s">
        <v>813</v>
      </c>
      <c r="D1099" s="3" t="s">
        <v>813</v>
      </c>
      <c r="E1099" s="8">
        <v>96480133</v>
      </c>
      <c r="F1099" s="2">
        <v>8.3020000000000001E-4</v>
      </c>
      <c r="G1099" s="17">
        <f>F1099 * VLOOKUP('GASB Data'!A1099,Check!$A$2:$F$11,6,FALSE)</f>
        <v>1330728.4102</v>
      </c>
    </row>
    <row r="1100" spans="1:7" x14ac:dyDescent="0.2">
      <c r="A1100">
        <v>2018</v>
      </c>
      <c r="B1100" s="3" t="s">
        <v>507</v>
      </c>
      <c r="C1100" s="3" t="s">
        <v>814</v>
      </c>
      <c r="D1100" s="3" t="s">
        <v>814</v>
      </c>
      <c r="E1100" s="8">
        <v>971403573</v>
      </c>
      <c r="F1100" s="2">
        <v>8.3592000000000007E-3</v>
      </c>
      <c r="G1100" s="17">
        <f>F1100 * VLOOKUP('GASB Data'!A1100,Check!$A$2:$F$11,6,FALSE)</f>
        <v>13398970.0392</v>
      </c>
    </row>
    <row r="1101" spans="1:7" x14ac:dyDescent="0.2">
      <c r="A1101">
        <v>2018</v>
      </c>
      <c r="B1101" s="3" t="s">
        <v>508</v>
      </c>
      <c r="C1101" s="3" t="s">
        <v>815</v>
      </c>
      <c r="D1101" s="3" t="s">
        <v>815</v>
      </c>
      <c r="E1101" s="8">
        <v>7595676</v>
      </c>
      <c r="F1101" s="2">
        <v>6.5400000000000004E-5</v>
      </c>
      <c r="G1101" s="17">
        <f>F1101 * VLOOKUP('GASB Data'!A1101,Check!$A$2:$F$11,6,FALSE)</f>
        <v>104829.72540000001</v>
      </c>
    </row>
    <row r="1102" spans="1:7" x14ac:dyDescent="0.2">
      <c r="A1102">
        <v>2018</v>
      </c>
      <c r="B1102" s="3" t="s">
        <v>509</v>
      </c>
      <c r="C1102" s="3" t="s">
        <v>816</v>
      </c>
      <c r="D1102" s="3" t="s">
        <v>816</v>
      </c>
      <c r="E1102" s="8">
        <v>70212133</v>
      </c>
      <c r="F1102" s="2">
        <v>6.0420000000000005E-4</v>
      </c>
      <c r="G1102" s="17">
        <f>F1102 * VLOOKUP('GASB Data'!A1102,Check!$A$2:$F$11,6,FALSE)</f>
        <v>968472.78420000011</v>
      </c>
    </row>
    <row r="1103" spans="1:7" x14ac:dyDescent="0.2">
      <c r="A1103">
        <v>2018</v>
      </c>
      <c r="B1103" s="3" t="s">
        <v>510</v>
      </c>
      <c r="C1103" s="3" t="s">
        <v>817</v>
      </c>
      <c r="D1103" s="3" t="s">
        <v>817</v>
      </c>
      <c r="E1103" s="8">
        <v>491822955</v>
      </c>
      <c r="F1103" s="2">
        <v>4.2322999999999996E-3</v>
      </c>
      <c r="G1103" s="17">
        <f>F1103 * VLOOKUP('GASB Data'!A1103,Check!$A$2:$F$11,6,FALSE)</f>
        <v>6783957.9022999993</v>
      </c>
    </row>
    <row r="1104" spans="1:7" x14ac:dyDescent="0.2">
      <c r="A1104">
        <v>2018</v>
      </c>
      <c r="B1104" s="3" t="s">
        <v>511</v>
      </c>
      <c r="C1104" s="3" t="s">
        <v>818</v>
      </c>
      <c r="D1104" s="3" t="s">
        <v>818</v>
      </c>
      <c r="E1104" s="8">
        <v>9661806</v>
      </c>
      <c r="F1104" s="2">
        <v>8.3100000000000001E-5</v>
      </c>
      <c r="G1104" s="17">
        <f>F1104 * VLOOKUP('GASB Data'!A1104,Check!$A$2:$F$11,6,FALSE)</f>
        <v>133201.07310000001</v>
      </c>
    </row>
    <row r="1105" spans="1:7" x14ac:dyDescent="0.2">
      <c r="A1105">
        <v>2018</v>
      </c>
      <c r="B1105" s="3" t="s">
        <v>512</v>
      </c>
      <c r="C1105" s="3" t="s">
        <v>819</v>
      </c>
      <c r="D1105" s="3" t="s">
        <v>819</v>
      </c>
      <c r="E1105" s="8">
        <v>55115012</v>
      </c>
      <c r="F1105" s="2">
        <v>4.7429999999999998E-4</v>
      </c>
      <c r="G1105" s="17">
        <f>F1105 * VLOOKUP('GASB Data'!A1105,Check!$A$2:$F$11,6,FALSE)</f>
        <v>760255.94429999997</v>
      </c>
    </row>
    <row r="1106" spans="1:7" x14ac:dyDescent="0.2">
      <c r="A1106">
        <v>2018</v>
      </c>
      <c r="B1106" s="3" t="s">
        <v>513</v>
      </c>
      <c r="C1106" s="3" t="s">
        <v>820</v>
      </c>
      <c r="D1106" s="3" t="s">
        <v>820</v>
      </c>
      <c r="E1106" s="8">
        <v>842683751</v>
      </c>
      <c r="F1106" s="2">
        <v>7.2515000000000001E-3</v>
      </c>
      <c r="G1106" s="17">
        <f>F1106 * VLOOKUP('GASB Data'!A1106,Check!$A$2:$F$11,6,FALSE)</f>
        <v>11623436.601500001</v>
      </c>
    </row>
    <row r="1107" spans="1:7" x14ac:dyDescent="0.2">
      <c r="A1107">
        <v>2018</v>
      </c>
      <c r="B1107" s="3" t="s">
        <v>514</v>
      </c>
      <c r="C1107" s="3" t="s">
        <v>821</v>
      </c>
      <c r="D1107" s="3" t="s">
        <v>821</v>
      </c>
      <c r="E1107" s="8">
        <v>157761604</v>
      </c>
      <c r="F1107" s="2">
        <v>1.3576E-3</v>
      </c>
      <c r="G1107" s="17">
        <f>F1107 * VLOOKUP('GASB Data'!A1107,Check!$A$2:$F$11,6,FALSE)</f>
        <v>2176098.3976000003</v>
      </c>
    </row>
    <row r="1108" spans="1:7" x14ac:dyDescent="0.2">
      <c r="A1108">
        <v>2018</v>
      </c>
      <c r="B1108" s="3" t="s">
        <v>515</v>
      </c>
      <c r="C1108" s="3" t="s">
        <v>822</v>
      </c>
      <c r="D1108" s="3" t="s">
        <v>822</v>
      </c>
      <c r="E1108" s="8">
        <v>378291263</v>
      </c>
      <c r="F1108" s="2">
        <v>3.2553E-3</v>
      </c>
      <c r="G1108" s="17">
        <f>F1108 * VLOOKUP('GASB Data'!A1108,Check!$A$2:$F$11,6,FALSE)</f>
        <v>5217923.6253000004</v>
      </c>
    </row>
    <row r="1109" spans="1:7" x14ac:dyDescent="0.2">
      <c r="A1109">
        <v>2018</v>
      </c>
      <c r="B1109" s="3" t="s">
        <v>516</v>
      </c>
      <c r="C1109" s="3" t="s">
        <v>823</v>
      </c>
      <c r="D1109" s="3" t="s">
        <v>823</v>
      </c>
      <c r="E1109" s="8">
        <v>74244408</v>
      </c>
      <c r="F1109" s="2">
        <v>6.3889999999999997E-4</v>
      </c>
      <c r="G1109" s="17">
        <f>F1109 * VLOOKUP('GASB Data'!A1109,Check!$A$2:$F$11,6,FALSE)</f>
        <v>1024093.4489</v>
      </c>
    </row>
    <row r="1110" spans="1:7" x14ac:dyDescent="0.2">
      <c r="A1110">
        <v>2018</v>
      </c>
      <c r="B1110" s="3" t="s">
        <v>517</v>
      </c>
      <c r="C1110" s="3" t="s">
        <v>824</v>
      </c>
      <c r="D1110" s="3" t="s">
        <v>824</v>
      </c>
      <c r="E1110" s="8">
        <v>356563036</v>
      </c>
      <c r="F1110" s="2">
        <v>3.0682999999999999E-3</v>
      </c>
      <c r="G1110" s="17">
        <f>F1110 * VLOOKUP('GASB Data'!A1110,Check!$A$2:$F$11,6,FALSE)</f>
        <v>4918181.1382999998</v>
      </c>
    </row>
    <row r="1111" spans="1:7" x14ac:dyDescent="0.2">
      <c r="A1111">
        <v>2018</v>
      </c>
      <c r="B1111" s="3" t="s">
        <v>518</v>
      </c>
      <c r="C1111" s="3" t="s">
        <v>825</v>
      </c>
      <c r="D1111" s="3" t="s">
        <v>825</v>
      </c>
      <c r="E1111" s="8">
        <v>51822435</v>
      </c>
      <c r="F1111" s="2">
        <v>4.459E-4</v>
      </c>
      <c r="G1111" s="17">
        <f>F1111 * VLOOKUP('GASB Data'!A1111,Check!$A$2:$F$11,6,FALSE)</f>
        <v>714733.55590000004</v>
      </c>
    </row>
    <row r="1112" spans="1:7" x14ac:dyDescent="0.2">
      <c r="A1112">
        <v>2018</v>
      </c>
      <c r="B1112" s="3" t="s">
        <v>519</v>
      </c>
      <c r="C1112" s="3" t="s">
        <v>826</v>
      </c>
      <c r="D1112" s="3" t="s">
        <v>826</v>
      </c>
      <c r="E1112" s="8">
        <v>138299686</v>
      </c>
      <c r="F1112" s="2">
        <v>1.1900999999999999E-3</v>
      </c>
      <c r="G1112" s="17">
        <f>F1112 * VLOOKUP('GASB Data'!A1112,Check!$A$2:$F$11,6,FALSE)</f>
        <v>1907612.4800999998</v>
      </c>
    </row>
    <row r="1113" spans="1:7" x14ac:dyDescent="0.2">
      <c r="A1113">
        <v>2018</v>
      </c>
      <c r="B1113" s="3" t="s">
        <v>520</v>
      </c>
      <c r="C1113" s="3" t="s">
        <v>827</v>
      </c>
      <c r="D1113" s="3" t="s">
        <v>827</v>
      </c>
      <c r="E1113" s="8">
        <v>283930465</v>
      </c>
      <c r="F1113" s="2">
        <v>2.4432999999999998E-3</v>
      </c>
      <c r="G1113" s="17">
        <f>F1113 * VLOOKUP('GASB Data'!A1113,Check!$A$2:$F$11,6,FALSE)</f>
        <v>3916368.0132999998</v>
      </c>
    </row>
    <row r="1114" spans="1:7" x14ac:dyDescent="0.2">
      <c r="A1114">
        <v>2018</v>
      </c>
      <c r="B1114" s="3" t="s">
        <v>521</v>
      </c>
      <c r="C1114" s="3" t="s">
        <v>828</v>
      </c>
      <c r="D1114" s="3" t="s">
        <v>828</v>
      </c>
      <c r="E1114" s="8">
        <v>348140754</v>
      </c>
      <c r="F1114" s="2">
        <v>2.9957999999999999E-3</v>
      </c>
      <c r="G1114" s="17">
        <f>F1114 * VLOOKUP('GASB Data'!A1114,Check!$A$2:$F$11,6,FALSE)</f>
        <v>4801970.8158</v>
      </c>
    </row>
    <row r="1115" spans="1:7" x14ac:dyDescent="0.2">
      <c r="A1115">
        <v>2018</v>
      </c>
      <c r="B1115" s="3" t="s">
        <v>522</v>
      </c>
      <c r="C1115" s="3" t="s">
        <v>829</v>
      </c>
      <c r="D1115" s="3" t="s">
        <v>829</v>
      </c>
      <c r="E1115" s="8">
        <v>23445449</v>
      </c>
      <c r="F1115" s="2">
        <v>2.018E-4</v>
      </c>
      <c r="G1115" s="17">
        <f>F1115 * VLOOKUP('GASB Data'!A1115,Check!$A$2:$F$11,6,FALSE)</f>
        <v>323465.42180000001</v>
      </c>
    </row>
    <row r="1116" spans="1:7" x14ac:dyDescent="0.2">
      <c r="A1116">
        <v>2018</v>
      </c>
      <c r="B1116" s="3" t="s">
        <v>523</v>
      </c>
      <c r="C1116" s="3" t="s">
        <v>830</v>
      </c>
      <c r="D1116" s="3" t="s">
        <v>830</v>
      </c>
      <c r="E1116" s="8">
        <v>95162714</v>
      </c>
      <c r="F1116" s="2">
        <v>8.1890000000000001E-4</v>
      </c>
      <c r="G1116" s="17">
        <f>F1116 * VLOOKUP('GASB Data'!A1116,Check!$A$2:$F$11,6,FALSE)</f>
        <v>1312615.6289000001</v>
      </c>
    </row>
    <row r="1117" spans="1:7" x14ac:dyDescent="0.2">
      <c r="A1117">
        <v>2018</v>
      </c>
      <c r="B1117" s="3" t="s">
        <v>524</v>
      </c>
      <c r="C1117" s="3" t="s">
        <v>831</v>
      </c>
      <c r="D1117" s="3" t="s">
        <v>831</v>
      </c>
      <c r="E1117" s="8">
        <v>269099011</v>
      </c>
      <c r="F1117" s="2">
        <v>2.3157E-3</v>
      </c>
      <c r="G1117" s="17">
        <f>F1117 * VLOOKUP('GASB Data'!A1117,Check!$A$2:$F$11,6,FALSE)</f>
        <v>3711837.8456999999</v>
      </c>
    </row>
    <row r="1118" spans="1:7" x14ac:dyDescent="0.2">
      <c r="A1118">
        <v>2018</v>
      </c>
      <c r="B1118" s="3" t="s">
        <v>525</v>
      </c>
      <c r="C1118" s="3" t="s">
        <v>832</v>
      </c>
      <c r="D1118" s="3" t="s">
        <v>832</v>
      </c>
      <c r="E1118" s="8">
        <v>345526484</v>
      </c>
      <c r="F1118" s="2">
        <v>2.9732999999999999E-3</v>
      </c>
      <c r="G1118" s="17">
        <f>F1118 * VLOOKUP('GASB Data'!A1118,Check!$A$2:$F$11,6,FALSE)</f>
        <v>4765905.5433</v>
      </c>
    </row>
    <row r="1119" spans="1:7" x14ac:dyDescent="0.2">
      <c r="A1119">
        <v>2018</v>
      </c>
      <c r="B1119" s="3" t="s">
        <v>526</v>
      </c>
      <c r="C1119" s="3" t="s">
        <v>833</v>
      </c>
      <c r="D1119" s="3" t="s">
        <v>833</v>
      </c>
      <c r="E1119" s="8">
        <v>4758321</v>
      </c>
      <c r="F1119" s="2">
        <v>4.0899999999999998E-5</v>
      </c>
      <c r="G1119" s="17">
        <f>F1119 * VLOOKUP('GASB Data'!A1119,Check!$A$2:$F$11,6,FALSE)</f>
        <v>65558.650899999993</v>
      </c>
    </row>
    <row r="1120" spans="1:7" x14ac:dyDescent="0.2">
      <c r="A1120">
        <v>2018</v>
      </c>
      <c r="B1120" s="3" t="s">
        <v>527</v>
      </c>
      <c r="C1120" s="3" t="s">
        <v>834</v>
      </c>
      <c r="D1120" s="3" t="s">
        <v>834</v>
      </c>
      <c r="E1120" s="8">
        <v>29629714</v>
      </c>
      <c r="F1120" s="2">
        <v>2.5500000000000002E-4</v>
      </c>
      <c r="G1120" s="17">
        <f>F1120 * VLOOKUP('GASB Data'!A1120,Check!$A$2:$F$11,6,FALSE)</f>
        <v>408739.755</v>
      </c>
    </row>
    <row r="1121" spans="1:7" x14ac:dyDescent="0.2">
      <c r="A1121">
        <v>2018</v>
      </c>
      <c r="B1121" s="3" t="s">
        <v>528</v>
      </c>
      <c r="C1121" s="3" t="s">
        <v>835</v>
      </c>
      <c r="D1121" s="3" t="s">
        <v>835</v>
      </c>
      <c r="E1121" s="8">
        <v>92675861</v>
      </c>
      <c r="F1121" s="2">
        <v>7.9750000000000003E-4</v>
      </c>
      <c r="G1121" s="17">
        <f>F1121 * VLOOKUP('GASB Data'!A1121,Check!$A$2:$F$11,6,FALSE)</f>
        <v>1278313.5475000001</v>
      </c>
    </row>
    <row r="1122" spans="1:7" x14ac:dyDescent="0.2">
      <c r="A1122">
        <v>2018</v>
      </c>
      <c r="B1122" s="3" t="s">
        <v>529</v>
      </c>
      <c r="C1122" s="3" t="s">
        <v>836</v>
      </c>
      <c r="D1122" s="3" t="s">
        <v>836</v>
      </c>
      <c r="E1122" s="8">
        <v>70028652</v>
      </c>
      <c r="F1122" s="2">
        <v>6.0260000000000001E-4</v>
      </c>
      <c r="G1122" s="17">
        <f>F1122 * VLOOKUP('GASB Data'!A1122,Check!$A$2:$F$11,6,FALSE)</f>
        <v>965908.14260000002</v>
      </c>
    </row>
    <row r="1123" spans="1:7" x14ac:dyDescent="0.2">
      <c r="A1123">
        <v>2018</v>
      </c>
      <c r="B1123" s="3" t="s">
        <v>530</v>
      </c>
      <c r="C1123" s="3" t="s">
        <v>837</v>
      </c>
      <c r="D1123" s="3" t="s">
        <v>837</v>
      </c>
      <c r="E1123" s="8">
        <v>55101436</v>
      </c>
      <c r="F1123" s="2">
        <v>4.7419999999999998E-4</v>
      </c>
      <c r="G1123" s="17">
        <f>F1123 * VLOOKUP('GASB Data'!A1123,Check!$A$2:$F$11,6,FALSE)</f>
        <v>760095.65419999999</v>
      </c>
    </row>
    <row r="1124" spans="1:7" x14ac:dyDescent="0.2">
      <c r="A1124">
        <v>2018</v>
      </c>
      <c r="B1124" s="3" t="s">
        <v>531</v>
      </c>
      <c r="C1124" s="3" t="s">
        <v>838</v>
      </c>
      <c r="D1124" s="3" t="s">
        <v>838</v>
      </c>
      <c r="E1124" s="8">
        <v>101900762</v>
      </c>
      <c r="F1124" s="2">
        <v>8.7690000000000001E-4</v>
      </c>
      <c r="G1124" s="17">
        <f>F1124 * VLOOKUP('GASB Data'!A1124,Check!$A$2:$F$11,6,FALSE)</f>
        <v>1405583.8869</v>
      </c>
    </row>
    <row r="1125" spans="1:7" x14ac:dyDescent="0.2">
      <c r="A1125">
        <v>2018</v>
      </c>
      <c r="B1125" s="3" t="s">
        <v>532</v>
      </c>
      <c r="C1125" s="3" t="s">
        <v>914</v>
      </c>
      <c r="D1125" s="3" t="s">
        <v>914</v>
      </c>
      <c r="E1125" s="8">
        <v>6340300</v>
      </c>
      <c r="F1125" s="2">
        <v>5.4599999999999999E-5</v>
      </c>
      <c r="G1125" s="17">
        <f>F1125 * VLOOKUP('GASB Data'!A1125,Check!$A$2:$F$11,6,FALSE)</f>
        <v>87518.3946</v>
      </c>
    </row>
    <row r="1126" spans="1:7" x14ac:dyDescent="0.2">
      <c r="A1126">
        <v>2018</v>
      </c>
      <c r="B1126" s="3" t="s">
        <v>533</v>
      </c>
      <c r="C1126" s="3" t="s">
        <v>840</v>
      </c>
      <c r="D1126" s="3" t="s">
        <v>840</v>
      </c>
      <c r="E1126" s="8">
        <v>176902134</v>
      </c>
      <c r="F1126" s="2">
        <v>1.5223000000000001E-3</v>
      </c>
      <c r="G1126" s="17">
        <f>F1126 * VLOOKUP('GASB Data'!A1126,Check!$A$2:$F$11,6,FALSE)</f>
        <v>2440096.1923000002</v>
      </c>
    </row>
    <row r="1127" spans="1:7" x14ac:dyDescent="0.2">
      <c r="A1127">
        <v>2018</v>
      </c>
      <c r="B1127" s="3" t="s">
        <v>534</v>
      </c>
      <c r="C1127" s="3" t="s">
        <v>841</v>
      </c>
      <c r="D1127" s="3" t="s">
        <v>841</v>
      </c>
      <c r="E1127" s="8">
        <v>15981375</v>
      </c>
      <c r="F1127" s="2">
        <v>1.3750000000000001E-4</v>
      </c>
      <c r="G1127" s="17">
        <f>F1127 * VLOOKUP('GASB Data'!A1127,Check!$A$2:$F$11,6,FALSE)</f>
        <v>220398.88750000001</v>
      </c>
    </row>
    <row r="1128" spans="1:7" x14ac:dyDescent="0.2">
      <c r="A1128">
        <v>2018</v>
      </c>
      <c r="B1128" s="3" t="s">
        <v>535</v>
      </c>
      <c r="C1128" s="3" t="s">
        <v>842</v>
      </c>
      <c r="D1128" s="3" t="s">
        <v>842</v>
      </c>
      <c r="E1128" s="8">
        <v>38382915</v>
      </c>
      <c r="F1128" s="2">
        <v>3.3030000000000001E-4</v>
      </c>
      <c r="G1128" s="17">
        <f>F1128 * VLOOKUP('GASB Data'!A1128,Check!$A$2:$F$11,6,FALSE)</f>
        <v>529438.20030000003</v>
      </c>
    </row>
    <row r="1129" spans="1:7" x14ac:dyDescent="0.2">
      <c r="A1129">
        <v>2018</v>
      </c>
      <c r="B1129" s="3" t="s">
        <v>536</v>
      </c>
      <c r="C1129" s="3" t="s">
        <v>843</v>
      </c>
      <c r="D1129" s="3" t="s">
        <v>843</v>
      </c>
      <c r="E1129" s="8">
        <v>1808613489</v>
      </c>
      <c r="F1129" s="2">
        <v>1.55636E-2</v>
      </c>
      <c r="G1129" s="17">
        <f>F1129 * VLOOKUP('GASB Data'!A1129,Check!$A$2:$F$11,6,FALSE)</f>
        <v>24946910.003600001</v>
      </c>
    </row>
    <row r="1130" spans="1:7" x14ac:dyDescent="0.2">
      <c r="A1130">
        <v>2018</v>
      </c>
      <c r="B1130" s="3" t="s">
        <v>537</v>
      </c>
      <c r="C1130" s="3" t="s">
        <v>844</v>
      </c>
      <c r="D1130" s="3" t="s">
        <v>844</v>
      </c>
      <c r="E1130" s="8">
        <v>255009241</v>
      </c>
      <c r="F1130" s="2">
        <v>2.1944E-3</v>
      </c>
      <c r="G1130" s="17">
        <f>F1130 * VLOOKUP('GASB Data'!A1130,Check!$A$2:$F$11,6,FALSE)</f>
        <v>3517405.9544000002</v>
      </c>
    </row>
    <row r="1131" spans="1:7" x14ac:dyDescent="0.2">
      <c r="A1131">
        <v>2018</v>
      </c>
      <c r="B1131" s="3" t="s">
        <v>538</v>
      </c>
      <c r="C1131" s="3" t="s">
        <v>845</v>
      </c>
      <c r="D1131" s="3" t="s">
        <v>845</v>
      </c>
      <c r="E1131" s="8">
        <v>26717085</v>
      </c>
      <c r="F1131" s="2">
        <v>2.299E-4</v>
      </c>
      <c r="G1131" s="17">
        <f>F1131 * VLOOKUP('GASB Data'!A1131,Check!$A$2:$F$11,6,FALSE)</f>
        <v>368506.9399</v>
      </c>
    </row>
    <row r="1132" spans="1:7" x14ac:dyDescent="0.2">
      <c r="A1132">
        <v>2018</v>
      </c>
      <c r="B1132" s="3" t="s">
        <v>539</v>
      </c>
      <c r="C1132" s="3" t="s">
        <v>846</v>
      </c>
      <c r="D1132" s="3" t="s">
        <v>846</v>
      </c>
      <c r="E1132" s="8">
        <v>100037734</v>
      </c>
      <c r="F1132" s="2">
        <v>8.6089999999999995E-4</v>
      </c>
      <c r="G1132" s="17">
        <f>F1132 * VLOOKUP('GASB Data'!A1132,Check!$A$2:$F$11,6,FALSE)</f>
        <v>1379937.4708999998</v>
      </c>
    </row>
    <row r="1133" spans="1:7" x14ac:dyDescent="0.2">
      <c r="A1133">
        <v>2018</v>
      </c>
      <c r="B1133" s="3" t="s">
        <v>540</v>
      </c>
      <c r="C1133" s="3" t="s">
        <v>915</v>
      </c>
      <c r="D1133" s="3" t="s">
        <v>915</v>
      </c>
      <c r="E1133" s="8">
        <v>7711997343</v>
      </c>
      <c r="F1133" s="2">
        <v>6.6363800000000001E-2</v>
      </c>
      <c r="G1133" s="17">
        <f>F1133 * VLOOKUP('GASB Data'!A1133,Check!$A$2:$F$11,6,FALSE)</f>
        <v>106374601.3838</v>
      </c>
    </row>
    <row r="1134" spans="1:7" x14ac:dyDescent="0.2">
      <c r="A1134">
        <v>2018</v>
      </c>
      <c r="B1134" s="3" t="s">
        <v>541</v>
      </c>
      <c r="C1134" s="3" t="s">
        <v>848</v>
      </c>
      <c r="D1134" s="3" t="s">
        <v>848</v>
      </c>
      <c r="E1134" s="8">
        <v>23182929</v>
      </c>
      <c r="F1134" s="2">
        <v>1.995E-4</v>
      </c>
      <c r="G1134" s="17">
        <f>F1134 * VLOOKUP('GASB Data'!A1134,Check!$A$2:$F$11,6,FALSE)</f>
        <v>319778.74949999998</v>
      </c>
    </row>
    <row r="1135" spans="1:7" x14ac:dyDescent="0.2">
      <c r="A1135">
        <v>2018</v>
      </c>
      <c r="B1135" s="3" t="s">
        <v>542</v>
      </c>
      <c r="C1135" s="3" t="s">
        <v>849</v>
      </c>
      <c r="D1135" s="3" t="s">
        <v>849</v>
      </c>
      <c r="E1135" s="8">
        <v>26472443</v>
      </c>
      <c r="F1135" s="2">
        <v>2.2780000000000001E-4</v>
      </c>
      <c r="G1135" s="17">
        <f>F1135 * VLOOKUP('GASB Data'!A1135,Check!$A$2:$F$11,6,FALSE)</f>
        <v>365140.84779999999</v>
      </c>
    </row>
    <row r="1136" spans="1:7" x14ac:dyDescent="0.2">
      <c r="A1136">
        <v>2018</v>
      </c>
      <c r="B1136" s="3" t="s">
        <v>543</v>
      </c>
      <c r="C1136" s="3" t="s">
        <v>851</v>
      </c>
      <c r="D1136" s="3" t="s">
        <v>851</v>
      </c>
      <c r="E1136" s="8">
        <v>621722520</v>
      </c>
      <c r="F1136" s="2">
        <v>5.3501E-3</v>
      </c>
      <c r="G1136" s="17">
        <f>F1136 * VLOOKUP('GASB Data'!A1136,Check!$A$2:$F$11,6,FALSE)</f>
        <v>8575680.6401000004</v>
      </c>
    </row>
    <row r="1137" spans="1:7" x14ac:dyDescent="0.2">
      <c r="A1137">
        <v>2018</v>
      </c>
      <c r="B1137" s="3" t="s">
        <v>561</v>
      </c>
      <c r="C1137" s="3" t="s">
        <v>916</v>
      </c>
      <c r="D1137" s="3" t="s">
        <v>916</v>
      </c>
      <c r="E1137" s="8">
        <v>45492292</v>
      </c>
      <c r="F1137" s="2">
        <v>3.9149999999999998E-4</v>
      </c>
      <c r="G1137" s="17">
        <f>F1137 * VLOOKUP('GASB Data'!A1137,Check!$A$2:$F$11,6,FALSE)</f>
        <v>627535.7415</v>
      </c>
    </row>
    <row r="1138" spans="1:7" x14ac:dyDescent="0.2">
      <c r="A1138">
        <v>2018</v>
      </c>
      <c r="B1138" s="3" t="s">
        <v>562</v>
      </c>
      <c r="C1138" s="3" t="s">
        <v>853</v>
      </c>
      <c r="D1138" s="3" t="s">
        <v>853</v>
      </c>
      <c r="E1138" s="8">
        <v>22883059</v>
      </c>
      <c r="F1138" s="2">
        <v>1.9689999999999999E-4</v>
      </c>
      <c r="G1138" s="17">
        <f>F1138 * VLOOKUP('GASB Data'!A1138,Check!$A$2:$F$11,6,FALSE)</f>
        <v>315611.20689999999</v>
      </c>
    </row>
    <row r="1139" spans="1:7" x14ac:dyDescent="0.2">
      <c r="A1139">
        <v>2018</v>
      </c>
      <c r="B1139" s="3" t="s">
        <v>563</v>
      </c>
      <c r="C1139" s="3" t="s">
        <v>854</v>
      </c>
      <c r="D1139" s="3" t="s">
        <v>854</v>
      </c>
      <c r="E1139" s="8">
        <v>95319383</v>
      </c>
      <c r="F1139" s="2">
        <v>8.2019999999999999E-4</v>
      </c>
      <c r="G1139" s="17">
        <f>F1139 * VLOOKUP('GASB Data'!A1139,Check!$A$2:$F$11,6,FALSE)</f>
        <v>1314699.4002</v>
      </c>
    </row>
    <row r="1140" spans="1:7" x14ac:dyDescent="0.2">
      <c r="A1140">
        <v>2018</v>
      </c>
      <c r="B1140" s="3" t="s">
        <v>564</v>
      </c>
      <c r="C1140" s="3" t="s">
        <v>855</v>
      </c>
      <c r="D1140" s="3" t="s">
        <v>855</v>
      </c>
      <c r="E1140" s="8">
        <v>4498329</v>
      </c>
      <c r="F1140" s="2">
        <v>3.8699999999999999E-5</v>
      </c>
      <c r="G1140" s="17">
        <f>F1140 * VLOOKUP('GASB Data'!A1140,Check!$A$2:$F$11,6,FALSE)</f>
        <v>62032.268700000001</v>
      </c>
    </row>
    <row r="1141" spans="1:7" x14ac:dyDescent="0.2">
      <c r="A1141">
        <v>2018</v>
      </c>
      <c r="B1141" s="3" t="s">
        <v>565</v>
      </c>
      <c r="C1141" s="3" t="s">
        <v>856</v>
      </c>
      <c r="D1141" s="3" t="s">
        <v>856</v>
      </c>
      <c r="E1141" s="8">
        <v>70556010</v>
      </c>
      <c r="F1141" s="2">
        <v>6.0720000000000001E-4</v>
      </c>
      <c r="G1141" s="17">
        <f>F1141 * VLOOKUP('GASB Data'!A1141,Check!$A$2:$F$11,6,FALSE)</f>
        <v>973281.48719999997</v>
      </c>
    </row>
    <row r="1142" spans="1:7" x14ac:dyDescent="0.2">
      <c r="A1142">
        <v>2018</v>
      </c>
      <c r="B1142" s="3" t="s">
        <v>566</v>
      </c>
      <c r="C1142" s="3" t="s">
        <v>857</v>
      </c>
      <c r="D1142" s="3" t="s">
        <v>857</v>
      </c>
      <c r="E1142" s="8">
        <v>44335566</v>
      </c>
      <c r="F1142" s="2">
        <v>3.815E-4</v>
      </c>
      <c r="G1142" s="17">
        <f>F1142 * VLOOKUP('GASB Data'!A1142,Check!$A$2:$F$11,6,FALSE)</f>
        <v>611506.73149999999</v>
      </c>
    </row>
    <row r="1143" spans="1:7" x14ac:dyDescent="0.2">
      <c r="A1143">
        <v>2018</v>
      </c>
      <c r="B1143" s="3" t="s">
        <v>567</v>
      </c>
      <c r="C1143" s="3" t="s">
        <v>858</v>
      </c>
      <c r="D1143" s="3" t="s">
        <v>858</v>
      </c>
      <c r="E1143" s="8">
        <v>231916397</v>
      </c>
      <c r="F1143" s="2">
        <v>1.9957E-3</v>
      </c>
      <c r="G1143" s="17">
        <f>F1143 * VLOOKUP('GASB Data'!A1143,Check!$A$2:$F$11,6,FALSE)</f>
        <v>3198909.5257000001</v>
      </c>
    </row>
    <row r="1144" spans="1:7" x14ac:dyDescent="0.2">
      <c r="A1144">
        <v>2018</v>
      </c>
      <c r="B1144" s="3" t="s">
        <v>568</v>
      </c>
      <c r="C1144" s="3" t="s">
        <v>917</v>
      </c>
      <c r="D1144" s="3" t="s">
        <v>917</v>
      </c>
      <c r="E1144" s="8">
        <v>6713523</v>
      </c>
      <c r="F1144" s="2">
        <v>5.7800000000000002E-5</v>
      </c>
      <c r="G1144" s="17">
        <f>F1144 * VLOOKUP('GASB Data'!A1144,Check!$A$2:$F$11,6,FALSE)</f>
        <v>92647.677800000005</v>
      </c>
    </row>
    <row r="1145" spans="1:7" x14ac:dyDescent="0.2">
      <c r="A1145">
        <v>2018</v>
      </c>
      <c r="B1145" s="3" t="s">
        <v>569</v>
      </c>
      <c r="C1145" s="3" t="s">
        <v>860</v>
      </c>
      <c r="D1145" s="3" t="s">
        <v>860</v>
      </c>
      <c r="E1145" s="8">
        <v>755440198</v>
      </c>
      <c r="F1145" s="2">
        <v>6.5008000000000002E-3</v>
      </c>
      <c r="G1145" s="17">
        <f>F1145 * VLOOKUP('GASB Data'!A1145,Check!$A$2:$F$11,6,FALSE)</f>
        <v>10420138.820800001</v>
      </c>
    </row>
    <row r="1146" spans="1:7" x14ac:dyDescent="0.2">
      <c r="A1146">
        <v>2018</v>
      </c>
      <c r="B1146" s="3" t="s">
        <v>570</v>
      </c>
      <c r="C1146" s="3" t="s">
        <v>861</v>
      </c>
      <c r="D1146" s="3" t="s">
        <v>861</v>
      </c>
      <c r="E1146" s="8">
        <v>113965387</v>
      </c>
      <c r="F1146" s="2">
        <v>9.8069999999999993E-4</v>
      </c>
      <c r="G1146" s="17">
        <f>F1146 * VLOOKUP('GASB Data'!A1146,Check!$A$2:$F$11,6,FALSE)</f>
        <v>1571965.0107</v>
      </c>
    </row>
    <row r="1147" spans="1:7" x14ac:dyDescent="0.2">
      <c r="A1147">
        <v>2018</v>
      </c>
      <c r="B1147" s="3" t="s">
        <v>571</v>
      </c>
      <c r="C1147" s="3" t="s">
        <v>862</v>
      </c>
      <c r="D1147" s="3" t="s">
        <v>862</v>
      </c>
      <c r="E1147" s="8">
        <v>420700773</v>
      </c>
      <c r="F1147" s="2">
        <v>3.6202000000000001E-3</v>
      </c>
      <c r="G1147" s="17">
        <f>F1147 * VLOOKUP('GASB Data'!A1147,Check!$A$2:$F$11,6,FALSE)</f>
        <v>5802822.2001999998</v>
      </c>
    </row>
    <row r="1148" spans="1:7" x14ac:dyDescent="0.2">
      <c r="A1148">
        <v>2018</v>
      </c>
      <c r="B1148" s="3" t="s">
        <v>572</v>
      </c>
      <c r="C1148" s="3" t="s">
        <v>863</v>
      </c>
      <c r="D1148" s="3" t="s">
        <v>863</v>
      </c>
      <c r="E1148" s="8">
        <v>25885574</v>
      </c>
      <c r="F1148" s="2">
        <v>2.2279999999999999E-4</v>
      </c>
      <c r="G1148" s="17">
        <f>F1148 * VLOOKUP('GASB Data'!A1148,Check!$A$2:$F$11,6,FALSE)</f>
        <v>357126.34279999998</v>
      </c>
    </row>
    <row r="1149" spans="1:7" x14ac:dyDescent="0.2">
      <c r="A1149">
        <v>2018</v>
      </c>
      <c r="B1149" s="3" t="s">
        <v>573</v>
      </c>
      <c r="C1149" s="3" t="s">
        <v>864</v>
      </c>
      <c r="D1149" s="3" t="s">
        <v>864</v>
      </c>
      <c r="E1149" s="8">
        <v>102291964</v>
      </c>
      <c r="F1149" s="2">
        <v>8.8020000000000004E-4</v>
      </c>
      <c r="G1149" s="17">
        <f>F1149 * VLOOKUP('GASB Data'!A1149,Check!$A$2:$F$11,6,FALSE)</f>
        <v>1410873.4602000001</v>
      </c>
    </row>
    <row r="1150" spans="1:7" x14ac:dyDescent="0.2">
      <c r="A1150">
        <v>2018</v>
      </c>
      <c r="B1150" s="3" t="s">
        <v>574</v>
      </c>
      <c r="C1150" s="3" t="s">
        <v>865</v>
      </c>
      <c r="D1150" s="3" t="s">
        <v>865</v>
      </c>
      <c r="E1150" s="8">
        <v>493723475</v>
      </c>
      <c r="F1150" s="2">
        <v>4.2485999999999999E-3</v>
      </c>
      <c r="G1150" s="17">
        <f>F1150 * VLOOKUP('GASB Data'!A1150,Check!$A$2:$F$11,6,FALSE)</f>
        <v>6810085.1886</v>
      </c>
    </row>
    <row r="1151" spans="1:7" x14ac:dyDescent="0.2">
      <c r="A1151">
        <v>2018</v>
      </c>
      <c r="B1151" s="3" t="s">
        <v>575</v>
      </c>
      <c r="C1151" s="3" t="s">
        <v>866</v>
      </c>
      <c r="D1151" s="3" t="s">
        <v>866</v>
      </c>
      <c r="E1151" s="8">
        <v>54910539</v>
      </c>
      <c r="F1151" s="2">
        <v>4.7249999999999999E-4</v>
      </c>
      <c r="G1151" s="17">
        <f>F1151 * VLOOKUP('GASB Data'!A1151,Check!$A$2:$F$11,6,FALSE)</f>
        <v>757370.72250000003</v>
      </c>
    </row>
    <row r="1152" spans="1:7" x14ac:dyDescent="0.2">
      <c r="A1152">
        <v>2018</v>
      </c>
      <c r="B1152" s="3" t="s">
        <v>576</v>
      </c>
      <c r="C1152" s="3" t="s">
        <v>867</v>
      </c>
      <c r="D1152" s="3" t="s">
        <v>867</v>
      </c>
      <c r="E1152" s="8">
        <v>240898697</v>
      </c>
      <c r="F1152" s="2">
        <v>2.0730000000000002E-3</v>
      </c>
      <c r="G1152" s="17">
        <f>F1152 * VLOOKUP('GASB Data'!A1152,Check!$A$2:$F$11,6,FALSE)</f>
        <v>3322813.7730000005</v>
      </c>
    </row>
    <row r="1153" spans="1:7" x14ac:dyDescent="0.2">
      <c r="A1153">
        <v>2018</v>
      </c>
      <c r="B1153" s="3" t="s">
        <v>577</v>
      </c>
      <c r="C1153" s="3" t="s">
        <v>868</v>
      </c>
      <c r="D1153" s="3" t="s">
        <v>868</v>
      </c>
      <c r="E1153" s="8">
        <v>3407067309</v>
      </c>
      <c r="F1153" s="2">
        <v>2.93187E-2</v>
      </c>
      <c r="G1153" s="17">
        <f>F1153 * VLOOKUP('GASB Data'!A1153,Check!$A$2:$F$11,6,FALSE)</f>
        <v>46994973.548699997</v>
      </c>
    </row>
    <row r="1154" spans="1:7" x14ac:dyDescent="0.2">
      <c r="A1154">
        <v>2018</v>
      </c>
      <c r="B1154" s="3" t="s">
        <v>871</v>
      </c>
      <c r="C1154" s="3" t="s">
        <v>869</v>
      </c>
      <c r="D1154" s="3" t="s">
        <v>869</v>
      </c>
      <c r="E1154" s="8">
        <v>3335904</v>
      </c>
      <c r="F1154" s="2">
        <v>2.87E-5</v>
      </c>
      <c r="G1154" s="17">
        <f>F1154 * VLOOKUP('GASB Data'!A1154,Check!$A$2:$F$11,6,FALSE)</f>
        <v>46003.258699999998</v>
      </c>
    </row>
    <row r="1155" spans="1:7" ht="17" customHeight="1" x14ac:dyDescent="0.2">
      <c r="A1155">
        <v>2018</v>
      </c>
      <c r="B1155" s="3" t="s">
        <v>872</v>
      </c>
      <c r="C1155" s="3" t="s">
        <v>870</v>
      </c>
      <c r="D1155" s="3" t="s">
        <v>870</v>
      </c>
      <c r="E1155" s="8">
        <v>93139098</v>
      </c>
      <c r="F1155" s="2">
        <v>8.0150000000000002E-4</v>
      </c>
      <c r="G1155" s="17">
        <f>F1155 * VLOOKUP('GASB Data'!A1155,Check!$A$2:$F$11,6,FALSE)</f>
        <v>1284725.1514999999</v>
      </c>
    </row>
    <row r="1156" spans="1:7" x14ac:dyDescent="0.2">
      <c r="A1156">
        <v>2019</v>
      </c>
      <c r="B1156" s="3" t="s">
        <v>58</v>
      </c>
      <c r="C1156" s="3" t="s">
        <v>578</v>
      </c>
      <c r="D1156" s="3" t="s">
        <v>578</v>
      </c>
      <c r="E1156" s="8">
        <v>128569499</v>
      </c>
      <c r="F1156" s="2">
        <v>1.0671000000000001E-3</v>
      </c>
      <c r="G1156" s="17">
        <f>F1156 * VLOOKUP('GASB Data'!A1156,Check!$A$2:$F$11,6,FALSE)</f>
        <v>2043652.2966000002</v>
      </c>
    </row>
    <row r="1157" spans="1:7" x14ac:dyDescent="0.2">
      <c r="A1157">
        <v>2019</v>
      </c>
      <c r="B1157" s="3" t="s">
        <v>59</v>
      </c>
      <c r="C1157" s="3" t="s">
        <v>579</v>
      </c>
      <c r="D1157" s="3" t="s">
        <v>579</v>
      </c>
      <c r="E1157" s="8">
        <v>377687539</v>
      </c>
      <c r="F1157" s="2">
        <v>3.1348000000000001E-3</v>
      </c>
      <c r="G1157" s="17">
        <f>F1157 * VLOOKUP('GASB Data'!A1157,Check!$A$2:$F$11,6,FALSE)</f>
        <v>6003599.6808000002</v>
      </c>
    </row>
    <row r="1158" spans="1:7" x14ac:dyDescent="0.2">
      <c r="A1158">
        <v>2019</v>
      </c>
      <c r="B1158" s="3" t="s">
        <v>60</v>
      </c>
      <c r="C1158" s="3" t="s">
        <v>874</v>
      </c>
      <c r="D1158" s="3" t="s">
        <v>874</v>
      </c>
      <c r="E1158" s="8">
        <v>89634238</v>
      </c>
      <c r="F1158" s="2">
        <v>7.4399999999999998E-4</v>
      </c>
      <c r="G1158" s="17">
        <f>F1158 * VLOOKUP('GASB Data'!A1158,Check!$A$2:$F$11,6,FALSE)</f>
        <v>1424868.6240000001</v>
      </c>
    </row>
    <row r="1159" spans="1:7" x14ac:dyDescent="0.2">
      <c r="A1159">
        <v>2019</v>
      </c>
      <c r="B1159" s="3" t="s">
        <v>61</v>
      </c>
      <c r="C1159" s="3" t="s">
        <v>581</v>
      </c>
      <c r="D1159" s="3" t="s">
        <v>581</v>
      </c>
      <c r="E1159" s="8">
        <v>603605165</v>
      </c>
      <c r="F1159" s="2">
        <v>5.0099000000000003E-3</v>
      </c>
      <c r="G1159" s="17">
        <f>F1159 * VLOOKUP('GASB Data'!A1159,Check!$A$2:$F$11,6,FALSE)</f>
        <v>9594689.9454000015</v>
      </c>
    </row>
    <row r="1160" spans="1:7" x14ac:dyDescent="0.2">
      <c r="A1160">
        <v>2019</v>
      </c>
      <c r="B1160" s="3" t="s">
        <v>62</v>
      </c>
      <c r="C1160" s="3" t="s">
        <v>582</v>
      </c>
      <c r="D1160" s="3" t="s">
        <v>582</v>
      </c>
      <c r="E1160" s="8">
        <v>2441304621</v>
      </c>
      <c r="F1160" s="2">
        <v>2.0262800000000001E-2</v>
      </c>
      <c r="G1160" s="17">
        <f>F1160 * VLOOKUP('GASB Data'!A1160,Check!$A$2:$F$11,6,FALSE)</f>
        <v>38806220.368799999</v>
      </c>
    </row>
    <row r="1161" spans="1:7" x14ac:dyDescent="0.2">
      <c r="A1161">
        <v>2019</v>
      </c>
      <c r="B1161" s="3" t="s">
        <v>63</v>
      </c>
      <c r="C1161" s="3" t="s">
        <v>875</v>
      </c>
      <c r="D1161" s="3" t="s">
        <v>875</v>
      </c>
      <c r="E1161" s="8">
        <v>19956428</v>
      </c>
      <c r="F1161" s="2">
        <v>1.6559999999999999E-4</v>
      </c>
      <c r="G1161" s="17">
        <f>F1161 * VLOOKUP('GASB Data'!A1161,Check!$A$2:$F$11,6,FALSE)</f>
        <v>317148.1776</v>
      </c>
    </row>
    <row r="1162" spans="1:7" x14ac:dyDescent="0.2">
      <c r="A1162">
        <v>2019</v>
      </c>
      <c r="B1162" s="3" t="s">
        <v>64</v>
      </c>
      <c r="C1162" s="3" t="s">
        <v>584</v>
      </c>
      <c r="D1162" s="3" t="s">
        <v>584</v>
      </c>
      <c r="E1162" s="8">
        <v>189914033</v>
      </c>
      <c r="F1162" s="2">
        <v>1.5763000000000001E-3</v>
      </c>
      <c r="G1162" s="17">
        <f>F1162 * VLOOKUP('GASB Data'!A1162,Check!$A$2:$F$11,6,FALSE)</f>
        <v>3018844.6398</v>
      </c>
    </row>
    <row r="1163" spans="1:7" x14ac:dyDescent="0.2">
      <c r="A1163">
        <v>2019</v>
      </c>
      <c r="B1163" s="3" t="s">
        <v>65</v>
      </c>
      <c r="C1163" s="3" t="s">
        <v>876</v>
      </c>
      <c r="D1163" s="3" t="s">
        <v>876</v>
      </c>
      <c r="E1163" s="8">
        <v>40767223</v>
      </c>
      <c r="F1163" s="2">
        <v>3.3839999999999999E-4</v>
      </c>
      <c r="G1163" s="17">
        <f>F1163 * VLOOKUP('GASB Data'!A1163,Check!$A$2:$F$11,6,FALSE)</f>
        <v>648085.40639999998</v>
      </c>
    </row>
    <row r="1164" spans="1:7" x14ac:dyDescent="0.2">
      <c r="A1164">
        <v>2019</v>
      </c>
      <c r="B1164" s="3" t="s">
        <v>66</v>
      </c>
      <c r="C1164" s="3" t="s">
        <v>586</v>
      </c>
      <c r="D1164" s="3" t="s">
        <v>586</v>
      </c>
      <c r="E1164" s="8">
        <v>582324652</v>
      </c>
      <c r="F1164" s="2">
        <v>4.8332999999999996E-3</v>
      </c>
      <c r="G1164" s="17">
        <f>F1164 * VLOOKUP('GASB Data'!A1164,Check!$A$2:$F$11,6,FALSE)</f>
        <v>9256475.161799999</v>
      </c>
    </row>
    <row r="1165" spans="1:7" x14ac:dyDescent="0.2">
      <c r="A1165">
        <v>2019</v>
      </c>
      <c r="B1165" s="3" t="s">
        <v>67</v>
      </c>
      <c r="C1165" s="3" t="s">
        <v>877</v>
      </c>
      <c r="D1165" s="3" t="s">
        <v>877</v>
      </c>
      <c r="E1165" s="8">
        <v>79125614</v>
      </c>
      <c r="F1165" s="2">
        <v>6.5669999999999997E-4</v>
      </c>
      <c r="G1165" s="17">
        <f>F1165 * VLOOKUP('GASB Data'!A1165,Check!$A$2:$F$11,6,FALSE)</f>
        <v>1257676.3781999999</v>
      </c>
    </row>
    <row r="1166" spans="1:7" x14ac:dyDescent="0.2">
      <c r="A1166">
        <v>2019</v>
      </c>
      <c r="B1166" s="3" t="s">
        <v>68</v>
      </c>
      <c r="C1166" s="3" t="s">
        <v>878</v>
      </c>
      <c r="D1166" s="3" t="s">
        <v>878</v>
      </c>
      <c r="E1166" s="8">
        <v>81099408</v>
      </c>
      <c r="F1166" s="2">
        <v>6.7310000000000004E-4</v>
      </c>
      <c r="G1166" s="17">
        <f>F1166 * VLOOKUP('GASB Data'!A1166,Check!$A$2:$F$11,6,FALSE)</f>
        <v>1289084.7726</v>
      </c>
    </row>
    <row r="1167" spans="1:7" x14ac:dyDescent="0.2">
      <c r="A1167">
        <v>2019</v>
      </c>
      <c r="B1167" s="3" t="s">
        <v>924</v>
      </c>
      <c r="C1167" s="3" t="s">
        <v>921</v>
      </c>
      <c r="D1167" s="3" t="s">
        <v>921</v>
      </c>
      <c r="E1167" s="8">
        <v>28273572</v>
      </c>
      <c r="F1167" s="2">
        <v>2.3470000000000001E-4</v>
      </c>
      <c r="G1167" s="17">
        <f>F1167 * VLOOKUP('GASB Data'!A1167,Check!$A$2:$F$11,6,FALSE)</f>
        <v>449484.76620000001</v>
      </c>
    </row>
    <row r="1168" spans="1:7" x14ac:dyDescent="0.2">
      <c r="A1168">
        <v>2019</v>
      </c>
      <c r="B1168" s="3" t="s">
        <v>69</v>
      </c>
      <c r="C1168" s="3" t="s">
        <v>879</v>
      </c>
      <c r="D1168" s="3" t="s">
        <v>879</v>
      </c>
      <c r="E1168" s="8">
        <v>582514450</v>
      </c>
      <c r="F1168" s="2">
        <v>4.8348999999999996E-3</v>
      </c>
      <c r="G1168" s="17">
        <f>F1168 * VLOOKUP('GASB Data'!A1168,Check!$A$2:$F$11,6,FALSE)</f>
        <v>9259539.3953999989</v>
      </c>
    </row>
    <row r="1169" spans="1:7" x14ac:dyDescent="0.2">
      <c r="A1169">
        <v>2019</v>
      </c>
      <c r="B1169" s="3" t="s">
        <v>70</v>
      </c>
      <c r="C1169" s="3" t="s">
        <v>880</v>
      </c>
      <c r="D1169" s="3" t="s">
        <v>880</v>
      </c>
      <c r="E1169" s="8">
        <v>66697482</v>
      </c>
      <c r="F1169" s="2">
        <v>5.5360000000000001E-4</v>
      </c>
      <c r="G1169" s="17">
        <f>F1169 * VLOOKUP('GASB Data'!A1169,Check!$A$2:$F$11,6,FALSE)</f>
        <v>1060224.8256000001</v>
      </c>
    </row>
    <row r="1170" spans="1:7" x14ac:dyDescent="0.2">
      <c r="A1170">
        <v>2019</v>
      </c>
      <c r="B1170" s="3" t="s">
        <v>71</v>
      </c>
      <c r="C1170" s="3" t="s">
        <v>591</v>
      </c>
      <c r="D1170" s="3" t="s">
        <v>591</v>
      </c>
      <c r="E1170" s="8">
        <v>277693333</v>
      </c>
      <c r="F1170" s="2">
        <v>2.3048999999999999E-3</v>
      </c>
      <c r="G1170" s="17">
        <f>F1170 * VLOOKUP('GASB Data'!A1170,Check!$A$2:$F$11,6,FALSE)</f>
        <v>4414220.0153999999</v>
      </c>
    </row>
    <row r="1171" spans="1:7" x14ac:dyDescent="0.2">
      <c r="A1171">
        <v>2019</v>
      </c>
      <c r="B1171" s="3" t="s">
        <v>72</v>
      </c>
      <c r="C1171" s="3" t="s">
        <v>592</v>
      </c>
      <c r="D1171" s="3" t="s">
        <v>592</v>
      </c>
      <c r="E1171" s="8">
        <v>32167165</v>
      </c>
      <c r="F1171" s="2">
        <v>2.6699999999999998E-4</v>
      </c>
      <c r="G1171" s="17">
        <f>F1171 * VLOOKUP('GASB Data'!A1171,Check!$A$2:$F$11,6,FALSE)</f>
        <v>511343.98199999996</v>
      </c>
    </row>
    <row r="1172" spans="1:7" x14ac:dyDescent="0.2">
      <c r="A1172">
        <v>2019</v>
      </c>
      <c r="B1172" s="3" t="s">
        <v>73</v>
      </c>
      <c r="C1172" s="3" t="s">
        <v>881</v>
      </c>
      <c r="D1172" s="3" t="s">
        <v>881</v>
      </c>
      <c r="E1172" s="8">
        <v>31595224</v>
      </c>
      <c r="F1172" s="2">
        <v>2.6219999999999998E-4</v>
      </c>
      <c r="G1172" s="17">
        <f>F1172 * VLOOKUP('GASB Data'!A1172,Check!$A$2:$F$11,6,FALSE)</f>
        <v>502151.28119999997</v>
      </c>
    </row>
    <row r="1173" spans="1:7" x14ac:dyDescent="0.2">
      <c r="A1173">
        <v>2019</v>
      </c>
      <c r="B1173" s="3" t="s">
        <v>74</v>
      </c>
      <c r="C1173" s="3" t="s">
        <v>882</v>
      </c>
      <c r="D1173" s="3" t="s">
        <v>882</v>
      </c>
      <c r="E1173" s="8">
        <v>5582747</v>
      </c>
      <c r="F1173" s="2">
        <v>4.6300000000000001E-5</v>
      </c>
      <c r="G1173" s="17">
        <f>F1173 * VLOOKUP('GASB Data'!A1173,Check!$A$2:$F$11,6,FALSE)</f>
        <v>88671.2598</v>
      </c>
    </row>
    <row r="1174" spans="1:7" x14ac:dyDescent="0.2">
      <c r="A1174">
        <v>2019</v>
      </c>
      <c r="B1174" s="3" t="s">
        <v>75</v>
      </c>
      <c r="C1174" s="3" t="s">
        <v>595</v>
      </c>
      <c r="D1174" s="3" t="s">
        <v>595</v>
      </c>
      <c r="E1174" s="8">
        <v>222498866</v>
      </c>
      <c r="F1174" s="2">
        <v>1.8466999999999999E-3</v>
      </c>
      <c r="G1174" s="17">
        <f>F1174 * VLOOKUP('GASB Data'!A1174,Check!$A$2:$F$11,6,FALSE)</f>
        <v>3536700.1181999999</v>
      </c>
    </row>
    <row r="1175" spans="1:7" x14ac:dyDescent="0.2">
      <c r="A1175">
        <v>2019</v>
      </c>
      <c r="B1175" s="3" t="s">
        <v>76</v>
      </c>
      <c r="C1175" s="3" t="s">
        <v>883</v>
      </c>
      <c r="D1175" s="3" t="s">
        <v>883</v>
      </c>
      <c r="E1175" s="8">
        <v>5839930046</v>
      </c>
      <c r="F1175" s="2">
        <v>4.8471500000000001E-2</v>
      </c>
      <c r="G1175" s="17">
        <f>F1175 * VLOOKUP('GASB Data'!A1175,Check!$A$2:$F$11,6,FALSE)</f>
        <v>92829999.339000002</v>
      </c>
    </row>
    <row r="1176" spans="1:7" x14ac:dyDescent="0.2">
      <c r="A1176">
        <v>2019</v>
      </c>
      <c r="B1176" s="3" t="s">
        <v>77</v>
      </c>
      <c r="C1176" s="3" t="s">
        <v>597</v>
      </c>
      <c r="D1176" s="3" t="s">
        <v>597</v>
      </c>
      <c r="E1176" s="8">
        <v>542906496</v>
      </c>
      <c r="F1176" s="2">
        <v>4.5060999999999999E-3</v>
      </c>
      <c r="G1176" s="17">
        <f>F1176 * VLOOKUP('GASB Data'!A1176,Check!$A$2:$F$11,6,FALSE)</f>
        <v>8629839.3905999996</v>
      </c>
    </row>
    <row r="1177" spans="1:7" x14ac:dyDescent="0.2">
      <c r="A1177">
        <v>2019</v>
      </c>
      <c r="B1177" s="3" t="s">
        <v>78</v>
      </c>
      <c r="C1177" s="3" t="s">
        <v>884</v>
      </c>
      <c r="D1177" s="3" t="s">
        <v>884</v>
      </c>
      <c r="E1177" s="8">
        <v>242814211</v>
      </c>
      <c r="F1177" s="2">
        <v>2.0154000000000001E-3</v>
      </c>
      <c r="G1177" s="17">
        <f>F1177 * VLOOKUP('GASB Data'!A1177,Check!$A$2:$F$11,6,FALSE)</f>
        <v>3859785.2484000004</v>
      </c>
    </row>
    <row r="1178" spans="1:7" x14ac:dyDescent="0.2">
      <c r="A1178">
        <v>2019</v>
      </c>
      <c r="B1178" s="3" t="s">
        <v>79</v>
      </c>
      <c r="C1178" s="3" t="s">
        <v>885</v>
      </c>
      <c r="D1178" s="3" t="s">
        <v>885</v>
      </c>
      <c r="E1178" s="8">
        <v>139582145</v>
      </c>
      <c r="F1178" s="2">
        <v>1.1585E-3</v>
      </c>
      <c r="G1178" s="17">
        <f>F1178 * VLOOKUP('GASB Data'!A1178,Check!$A$2:$F$11,6,FALSE)</f>
        <v>2218696.6409999998</v>
      </c>
    </row>
    <row r="1179" spans="1:7" x14ac:dyDescent="0.2">
      <c r="A1179">
        <v>2019</v>
      </c>
      <c r="B1179" s="3" t="s">
        <v>80</v>
      </c>
      <c r="C1179" s="3" t="s">
        <v>886</v>
      </c>
      <c r="D1179" s="3" t="s">
        <v>886</v>
      </c>
      <c r="E1179" s="8">
        <v>518502464</v>
      </c>
      <c r="F1179" s="2">
        <v>4.3036000000000003E-3</v>
      </c>
      <c r="G1179" s="17">
        <f>F1179 * VLOOKUP('GASB Data'!A1179,Check!$A$2:$F$11,6,FALSE)</f>
        <v>8242022.325600001</v>
      </c>
    </row>
    <row r="1180" spans="1:7" x14ac:dyDescent="0.2">
      <c r="A1180">
        <v>2019</v>
      </c>
      <c r="B1180" s="3" t="s">
        <v>81</v>
      </c>
      <c r="C1180" s="3" t="s">
        <v>887</v>
      </c>
      <c r="D1180" s="3" t="s">
        <v>887</v>
      </c>
      <c r="E1180" s="8">
        <v>56129943</v>
      </c>
      <c r="F1180" s="2">
        <v>4.6589999999999999E-4</v>
      </c>
      <c r="G1180" s="17">
        <f>F1180 * VLOOKUP('GASB Data'!A1180,Check!$A$2:$F$11,6,FALSE)</f>
        <v>892266.52139999997</v>
      </c>
    </row>
    <row r="1181" spans="1:7" x14ac:dyDescent="0.2">
      <c r="A1181">
        <v>2019</v>
      </c>
      <c r="B1181" s="3" t="s">
        <v>82</v>
      </c>
      <c r="C1181" s="3" t="s">
        <v>888</v>
      </c>
      <c r="D1181" s="3" t="s">
        <v>888</v>
      </c>
      <c r="E1181" s="8">
        <v>176336820</v>
      </c>
      <c r="F1181" s="2">
        <v>1.4636E-3</v>
      </c>
      <c r="G1181" s="17">
        <f>F1181 * VLOOKUP('GASB Data'!A1181,Check!$A$2:$F$11,6,FALSE)</f>
        <v>2803007.6856</v>
      </c>
    </row>
    <row r="1182" spans="1:7" x14ac:dyDescent="0.2">
      <c r="A1182">
        <v>2019</v>
      </c>
      <c r="B1182" s="3" t="s">
        <v>632</v>
      </c>
      <c r="C1182" s="3" t="s">
        <v>889</v>
      </c>
      <c r="D1182" s="3" t="s">
        <v>889</v>
      </c>
      <c r="E1182" s="8">
        <v>27515867</v>
      </c>
      <c r="F1182" s="2">
        <v>2.284E-4</v>
      </c>
      <c r="G1182" s="17">
        <f>F1182 * VLOOKUP('GASB Data'!A1182,Check!$A$2:$F$11,6,FALSE)</f>
        <v>437419.34639999998</v>
      </c>
    </row>
    <row r="1183" spans="1:7" x14ac:dyDescent="0.2">
      <c r="A1183">
        <v>2019</v>
      </c>
      <c r="B1183" s="3" t="s">
        <v>83</v>
      </c>
      <c r="C1183" s="3" t="s">
        <v>890</v>
      </c>
      <c r="D1183" s="3" t="s">
        <v>890</v>
      </c>
      <c r="E1183" s="8">
        <v>661407343</v>
      </c>
      <c r="F1183" s="2">
        <v>5.4897000000000001E-3</v>
      </c>
      <c r="G1183" s="17">
        <f>F1183 * VLOOKUP('GASB Data'!A1183,Check!$A$2:$F$11,6,FALSE)</f>
        <v>10513576.996200001</v>
      </c>
    </row>
    <row r="1184" spans="1:7" x14ac:dyDescent="0.2">
      <c r="A1184">
        <v>2019</v>
      </c>
      <c r="B1184" s="3" t="s">
        <v>84</v>
      </c>
      <c r="C1184" s="3" t="s">
        <v>891</v>
      </c>
      <c r="D1184" s="3" t="s">
        <v>891</v>
      </c>
      <c r="E1184" s="8">
        <v>1884461</v>
      </c>
      <c r="F1184" s="2">
        <v>1.56E-5</v>
      </c>
      <c r="G1184" s="17">
        <f>F1184 * VLOOKUP('GASB Data'!A1184,Check!$A$2:$F$11,6,FALSE)</f>
        <v>29876.277600000001</v>
      </c>
    </row>
    <row r="1185" spans="1:7" x14ac:dyDescent="0.2">
      <c r="A1185">
        <v>2019</v>
      </c>
      <c r="B1185" s="3" t="s">
        <v>925</v>
      </c>
      <c r="C1185" s="3" t="s">
        <v>928</v>
      </c>
      <c r="D1185" s="3" t="s">
        <v>928</v>
      </c>
      <c r="E1185" s="8">
        <v>206922</v>
      </c>
      <c r="F1185" s="2">
        <v>1.7E-6</v>
      </c>
      <c r="G1185" s="17">
        <f>F1185 * VLOOKUP('GASB Data'!A1185,Check!$A$2:$F$11,6,FALSE)</f>
        <v>3255.7482</v>
      </c>
    </row>
    <row r="1186" spans="1:7" x14ac:dyDescent="0.2">
      <c r="A1186">
        <v>2019</v>
      </c>
      <c r="B1186" s="3" t="s">
        <v>86</v>
      </c>
      <c r="C1186" s="3" t="s">
        <v>892</v>
      </c>
      <c r="D1186" s="3" t="s">
        <v>892</v>
      </c>
      <c r="E1186" s="8">
        <v>983701</v>
      </c>
      <c r="F1186" s="2">
        <v>8.1999999999999994E-6</v>
      </c>
      <c r="G1186" s="17">
        <f>F1186 * VLOOKUP('GASB Data'!A1186,Check!$A$2:$F$11,6,FALSE)</f>
        <v>15704.197199999999</v>
      </c>
    </row>
    <row r="1187" spans="1:7" x14ac:dyDescent="0.2">
      <c r="A1187">
        <v>2019</v>
      </c>
      <c r="B1187" s="3" t="s">
        <v>87</v>
      </c>
      <c r="C1187" s="3" t="s">
        <v>929</v>
      </c>
      <c r="D1187" s="3" t="s">
        <v>929</v>
      </c>
      <c r="E1187" s="8">
        <v>2627438</v>
      </c>
      <c r="F1187" s="2">
        <v>2.1800000000000001E-5</v>
      </c>
      <c r="G1187" s="17">
        <f>F1187 * VLOOKUP('GASB Data'!A1187,Check!$A$2:$F$11,6,FALSE)</f>
        <v>41750.182800000002</v>
      </c>
    </row>
    <row r="1188" spans="1:7" x14ac:dyDescent="0.2">
      <c r="A1188">
        <v>2019</v>
      </c>
      <c r="B1188" s="3" t="s">
        <v>88</v>
      </c>
      <c r="C1188" s="3" t="s">
        <v>894</v>
      </c>
      <c r="D1188" s="3" t="s">
        <v>894</v>
      </c>
      <c r="E1188" s="8">
        <v>95934533</v>
      </c>
      <c r="F1188" s="2">
        <v>7.963E-4</v>
      </c>
      <c r="G1188" s="17">
        <f>F1188 * VLOOKUP('GASB Data'!A1188,Check!$A$2:$F$11,6,FALSE)</f>
        <v>1525030.7598000001</v>
      </c>
    </row>
    <row r="1189" spans="1:7" x14ac:dyDescent="0.2">
      <c r="A1189">
        <v>2019</v>
      </c>
      <c r="B1189" s="3" t="s">
        <v>89</v>
      </c>
      <c r="C1189" s="3" t="s">
        <v>610</v>
      </c>
      <c r="D1189" s="3" t="s">
        <v>610</v>
      </c>
      <c r="E1189" s="8">
        <v>8488196167</v>
      </c>
      <c r="F1189" s="2">
        <v>7.0452000000000001E-2</v>
      </c>
      <c r="G1189" s="17">
        <f>F1189 * VLOOKUP('GASB Data'!A1189,Check!$A$2:$F$11,6,FALSE)</f>
        <v>134925865.99200001</v>
      </c>
    </row>
    <row r="1190" spans="1:7" x14ac:dyDescent="0.2">
      <c r="A1190">
        <v>2019</v>
      </c>
      <c r="B1190" s="3" t="s">
        <v>90</v>
      </c>
      <c r="C1190" s="3" t="s">
        <v>611</v>
      </c>
      <c r="D1190" s="3" t="s">
        <v>611</v>
      </c>
      <c r="E1190" s="8">
        <v>811542549</v>
      </c>
      <c r="F1190" s="2">
        <v>6.7358000000000001E-3</v>
      </c>
      <c r="G1190" s="17">
        <f>F1190 * VLOOKUP('GASB Data'!A1190,Check!$A$2:$F$11,6,FALSE)</f>
        <v>12900040.4268</v>
      </c>
    </row>
    <row r="1191" spans="1:7" x14ac:dyDescent="0.2">
      <c r="A1191">
        <v>2019</v>
      </c>
      <c r="B1191" s="3" t="s">
        <v>91</v>
      </c>
      <c r="C1191" s="3" t="s">
        <v>895</v>
      </c>
      <c r="D1191" s="3" t="s">
        <v>895</v>
      </c>
      <c r="E1191" s="8">
        <v>106456702</v>
      </c>
      <c r="F1191" s="2">
        <v>8.8360000000000001E-4</v>
      </c>
      <c r="G1191" s="17">
        <f>F1191 * VLOOKUP('GASB Data'!A1191,Check!$A$2:$F$11,6,FALSE)</f>
        <v>1692223.0056</v>
      </c>
    </row>
    <row r="1192" spans="1:7" x14ac:dyDescent="0.2">
      <c r="A1192">
        <v>2019</v>
      </c>
      <c r="B1192" s="3" t="s">
        <v>92</v>
      </c>
      <c r="C1192" s="3" t="s">
        <v>613</v>
      </c>
      <c r="D1192" s="3" t="s">
        <v>613</v>
      </c>
      <c r="E1192" s="8">
        <v>1687109019</v>
      </c>
      <c r="F1192" s="2">
        <v>1.4003E-2</v>
      </c>
      <c r="G1192" s="17">
        <f>F1192 * VLOOKUP('GASB Data'!A1192,Check!$A$2:$F$11,6,FALSE)</f>
        <v>26817789.438000001</v>
      </c>
    </row>
    <row r="1193" spans="1:7" x14ac:dyDescent="0.2">
      <c r="A1193">
        <v>2019</v>
      </c>
      <c r="B1193" s="3" t="s">
        <v>93</v>
      </c>
      <c r="C1193" s="3" t="s">
        <v>614</v>
      </c>
      <c r="D1193" s="3" t="s">
        <v>614</v>
      </c>
      <c r="E1193" s="8">
        <v>123120617</v>
      </c>
      <c r="F1193" s="2">
        <v>1.0219000000000001E-3</v>
      </c>
      <c r="G1193" s="17">
        <f>F1193 * VLOOKUP('GASB Data'!A1193,Check!$A$2:$F$11,6,FALSE)</f>
        <v>1957087.6974000002</v>
      </c>
    </row>
    <row r="1194" spans="1:7" x14ac:dyDescent="0.2">
      <c r="A1194">
        <v>2019</v>
      </c>
      <c r="B1194" s="3" t="s">
        <v>94</v>
      </c>
      <c r="C1194" s="3" t="s">
        <v>615</v>
      </c>
      <c r="D1194" s="3" t="s">
        <v>615</v>
      </c>
      <c r="E1194" s="8">
        <v>254660139</v>
      </c>
      <c r="F1194" s="2">
        <v>2.1137E-3</v>
      </c>
      <c r="G1194" s="17">
        <f>F1194 * VLOOKUP('GASB Data'!A1194,Check!$A$2:$F$11,6,FALSE)</f>
        <v>4048044.1002000002</v>
      </c>
    </row>
    <row r="1195" spans="1:7" x14ac:dyDescent="0.2">
      <c r="A1195">
        <v>2019</v>
      </c>
      <c r="B1195" s="3" t="s">
        <v>95</v>
      </c>
      <c r="C1195" s="3" t="s">
        <v>896</v>
      </c>
      <c r="D1195" s="3" t="s">
        <v>896</v>
      </c>
      <c r="E1195" s="8">
        <v>510013406</v>
      </c>
      <c r="F1195" s="2">
        <v>4.2331000000000001E-3</v>
      </c>
      <c r="G1195" s="17">
        <f>F1195 * VLOOKUP('GASB Data'!A1195,Check!$A$2:$F$11,6,FALSE)</f>
        <v>8107004.5326000005</v>
      </c>
    </row>
    <row r="1196" spans="1:7" x14ac:dyDescent="0.2">
      <c r="A1196">
        <v>2019</v>
      </c>
      <c r="B1196" s="3" t="s">
        <v>96</v>
      </c>
      <c r="C1196" s="3" t="s">
        <v>897</v>
      </c>
      <c r="D1196" s="3" t="s">
        <v>897</v>
      </c>
      <c r="E1196" s="8">
        <v>417345084</v>
      </c>
      <c r="F1196" s="2">
        <v>3.4640000000000001E-3</v>
      </c>
      <c r="G1196" s="17">
        <f>F1196 * VLOOKUP('GASB Data'!A1196,Check!$A$2:$F$11,6,FALSE)</f>
        <v>6634065.7439999999</v>
      </c>
    </row>
    <row r="1197" spans="1:7" x14ac:dyDescent="0.2">
      <c r="A1197">
        <v>2019</v>
      </c>
      <c r="B1197" s="3" t="s">
        <v>97</v>
      </c>
      <c r="C1197" s="3" t="s">
        <v>618</v>
      </c>
      <c r="D1197" s="3" t="s">
        <v>618</v>
      </c>
      <c r="E1197" s="8">
        <v>638634902</v>
      </c>
      <c r="F1197" s="2">
        <v>5.3007000000000002E-3</v>
      </c>
      <c r="G1197" s="17">
        <f>F1197 * VLOOKUP('GASB Data'!A1197,Check!$A$2:$F$11,6,FALSE)</f>
        <v>10151614.4022</v>
      </c>
    </row>
    <row r="1198" spans="1:7" x14ac:dyDescent="0.2">
      <c r="A1198">
        <v>2019</v>
      </c>
      <c r="B1198" s="3" t="s">
        <v>98</v>
      </c>
      <c r="C1198" s="3" t="s">
        <v>898</v>
      </c>
      <c r="D1198" s="3" t="s">
        <v>898</v>
      </c>
      <c r="E1198" s="8">
        <v>230445931</v>
      </c>
      <c r="F1198" s="2">
        <v>1.9127E-3</v>
      </c>
      <c r="G1198" s="17">
        <f>F1198 * VLOOKUP('GASB Data'!A1198,Check!$A$2:$F$11,6,FALSE)</f>
        <v>3663099.7541999999</v>
      </c>
    </row>
    <row r="1199" spans="1:7" x14ac:dyDescent="0.2">
      <c r="A1199">
        <v>2019</v>
      </c>
      <c r="B1199" s="3" t="s">
        <v>99</v>
      </c>
      <c r="C1199" s="3" t="s">
        <v>899</v>
      </c>
      <c r="D1199" s="3" t="s">
        <v>899</v>
      </c>
      <c r="E1199" s="8">
        <v>2724166149</v>
      </c>
      <c r="F1199" s="2">
        <v>2.2610600000000002E-2</v>
      </c>
      <c r="G1199" s="17">
        <f>F1199 * VLOOKUP('GASB Data'!A1199,Check!$A$2:$F$11,6,FALSE)</f>
        <v>43302600.147600003</v>
      </c>
    </row>
    <row r="1200" spans="1:7" x14ac:dyDescent="0.2">
      <c r="A1200">
        <v>2019</v>
      </c>
      <c r="B1200" s="3" t="s">
        <v>100</v>
      </c>
      <c r="C1200" s="3" t="s">
        <v>621</v>
      </c>
      <c r="D1200" s="3" t="s">
        <v>621</v>
      </c>
      <c r="E1200" s="8">
        <v>3826143257</v>
      </c>
      <c r="F1200" s="2">
        <v>3.1757000000000001E-2</v>
      </c>
      <c r="G1200" s="17">
        <f>F1200 * VLOOKUP('GASB Data'!A1200,Check!$A$2:$F$11,6,FALSE)</f>
        <v>60819291.522</v>
      </c>
    </row>
    <row r="1201" spans="1:7" x14ac:dyDescent="0.2">
      <c r="A1201">
        <v>2019</v>
      </c>
      <c r="B1201" s="3" t="s">
        <v>101</v>
      </c>
      <c r="C1201" s="3" t="s">
        <v>622</v>
      </c>
      <c r="D1201" s="3" t="s">
        <v>622</v>
      </c>
      <c r="E1201" s="8">
        <v>121869851</v>
      </c>
      <c r="F1201" s="2">
        <v>1.0115E-3</v>
      </c>
      <c r="G1201" s="17">
        <f>F1201 * VLOOKUP('GASB Data'!A1201,Check!$A$2:$F$11,6,FALSE)</f>
        <v>1937170.179</v>
      </c>
    </row>
    <row r="1202" spans="1:7" x14ac:dyDescent="0.2">
      <c r="A1202">
        <v>2019</v>
      </c>
      <c r="B1202" s="3" t="s">
        <v>633</v>
      </c>
      <c r="C1202" s="3" t="s">
        <v>623</v>
      </c>
      <c r="D1202" s="3" t="s">
        <v>623</v>
      </c>
      <c r="E1202" s="8">
        <v>15767351</v>
      </c>
      <c r="F1202" s="2">
        <v>1.3090000000000001E-4</v>
      </c>
      <c r="G1202" s="17">
        <f>F1202 * VLOOKUP('GASB Data'!A1202,Check!$A$2:$F$11,6,FALSE)</f>
        <v>250692.61140000002</v>
      </c>
    </row>
    <row r="1203" spans="1:7" x14ac:dyDescent="0.2">
      <c r="A1203">
        <v>2019</v>
      </c>
      <c r="B1203" s="3" t="s">
        <v>102</v>
      </c>
      <c r="C1203" s="3" t="s">
        <v>624</v>
      </c>
      <c r="D1203" s="3" t="s">
        <v>624</v>
      </c>
      <c r="E1203" s="8">
        <v>4422893751</v>
      </c>
      <c r="F1203" s="2">
        <v>3.6710100000000002E-2</v>
      </c>
      <c r="G1203" s="17">
        <f>F1203 * VLOOKUP('GASB Data'!A1203,Check!$A$2:$F$11,6,FALSE)</f>
        <v>70305201.174600005</v>
      </c>
    </row>
    <row r="1204" spans="1:7" x14ac:dyDescent="0.2">
      <c r="A1204">
        <v>2019</v>
      </c>
      <c r="B1204" s="3" t="s">
        <v>103</v>
      </c>
      <c r="C1204" s="3" t="s">
        <v>625</v>
      </c>
      <c r="D1204" s="3" t="s">
        <v>625</v>
      </c>
      <c r="E1204" s="8">
        <v>20211050</v>
      </c>
      <c r="F1204" s="2">
        <v>1.6780000000000001E-4</v>
      </c>
      <c r="G1204" s="17">
        <f>F1204 * VLOOKUP('GASB Data'!A1204,Check!$A$2:$F$11,6,FALSE)</f>
        <v>321361.4988</v>
      </c>
    </row>
    <row r="1205" spans="1:7" x14ac:dyDescent="0.2">
      <c r="A1205">
        <v>2019</v>
      </c>
      <c r="B1205" s="3" t="s">
        <v>104</v>
      </c>
      <c r="C1205" s="3" t="s">
        <v>626</v>
      </c>
      <c r="D1205" s="3" t="s">
        <v>626</v>
      </c>
      <c r="E1205" s="8">
        <v>389331570</v>
      </c>
      <c r="F1205" s="2">
        <v>3.2315E-3</v>
      </c>
      <c r="G1205" s="17">
        <f>F1205 * VLOOKUP('GASB Data'!A1205,Check!$A$2:$F$11,6,FALSE)</f>
        <v>6188794.2989999996</v>
      </c>
    </row>
    <row r="1206" spans="1:7" x14ac:dyDescent="0.2">
      <c r="A1206">
        <v>2019</v>
      </c>
      <c r="B1206" s="3" t="s">
        <v>105</v>
      </c>
      <c r="C1206" s="3" t="s">
        <v>627</v>
      </c>
      <c r="D1206" s="3" t="s">
        <v>627</v>
      </c>
      <c r="E1206" s="8">
        <v>250758496</v>
      </c>
      <c r="F1206" s="2">
        <v>2.0812999999999999E-3</v>
      </c>
      <c r="G1206" s="17">
        <f>F1206 * VLOOKUP('GASB Data'!A1206,Check!$A$2:$F$11,6,FALSE)</f>
        <v>3985993.3698</v>
      </c>
    </row>
    <row r="1207" spans="1:7" x14ac:dyDescent="0.2">
      <c r="A1207">
        <v>2019</v>
      </c>
      <c r="B1207" s="3" t="s">
        <v>106</v>
      </c>
      <c r="C1207" s="3" t="s">
        <v>628</v>
      </c>
      <c r="D1207" s="3" t="s">
        <v>628</v>
      </c>
      <c r="E1207" s="8">
        <v>395933119</v>
      </c>
      <c r="F1207" s="2">
        <v>3.2862E-3</v>
      </c>
      <c r="G1207" s="17">
        <f>F1207 * VLOOKUP('GASB Data'!A1207,Check!$A$2:$F$11,6,FALSE)</f>
        <v>6293552.7851999998</v>
      </c>
    </row>
    <row r="1208" spans="1:7" x14ac:dyDescent="0.2">
      <c r="A1208">
        <v>2019</v>
      </c>
      <c r="B1208" s="3" t="s">
        <v>107</v>
      </c>
      <c r="C1208" s="3" t="s">
        <v>629</v>
      </c>
      <c r="D1208" s="3" t="s">
        <v>629</v>
      </c>
      <c r="E1208" s="8">
        <v>139416816</v>
      </c>
      <c r="F1208" s="2">
        <v>1.1571999999999999E-3</v>
      </c>
      <c r="G1208" s="17">
        <f>F1208 * VLOOKUP('GASB Data'!A1208,Check!$A$2:$F$11,6,FALSE)</f>
        <v>2216206.9512</v>
      </c>
    </row>
    <row r="1209" spans="1:7" x14ac:dyDescent="0.2">
      <c r="A1209">
        <v>2019</v>
      </c>
      <c r="B1209" s="3" t="s">
        <v>108</v>
      </c>
      <c r="C1209" s="3" t="s">
        <v>630</v>
      </c>
      <c r="D1209" s="3" t="s">
        <v>630</v>
      </c>
      <c r="E1209" s="8">
        <v>886893115</v>
      </c>
      <c r="F1209" s="2">
        <v>7.3612E-3</v>
      </c>
      <c r="G1209" s="17">
        <f>F1209 * VLOOKUP('GASB Data'!A1209,Check!$A$2:$F$11,6,FALSE)</f>
        <v>14097772.735200001</v>
      </c>
    </row>
    <row r="1210" spans="1:7" x14ac:dyDescent="0.2">
      <c r="A1210">
        <v>2019</v>
      </c>
      <c r="B1210" s="3" t="s">
        <v>109</v>
      </c>
      <c r="C1210" s="3" t="s">
        <v>631</v>
      </c>
      <c r="D1210" s="3" t="s">
        <v>631</v>
      </c>
      <c r="E1210" s="8">
        <v>507673682</v>
      </c>
      <c r="F1210" s="2">
        <v>4.2136999999999999E-3</v>
      </c>
      <c r="G1210" s="17">
        <f>F1210 * VLOOKUP('GASB Data'!A1210,Check!$A$2:$F$11,6,FALSE)</f>
        <v>8069850.7001999998</v>
      </c>
    </row>
    <row r="1211" spans="1:7" x14ac:dyDescent="0.2">
      <c r="A1211">
        <v>2019</v>
      </c>
      <c r="B1211" s="3" t="s">
        <v>110</v>
      </c>
      <c r="C1211" s="3" t="s">
        <v>634</v>
      </c>
      <c r="D1211" s="3" t="s">
        <v>634</v>
      </c>
      <c r="E1211" s="8">
        <v>108563433</v>
      </c>
      <c r="F1211" s="2">
        <v>9.0109999999999995E-4</v>
      </c>
      <c r="G1211" s="17">
        <f>F1211 * VLOOKUP('GASB Data'!A1211,Check!$A$2:$F$11,6,FALSE)</f>
        <v>1725738.0606</v>
      </c>
    </row>
    <row r="1212" spans="1:7" x14ac:dyDescent="0.2">
      <c r="A1212">
        <v>2019</v>
      </c>
      <c r="B1212" s="3" t="s">
        <v>111</v>
      </c>
      <c r="C1212" s="3" t="s">
        <v>635</v>
      </c>
      <c r="D1212" s="3" t="s">
        <v>635</v>
      </c>
      <c r="E1212" s="8">
        <v>1013172938</v>
      </c>
      <c r="F1212" s="2">
        <v>8.4092999999999998E-3</v>
      </c>
      <c r="G1212" s="17">
        <f>F1212 * VLOOKUP('GASB Data'!A1212,Check!$A$2:$F$11,6,FALSE)</f>
        <v>16105037.2578</v>
      </c>
    </row>
    <row r="1213" spans="1:7" x14ac:dyDescent="0.2">
      <c r="A1213">
        <v>2019</v>
      </c>
      <c r="B1213" s="3" t="s">
        <v>166</v>
      </c>
      <c r="C1213" s="3" t="s">
        <v>636</v>
      </c>
      <c r="D1213" s="3" t="s">
        <v>636</v>
      </c>
      <c r="E1213" s="8">
        <v>20106113</v>
      </c>
      <c r="F1213" s="2">
        <v>1.6689999999999999E-4</v>
      </c>
      <c r="G1213" s="17">
        <f>F1213 * VLOOKUP('GASB Data'!A1213,Check!$A$2:$F$11,6,FALSE)</f>
        <v>319637.86739999999</v>
      </c>
    </row>
    <row r="1214" spans="1:7" x14ac:dyDescent="0.2">
      <c r="A1214">
        <v>2019</v>
      </c>
      <c r="B1214" s="3" t="s">
        <v>167</v>
      </c>
      <c r="C1214" s="3" t="s">
        <v>637</v>
      </c>
      <c r="D1214" s="3" t="s">
        <v>637</v>
      </c>
      <c r="E1214" s="8">
        <v>26112306</v>
      </c>
      <c r="F1214" s="2">
        <v>2.1670000000000001E-4</v>
      </c>
      <c r="G1214" s="17">
        <f>F1214 * VLOOKUP('GASB Data'!A1214,Check!$A$2:$F$11,6,FALSE)</f>
        <v>415012.13820000004</v>
      </c>
    </row>
    <row r="1215" spans="1:7" x14ac:dyDescent="0.2">
      <c r="A1215">
        <v>2019</v>
      </c>
      <c r="B1215" s="3" t="s">
        <v>168</v>
      </c>
      <c r="C1215" s="3" t="s">
        <v>638</v>
      </c>
      <c r="D1215" s="3" t="s">
        <v>638</v>
      </c>
      <c r="E1215" s="8">
        <v>14301877</v>
      </c>
      <c r="F1215" s="2">
        <v>1.187E-4</v>
      </c>
      <c r="G1215" s="17">
        <f>F1215 * VLOOKUP('GASB Data'!A1215,Check!$A$2:$F$11,6,FALSE)</f>
        <v>227327.8302</v>
      </c>
    </row>
    <row r="1216" spans="1:7" x14ac:dyDescent="0.2">
      <c r="A1216">
        <v>2019</v>
      </c>
      <c r="B1216" s="3" t="s">
        <v>169</v>
      </c>
      <c r="C1216" s="3" t="s">
        <v>639</v>
      </c>
      <c r="D1216" s="3" t="s">
        <v>639</v>
      </c>
      <c r="E1216" s="8">
        <v>107795042</v>
      </c>
      <c r="F1216" s="2">
        <v>8.9470000000000001E-4</v>
      </c>
      <c r="G1216" s="17">
        <f>F1216 * VLOOKUP('GASB Data'!A1216,Check!$A$2:$F$11,6,FALSE)</f>
        <v>1713481.1262000001</v>
      </c>
    </row>
    <row r="1217" spans="1:7" x14ac:dyDescent="0.2">
      <c r="A1217">
        <v>2019</v>
      </c>
      <c r="B1217" s="3" t="s">
        <v>170</v>
      </c>
      <c r="C1217" s="3" t="s">
        <v>640</v>
      </c>
      <c r="D1217" s="3" t="s">
        <v>640</v>
      </c>
      <c r="E1217" s="8">
        <v>233238942</v>
      </c>
      <c r="F1217" s="2">
        <v>1.9358999999999999E-3</v>
      </c>
      <c r="G1217" s="17">
        <f>F1217 * VLOOKUP('GASB Data'!A1217,Check!$A$2:$F$11,6,FALSE)</f>
        <v>3707531.1414000001</v>
      </c>
    </row>
    <row r="1218" spans="1:7" x14ac:dyDescent="0.2">
      <c r="A1218">
        <v>2019</v>
      </c>
      <c r="B1218" s="3" t="s">
        <v>171</v>
      </c>
      <c r="C1218" s="3" t="s">
        <v>641</v>
      </c>
      <c r="D1218" s="3" t="s">
        <v>641</v>
      </c>
      <c r="E1218" s="8">
        <v>76882897</v>
      </c>
      <c r="F1218" s="2">
        <v>6.3809999999999995E-4</v>
      </c>
      <c r="G1218" s="17">
        <f>F1218 * VLOOKUP('GASB Data'!A1218,Check!$A$2:$F$11,6,FALSE)</f>
        <v>1222054.6625999999</v>
      </c>
    </row>
    <row r="1219" spans="1:7" x14ac:dyDescent="0.2">
      <c r="A1219">
        <v>2019</v>
      </c>
      <c r="B1219" s="3" t="s">
        <v>172</v>
      </c>
      <c r="C1219" s="3" t="s">
        <v>642</v>
      </c>
      <c r="D1219" s="3" t="s">
        <v>642</v>
      </c>
      <c r="E1219" s="8">
        <v>139929495</v>
      </c>
      <c r="F1219" s="2">
        <v>1.1613999999999999E-3</v>
      </c>
      <c r="G1219" s="17">
        <f>F1219 * VLOOKUP('GASB Data'!A1219,Check!$A$2:$F$11,6,FALSE)</f>
        <v>2224250.5644</v>
      </c>
    </row>
    <row r="1220" spans="1:7" x14ac:dyDescent="0.2">
      <c r="A1220">
        <v>2019</v>
      </c>
      <c r="B1220" s="3" t="s">
        <v>173</v>
      </c>
      <c r="C1220" s="3" t="s">
        <v>643</v>
      </c>
      <c r="D1220" s="3" t="s">
        <v>643</v>
      </c>
      <c r="E1220" s="8">
        <v>82590687</v>
      </c>
      <c r="F1220" s="2">
        <v>6.8550000000000002E-4</v>
      </c>
      <c r="G1220" s="17">
        <f>F1220 * VLOOKUP('GASB Data'!A1220,Check!$A$2:$F$11,6,FALSE)</f>
        <v>1312832.5830000001</v>
      </c>
    </row>
    <row r="1221" spans="1:7" x14ac:dyDescent="0.2">
      <c r="A1221">
        <v>2019</v>
      </c>
      <c r="B1221" s="3" t="s">
        <v>174</v>
      </c>
      <c r="C1221" s="3" t="s">
        <v>644</v>
      </c>
      <c r="D1221" s="3" t="s">
        <v>644</v>
      </c>
      <c r="E1221" s="8">
        <v>150922939</v>
      </c>
      <c r="F1221" s="2">
        <v>1.2527E-3</v>
      </c>
      <c r="G1221" s="17">
        <f>F1221 * VLOOKUP('GASB Data'!A1221,Check!$A$2:$F$11,6,FALSE)</f>
        <v>2399103.3942</v>
      </c>
    </row>
    <row r="1222" spans="1:7" x14ac:dyDescent="0.2">
      <c r="A1222">
        <v>2019</v>
      </c>
      <c r="B1222" s="3" t="s">
        <v>175</v>
      </c>
      <c r="C1222" s="3" t="s">
        <v>645</v>
      </c>
      <c r="D1222" s="3" t="s">
        <v>645</v>
      </c>
      <c r="E1222" s="8">
        <v>110134828</v>
      </c>
      <c r="F1222" s="2">
        <v>9.1410000000000005E-4</v>
      </c>
      <c r="G1222" s="17">
        <f>F1222 * VLOOKUP('GASB Data'!A1222,Check!$A$2:$F$11,6,FALSE)</f>
        <v>1750634.9586</v>
      </c>
    </row>
    <row r="1223" spans="1:7" x14ac:dyDescent="0.2">
      <c r="A1223">
        <v>2019</v>
      </c>
      <c r="B1223" s="3" t="s">
        <v>176</v>
      </c>
      <c r="C1223" s="3" t="s">
        <v>646</v>
      </c>
      <c r="D1223" s="3" t="s">
        <v>646</v>
      </c>
      <c r="E1223" s="8">
        <v>1168363</v>
      </c>
      <c r="F1223" s="2">
        <v>9.7000000000000003E-6</v>
      </c>
      <c r="G1223" s="17">
        <f>F1223 * VLOOKUP('GASB Data'!A1223,Check!$A$2:$F$11,6,FALSE)</f>
        <v>18576.9162</v>
      </c>
    </row>
    <row r="1224" spans="1:7" x14ac:dyDescent="0.2">
      <c r="A1224">
        <v>2019</v>
      </c>
      <c r="B1224" s="3" t="s">
        <v>177</v>
      </c>
      <c r="C1224" s="3" t="s">
        <v>647</v>
      </c>
      <c r="D1224" s="3" t="s">
        <v>647</v>
      </c>
      <c r="E1224" s="8">
        <v>297395055</v>
      </c>
      <c r="F1224" s="2">
        <v>2.4683999999999999E-3</v>
      </c>
      <c r="G1224" s="17">
        <f>F1224 * VLOOKUP('GASB Data'!A1224,Check!$A$2:$F$11,6,FALSE)</f>
        <v>4727346.3864000002</v>
      </c>
    </row>
    <row r="1225" spans="1:7" x14ac:dyDescent="0.2">
      <c r="A1225">
        <v>2019</v>
      </c>
      <c r="B1225" s="3" t="s">
        <v>178</v>
      </c>
      <c r="C1225" s="3" t="s">
        <v>648</v>
      </c>
      <c r="D1225" s="3" t="s">
        <v>648</v>
      </c>
      <c r="E1225" s="8">
        <v>58786001</v>
      </c>
      <c r="F1225" s="2">
        <v>4.8789999999999999E-4</v>
      </c>
      <c r="G1225" s="17">
        <f>F1225 * VLOOKUP('GASB Data'!A1225,Check!$A$2:$F$11,6,FALSE)</f>
        <v>934399.73340000003</v>
      </c>
    </row>
    <row r="1226" spans="1:7" x14ac:dyDescent="0.2">
      <c r="A1226">
        <v>2019</v>
      </c>
      <c r="B1226" s="3" t="s">
        <v>179</v>
      </c>
      <c r="C1226" s="3" t="s">
        <v>649</v>
      </c>
      <c r="D1226" s="3" t="s">
        <v>649</v>
      </c>
      <c r="E1226" s="8">
        <v>99132930</v>
      </c>
      <c r="F1226" s="2">
        <v>8.2280000000000005E-4</v>
      </c>
      <c r="G1226" s="17">
        <f>F1226 * VLOOKUP('GASB Data'!A1226,Check!$A$2:$F$11,6,FALSE)</f>
        <v>1575782.1288000001</v>
      </c>
    </row>
    <row r="1227" spans="1:7" x14ac:dyDescent="0.2">
      <c r="A1227">
        <v>2019</v>
      </c>
      <c r="B1227" s="3" t="s">
        <v>180</v>
      </c>
      <c r="C1227" s="3" t="s">
        <v>650</v>
      </c>
      <c r="D1227" s="3" t="s">
        <v>650</v>
      </c>
      <c r="E1227" s="8">
        <v>190024803</v>
      </c>
      <c r="F1227" s="2">
        <v>1.5772E-3</v>
      </c>
      <c r="G1227" s="17">
        <f>F1227 * VLOOKUP('GASB Data'!A1227,Check!$A$2:$F$11,6,FALSE)</f>
        <v>3020568.2711999998</v>
      </c>
    </row>
    <row r="1228" spans="1:7" x14ac:dyDescent="0.2">
      <c r="A1228">
        <v>2019</v>
      </c>
      <c r="B1228" s="3" t="s">
        <v>181</v>
      </c>
      <c r="C1228" s="3" t="s">
        <v>651</v>
      </c>
      <c r="D1228" s="3" t="s">
        <v>651</v>
      </c>
      <c r="E1228" s="8">
        <v>38832622</v>
      </c>
      <c r="F1228" s="2">
        <v>3.2229999999999997E-4</v>
      </c>
      <c r="G1228" s="17">
        <f>F1228 * VLOOKUP('GASB Data'!A1228,Check!$A$2:$F$11,6,FALSE)</f>
        <v>617251.55579999997</v>
      </c>
    </row>
    <row r="1229" spans="1:7" x14ac:dyDescent="0.2">
      <c r="A1229">
        <v>2019</v>
      </c>
      <c r="B1229" s="3" t="s">
        <v>182</v>
      </c>
      <c r="C1229" s="3" t="s">
        <v>652</v>
      </c>
      <c r="D1229" s="3" t="s">
        <v>652</v>
      </c>
      <c r="E1229" s="8">
        <v>584750743</v>
      </c>
      <c r="F1229" s="2">
        <v>4.8533999999999999E-3</v>
      </c>
      <c r="G1229" s="17">
        <f>F1229 * VLOOKUP('GASB Data'!A1229,Check!$A$2:$F$11,6,FALSE)</f>
        <v>9294969.5964000002</v>
      </c>
    </row>
    <row r="1230" spans="1:7" x14ac:dyDescent="0.2">
      <c r="A1230">
        <v>2019</v>
      </c>
      <c r="B1230" s="3" t="s">
        <v>183</v>
      </c>
      <c r="C1230" s="3" t="s">
        <v>653</v>
      </c>
      <c r="D1230" s="3" t="s">
        <v>653</v>
      </c>
      <c r="E1230" s="8">
        <v>52666237</v>
      </c>
      <c r="F1230" s="2">
        <v>4.371E-4</v>
      </c>
      <c r="G1230" s="17">
        <f>F1230 * VLOOKUP('GASB Data'!A1230,Check!$A$2:$F$11,6,FALSE)</f>
        <v>837110.31660000002</v>
      </c>
    </row>
    <row r="1231" spans="1:7" x14ac:dyDescent="0.2">
      <c r="A1231">
        <v>2019</v>
      </c>
      <c r="B1231" s="3" t="s">
        <v>184</v>
      </c>
      <c r="C1231" s="3" t="s">
        <v>654</v>
      </c>
      <c r="D1231" s="3" t="s">
        <v>654</v>
      </c>
      <c r="E1231" s="8">
        <v>1213656093</v>
      </c>
      <c r="F1231" s="2">
        <v>1.00734E-2</v>
      </c>
      <c r="G1231" s="17">
        <f>F1231 * VLOOKUP('GASB Data'!A1231,Check!$A$2:$F$11,6,FALSE)</f>
        <v>19292031.716400001</v>
      </c>
    </row>
    <row r="1232" spans="1:7" x14ac:dyDescent="0.2">
      <c r="A1232">
        <v>2019</v>
      </c>
      <c r="B1232" s="3" t="s">
        <v>185</v>
      </c>
      <c r="C1232" s="3" t="s">
        <v>900</v>
      </c>
      <c r="D1232" s="3" t="s">
        <v>900</v>
      </c>
      <c r="E1232" s="8">
        <v>6856994</v>
      </c>
      <c r="F1232" s="2">
        <v>5.6900000000000001E-5</v>
      </c>
      <c r="G1232" s="17">
        <f>F1232 * VLOOKUP('GASB Data'!A1232,Check!$A$2:$F$11,6,FALSE)</f>
        <v>108971.80740000001</v>
      </c>
    </row>
    <row r="1233" spans="1:7" x14ac:dyDescent="0.2">
      <c r="A1233">
        <v>2019</v>
      </c>
      <c r="B1233" s="3" t="s">
        <v>186</v>
      </c>
      <c r="C1233" s="3" t="s">
        <v>656</v>
      </c>
      <c r="D1233" s="3" t="s">
        <v>656</v>
      </c>
      <c r="E1233" s="8">
        <v>23550587</v>
      </c>
      <c r="F1233" s="2">
        <v>1.9550000000000001E-4</v>
      </c>
      <c r="G1233" s="17">
        <f>F1233 * VLOOKUP('GASB Data'!A1233,Check!$A$2:$F$11,6,FALSE)</f>
        <v>374411.04300000001</v>
      </c>
    </row>
    <row r="1234" spans="1:7" x14ac:dyDescent="0.2">
      <c r="A1234">
        <v>2019</v>
      </c>
      <c r="B1234" s="3" t="s">
        <v>187</v>
      </c>
      <c r="C1234" s="3" t="s">
        <v>657</v>
      </c>
      <c r="D1234" s="3" t="s">
        <v>657</v>
      </c>
      <c r="E1234" s="8">
        <v>188812729</v>
      </c>
      <c r="F1234" s="2">
        <v>1.5671000000000001E-3</v>
      </c>
      <c r="G1234" s="17">
        <f>F1234 * VLOOKUP('GASB Data'!A1234,Check!$A$2:$F$11,6,FALSE)</f>
        <v>3001225.2966</v>
      </c>
    </row>
    <row r="1235" spans="1:7" x14ac:dyDescent="0.2">
      <c r="A1235">
        <v>2019</v>
      </c>
      <c r="B1235" s="3" t="s">
        <v>188</v>
      </c>
      <c r="C1235" s="3" t="s">
        <v>658</v>
      </c>
      <c r="D1235" s="3" t="s">
        <v>658</v>
      </c>
      <c r="E1235" s="8">
        <v>300200846</v>
      </c>
      <c r="F1235" s="2">
        <v>2.4916999999999999E-3</v>
      </c>
      <c r="G1235" s="17">
        <f>F1235 * VLOOKUP('GASB Data'!A1235,Check!$A$2:$F$11,6,FALSE)</f>
        <v>4771969.2881999994</v>
      </c>
    </row>
    <row r="1236" spans="1:7" x14ac:dyDescent="0.2">
      <c r="A1236">
        <v>2019</v>
      </c>
      <c r="B1236" s="3" t="s">
        <v>189</v>
      </c>
      <c r="C1236" s="3" t="s">
        <v>659</v>
      </c>
      <c r="D1236" s="3" t="s">
        <v>659</v>
      </c>
      <c r="E1236" s="8">
        <v>517646346</v>
      </c>
      <c r="F1236" s="2">
        <v>4.2965E-3</v>
      </c>
      <c r="G1236" s="17">
        <f>F1236 * VLOOKUP('GASB Data'!A1236,Check!$A$2:$F$11,6,FALSE)</f>
        <v>8228424.7889999999</v>
      </c>
    </row>
    <row r="1237" spans="1:7" x14ac:dyDescent="0.2">
      <c r="A1237">
        <v>2019</v>
      </c>
      <c r="B1237" s="3" t="s">
        <v>190</v>
      </c>
      <c r="C1237" s="3" t="s">
        <v>901</v>
      </c>
      <c r="D1237" s="3" t="s">
        <v>901</v>
      </c>
      <c r="E1237" s="8">
        <v>58400589</v>
      </c>
      <c r="F1237" s="2">
        <v>4.8470000000000002E-4</v>
      </c>
      <c r="G1237" s="17">
        <f>F1237 * VLOOKUP('GASB Data'!A1237,Check!$A$2:$F$11,6,FALSE)</f>
        <v>928271.26620000007</v>
      </c>
    </row>
    <row r="1238" spans="1:7" x14ac:dyDescent="0.2">
      <c r="A1238">
        <v>2019</v>
      </c>
      <c r="B1238" s="3" t="s">
        <v>191</v>
      </c>
      <c r="C1238" s="3" t="s">
        <v>661</v>
      </c>
      <c r="D1238" s="3" t="s">
        <v>661</v>
      </c>
      <c r="E1238" s="8">
        <v>1484860670</v>
      </c>
      <c r="F1238" s="2">
        <v>1.2324399999999999E-2</v>
      </c>
      <c r="G1238" s="17">
        <f>F1238 * VLOOKUP('GASB Data'!A1238,Check!$A$2:$F$11,6,FALSE)</f>
        <v>23603025.362399999</v>
      </c>
    </row>
    <row r="1239" spans="1:7" x14ac:dyDescent="0.2">
      <c r="A1239">
        <v>2019</v>
      </c>
      <c r="B1239" s="3" t="s">
        <v>192</v>
      </c>
      <c r="C1239" s="3" t="s">
        <v>662</v>
      </c>
      <c r="D1239" s="3" t="s">
        <v>662</v>
      </c>
      <c r="E1239" s="8">
        <v>31500767</v>
      </c>
      <c r="F1239" s="2">
        <v>2.6150000000000001E-4</v>
      </c>
      <c r="G1239" s="17">
        <f>F1239 * VLOOKUP('GASB Data'!A1239,Check!$A$2:$F$11,6,FALSE)</f>
        <v>500810.679</v>
      </c>
    </row>
    <row r="1240" spans="1:7" x14ac:dyDescent="0.2">
      <c r="A1240">
        <v>2019</v>
      </c>
      <c r="B1240" s="3" t="s">
        <v>193</v>
      </c>
      <c r="C1240" s="3" t="s">
        <v>663</v>
      </c>
      <c r="D1240" s="3" t="s">
        <v>663</v>
      </c>
      <c r="E1240" s="8">
        <v>260156347</v>
      </c>
      <c r="F1240" s="2">
        <v>2.1592999999999998E-3</v>
      </c>
      <c r="G1240" s="17">
        <f>F1240 * VLOOKUP('GASB Data'!A1240,Check!$A$2:$F$11,6,FALSE)</f>
        <v>4135374.7577999998</v>
      </c>
    </row>
    <row r="1241" spans="1:7" x14ac:dyDescent="0.2">
      <c r="A1241">
        <v>2019</v>
      </c>
      <c r="B1241" s="3" t="s">
        <v>194</v>
      </c>
      <c r="C1241" s="3" t="s">
        <v>664</v>
      </c>
      <c r="D1241" s="3" t="s">
        <v>664</v>
      </c>
      <c r="E1241" s="8">
        <v>536326110</v>
      </c>
      <c r="F1241" s="2">
        <v>4.4514999999999997E-3</v>
      </c>
      <c r="G1241" s="17">
        <f>F1241 * VLOOKUP('GASB Data'!A1241,Check!$A$2:$F$11,6,FALSE)</f>
        <v>8525272.4189999998</v>
      </c>
    </row>
    <row r="1242" spans="1:7" x14ac:dyDescent="0.2">
      <c r="A1242">
        <v>2019</v>
      </c>
      <c r="B1242" s="3" t="s">
        <v>195</v>
      </c>
      <c r="C1242" s="3" t="s">
        <v>665</v>
      </c>
      <c r="D1242" s="3" t="s">
        <v>665</v>
      </c>
      <c r="E1242" s="8">
        <v>106298323</v>
      </c>
      <c r="F1242" s="2">
        <v>8.8230000000000003E-4</v>
      </c>
      <c r="G1242" s="17">
        <f>F1242 * VLOOKUP('GASB Data'!A1242,Check!$A$2:$F$11,6,FALSE)</f>
        <v>1689733.3158</v>
      </c>
    </row>
    <row r="1243" spans="1:7" x14ac:dyDescent="0.2">
      <c r="A1243">
        <v>2019</v>
      </c>
      <c r="B1243" s="3" t="s">
        <v>196</v>
      </c>
      <c r="C1243" s="3" t="s">
        <v>666</v>
      </c>
      <c r="D1243" s="3" t="s">
        <v>666</v>
      </c>
      <c r="E1243" s="8">
        <v>87353204</v>
      </c>
      <c r="F1243" s="2">
        <v>7.2499999999999995E-4</v>
      </c>
      <c r="G1243" s="17">
        <f>F1243 * VLOOKUP('GASB Data'!A1243,Check!$A$2:$F$11,6,FALSE)</f>
        <v>1388480.8499999999</v>
      </c>
    </row>
    <row r="1244" spans="1:7" x14ac:dyDescent="0.2">
      <c r="A1244">
        <v>2019</v>
      </c>
      <c r="B1244" s="3" t="s">
        <v>197</v>
      </c>
      <c r="C1244" s="3" t="s">
        <v>667</v>
      </c>
      <c r="D1244" s="3" t="s">
        <v>667</v>
      </c>
      <c r="E1244" s="8">
        <v>392054325</v>
      </c>
      <c r="F1244" s="2">
        <v>3.2540999999999998E-3</v>
      </c>
      <c r="G1244" s="17">
        <f>F1244 * VLOOKUP('GASB Data'!A1244,Check!$A$2:$F$11,6,FALSE)</f>
        <v>6232076.5985999992</v>
      </c>
    </row>
    <row r="1245" spans="1:7" x14ac:dyDescent="0.2">
      <c r="A1245">
        <v>2019</v>
      </c>
      <c r="B1245" s="3" t="s">
        <v>198</v>
      </c>
      <c r="C1245" s="3" t="s">
        <v>668</v>
      </c>
      <c r="D1245" s="3" t="s">
        <v>668</v>
      </c>
      <c r="E1245" s="8">
        <v>56693059</v>
      </c>
      <c r="F1245" s="2">
        <v>4.706E-4</v>
      </c>
      <c r="G1245" s="17">
        <f>F1245 * VLOOKUP('GASB Data'!A1245,Check!$A$2:$F$11,6,FALSE)</f>
        <v>901267.70759999997</v>
      </c>
    </row>
    <row r="1246" spans="1:7" x14ac:dyDescent="0.2">
      <c r="A1246">
        <v>2019</v>
      </c>
      <c r="B1246" s="3" t="s">
        <v>199</v>
      </c>
      <c r="C1246" s="3" t="s">
        <v>669</v>
      </c>
      <c r="D1246" s="3" t="s">
        <v>669</v>
      </c>
      <c r="E1246" s="8">
        <v>114043298</v>
      </c>
      <c r="F1246" s="2">
        <v>9.4660000000000002E-4</v>
      </c>
      <c r="G1246" s="17">
        <f>F1246 * VLOOKUP('GASB Data'!A1246,Check!$A$2:$F$11,6,FALSE)</f>
        <v>1812877.2036000001</v>
      </c>
    </row>
    <row r="1247" spans="1:7" x14ac:dyDescent="0.2">
      <c r="A1247">
        <v>2019</v>
      </c>
      <c r="B1247" s="3" t="s">
        <v>200</v>
      </c>
      <c r="C1247" s="3" t="s">
        <v>670</v>
      </c>
      <c r="D1247" s="3" t="s">
        <v>670</v>
      </c>
      <c r="E1247" s="8">
        <v>681283019</v>
      </c>
      <c r="F1247" s="2">
        <v>5.6547000000000004E-3</v>
      </c>
      <c r="G1247" s="17">
        <f>F1247 * VLOOKUP('GASB Data'!A1247,Check!$A$2:$F$11,6,FALSE)</f>
        <v>10829576.086200001</v>
      </c>
    </row>
    <row r="1248" spans="1:7" x14ac:dyDescent="0.2">
      <c r="A1248">
        <v>2019</v>
      </c>
      <c r="B1248" s="3" t="s">
        <v>201</v>
      </c>
      <c r="C1248" s="3" t="s">
        <v>671</v>
      </c>
      <c r="D1248" s="3" t="s">
        <v>671</v>
      </c>
      <c r="E1248" s="8">
        <v>146293064</v>
      </c>
      <c r="F1248" s="2">
        <v>1.2141999999999999E-3</v>
      </c>
      <c r="G1248" s="17">
        <f>F1248 * VLOOKUP('GASB Data'!A1248,Check!$A$2:$F$11,6,FALSE)</f>
        <v>2325370.2731999997</v>
      </c>
    </row>
    <row r="1249" spans="1:7" x14ac:dyDescent="0.2">
      <c r="A1249">
        <v>2019</v>
      </c>
      <c r="B1249" s="3" t="s">
        <v>202</v>
      </c>
      <c r="C1249" s="3" t="s">
        <v>672</v>
      </c>
      <c r="D1249" s="3" t="s">
        <v>672</v>
      </c>
      <c r="E1249" s="8">
        <v>175038774</v>
      </c>
      <c r="F1249" s="2">
        <v>1.4528E-3</v>
      </c>
      <c r="G1249" s="17">
        <f>F1249 * VLOOKUP('GASB Data'!A1249,Check!$A$2:$F$11,6,FALSE)</f>
        <v>2782324.1088</v>
      </c>
    </row>
    <row r="1250" spans="1:7" x14ac:dyDescent="0.2">
      <c r="A1250">
        <v>2019</v>
      </c>
      <c r="B1250" s="3" t="s">
        <v>203</v>
      </c>
      <c r="C1250" s="3" t="s">
        <v>673</v>
      </c>
      <c r="D1250" s="3" t="s">
        <v>673</v>
      </c>
      <c r="E1250" s="8">
        <v>149924409</v>
      </c>
      <c r="F1250" s="2">
        <v>1.2444000000000001E-3</v>
      </c>
      <c r="G1250" s="17">
        <f>F1250 * VLOOKUP('GASB Data'!A1250,Check!$A$2:$F$11,6,FALSE)</f>
        <v>2383207.6824000003</v>
      </c>
    </row>
    <row r="1251" spans="1:7" x14ac:dyDescent="0.2">
      <c r="A1251">
        <v>2019</v>
      </c>
      <c r="B1251" s="3" t="s">
        <v>204</v>
      </c>
      <c r="C1251" s="3" t="s">
        <v>674</v>
      </c>
      <c r="D1251" s="3" t="s">
        <v>674</v>
      </c>
      <c r="E1251" s="8">
        <v>445821840</v>
      </c>
      <c r="F1251" s="2">
        <v>3.7003000000000001E-3</v>
      </c>
      <c r="G1251" s="17">
        <f>F1251 * VLOOKUP('GASB Data'!A1251,Check!$A$2:$F$11,6,FALSE)</f>
        <v>7086614.7438000003</v>
      </c>
    </row>
    <row r="1252" spans="1:7" x14ac:dyDescent="0.2">
      <c r="A1252">
        <v>2019</v>
      </c>
      <c r="B1252" s="3" t="s">
        <v>205</v>
      </c>
      <c r="C1252" s="3" t="s">
        <v>675</v>
      </c>
      <c r="D1252" s="3" t="s">
        <v>675</v>
      </c>
      <c r="E1252" s="8">
        <v>180072668</v>
      </c>
      <c r="F1252" s="2">
        <v>1.4946E-3</v>
      </c>
      <c r="G1252" s="17">
        <f>F1252 * VLOOKUP('GASB Data'!A1252,Check!$A$2:$F$11,6,FALSE)</f>
        <v>2862377.2116</v>
      </c>
    </row>
    <row r="1253" spans="1:7" x14ac:dyDescent="0.2">
      <c r="A1253">
        <v>2019</v>
      </c>
      <c r="B1253" s="3" t="s">
        <v>206</v>
      </c>
      <c r="C1253" s="3" t="s">
        <v>676</v>
      </c>
      <c r="D1253" s="3" t="s">
        <v>676</v>
      </c>
      <c r="E1253" s="8">
        <v>36236105</v>
      </c>
      <c r="F1253" s="2">
        <v>3.0079999999999999E-4</v>
      </c>
      <c r="G1253" s="17">
        <f>F1253 * VLOOKUP('GASB Data'!A1253,Check!$A$2:$F$11,6,FALSE)</f>
        <v>576075.91680000001</v>
      </c>
    </row>
    <row r="1254" spans="1:7" x14ac:dyDescent="0.2">
      <c r="A1254">
        <v>2019</v>
      </c>
      <c r="B1254" s="3" t="s">
        <v>207</v>
      </c>
      <c r="C1254" s="3" t="s">
        <v>677</v>
      </c>
      <c r="D1254" s="3" t="s">
        <v>677</v>
      </c>
      <c r="E1254" s="8">
        <v>101701251</v>
      </c>
      <c r="F1254" s="2">
        <v>8.4409999999999997E-4</v>
      </c>
      <c r="G1254" s="17">
        <f>F1254 * VLOOKUP('GASB Data'!A1254,Check!$A$2:$F$11,6,FALSE)</f>
        <v>1616574.7386</v>
      </c>
    </row>
    <row r="1255" spans="1:7" x14ac:dyDescent="0.2">
      <c r="A1255">
        <v>2019</v>
      </c>
      <c r="B1255" s="3" t="s">
        <v>208</v>
      </c>
      <c r="C1255" s="3" t="s">
        <v>678</v>
      </c>
      <c r="D1255" s="3" t="s">
        <v>678</v>
      </c>
      <c r="E1255" s="8">
        <v>68078430</v>
      </c>
      <c r="F1255" s="2">
        <v>5.6510000000000002E-4</v>
      </c>
      <c r="G1255" s="17">
        <f>F1255 * VLOOKUP('GASB Data'!A1255,Check!$A$2:$F$11,6,FALSE)</f>
        <v>1082249.0046000001</v>
      </c>
    </row>
    <row r="1256" spans="1:7" x14ac:dyDescent="0.2">
      <c r="A1256">
        <v>2019</v>
      </c>
      <c r="B1256" s="3" t="s">
        <v>209</v>
      </c>
      <c r="C1256" s="3" t="s">
        <v>679</v>
      </c>
      <c r="D1256" s="3" t="s">
        <v>679</v>
      </c>
      <c r="E1256" s="8">
        <v>683919355</v>
      </c>
      <c r="F1256" s="2">
        <v>5.6765000000000001E-3</v>
      </c>
      <c r="G1256" s="17">
        <f>F1256 * VLOOKUP('GASB Data'!A1256,Check!$A$2:$F$11,6,FALSE)</f>
        <v>10871326.268999999</v>
      </c>
    </row>
    <row r="1257" spans="1:7" x14ac:dyDescent="0.2">
      <c r="A1257">
        <v>2019</v>
      </c>
      <c r="B1257" s="3" t="s">
        <v>210</v>
      </c>
      <c r="C1257" s="3" t="s">
        <v>930</v>
      </c>
      <c r="D1257" s="3" t="s">
        <v>930</v>
      </c>
      <c r="E1257" s="8">
        <v>75733702</v>
      </c>
      <c r="F1257" s="2">
        <v>6.2859999999999999E-4</v>
      </c>
      <c r="G1257" s="17">
        <f>F1257 * VLOOKUP('GASB Data'!A1257,Check!$A$2:$F$11,6,FALSE)</f>
        <v>1203860.7756000001</v>
      </c>
    </row>
    <row r="1258" spans="1:7" x14ac:dyDescent="0.2">
      <c r="A1258">
        <v>2019</v>
      </c>
      <c r="B1258" s="3" t="s">
        <v>211</v>
      </c>
      <c r="C1258" s="3" t="s">
        <v>681</v>
      </c>
      <c r="D1258" s="3" t="s">
        <v>681</v>
      </c>
      <c r="E1258" s="8">
        <v>241301489</v>
      </c>
      <c r="F1258" s="2">
        <v>2.0027999999999999E-3</v>
      </c>
      <c r="G1258" s="17">
        <f>F1258 * VLOOKUP('GASB Data'!A1258,Check!$A$2:$F$11,6,FALSE)</f>
        <v>3835654.4087999999</v>
      </c>
    </row>
    <row r="1259" spans="1:7" x14ac:dyDescent="0.2">
      <c r="A1259">
        <v>2019</v>
      </c>
      <c r="B1259" s="3" t="s">
        <v>212</v>
      </c>
      <c r="C1259" s="3" t="s">
        <v>682</v>
      </c>
      <c r="D1259" s="3" t="s">
        <v>682</v>
      </c>
      <c r="E1259" s="8">
        <v>67518020</v>
      </c>
      <c r="F1259" s="2">
        <v>5.6039999999999996E-4</v>
      </c>
      <c r="G1259" s="17">
        <f>F1259 * VLOOKUP('GASB Data'!A1259,Check!$A$2:$F$11,6,FALSE)</f>
        <v>1073247.8184</v>
      </c>
    </row>
    <row r="1260" spans="1:7" x14ac:dyDescent="0.2">
      <c r="A1260">
        <v>2019</v>
      </c>
      <c r="B1260" s="3" t="s">
        <v>213</v>
      </c>
      <c r="C1260" s="3" t="s">
        <v>683</v>
      </c>
      <c r="D1260" s="3" t="s">
        <v>683</v>
      </c>
      <c r="E1260" s="8">
        <v>101457163</v>
      </c>
      <c r="F1260" s="2">
        <v>8.4210000000000003E-4</v>
      </c>
      <c r="G1260" s="17">
        <f>F1260 * VLOOKUP('GASB Data'!A1260,Check!$A$2:$F$11,6,FALSE)</f>
        <v>1612744.4466000001</v>
      </c>
    </row>
    <row r="1261" spans="1:7" x14ac:dyDescent="0.2">
      <c r="A1261">
        <v>2019</v>
      </c>
      <c r="B1261" s="3" t="s">
        <v>215</v>
      </c>
      <c r="C1261" s="3" t="s">
        <v>684</v>
      </c>
      <c r="D1261" s="3" t="s">
        <v>684</v>
      </c>
      <c r="E1261" s="8">
        <v>588686913</v>
      </c>
      <c r="F1261" s="2">
        <v>4.8861E-3</v>
      </c>
      <c r="G1261" s="17">
        <f>F1261 * VLOOKUP('GASB Data'!A1261,Check!$A$2:$F$11,6,FALSE)</f>
        <v>9357594.8706</v>
      </c>
    </row>
    <row r="1262" spans="1:7" x14ac:dyDescent="0.2">
      <c r="A1262">
        <v>2019</v>
      </c>
      <c r="B1262" s="3" t="s">
        <v>216</v>
      </c>
      <c r="C1262" s="3" t="s">
        <v>685</v>
      </c>
      <c r="D1262" s="3" t="s">
        <v>685</v>
      </c>
      <c r="E1262" s="8">
        <v>88502701</v>
      </c>
      <c r="F1262" s="2">
        <v>7.3459999999999997E-4</v>
      </c>
      <c r="G1262" s="17">
        <f>F1262 * VLOOKUP('GASB Data'!A1262,Check!$A$2:$F$11,6,FALSE)</f>
        <v>1406866.2515999998</v>
      </c>
    </row>
    <row r="1263" spans="1:7" x14ac:dyDescent="0.2">
      <c r="A1263">
        <v>2019</v>
      </c>
      <c r="B1263" s="3" t="s">
        <v>217</v>
      </c>
      <c r="C1263" s="3" t="s">
        <v>686</v>
      </c>
      <c r="D1263" s="3" t="s">
        <v>686</v>
      </c>
      <c r="E1263" s="8">
        <v>2135816433</v>
      </c>
      <c r="F1263" s="2">
        <v>1.7727300000000001E-2</v>
      </c>
      <c r="G1263" s="17">
        <f>F1263 * VLOOKUP('GASB Data'!A1263,Check!$A$2:$F$11,6,FALSE)</f>
        <v>33950367.685800001</v>
      </c>
    </row>
    <row r="1264" spans="1:7" x14ac:dyDescent="0.2">
      <c r="A1264">
        <v>2019</v>
      </c>
      <c r="B1264" s="3" t="s">
        <v>218</v>
      </c>
      <c r="C1264" s="3" t="s">
        <v>687</v>
      </c>
      <c r="D1264" s="3" t="s">
        <v>687</v>
      </c>
      <c r="E1264" s="8">
        <v>308292762</v>
      </c>
      <c r="F1264" s="2">
        <v>2.5588E-3</v>
      </c>
      <c r="G1264" s="17">
        <f>F1264 * VLOOKUP('GASB Data'!A1264,Check!$A$2:$F$11,6,FALSE)</f>
        <v>4900475.5848000003</v>
      </c>
    </row>
    <row r="1265" spans="1:7" x14ac:dyDescent="0.2">
      <c r="A1265">
        <v>2019</v>
      </c>
      <c r="B1265" s="3" t="s">
        <v>219</v>
      </c>
      <c r="C1265" s="3" t="s">
        <v>688</v>
      </c>
      <c r="D1265" s="3" t="s">
        <v>688</v>
      </c>
      <c r="E1265" s="8">
        <v>194992838</v>
      </c>
      <c r="F1265" s="2">
        <v>1.6184000000000001E-3</v>
      </c>
      <c r="G1265" s="17">
        <f>F1265 * VLOOKUP('GASB Data'!A1265,Check!$A$2:$F$11,6,FALSE)</f>
        <v>3099472.2864000001</v>
      </c>
    </row>
    <row r="1266" spans="1:7" x14ac:dyDescent="0.2">
      <c r="A1266">
        <v>2019</v>
      </c>
      <c r="B1266" s="3" t="s">
        <v>274</v>
      </c>
      <c r="C1266" s="3" t="s">
        <v>689</v>
      </c>
      <c r="D1266" s="3" t="s">
        <v>689</v>
      </c>
      <c r="E1266" s="8">
        <v>279255650</v>
      </c>
      <c r="F1266" s="2">
        <v>2.3178000000000001E-3</v>
      </c>
      <c r="G1266" s="17">
        <f>F1266 * VLOOKUP('GASB Data'!A1266,Check!$A$2:$F$11,6,FALSE)</f>
        <v>4438925.3988000005</v>
      </c>
    </row>
    <row r="1267" spans="1:7" x14ac:dyDescent="0.2">
      <c r="A1267">
        <v>2019</v>
      </c>
      <c r="B1267" s="3" t="s">
        <v>275</v>
      </c>
      <c r="C1267" s="3" t="s">
        <v>690</v>
      </c>
      <c r="D1267" s="3" t="s">
        <v>690</v>
      </c>
      <c r="E1267" s="8">
        <v>779373650</v>
      </c>
      <c r="F1267" s="2">
        <v>6.4688000000000002E-3</v>
      </c>
      <c r="G1267" s="17">
        <f>F1267 * VLOOKUP('GASB Data'!A1267,Check!$A$2:$F$11,6,FALSE)</f>
        <v>12388696.444800001</v>
      </c>
    </row>
    <row r="1268" spans="1:7" x14ac:dyDescent="0.2">
      <c r="A1268">
        <v>2019</v>
      </c>
      <c r="B1268" s="3" t="s">
        <v>276</v>
      </c>
      <c r="C1268" s="3" t="s">
        <v>691</v>
      </c>
      <c r="D1268" s="3" t="s">
        <v>691</v>
      </c>
      <c r="E1268" s="8">
        <v>15150995</v>
      </c>
      <c r="F1268" s="2">
        <v>1.2579999999999999E-4</v>
      </c>
      <c r="G1268" s="17">
        <f>F1268 * VLOOKUP('GASB Data'!A1268,Check!$A$2:$F$11,6,FALSE)</f>
        <v>240925.36679999999</v>
      </c>
    </row>
    <row r="1269" spans="1:7" x14ac:dyDescent="0.2">
      <c r="A1269">
        <v>2019</v>
      </c>
      <c r="B1269" s="3" t="s">
        <v>277</v>
      </c>
      <c r="C1269" s="3" t="s">
        <v>692</v>
      </c>
      <c r="D1269" s="3" t="s">
        <v>692</v>
      </c>
      <c r="E1269" s="8">
        <v>105527545</v>
      </c>
      <c r="F1269" s="2">
        <v>8.7589999999999999E-4</v>
      </c>
      <c r="G1269" s="17">
        <f>F1269 * VLOOKUP('GASB Data'!A1269,Check!$A$2:$F$11,6,FALSE)</f>
        <v>1677476.3814000001</v>
      </c>
    </row>
    <row r="1270" spans="1:7" x14ac:dyDescent="0.2">
      <c r="A1270">
        <v>2019</v>
      </c>
      <c r="B1270" s="3" t="s">
        <v>278</v>
      </c>
      <c r="C1270" s="3" t="s">
        <v>693</v>
      </c>
      <c r="D1270" s="3" t="s">
        <v>693</v>
      </c>
      <c r="E1270" s="8">
        <v>149006162</v>
      </c>
      <c r="F1270" s="2">
        <v>1.2367999999999999E-3</v>
      </c>
      <c r="G1270" s="17">
        <f>F1270 * VLOOKUP('GASB Data'!A1270,Check!$A$2:$F$11,6,FALSE)</f>
        <v>2368652.5727999997</v>
      </c>
    </row>
    <row r="1271" spans="1:7" x14ac:dyDescent="0.2">
      <c r="A1271">
        <v>2019</v>
      </c>
      <c r="B1271" s="3" t="s">
        <v>279</v>
      </c>
      <c r="C1271" s="3" t="s">
        <v>694</v>
      </c>
      <c r="D1271" s="3" t="s">
        <v>694</v>
      </c>
      <c r="E1271" s="8">
        <v>125463280</v>
      </c>
      <c r="F1271" s="2">
        <v>1.0413E-3</v>
      </c>
      <c r="G1271" s="17">
        <f>F1271 * VLOOKUP('GASB Data'!A1271,Check!$A$2:$F$11,6,FALSE)</f>
        <v>1994241.5297999999</v>
      </c>
    </row>
    <row r="1272" spans="1:7" x14ac:dyDescent="0.2">
      <c r="A1272">
        <v>2019</v>
      </c>
      <c r="B1272" s="3" t="s">
        <v>280</v>
      </c>
      <c r="C1272" s="3" t="s">
        <v>695</v>
      </c>
      <c r="D1272" s="3" t="s">
        <v>695</v>
      </c>
      <c r="E1272" s="8">
        <v>296934506</v>
      </c>
      <c r="F1272" s="2">
        <v>2.4646E-3</v>
      </c>
      <c r="G1272" s="17">
        <f>F1272 * VLOOKUP('GASB Data'!A1272,Check!$A$2:$F$11,6,FALSE)</f>
        <v>4720068.8316000002</v>
      </c>
    </row>
    <row r="1273" spans="1:7" x14ac:dyDescent="0.2">
      <c r="A1273">
        <v>2019</v>
      </c>
      <c r="B1273" s="3" t="s">
        <v>281</v>
      </c>
      <c r="C1273" s="3" t="s">
        <v>904</v>
      </c>
      <c r="D1273" s="3" t="s">
        <v>904</v>
      </c>
      <c r="E1273" s="8">
        <v>7182752</v>
      </c>
      <c r="F1273" s="2">
        <v>5.9599999999999999E-5</v>
      </c>
      <c r="G1273" s="17">
        <f>F1273 * VLOOKUP('GASB Data'!A1273,Check!$A$2:$F$11,6,FALSE)</f>
        <v>114142.7016</v>
      </c>
    </row>
    <row r="1274" spans="1:7" x14ac:dyDescent="0.2">
      <c r="A1274">
        <v>2019</v>
      </c>
      <c r="B1274" s="3" t="s">
        <v>282</v>
      </c>
      <c r="C1274" s="3" t="s">
        <v>697</v>
      </c>
      <c r="D1274" s="3" t="s">
        <v>697</v>
      </c>
      <c r="E1274" s="8">
        <v>39565436</v>
      </c>
      <c r="F1274" s="2">
        <v>3.2840000000000001E-4</v>
      </c>
      <c r="G1274" s="17">
        <f>F1274 * VLOOKUP('GASB Data'!A1274,Check!$A$2:$F$11,6,FALSE)</f>
        <v>628933.94640000002</v>
      </c>
    </row>
    <row r="1275" spans="1:7" x14ac:dyDescent="0.2">
      <c r="A1275">
        <v>2019</v>
      </c>
      <c r="B1275" s="3" t="s">
        <v>283</v>
      </c>
      <c r="C1275" s="3" t="s">
        <v>698</v>
      </c>
      <c r="D1275" s="3" t="s">
        <v>698</v>
      </c>
      <c r="E1275" s="8">
        <v>402294486</v>
      </c>
      <c r="F1275" s="2">
        <v>3.339E-3</v>
      </c>
      <c r="G1275" s="17">
        <f>F1275 * VLOOKUP('GASB Data'!A1275,Check!$A$2:$F$11,6,FALSE)</f>
        <v>6394672.4939999999</v>
      </c>
    </row>
    <row r="1276" spans="1:7" x14ac:dyDescent="0.2">
      <c r="A1276">
        <v>2019</v>
      </c>
      <c r="B1276" s="3" t="s">
        <v>284</v>
      </c>
      <c r="C1276" s="3" t="s">
        <v>699</v>
      </c>
      <c r="D1276" s="3" t="s">
        <v>699</v>
      </c>
      <c r="E1276" s="8">
        <v>44241501</v>
      </c>
      <c r="F1276" s="2">
        <v>3.6719999999999998E-4</v>
      </c>
      <c r="G1276" s="17">
        <f>F1276 * VLOOKUP('GASB Data'!A1276,Check!$A$2:$F$11,6,FALSE)</f>
        <v>703241.61119999993</v>
      </c>
    </row>
    <row r="1277" spans="1:7" x14ac:dyDescent="0.2">
      <c r="A1277">
        <v>2019</v>
      </c>
      <c r="B1277" s="3" t="s">
        <v>285</v>
      </c>
      <c r="C1277" s="3" t="s">
        <v>700</v>
      </c>
      <c r="D1277" s="3" t="s">
        <v>700</v>
      </c>
      <c r="E1277" s="8">
        <v>1901961297</v>
      </c>
      <c r="F1277" s="2">
        <v>1.57863E-2</v>
      </c>
      <c r="G1277" s="17">
        <f>F1277 * VLOOKUP('GASB Data'!A1277,Check!$A$2:$F$11,6,FALSE)</f>
        <v>30233069.299800001</v>
      </c>
    </row>
    <row r="1278" spans="1:7" x14ac:dyDescent="0.2">
      <c r="A1278">
        <v>2019</v>
      </c>
      <c r="B1278" s="3" t="s">
        <v>286</v>
      </c>
      <c r="C1278" s="3" t="s">
        <v>905</v>
      </c>
      <c r="D1278" s="3" t="s">
        <v>905</v>
      </c>
      <c r="E1278" s="8">
        <v>31166538</v>
      </c>
      <c r="F1278" s="2">
        <v>2.587E-4</v>
      </c>
      <c r="G1278" s="17">
        <f>F1278 * VLOOKUP('GASB Data'!A1278,Check!$A$2:$F$11,6,FALSE)</f>
        <v>495448.27020000003</v>
      </c>
    </row>
    <row r="1279" spans="1:7" x14ac:dyDescent="0.2">
      <c r="A1279">
        <v>2019</v>
      </c>
      <c r="B1279" s="3" t="s">
        <v>287</v>
      </c>
      <c r="C1279" s="3" t="s">
        <v>702</v>
      </c>
      <c r="D1279" s="3" t="s">
        <v>702</v>
      </c>
      <c r="E1279" s="8">
        <v>18092789</v>
      </c>
      <c r="F1279" s="2">
        <v>1.5019999999999999E-4</v>
      </c>
      <c r="G1279" s="17">
        <f>F1279 * VLOOKUP('GASB Data'!A1279,Check!$A$2:$F$11,6,FALSE)</f>
        <v>287654.92920000001</v>
      </c>
    </row>
    <row r="1280" spans="1:7" x14ac:dyDescent="0.2">
      <c r="A1280">
        <v>2019</v>
      </c>
      <c r="B1280" s="3" t="s">
        <v>288</v>
      </c>
      <c r="C1280" s="3" t="s">
        <v>703</v>
      </c>
      <c r="D1280" s="3" t="s">
        <v>703</v>
      </c>
      <c r="E1280" s="8">
        <v>53722948</v>
      </c>
      <c r="F1280" s="2">
        <v>4.459E-4</v>
      </c>
      <c r="G1280" s="17">
        <f>F1280 * VLOOKUP('GASB Data'!A1280,Check!$A$2:$F$11,6,FALSE)</f>
        <v>853963.60140000004</v>
      </c>
    </row>
    <row r="1281" spans="1:7" x14ac:dyDescent="0.2">
      <c r="A1281">
        <v>2019</v>
      </c>
      <c r="B1281" s="3" t="s">
        <v>289</v>
      </c>
      <c r="C1281" s="3" t="s">
        <v>704</v>
      </c>
      <c r="D1281" s="3" t="s">
        <v>704</v>
      </c>
      <c r="E1281" s="8">
        <v>145808303</v>
      </c>
      <c r="F1281" s="2">
        <v>1.2102E-3</v>
      </c>
      <c r="G1281" s="17">
        <f>F1281 * VLOOKUP('GASB Data'!A1281,Check!$A$2:$F$11,6,FALSE)</f>
        <v>2317709.6891999999</v>
      </c>
    </row>
    <row r="1282" spans="1:7" x14ac:dyDescent="0.2">
      <c r="A1282">
        <v>2019</v>
      </c>
      <c r="B1282" s="3" t="s">
        <v>290</v>
      </c>
      <c r="C1282" s="3" t="s">
        <v>705</v>
      </c>
      <c r="D1282" s="3" t="s">
        <v>705</v>
      </c>
      <c r="E1282" s="8">
        <v>14239467</v>
      </c>
      <c r="F1282" s="2">
        <v>1.182E-4</v>
      </c>
      <c r="G1282" s="17">
        <f>F1282 * VLOOKUP('GASB Data'!A1282,Check!$A$2:$F$11,6,FALSE)</f>
        <v>226370.25719999999</v>
      </c>
    </row>
    <row r="1283" spans="1:7" x14ac:dyDescent="0.2">
      <c r="A1283">
        <v>2019</v>
      </c>
      <c r="B1283" s="3" t="s">
        <v>291</v>
      </c>
      <c r="C1283" s="3" t="s">
        <v>706</v>
      </c>
      <c r="D1283" s="3" t="s">
        <v>706</v>
      </c>
      <c r="E1283" s="8">
        <v>49276939</v>
      </c>
      <c r="F1283" s="2">
        <v>4.0900000000000002E-4</v>
      </c>
      <c r="G1283" s="17">
        <f>F1283 * VLOOKUP('GASB Data'!A1283,Check!$A$2:$F$11,6,FALSE)</f>
        <v>783294.71400000004</v>
      </c>
    </row>
    <row r="1284" spans="1:7" x14ac:dyDescent="0.2">
      <c r="A1284">
        <v>2019</v>
      </c>
      <c r="B1284" s="3" t="s">
        <v>293</v>
      </c>
      <c r="C1284" s="3" t="s">
        <v>708</v>
      </c>
      <c r="D1284" s="3" t="s">
        <v>708</v>
      </c>
      <c r="E1284" s="8">
        <v>14160580</v>
      </c>
      <c r="F1284" s="2">
        <v>1.175E-4</v>
      </c>
      <c r="G1284" s="17">
        <f>F1284 * VLOOKUP('GASB Data'!A1284,Check!$A$2:$F$11,6,FALSE)</f>
        <v>225029.655</v>
      </c>
    </row>
    <row r="1285" spans="1:7" x14ac:dyDescent="0.2">
      <c r="A1285">
        <v>2019</v>
      </c>
      <c r="B1285" s="3" t="s">
        <v>294</v>
      </c>
      <c r="C1285" s="3" t="s">
        <v>709</v>
      </c>
      <c r="D1285" s="3" t="s">
        <v>709</v>
      </c>
      <c r="E1285" s="8">
        <v>273394502</v>
      </c>
      <c r="F1285" s="2">
        <v>2.2691999999999999E-3</v>
      </c>
      <c r="G1285" s="17">
        <f>F1285 * VLOOKUP('GASB Data'!A1285,Check!$A$2:$F$11,6,FALSE)</f>
        <v>4345849.3032</v>
      </c>
    </row>
    <row r="1286" spans="1:7" x14ac:dyDescent="0.2">
      <c r="A1286">
        <v>2019</v>
      </c>
      <c r="B1286" s="3" t="s">
        <v>295</v>
      </c>
      <c r="C1286" s="3" t="s">
        <v>710</v>
      </c>
      <c r="D1286" s="3" t="s">
        <v>710</v>
      </c>
      <c r="E1286" s="8">
        <v>64973088</v>
      </c>
      <c r="F1286" s="2">
        <v>5.3930000000000004E-4</v>
      </c>
      <c r="G1286" s="17">
        <f>F1286 * VLOOKUP('GASB Data'!A1286,Check!$A$2:$F$11,6,FALSE)</f>
        <v>1032838.2378000001</v>
      </c>
    </row>
    <row r="1287" spans="1:7" x14ac:dyDescent="0.2">
      <c r="A1287">
        <v>2019</v>
      </c>
      <c r="B1287" s="3" t="s">
        <v>296</v>
      </c>
      <c r="C1287" s="3" t="s">
        <v>711</v>
      </c>
      <c r="D1287" s="3" t="s">
        <v>711</v>
      </c>
      <c r="E1287" s="8">
        <v>2486033659</v>
      </c>
      <c r="F1287" s="2">
        <v>2.0634099999999999E-2</v>
      </c>
      <c r="G1287" s="17">
        <f>F1287 * VLOOKUP('GASB Data'!A1287,Check!$A$2:$F$11,6,FALSE)</f>
        <v>39517314.078599997</v>
      </c>
    </row>
    <row r="1288" spans="1:7" x14ac:dyDescent="0.2">
      <c r="A1288">
        <v>2019</v>
      </c>
      <c r="B1288" s="3" t="s">
        <v>297</v>
      </c>
      <c r="C1288" s="3" t="s">
        <v>712</v>
      </c>
      <c r="D1288" s="3" t="s">
        <v>712</v>
      </c>
      <c r="E1288" s="8">
        <v>20792033</v>
      </c>
      <c r="F1288" s="2">
        <v>1.7259999999999999E-4</v>
      </c>
      <c r="G1288" s="17">
        <f>F1288 * VLOOKUP('GASB Data'!A1288,Check!$A$2:$F$11,6,FALSE)</f>
        <v>330554.19959999999</v>
      </c>
    </row>
    <row r="1289" spans="1:7" x14ac:dyDescent="0.2">
      <c r="A1289">
        <v>2019</v>
      </c>
      <c r="B1289" s="3" t="s">
        <v>298</v>
      </c>
      <c r="C1289" s="3" t="s">
        <v>713</v>
      </c>
      <c r="D1289" s="3" t="s">
        <v>713</v>
      </c>
      <c r="E1289" s="8">
        <v>218766397</v>
      </c>
      <c r="F1289" s="2">
        <v>1.8158E-3</v>
      </c>
      <c r="G1289" s="17">
        <f>F1289 * VLOOKUP('GASB Data'!A1289,Check!$A$2:$F$11,6,FALSE)</f>
        <v>3477522.1068000002</v>
      </c>
    </row>
    <row r="1290" spans="1:7" x14ac:dyDescent="0.2">
      <c r="A1290">
        <v>2019</v>
      </c>
      <c r="B1290" s="3" t="s">
        <v>299</v>
      </c>
      <c r="C1290" s="3" t="s">
        <v>714</v>
      </c>
      <c r="D1290" s="3" t="s">
        <v>714</v>
      </c>
      <c r="E1290" s="8">
        <v>375470141</v>
      </c>
      <c r="F1290" s="2">
        <v>3.1164000000000001E-3</v>
      </c>
      <c r="G1290" s="17">
        <f>F1290 * VLOOKUP('GASB Data'!A1290,Check!$A$2:$F$11,6,FALSE)</f>
        <v>5968360.9944000002</v>
      </c>
    </row>
    <row r="1291" spans="1:7" x14ac:dyDescent="0.2">
      <c r="A1291">
        <v>2019</v>
      </c>
      <c r="B1291" s="3" t="s">
        <v>300</v>
      </c>
      <c r="C1291" s="3" t="s">
        <v>715</v>
      </c>
      <c r="D1291" s="3" t="s">
        <v>715</v>
      </c>
      <c r="E1291" s="8">
        <v>10045941</v>
      </c>
      <c r="F1291" s="2">
        <v>8.3399999999999994E-5</v>
      </c>
      <c r="G1291" s="17">
        <f>F1291 * VLOOKUP('GASB Data'!A1291,Check!$A$2:$F$11,6,FALSE)</f>
        <v>159723.1764</v>
      </c>
    </row>
    <row r="1292" spans="1:7" x14ac:dyDescent="0.2">
      <c r="A1292">
        <v>2019</v>
      </c>
      <c r="B1292" s="3" t="s">
        <v>301</v>
      </c>
      <c r="C1292" s="3" t="s">
        <v>716</v>
      </c>
      <c r="D1292" s="3" t="s">
        <v>716</v>
      </c>
      <c r="E1292" s="8">
        <v>1329087459</v>
      </c>
      <c r="F1292" s="2">
        <v>1.10314E-2</v>
      </c>
      <c r="G1292" s="17">
        <f>F1292 * VLOOKUP('GASB Data'!A1292,Check!$A$2:$F$11,6,FALSE)</f>
        <v>21126741.584400002</v>
      </c>
    </row>
    <row r="1293" spans="1:7" x14ac:dyDescent="0.2">
      <c r="A1293">
        <v>2019</v>
      </c>
      <c r="B1293" s="3" t="s">
        <v>302</v>
      </c>
      <c r="C1293" s="3" t="s">
        <v>717</v>
      </c>
      <c r="D1293" s="3" t="s">
        <v>717</v>
      </c>
      <c r="E1293" s="8">
        <v>158003408</v>
      </c>
      <c r="F1293" s="2">
        <v>1.3113999999999999E-3</v>
      </c>
      <c r="G1293" s="17">
        <f>F1293 * VLOOKUP('GASB Data'!A1293,Check!$A$2:$F$11,6,FALSE)</f>
        <v>2511522.4643999999</v>
      </c>
    </row>
    <row r="1294" spans="1:7" x14ac:dyDescent="0.2">
      <c r="A1294">
        <v>2019</v>
      </c>
      <c r="B1294" s="3" t="s">
        <v>303</v>
      </c>
      <c r="C1294" s="3" t="s">
        <v>718</v>
      </c>
      <c r="D1294" s="3" t="s">
        <v>718</v>
      </c>
      <c r="E1294" s="8">
        <v>89266266</v>
      </c>
      <c r="F1294" s="2">
        <v>7.4089999999999996E-4</v>
      </c>
      <c r="G1294" s="17">
        <f>F1294 * VLOOKUP('GASB Data'!A1294,Check!$A$2:$F$11,6,FALSE)</f>
        <v>1418931.6713999999</v>
      </c>
    </row>
    <row r="1295" spans="1:7" x14ac:dyDescent="0.2">
      <c r="A1295">
        <v>2019</v>
      </c>
      <c r="B1295" s="3" t="s">
        <v>304</v>
      </c>
      <c r="C1295" s="3" t="s">
        <v>719</v>
      </c>
      <c r="D1295" s="3" t="s">
        <v>719</v>
      </c>
      <c r="E1295" s="8">
        <v>65558125</v>
      </c>
      <c r="F1295" s="2">
        <v>5.4410000000000005E-4</v>
      </c>
      <c r="G1295" s="17">
        <f>F1295 * VLOOKUP('GASB Data'!A1295,Check!$A$2:$F$11,6,FALSE)</f>
        <v>1042030.9386000001</v>
      </c>
    </row>
    <row r="1296" spans="1:7" x14ac:dyDescent="0.2">
      <c r="A1296">
        <v>2019</v>
      </c>
      <c r="B1296" s="3" t="s">
        <v>305</v>
      </c>
      <c r="C1296" s="3" t="s">
        <v>720</v>
      </c>
      <c r="D1296" s="3" t="s">
        <v>720</v>
      </c>
      <c r="E1296" s="8">
        <v>332020674</v>
      </c>
      <c r="F1296" s="2">
        <v>2.7558000000000001E-3</v>
      </c>
      <c r="G1296" s="17">
        <f>F1296 * VLOOKUP('GASB Data'!A1296,Check!$A$2:$F$11,6,FALSE)</f>
        <v>5277759.3468000004</v>
      </c>
    </row>
    <row r="1297" spans="1:7" x14ac:dyDescent="0.2">
      <c r="A1297">
        <v>2019</v>
      </c>
      <c r="B1297" s="3" t="s">
        <v>306</v>
      </c>
      <c r="C1297" s="3" t="s">
        <v>721</v>
      </c>
      <c r="D1297" s="3" t="s">
        <v>721</v>
      </c>
      <c r="E1297" s="8">
        <v>150653162</v>
      </c>
      <c r="F1297" s="2">
        <v>1.2504E-3</v>
      </c>
      <c r="G1297" s="17">
        <f>F1297 * VLOOKUP('GASB Data'!A1297,Check!$A$2:$F$11,6,FALSE)</f>
        <v>2394698.5584</v>
      </c>
    </row>
    <row r="1298" spans="1:7" x14ac:dyDescent="0.2">
      <c r="A1298">
        <v>2019</v>
      </c>
      <c r="B1298" s="3" t="s">
        <v>307</v>
      </c>
      <c r="C1298" s="3" t="s">
        <v>722</v>
      </c>
      <c r="D1298" s="3" t="s">
        <v>722</v>
      </c>
      <c r="E1298" s="8">
        <v>3505524075</v>
      </c>
      <c r="F1298" s="2">
        <v>2.9095900000000001E-2</v>
      </c>
      <c r="G1298" s="17">
        <f>F1298 * VLOOKUP('GASB Data'!A1298,Check!$A$2:$F$11,6,FALSE)</f>
        <v>55722896.501400001</v>
      </c>
    </row>
    <row r="1299" spans="1:7" x14ac:dyDescent="0.2">
      <c r="A1299">
        <v>2019</v>
      </c>
      <c r="B1299" s="3" t="s">
        <v>308</v>
      </c>
      <c r="C1299" s="3" t="s">
        <v>723</v>
      </c>
      <c r="D1299" s="3" t="s">
        <v>723</v>
      </c>
      <c r="E1299" s="8">
        <v>271751774</v>
      </c>
      <c r="F1299" s="2">
        <v>2.2555000000000001E-3</v>
      </c>
      <c r="G1299" s="17">
        <f>F1299 * VLOOKUP('GASB Data'!A1299,Check!$A$2:$F$11,6,FALSE)</f>
        <v>4319611.8030000003</v>
      </c>
    </row>
    <row r="1300" spans="1:7" x14ac:dyDescent="0.2">
      <c r="A1300">
        <v>2019</v>
      </c>
      <c r="B1300" s="3" t="s">
        <v>309</v>
      </c>
      <c r="C1300" s="3" t="s">
        <v>724</v>
      </c>
      <c r="D1300" s="3" t="s">
        <v>724</v>
      </c>
      <c r="E1300" s="8">
        <v>124048492</v>
      </c>
      <c r="F1300" s="2">
        <v>1.0296000000000001E-3</v>
      </c>
      <c r="G1300" s="17">
        <f>F1300 * VLOOKUP('GASB Data'!A1300,Check!$A$2:$F$11,6,FALSE)</f>
        <v>1971834.3216000001</v>
      </c>
    </row>
    <row r="1301" spans="1:7" x14ac:dyDescent="0.2">
      <c r="A1301">
        <v>2019</v>
      </c>
      <c r="B1301" s="3" t="s">
        <v>310</v>
      </c>
      <c r="C1301" s="3" t="s">
        <v>725</v>
      </c>
      <c r="D1301" s="3" t="s">
        <v>725</v>
      </c>
      <c r="E1301" s="8">
        <v>49214996</v>
      </c>
      <c r="F1301" s="2">
        <v>4.0850000000000001E-4</v>
      </c>
      <c r="G1301" s="17">
        <f>F1301 * VLOOKUP('GASB Data'!A1301,Check!$A$2:$F$11,6,FALSE)</f>
        <v>782337.14100000006</v>
      </c>
    </row>
    <row r="1302" spans="1:7" x14ac:dyDescent="0.2">
      <c r="A1302">
        <v>2019</v>
      </c>
      <c r="B1302" s="3" t="s">
        <v>311</v>
      </c>
      <c r="C1302" s="3" t="s">
        <v>726</v>
      </c>
      <c r="D1302" s="3" t="s">
        <v>726</v>
      </c>
      <c r="E1302" s="8">
        <v>132381414</v>
      </c>
      <c r="F1302" s="2">
        <v>1.0988E-3</v>
      </c>
      <c r="G1302" s="17">
        <f>F1302 * VLOOKUP('GASB Data'!A1302,Check!$A$2:$F$11,6,FALSE)</f>
        <v>2104362.4248000002</v>
      </c>
    </row>
    <row r="1303" spans="1:7" x14ac:dyDescent="0.2">
      <c r="A1303">
        <v>2019</v>
      </c>
      <c r="B1303" s="3" t="s">
        <v>312</v>
      </c>
      <c r="C1303" s="3" t="s">
        <v>727</v>
      </c>
      <c r="D1303" s="3" t="s">
        <v>727</v>
      </c>
      <c r="E1303" s="8">
        <v>44025049</v>
      </c>
      <c r="F1303" s="2">
        <v>3.6539999999999999E-4</v>
      </c>
      <c r="G1303" s="17">
        <f>F1303 * VLOOKUP('GASB Data'!A1303,Check!$A$2:$F$11,6,FALSE)</f>
        <v>699794.34840000002</v>
      </c>
    </row>
    <row r="1304" spans="1:7" x14ac:dyDescent="0.2">
      <c r="A1304">
        <v>2019</v>
      </c>
      <c r="B1304" s="3" t="s">
        <v>313</v>
      </c>
      <c r="C1304" s="3" t="s">
        <v>728</v>
      </c>
      <c r="D1304" s="3" t="s">
        <v>728</v>
      </c>
      <c r="E1304" s="8">
        <v>855790097</v>
      </c>
      <c r="F1304" s="2">
        <v>7.1031000000000002E-3</v>
      </c>
      <c r="G1304" s="17">
        <f>F1304 * VLOOKUP('GASB Data'!A1304,Check!$A$2:$F$11,6,FALSE)</f>
        <v>13603473.5526</v>
      </c>
    </row>
    <row r="1305" spans="1:7" x14ac:dyDescent="0.2">
      <c r="A1305">
        <v>2019</v>
      </c>
      <c r="B1305" s="3" t="s">
        <v>314</v>
      </c>
      <c r="C1305" s="3" t="s">
        <v>729</v>
      </c>
      <c r="D1305" s="3" t="s">
        <v>729</v>
      </c>
      <c r="E1305" s="8">
        <v>341216302</v>
      </c>
      <c r="F1305" s="2">
        <v>2.8321000000000002E-3</v>
      </c>
      <c r="G1305" s="17">
        <f>F1305 * VLOOKUP('GASB Data'!A1305,Check!$A$2:$F$11,6,FALSE)</f>
        <v>5423884.9866000004</v>
      </c>
    </row>
    <row r="1306" spans="1:7" x14ac:dyDescent="0.2">
      <c r="A1306">
        <v>2019</v>
      </c>
      <c r="B1306" s="3" t="s">
        <v>315</v>
      </c>
      <c r="C1306" s="3" t="s">
        <v>730</v>
      </c>
      <c r="D1306" s="3" t="s">
        <v>730</v>
      </c>
      <c r="E1306" s="8">
        <v>67602748</v>
      </c>
      <c r="F1306" s="2">
        <v>5.6110000000000003E-4</v>
      </c>
      <c r="G1306" s="17">
        <f>F1306 * VLOOKUP('GASB Data'!A1306,Check!$A$2:$F$11,6,FALSE)</f>
        <v>1074588.4206000001</v>
      </c>
    </row>
    <row r="1307" spans="1:7" x14ac:dyDescent="0.2">
      <c r="A1307">
        <v>2019</v>
      </c>
      <c r="B1307" s="3" t="s">
        <v>316</v>
      </c>
      <c r="C1307" s="3" t="s">
        <v>731</v>
      </c>
      <c r="D1307" s="3" t="s">
        <v>731</v>
      </c>
      <c r="E1307" s="8">
        <v>624030445</v>
      </c>
      <c r="F1307" s="2">
        <v>5.1795000000000001E-3</v>
      </c>
      <c r="G1307" s="17">
        <f>F1307 * VLOOKUP('GASB Data'!A1307,Check!$A$2:$F$11,6,FALSE)</f>
        <v>9919498.7070000004</v>
      </c>
    </row>
    <row r="1308" spans="1:7" x14ac:dyDescent="0.2">
      <c r="A1308">
        <v>2019</v>
      </c>
      <c r="B1308" s="3" t="s">
        <v>317</v>
      </c>
      <c r="C1308" s="3" t="s">
        <v>732</v>
      </c>
      <c r="D1308" s="3" t="s">
        <v>732</v>
      </c>
      <c r="E1308" s="8">
        <v>8332370</v>
      </c>
      <c r="F1308" s="2">
        <v>6.9200000000000002E-5</v>
      </c>
      <c r="G1308" s="17">
        <f>F1308 * VLOOKUP('GASB Data'!A1308,Check!$A$2:$F$11,6,FALSE)</f>
        <v>132528.10320000001</v>
      </c>
    </row>
    <row r="1309" spans="1:7" x14ac:dyDescent="0.2">
      <c r="A1309">
        <v>2019</v>
      </c>
      <c r="B1309" s="3" t="s">
        <v>318</v>
      </c>
      <c r="C1309" s="3" t="s">
        <v>733</v>
      </c>
      <c r="D1309" s="3" t="s">
        <v>733</v>
      </c>
      <c r="E1309" s="8">
        <v>77817457</v>
      </c>
      <c r="F1309" s="2">
        <v>6.4590000000000003E-4</v>
      </c>
      <c r="G1309" s="17">
        <f>F1309 * VLOOKUP('GASB Data'!A1309,Check!$A$2:$F$11,6,FALSE)</f>
        <v>1236992.8014</v>
      </c>
    </row>
    <row r="1310" spans="1:7" x14ac:dyDescent="0.2">
      <c r="A1310">
        <v>2019</v>
      </c>
      <c r="B1310" s="3" t="s">
        <v>319</v>
      </c>
      <c r="C1310" s="3" t="s">
        <v>734</v>
      </c>
      <c r="D1310" s="3" t="s">
        <v>734</v>
      </c>
      <c r="E1310" s="8">
        <v>138732949</v>
      </c>
      <c r="F1310" s="2">
        <v>1.1515E-3</v>
      </c>
      <c r="G1310" s="17">
        <f>F1310 * VLOOKUP('GASB Data'!A1310,Check!$A$2:$F$11,6,FALSE)</f>
        <v>2205290.6189999999</v>
      </c>
    </row>
    <row r="1311" spans="1:7" x14ac:dyDescent="0.2">
      <c r="A1311">
        <v>2019</v>
      </c>
      <c r="B1311" s="3" t="s">
        <v>320</v>
      </c>
      <c r="C1311" s="3" t="s">
        <v>735</v>
      </c>
      <c r="D1311" s="3" t="s">
        <v>735</v>
      </c>
      <c r="E1311" s="8">
        <v>25464259</v>
      </c>
      <c r="F1311" s="2">
        <v>2.1139999999999999E-4</v>
      </c>
      <c r="G1311" s="17">
        <f>F1311 * VLOOKUP('GASB Data'!A1311,Check!$A$2:$F$11,6,FALSE)</f>
        <v>404861.86439999996</v>
      </c>
    </row>
    <row r="1312" spans="1:7" x14ac:dyDescent="0.2">
      <c r="A1312">
        <v>2019</v>
      </c>
      <c r="B1312" s="3" t="s">
        <v>321</v>
      </c>
      <c r="C1312" s="3" t="s">
        <v>736</v>
      </c>
      <c r="D1312" s="3" t="s">
        <v>736</v>
      </c>
      <c r="E1312" s="8">
        <v>401752788</v>
      </c>
      <c r="F1312" s="2">
        <v>3.3346000000000001E-3</v>
      </c>
      <c r="G1312" s="17">
        <f>F1312 * VLOOKUP('GASB Data'!A1312,Check!$A$2:$F$11,6,FALSE)</f>
        <v>6386245.8515999997</v>
      </c>
    </row>
    <row r="1313" spans="1:7" x14ac:dyDescent="0.2">
      <c r="A1313">
        <v>2019</v>
      </c>
      <c r="B1313" s="3" t="s">
        <v>322</v>
      </c>
      <c r="C1313" s="3" t="s">
        <v>737</v>
      </c>
      <c r="D1313" s="3" t="s">
        <v>737</v>
      </c>
      <c r="E1313" s="8">
        <v>42779380</v>
      </c>
      <c r="F1313" s="2">
        <v>3.5510000000000001E-4</v>
      </c>
      <c r="G1313" s="17">
        <f>F1313 * VLOOKUP('GASB Data'!A1313,Check!$A$2:$F$11,6,FALSE)</f>
        <v>680068.34460000007</v>
      </c>
    </row>
    <row r="1314" spans="1:7" x14ac:dyDescent="0.2">
      <c r="A1314">
        <v>2019</v>
      </c>
      <c r="B1314" s="3" t="s">
        <v>323</v>
      </c>
      <c r="C1314" s="3" t="s">
        <v>906</v>
      </c>
      <c r="D1314" s="3" t="s">
        <v>906</v>
      </c>
      <c r="E1314" s="8">
        <v>871107558</v>
      </c>
      <c r="F1314" s="2">
        <v>7.2302E-3</v>
      </c>
      <c r="G1314" s="17">
        <f>F1314 * VLOOKUP('GASB Data'!A1314,Check!$A$2:$F$11,6,FALSE)</f>
        <v>13846888.609200001</v>
      </c>
    </row>
    <row r="1315" spans="1:7" x14ac:dyDescent="0.2">
      <c r="A1315">
        <v>2019</v>
      </c>
      <c r="B1315" s="3" t="s">
        <v>324</v>
      </c>
      <c r="C1315" s="3" t="s">
        <v>907</v>
      </c>
      <c r="D1315" s="3" t="s">
        <v>907</v>
      </c>
      <c r="E1315" s="8">
        <v>23003437</v>
      </c>
      <c r="F1315" s="2">
        <v>1.9090000000000001E-4</v>
      </c>
      <c r="G1315" s="17">
        <f>F1315 * VLOOKUP('GASB Data'!A1315,Check!$A$2:$F$11,6,FALSE)</f>
        <v>365601.3714</v>
      </c>
    </row>
    <row r="1316" spans="1:7" x14ac:dyDescent="0.2">
      <c r="A1316">
        <v>2019</v>
      </c>
      <c r="B1316" s="3" t="s">
        <v>325</v>
      </c>
      <c r="C1316" s="3" t="s">
        <v>740</v>
      </c>
      <c r="D1316" s="3" t="s">
        <v>740</v>
      </c>
      <c r="E1316" s="8">
        <v>1211628</v>
      </c>
      <c r="F1316" s="2">
        <v>1.01E-5</v>
      </c>
      <c r="G1316" s="17">
        <f>F1316 * VLOOKUP('GASB Data'!A1316,Check!$A$2:$F$11,6,FALSE)</f>
        <v>19342.974600000001</v>
      </c>
    </row>
    <row r="1317" spans="1:7" x14ac:dyDescent="0.2">
      <c r="A1317">
        <v>2019</v>
      </c>
      <c r="B1317" s="3" t="s">
        <v>326</v>
      </c>
      <c r="C1317" s="3" t="s">
        <v>741</v>
      </c>
      <c r="D1317" s="3" t="s">
        <v>741</v>
      </c>
      <c r="E1317" s="8">
        <v>82598173</v>
      </c>
      <c r="F1317" s="2">
        <v>6.8559999999999997E-4</v>
      </c>
      <c r="G1317" s="17">
        <f>F1317 * VLOOKUP('GASB Data'!A1317,Check!$A$2:$F$11,6,FALSE)</f>
        <v>1313024.0976</v>
      </c>
    </row>
    <row r="1318" spans="1:7" x14ac:dyDescent="0.2">
      <c r="A1318">
        <v>2019</v>
      </c>
      <c r="B1318" s="3" t="s">
        <v>327</v>
      </c>
      <c r="C1318" s="3" t="s">
        <v>742</v>
      </c>
      <c r="D1318" s="3" t="s">
        <v>742</v>
      </c>
      <c r="E1318" s="8">
        <v>277832067</v>
      </c>
      <c r="F1318" s="2">
        <v>2.3059999999999999E-3</v>
      </c>
      <c r="G1318" s="17">
        <f>F1318 * VLOOKUP('GASB Data'!A1318,Check!$A$2:$F$11,6,FALSE)</f>
        <v>4416326.676</v>
      </c>
    </row>
    <row r="1319" spans="1:7" x14ac:dyDescent="0.2">
      <c r="A1319">
        <v>2019</v>
      </c>
      <c r="B1319" s="3" t="s">
        <v>382</v>
      </c>
      <c r="C1319" s="3" t="s">
        <v>743</v>
      </c>
      <c r="D1319" s="3" t="s">
        <v>743</v>
      </c>
      <c r="E1319" s="8">
        <v>182776637</v>
      </c>
      <c r="F1319" s="2">
        <v>1.5169999999999999E-3</v>
      </c>
      <c r="G1319" s="17">
        <f>F1319 * VLOOKUP('GASB Data'!A1319,Check!$A$2:$F$11,6,FALSE)</f>
        <v>2905276.4819999998</v>
      </c>
    </row>
    <row r="1320" spans="1:7" x14ac:dyDescent="0.2">
      <c r="A1320">
        <v>2019</v>
      </c>
      <c r="B1320" s="3" t="s">
        <v>383</v>
      </c>
      <c r="C1320" s="3" t="s">
        <v>744</v>
      </c>
      <c r="D1320" s="3" t="s">
        <v>744</v>
      </c>
      <c r="E1320" s="8">
        <v>82420886</v>
      </c>
      <c r="F1320" s="2">
        <v>6.8409999999999999E-4</v>
      </c>
      <c r="G1320" s="17">
        <f>F1320 * VLOOKUP('GASB Data'!A1320,Check!$A$2:$F$11,6,FALSE)</f>
        <v>1310151.3785999999</v>
      </c>
    </row>
    <row r="1321" spans="1:7" x14ac:dyDescent="0.2">
      <c r="A1321">
        <v>2019</v>
      </c>
      <c r="B1321" s="3" t="s">
        <v>384</v>
      </c>
      <c r="C1321" s="3" t="s">
        <v>745</v>
      </c>
      <c r="D1321" s="3" t="s">
        <v>745</v>
      </c>
      <c r="E1321" s="8">
        <v>1656405258</v>
      </c>
      <c r="F1321" s="2">
        <v>1.37482E-2</v>
      </c>
      <c r="G1321" s="17">
        <f>F1321 * VLOOKUP('GASB Data'!A1321,Check!$A$2:$F$11,6,FALSE)</f>
        <v>26329810.237199999</v>
      </c>
    </row>
    <row r="1322" spans="1:7" x14ac:dyDescent="0.2">
      <c r="A1322">
        <v>2019</v>
      </c>
      <c r="B1322" s="3" t="s">
        <v>385</v>
      </c>
      <c r="C1322" s="3" t="s">
        <v>746</v>
      </c>
      <c r="D1322" s="3" t="s">
        <v>746</v>
      </c>
      <c r="E1322" s="8">
        <v>141722381</v>
      </c>
      <c r="F1322" s="2">
        <v>1.1762999999999999E-3</v>
      </c>
      <c r="G1322" s="17">
        <f>F1322 * VLOOKUP('GASB Data'!A1322,Check!$A$2:$F$11,6,FALSE)</f>
        <v>2252786.2397999996</v>
      </c>
    </row>
    <row r="1323" spans="1:7" x14ac:dyDescent="0.2">
      <c r="A1323">
        <v>2019</v>
      </c>
      <c r="B1323" s="3" t="s">
        <v>386</v>
      </c>
      <c r="C1323" s="3" t="s">
        <v>747</v>
      </c>
      <c r="D1323" s="3" t="s">
        <v>747</v>
      </c>
      <c r="E1323" s="8">
        <v>35595963</v>
      </c>
      <c r="F1323" s="2">
        <v>2.9540000000000002E-4</v>
      </c>
      <c r="G1323" s="17">
        <f>F1323 * VLOOKUP('GASB Data'!A1323,Check!$A$2:$F$11,6,FALSE)</f>
        <v>565734.12840000005</v>
      </c>
    </row>
    <row r="1324" spans="1:7" x14ac:dyDescent="0.2">
      <c r="A1324">
        <v>2019</v>
      </c>
      <c r="B1324" s="3" t="s">
        <v>387</v>
      </c>
      <c r="C1324" s="3" t="s">
        <v>748</v>
      </c>
      <c r="D1324" s="3" t="s">
        <v>748</v>
      </c>
      <c r="E1324" s="8">
        <v>65572855</v>
      </c>
      <c r="F1324" s="2">
        <v>5.4429999999999995E-4</v>
      </c>
      <c r="G1324" s="17">
        <f>F1324 * VLOOKUP('GASB Data'!A1324,Check!$A$2:$F$11,6,FALSE)</f>
        <v>1042413.9677999999</v>
      </c>
    </row>
    <row r="1325" spans="1:7" x14ac:dyDescent="0.2">
      <c r="A1325">
        <v>2019</v>
      </c>
      <c r="B1325" s="3" t="s">
        <v>388</v>
      </c>
      <c r="C1325" s="3" t="s">
        <v>749</v>
      </c>
      <c r="D1325" s="3" t="s">
        <v>749</v>
      </c>
      <c r="E1325" s="8">
        <v>480606170</v>
      </c>
      <c r="F1325" s="2">
        <v>3.9890000000000004E-3</v>
      </c>
      <c r="G1325" s="17">
        <f>F1325 * VLOOKUP('GASB Data'!A1325,Check!$A$2:$F$11,6,FALSE)</f>
        <v>7639517.3940000003</v>
      </c>
    </row>
    <row r="1326" spans="1:7" x14ac:dyDescent="0.2">
      <c r="A1326">
        <v>2019</v>
      </c>
      <c r="B1326" s="3" t="s">
        <v>389</v>
      </c>
      <c r="C1326" s="3" t="s">
        <v>750</v>
      </c>
      <c r="D1326" s="3" t="s">
        <v>750</v>
      </c>
      <c r="E1326" s="8">
        <v>172302986</v>
      </c>
      <c r="F1326" s="2">
        <v>1.4300999999999999E-3</v>
      </c>
      <c r="G1326" s="17">
        <f>F1326 * VLOOKUP('GASB Data'!A1326,Check!$A$2:$F$11,6,FALSE)</f>
        <v>2738850.2945999997</v>
      </c>
    </row>
    <row r="1327" spans="1:7" x14ac:dyDescent="0.2">
      <c r="A1327">
        <v>2019</v>
      </c>
      <c r="B1327" s="3" t="s">
        <v>390</v>
      </c>
      <c r="C1327" s="3" t="s">
        <v>751</v>
      </c>
      <c r="D1327" s="3" t="s">
        <v>751</v>
      </c>
      <c r="E1327" s="8">
        <v>357627851</v>
      </c>
      <c r="F1327" s="2">
        <v>2.9683000000000001E-3</v>
      </c>
      <c r="G1327" s="17">
        <f>F1327 * VLOOKUP('GASB Data'!A1327,Check!$A$2:$F$11,6,FALSE)</f>
        <v>5684727.8717999998</v>
      </c>
    </row>
    <row r="1328" spans="1:7" x14ac:dyDescent="0.2">
      <c r="A1328">
        <v>2019</v>
      </c>
      <c r="B1328" s="3" t="s">
        <v>391</v>
      </c>
      <c r="C1328" s="3" t="s">
        <v>752</v>
      </c>
      <c r="D1328" s="3" t="s">
        <v>752</v>
      </c>
      <c r="E1328" s="8">
        <v>3760784</v>
      </c>
      <c r="F1328" s="2">
        <v>3.1199999999999999E-5</v>
      </c>
      <c r="G1328" s="17">
        <f>F1328 * VLOOKUP('GASB Data'!A1328,Check!$A$2:$F$11,6,FALSE)</f>
        <v>59752.555200000003</v>
      </c>
    </row>
    <row r="1329" spans="1:7" x14ac:dyDescent="0.2">
      <c r="A1329">
        <v>2019</v>
      </c>
      <c r="B1329" s="3" t="s">
        <v>392</v>
      </c>
      <c r="C1329" s="3" t="s">
        <v>753</v>
      </c>
      <c r="D1329" s="3" t="s">
        <v>753</v>
      </c>
      <c r="E1329" s="8">
        <v>117068796</v>
      </c>
      <c r="F1329" s="2">
        <v>9.7170000000000004E-4</v>
      </c>
      <c r="G1329" s="17">
        <f>F1329 * VLOOKUP('GASB Data'!A1329,Check!$A$2:$F$11,6,FALSE)</f>
        <v>1860947.3682000001</v>
      </c>
    </row>
    <row r="1330" spans="1:7" x14ac:dyDescent="0.2">
      <c r="A1330">
        <v>2019</v>
      </c>
      <c r="B1330" s="3" t="s">
        <v>393</v>
      </c>
      <c r="C1330" s="3" t="s">
        <v>754</v>
      </c>
      <c r="D1330" s="3" t="s">
        <v>754</v>
      </c>
      <c r="E1330" s="8">
        <v>486312042</v>
      </c>
      <c r="F1330" s="2">
        <v>4.0363999999999999E-3</v>
      </c>
      <c r="G1330" s="17">
        <f>F1330 * VLOOKUP('GASB Data'!A1330,Check!$A$2:$F$11,6,FALSE)</f>
        <v>7730295.3143999996</v>
      </c>
    </row>
    <row r="1331" spans="1:7" x14ac:dyDescent="0.2">
      <c r="A1331">
        <v>2019</v>
      </c>
      <c r="B1331" s="3" t="s">
        <v>394</v>
      </c>
      <c r="C1331" s="3" t="s">
        <v>755</v>
      </c>
      <c r="D1331" s="3" t="s">
        <v>755</v>
      </c>
      <c r="E1331" s="8">
        <v>202111083</v>
      </c>
      <c r="F1331" s="2">
        <v>1.6775E-3</v>
      </c>
      <c r="G1331" s="17">
        <f>F1331 * VLOOKUP('GASB Data'!A1331,Check!$A$2:$F$11,6,FALSE)</f>
        <v>3212657.415</v>
      </c>
    </row>
    <row r="1332" spans="1:7" x14ac:dyDescent="0.2">
      <c r="A1332">
        <v>2019</v>
      </c>
      <c r="B1332" s="3" t="s">
        <v>395</v>
      </c>
      <c r="C1332" s="3" t="s">
        <v>756</v>
      </c>
      <c r="D1332" s="3" t="s">
        <v>756</v>
      </c>
      <c r="E1332" s="8">
        <v>111543180</v>
      </c>
      <c r="F1332" s="2">
        <v>9.2579999999999995E-4</v>
      </c>
      <c r="G1332" s="17">
        <f>F1332 * VLOOKUP('GASB Data'!A1332,Check!$A$2:$F$11,6,FALSE)</f>
        <v>1773042.1668</v>
      </c>
    </row>
    <row r="1333" spans="1:7" x14ac:dyDescent="0.2">
      <c r="A1333">
        <v>2019</v>
      </c>
      <c r="B1333" s="3" t="s">
        <v>396</v>
      </c>
      <c r="C1333" s="3" t="s">
        <v>757</v>
      </c>
      <c r="D1333" s="3" t="s">
        <v>757</v>
      </c>
      <c r="E1333" s="8">
        <v>151355380</v>
      </c>
      <c r="F1333" s="2">
        <v>1.2562999999999999E-3</v>
      </c>
      <c r="G1333" s="17">
        <f>F1333 * VLOOKUP('GASB Data'!A1333,Check!$A$2:$F$11,6,FALSE)</f>
        <v>2405997.9197999998</v>
      </c>
    </row>
    <row r="1334" spans="1:7" x14ac:dyDescent="0.2">
      <c r="A1334">
        <v>2019</v>
      </c>
      <c r="B1334" s="3" t="s">
        <v>397</v>
      </c>
      <c r="C1334" s="3" t="s">
        <v>758</v>
      </c>
      <c r="D1334" s="3" t="s">
        <v>758</v>
      </c>
      <c r="E1334" s="8">
        <v>32098761</v>
      </c>
      <c r="F1334" s="2">
        <v>2.6640000000000002E-4</v>
      </c>
      <c r="G1334" s="17">
        <f>F1334 * VLOOKUP('GASB Data'!A1334,Check!$A$2:$F$11,6,FALSE)</f>
        <v>510194.89440000005</v>
      </c>
    </row>
    <row r="1335" spans="1:7" x14ac:dyDescent="0.2">
      <c r="A1335">
        <v>2019</v>
      </c>
      <c r="B1335" s="3" t="s">
        <v>398</v>
      </c>
      <c r="C1335" s="3" t="s">
        <v>759</v>
      </c>
      <c r="D1335" s="3" t="s">
        <v>759</v>
      </c>
      <c r="E1335" s="8">
        <v>293706474</v>
      </c>
      <c r="F1335" s="2">
        <v>2.4377999999999999E-3</v>
      </c>
      <c r="G1335" s="17">
        <f>F1335 * VLOOKUP('GASB Data'!A1335,Check!$A$2:$F$11,6,FALSE)</f>
        <v>4668742.9188000001</v>
      </c>
    </row>
    <row r="1336" spans="1:7" x14ac:dyDescent="0.2">
      <c r="A1336">
        <v>2019</v>
      </c>
      <c r="B1336" s="3" t="s">
        <v>399</v>
      </c>
      <c r="C1336" s="3" t="s">
        <v>760</v>
      </c>
      <c r="D1336" s="3" t="s">
        <v>760</v>
      </c>
      <c r="E1336" s="8">
        <v>34351293</v>
      </c>
      <c r="F1336" s="2">
        <v>2.8509999999999999E-4</v>
      </c>
      <c r="G1336" s="17">
        <f>F1336 * VLOOKUP('GASB Data'!A1336,Check!$A$2:$F$11,6,FALSE)</f>
        <v>546008.12459999998</v>
      </c>
    </row>
    <row r="1337" spans="1:7" x14ac:dyDescent="0.2">
      <c r="A1337">
        <v>2019</v>
      </c>
      <c r="B1337" s="3" t="s">
        <v>400</v>
      </c>
      <c r="C1337" s="3" t="s">
        <v>761</v>
      </c>
      <c r="D1337" s="3" t="s">
        <v>761</v>
      </c>
      <c r="E1337" s="8">
        <v>7233918446</v>
      </c>
      <c r="F1337" s="2">
        <v>6.0041600000000001E-2</v>
      </c>
      <c r="G1337" s="17">
        <f>F1337 * VLOOKUP('GASB Data'!A1337,Check!$A$2:$F$11,6,FALSE)</f>
        <v>114988430.07359999</v>
      </c>
    </row>
    <row r="1338" spans="1:7" x14ac:dyDescent="0.2">
      <c r="A1338">
        <v>2019</v>
      </c>
      <c r="B1338" s="3" t="s">
        <v>403</v>
      </c>
      <c r="C1338" s="3" t="s">
        <v>764</v>
      </c>
      <c r="D1338" s="3" t="s">
        <v>764</v>
      </c>
      <c r="E1338" s="8">
        <v>50611489</v>
      </c>
      <c r="F1338" s="2">
        <v>4.2010000000000002E-4</v>
      </c>
      <c r="G1338" s="17">
        <f>F1338 * VLOOKUP('GASB Data'!A1338,Check!$A$2:$F$11,6,FALSE)</f>
        <v>804552.83460000006</v>
      </c>
    </row>
    <row r="1339" spans="1:7" x14ac:dyDescent="0.2">
      <c r="A1339">
        <v>2019</v>
      </c>
      <c r="B1339" s="3" t="s">
        <v>404</v>
      </c>
      <c r="C1339" s="3" t="s">
        <v>908</v>
      </c>
      <c r="D1339" s="3" t="s">
        <v>908</v>
      </c>
      <c r="E1339" s="8">
        <v>33188187</v>
      </c>
      <c r="F1339" s="2">
        <v>2.7549999999999997E-4</v>
      </c>
      <c r="G1339" s="17">
        <f>F1339 * VLOOKUP('GASB Data'!A1339,Check!$A$2:$F$11,6,FALSE)</f>
        <v>527622.723</v>
      </c>
    </row>
    <row r="1340" spans="1:7" x14ac:dyDescent="0.2">
      <c r="A1340">
        <v>2019</v>
      </c>
      <c r="B1340" s="3" t="s">
        <v>405</v>
      </c>
      <c r="C1340" s="3" t="s">
        <v>766</v>
      </c>
      <c r="D1340" s="3" t="s">
        <v>766</v>
      </c>
      <c r="E1340" s="8">
        <v>579349116</v>
      </c>
      <c r="F1340" s="2">
        <v>4.8085999999999997E-3</v>
      </c>
      <c r="G1340" s="17">
        <f>F1340 * VLOOKUP('GASB Data'!A1340,Check!$A$2:$F$11,6,FALSE)</f>
        <v>9209171.0555999987</v>
      </c>
    </row>
    <row r="1341" spans="1:7" x14ac:dyDescent="0.2">
      <c r="A1341">
        <v>2019</v>
      </c>
      <c r="B1341" s="3" t="s">
        <v>406</v>
      </c>
      <c r="C1341" s="3" t="s">
        <v>767</v>
      </c>
      <c r="D1341" s="3" t="s">
        <v>767</v>
      </c>
      <c r="E1341" s="8">
        <v>84324303</v>
      </c>
      <c r="F1341" s="2">
        <v>6.9990000000000004E-4</v>
      </c>
      <c r="G1341" s="17">
        <f>F1341 * VLOOKUP('GASB Data'!A1341,Check!$A$2:$F$11,6,FALSE)</f>
        <v>1340410.6854000001</v>
      </c>
    </row>
    <row r="1342" spans="1:7" x14ac:dyDescent="0.2">
      <c r="A1342">
        <v>2019</v>
      </c>
      <c r="B1342" s="3" t="s">
        <v>407</v>
      </c>
      <c r="C1342" s="3" t="s">
        <v>768</v>
      </c>
      <c r="D1342" s="3" t="s">
        <v>768</v>
      </c>
      <c r="E1342" s="8">
        <v>26186281</v>
      </c>
      <c r="F1342" s="2">
        <v>2.173E-4</v>
      </c>
      <c r="G1342" s="17">
        <f>F1342 * VLOOKUP('GASB Data'!A1342,Check!$A$2:$F$11,6,FALSE)</f>
        <v>416161.22580000001</v>
      </c>
    </row>
    <row r="1343" spans="1:7" x14ac:dyDescent="0.2">
      <c r="A1343">
        <v>2019</v>
      </c>
      <c r="B1343" s="3" t="s">
        <v>408</v>
      </c>
      <c r="C1343" s="3" t="s">
        <v>769</v>
      </c>
      <c r="D1343" s="3" t="s">
        <v>769</v>
      </c>
      <c r="E1343" s="8">
        <v>72680333</v>
      </c>
      <c r="F1343" s="2">
        <v>6.0320000000000003E-4</v>
      </c>
      <c r="G1343" s="17">
        <f>F1343 * VLOOKUP('GASB Data'!A1343,Check!$A$2:$F$11,6,FALSE)</f>
        <v>1155216.0671999999</v>
      </c>
    </row>
    <row r="1344" spans="1:7" x14ac:dyDescent="0.2">
      <c r="A1344">
        <v>2019</v>
      </c>
      <c r="B1344" s="3" t="s">
        <v>409</v>
      </c>
      <c r="C1344" s="3" t="s">
        <v>770</v>
      </c>
      <c r="D1344" s="3" t="s">
        <v>770</v>
      </c>
      <c r="E1344" s="8">
        <v>13012232</v>
      </c>
      <c r="F1344" s="2">
        <v>1.08E-4</v>
      </c>
      <c r="G1344" s="17">
        <f>F1344 * VLOOKUP('GASB Data'!A1344,Check!$A$2:$F$11,6,FALSE)</f>
        <v>206835.76799999998</v>
      </c>
    </row>
    <row r="1345" spans="1:7" x14ac:dyDescent="0.2">
      <c r="A1345">
        <v>2019</v>
      </c>
      <c r="B1345" s="3" t="s">
        <v>410</v>
      </c>
      <c r="C1345" s="3" t="s">
        <v>771</v>
      </c>
      <c r="D1345" s="3" t="s">
        <v>771</v>
      </c>
      <c r="E1345" s="8">
        <v>87657463</v>
      </c>
      <c r="F1345" s="2">
        <v>7.2760000000000001E-4</v>
      </c>
      <c r="G1345" s="17">
        <f>F1345 * VLOOKUP('GASB Data'!A1345,Check!$A$2:$F$11,6,FALSE)</f>
        <v>1393460.2296</v>
      </c>
    </row>
    <row r="1346" spans="1:7" x14ac:dyDescent="0.2">
      <c r="A1346">
        <v>2019</v>
      </c>
      <c r="B1346" s="3" t="s">
        <v>411</v>
      </c>
      <c r="C1346" s="3" t="s">
        <v>772</v>
      </c>
      <c r="D1346" s="3" t="s">
        <v>772</v>
      </c>
      <c r="E1346" s="8">
        <v>31974018</v>
      </c>
      <c r="F1346" s="2">
        <v>2.654E-4</v>
      </c>
      <c r="G1346" s="17">
        <f>F1346 * VLOOKUP('GASB Data'!A1346,Check!$A$2:$F$11,6,FALSE)</f>
        <v>508279.74839999998</v>
      </c>
    </row>
    <row r="1347" spans="1:7" x14ac:dyDescent="0.2">
      <c r="A1347">
        <v>2019</v>
      </c>
      <c r="B1347" s="3" t="s">
        <v>412</v>
      </c>
      <c r="C1347" s="3" t="s">
        <v>773</v>
      </c>
      <c r="D1347" s="3" t="s">
        <v>773</v>
      </c>
      <c r="E1347" s="8">
        <v>44167321</v>
      </c>
      <c r="F1347" s="2">
        <v>3.6660000000000002E-4</v>
      </c>
      <c r="G1347" s="17">
        <f>F1347 * VLOOKUP('GASB Data'!A1347,Check!$A$2:$F$11,6,FALSE)</f>
        <v>702092.52360000007</v>
      </c>
    </row>
    <row r="1348" spans="1:7" x14ac:dyDescent="0.2">
      <c r="A1348">
        <v>2019</v>
      </c>
      <c r="B1348" s="3" t="s">
        <v>413</v>
      </c>
      <c r="C1348" s="3" t="s">
        <v>774</v>
      </c>
      <c r="D1348" s="3" t="s">
        <v>774</v>
      </c>
      <c r="E1348" s="8">
        <v>177135527</v>
      </c>
      <c r="F1348" s="2">
        <v>1.4702000000000001E-3</v>
      </c>
      <c r="G1348" s="17">
        <f>F1348 * VLOOKUP('GASB Data'!A1348,Check!$A$2:$F$11,6,FALSE)</f>
        <v>2815647.6492000003</v>
      </c>
    </row>
    <row r="1349" spans="1:7" x14ac:dyDescent="0.2">
      <c r="A1349">
        <v>2019</v>
      </c>
      <c r="B1349" s="3" t="s">
        <v>414</v>
      </c>
      <c r="C1349" s="3" t="s">
        <v>775</v>
      </c>
      <c r="D1349" s="3" t="s">
        <v>775</v>
      </c>
      <c r="E1349" s="8">
        <v>36335330</v>
      </c>
      <c r="F1349" s="2">
        <v>3.0160000000000001E-4</v>
      </c>
      <c r="G1349" s="17">
        <f>F1349 * VLOOKUP('GASB Data'!A1349,Check!$A$2:$F$11,6,FALSE)</f>
        <v>577608.03359999997</v>
      </c>
    </row>
    <row r="1350" spans="1:7" x14ac:dyDescent="0.2">
      <c r="A1350">
        <v>2019</v>
      </c>
      <c r="B1350" s="3" t="s">
        <v>415</v>
      </c>
      <c r="C1350" s="3" t="s">
        <v>776</v>
      </c>
      <c r="D1350" s="3" t="s">
        <v>776</v>
      </c>
      <c r="E1350" s="8">
        <v>603879340</v>
      </c>
      <c r="F1350" s="2">
        <v>5.0121999999999996E-3</v>
      </c>
      <c r="G1350" s="17">
        <f>F1350 * VLOOKUP('GASB Data'!A1350,Check!$A$2:$F$11,6,FALSE)</f>
        <v>9599094.7811999992</v>
      </c>
    </row>
    <row r="1351" spans="1:7" x14ac:dyDescent="0.2">
      <c r="A1351">
        <v>2019</v>
      </c>
      <c r="B1351" s="3" t="s">
        <v>416</v>
      </c>
      <c r="C1351" s="3" t="s">
        <v>777</v>
      </c>
      <c r="D1351" s="3" t="s">
        <v>777</v>
      </c>
      <c r="E1351" s="8">
        <v>12619535</v>
      </c>
      <c r="F1351" s="2">
        <v>1.047E-4</v>
      </c>
      <c r="G1351" s="17">
        <f>F1351 * VLOOKUP('GASB Data'!A1351,Check!$A$2:$F$11,6,FALSE)</f>
        <v>200515.7862</v>
      </c>
    </row>
    <row r="1352" spans="1:7" x14ac:dyDescent="0.2">
      <c r="A1352">
        <v>2019</v>
      </c>
      <c r="B1352" s="3" t="s">
        <v>417</v>
      </c>
      <c r="C1352" s="3" t="s">
        <v>778</v>
      </c>
      <c r="D1352" s="3" t="s">
        <v>778</v>
      </c>
      <c r="E1352" s="8">
        <v>18321055</v>
      </c>
      <c r="F1352" s="2">
        <v>1.5210000000000001E-4</v>
      </c>
      <c r="G1352" s="17">
        <f>F1352 * VLOOKUP('GASB Data'!A1352,Check!$A$2:$F$11,6,FALSE)</f>
        <v>291293.70660000003</v>
      </c>
    </row>
    <row r="1353" spans="1:7" x14ac:dyDescent="0.2">
      <c r="A1353">
        <v>2019</v>
      </c>
      <c r="B1353" s="3" t="s">
        <v>927</v>
      </c>
      <c r="C1353" s="3" t="s">
        <v>926</v>
      </c>
      <c r="D1353" s="3" t="s">
        <v>926</v>
      </c>
      <c r="E1353" s="8">
        <v>23840065</v>
      </c>
      <c r="F1353" s="2">
        <v>1.9790000000000001E-4</v>
      </c>
      <c r="G1353" s="17">
        <f>F1353 * VLOOKUP('GASB Data'!A1353,Check!$A$2:$F$11,6,FALSE)</f>
        <v>379007.3934</v>
      </c>
    </row>
    <row r="1354" spans="1:7" x14ac:dyDescent="0.2">
      <c r="A1354">
        <v>2019</v>
      </c>
      <c r="B1354" s="3" t="s">
        <v>418</v>
      </c>
      <c r="C1354" s="3" t="s">
        <v>779</v>
      </c>
      <c r="D1354" s="3" t="s">
        <v>779</v>
      </c>
      <c r="E1354" s="8">
        <v>113534855</v>
      </c>
      <c r="F1354" s="2">
        <v>9.4229999999999997E-4</v>
      </c>
      <c r="G1354" s="17">
        <f>F1354 * VLOOKUP('GASB Data'!A1354,Check!$A$2:$F$11,6,FALSE)</f>
        <v>1804642.0758</v>
      </c>
    </row>
    <row r="1355" spans="1:7" x14ac:dyDescent="0.2">
      <c r="A1355">
        <v>2019</v>
      </c>
      <c r="B1355" s="3" t="s">
        <v>419</v>
      </c>
      <c r="C1355" s="3" t="s">
        <v>780</v>
      </c>
      <c r="D1355" s="3" t="s">
        <v>780</v>
      </c>
      <c r="E1355" s="8">
        <v>629351285</v>
      </c>
      <c r="F1355" s="2">
        <v>5.2236000000000001E-3</v>
      </c>
      <c r="G1355" s="17">
        <f>F1355 * VLOOKUP('GASB Data'!A1355,Check!$A$2:$F$11,6,FALSE)</f>
        <v>10003956.6456</v>
      </c>
    </row>
    <row r="1356" spans="1:7" x14ac:dyDescent="0.2">
      <c r="A1356">
        <v>2019</v>
      </c>
      <c r="B1356" s="3" t="s">
        <v>420</v>
      </c>
      <c r="C1356" s="3" t="s">
        <v>931</v>
      </c>
      <c r="D1356" s="3" t="s">
        <v>931</v>
      </c>
      <c r="E1356" s="8">
        <v>102628972</v>
      </c>
      <c r="F1356" s="2">
        <v>8.518E-4</v>
      </c>
      <c r="G1356" s="17">
        <f>F1356 * VLOOKUP('GASB Data'!A1356,Check!$A$2:$F$11,6,FALSE)</f>
        <v>1631321.3628</v>
      </c>
    </row>
    <row r="1357" spans="1:7" x14ac:dyDescent="0.2">
      <c r="A1357">
        <v>2019</v>
      </c>
      <c r="B1357" s="3" t="s">
        <v>421</v>
      </c>
      <c r="C1357" s="3" t="s">
        <v>782</v>
      </c>
      <c r="D1357" s="3" t="s">
        <v>782</v>
      </c>
      <c r="E1357" s="8">
        <v>1318327192</v>
      </c>
      <c r="F1357" s="2">
        <v>1.09421E-2</v>
      </c>
      <c r="G1357" s="17">
        <f>F1357 * VLOOKUP('GASB Data'!A1357,Check!$A$2:$F$11,6,FALSE)</f>
        <v>20955719.046599999</v>
      </c>
    </row>
    <row r="1358" spans="1:7" x14ac:dyDescent="0.2">
      <c r="A1358">
        <v>2019</v>
      </c>
      <c r="B1358" s="3" t="s">
        <v>422</v>
      </c>
      <c r="C1358" s="3" t="s">
        <v>910</v>
      </c>
      <c r="D1358" s="3" t="s">
        <v>910</v>
      </c>
      <c r="E1358" s="8">
        <v>16691774</v>
      </c>
      <c r="F1358" s="2">
        <v>1.3850000000000001E-4</v>
      </c>
      <c r="G1358" s="17">
        <f>F1358 * VLOOKUP('GASB Data'!A1358,Check!$A$2:$F$11,6,FALSE)</f>
        <v>265247.72100000002</v>
      </c>
    </row>
    <row r="1359" spans="1:7" x14ac:dyDescent="0.2">
      <c r="A1359">
        <v>2019</v>
      </c>
      <c r="B1359" s="3" t="s">
        <v>423</v>
      </c>
      <c r="C1359" s="3" t="s">
        <v>784</v>
      </c>
      <c r="D1359" s="3" t="s">
        <v>784</v>
      </c>
      <c r="E1359" s="8">
        <v>6283008</v>
      </c>
      <c r="F1359" s="2">
        <v>5.2099999999999999E-5</v>
      </c>
      <c r="G1359" s="17">
        <f>F1359 * VLOOKUP('GASB Data'!A1359,Check!$A$2:$F$11,6,FALSE)</f>
        <v>99779.106599999999</v>
      </c>
    </row>
    <row r="1360" spans="1:7" x14ac:dyDescent="0.2">
      <c r="A1360">
        <v>2019</v>
      </c>
      <c r="B1360" s="3" t="s">
        <v>424</v>
      </c>
      <c r="C1360" s="3" t="s">
        <v>785</v>
      </c>
      <c r="D1360" s="3" t="s">
        <v>785</v>
      </c>
      <c r="E1360" s="8">
        <v>250805934</v>
      </c>
      <c r="F1360" s="2">
        <v>2.0817000000000001E-3</v>
      </c>
      <c r="G1360" s="17">
        <f>F1360 * VLOOKUP('GASB Data'!A1360,Check!$A$2:$F$11,6,FALSE)</f>
        <v>3986759.4282000004</v>
      </c>
    </row>
    <row r="1361" spans="1:7" x14ac:dyDescent="0.2">
      <c r="A1361">
        <v>2019</v>
      </c>
      <c r="B1361" s="3" t="s">
        <v>425</v>
      </c>
      <c r="C1361" s="3" t="s">
        <v>786</v>
      </c>
      <c r="D1361" s="3" t="s">
        <v>786</v>
      </c>
      <c r="E1361" s="8">
        <v>88312775</v>
      </c>
      <c r="F1361" s="2">
        <v>7.3300000000000004E-4</v>
      </c>
      <c r="G1361" s="17">
        <f>F1361 * VLOOKUP('GASB Data'!A1361,Check!$A$2:$F$11,6,FALSE)</f>
        <v>1403802.0180000002</v>
      </c>
    </row>
    <row r="1362" spans="1:7" x14ac:dyDescent="0.2">
      <c r="A1362">
        <v>2019</v>
      </c>
      <c r="B1362" s="3" t="s">
        <v>426</v>
      </c>
      <c r="C1362" s="3" t="s">
        <v>787</v>
      </c>
      <c r="D1362" s="3" t="s">
        <v>787</v>
      </c>
      <c r="E1362" s="8">
        <v>52314861</v>
      </c>
      <c r="F1362" s="2">
        <v>4.3419999999999998E-4</v>
      </c>
      <c r="G1362" s="17">
        <f>F1362 * VLOOKUP('GASB Data'!A1362,Check!$A$2:$F$11,6,FALSE)</f>
        <v>831556.39319999993</v>
      </c>
    </row>
    <row r="1363" spans="1:7" x14ac:dyDescent="0.2">
      <c r="A1363">
        <v>2019</v>
      </c>
      <c r="B1363" s="3" t="s">
        <v>427</v>
      </c>
      <c r="C1363" s="3" t="s">
        <v>788</v>
      </c>
      <c r="D1363" s="3" t="s">
        <v>788</v>
      </c>
      <c r="E1363" s="8">
        <v>1146944859</v>
      </c>
      <c r="F1363" s="2">
        <v>9.5197000000000007E-3</v>
      </c>
      <c r="G1363" s="17">
        <f>F1363 * VLOOKUP('GASB Data'!A1363,Check!$A$2:$F$11,6,FALSE)</f>
        <v>18231615.376200002</v>
      </c>
    </row>
    <row r="1364" spans="1:7" x14ac:dyDescent="0.2">
      <c r="A1364">
        <v>2019</v>
      </c>
      <c r="B1364" s="3" t="s">
        <v>428</v>
      </c>
      <c r="C1364" s="3" t="s">
        <v>789</v>
      </c>
      <c r="D1364" s="3" t="s">
        <v>789</v>
      </c>
      <c r="E1364" s="8">
        <v>5914306</v>
      </c>
      <c r="F1364" s="2">
        <v>4.9100000000000001E-5</v>
      </c>
      <c r="G1364" s="17">
        <f>F1364 * VLOOKUP('GASB Data'!A1364,Check!$A$2:$F$11,6,FALSE)</f>
        <v>94033.668600000005</v>
      </c>
    </row>
    <row r="1365" spans="1:7" x14ac:dyDescent="0.2">
      <c r="A1365">
        <v>2019</v>
      </c>
      <c r="B1365" s="3" t="s">
        <v>429</v>
      </c>
      <c r="C1365" s="3" t="s">
        <v>790</v>
      </c>
      <c r="D1365" s="3" t="s">
        <v>790</v>
      </c>
      <c r="E1365" s="8">
        <v>131150901</v>
      </c>
      <c r="F1365" s="2">
        <v>1.0885999999999999E-3</v>
      </c>
      <c r="G1365" s="17">
        <f>F1365 * VLOOKUP('GASB Data'!A1365,Check!$A$2:$F$11,6,FALSE)</f>
        <v>2084827.9355999997</v>
      </c>
    </row>
    <row r="1366" spans="1:7" x14ac:dyDescent="0.2">
      <c r="A1366">
        <v>2019</v>
      </c>
      <c r="B1366" s="3" t="s">
        <v>430</v>
      </c>
      <c r="C1366" s="3" t="s">
        <v>791</v>
      </c>
      <c r="D1366" s="3" t="s">
        <v>791</v>
      </c>
      <c r="E1366" s="8">
        <v>407266118</v>
      </c>
      <c r="F1366" s="2">
        <v>3.3803000000000001E-3</v>
      </c>
      <c r="G1366" s="17">
        <f>F1366 * VLOOKUP('GASB Data'!A1366,Check!$A$2:$F$11,6,FALSE)</f>
        <v>6473768.0238000005</v>
      </c>
    </row>
    <row r="1367" spans="1:7" x14ac:dyDescent="0.2">
      <c r="A1367">
        <v>2019</v>
      </c>
      <c r="B1367" s="3" t="s">
        <v>432</v>
      </c>
      <c r="C1367" s="3" t="s">
        <v>792</v>
      </c>
      <c r="D1367" s="3" t="s">
        <v>792</v>
      </c>
      <c r="E1367" s="8">
        <v>26548525</v>
      </c>
      <c r="F1367" s="2">
        <v>2.2039999999999999E-4</v>
      </c>
      <c r="G1367" s="17">
        <f>F1367 * VLOOKUP('GASB Data'!A1367,Check!$A$2:$F$11,6,FALSE)</f>
        <v>422098.17839999998</v>
      </c>
    </row>
    <row r="1368" spans="1:7" x14ac:dyDescent="0.2">
      <c r="A1368">
        <v>2019</v>
      </c>
      <c r="B1368" s="3" t="s">
        <v>433</v>
      </c>
      <c r="C1368" s="3" t="s">
        <v>911</v>
      </c>
      <c r="D1368" s="3" t="s">
        <v>911</v>
      </c>
      <c r="E1368" s="8">
        <v>804940399</v>
      </c>
      <c r="F1368" s="2">
        <v>6.6810000000000003E-3</v>
      </c>
      <c r="G1368" s="17">
        <f>F1368 * VLOOKUP('GASB Data'!A1368,Check!$A$2:$F$11,6,FALSE)</f>
        <v>12795090.426000001</v>
      </c>
    </row>
    <row r="1369" spans="1:7" x14ac:dyDescent="0.2">
      <c r="A1369">
        <v>2019</v>
      </c>
      <c r="B1369" s="3" t="s">
        <v>434</v>
      </c>
      <c r="C1369" s="3" t="s">
        <v>794</v>
      </c>
      <c r="D1369" s="3" t="s">
        <v>794</v>
      </c>
      <c r="E1369" s="8">
        <v>76104032</v>
      </c>
      <c r="F1369" s="2">
        <v>6.3170000000000001E-4</v>
      </c>
      <c r="G1369" s="17">
        <f>F1369 * VLOOKUP('GASB Data'!A1369,Check!$A$2:$F$11,6,FALSE)</f>
        <v>1209797.7282</v>
      </c>
    </row>
    <row r="1370" spans="1:7" x14ac:dyDescent="0.2">
      <c r="A1370">
        <v>2019</v>
      </c>
      <c r="B1370" s="3" t="s">
        <v>435</v>
      </c>
      <c r="C1370" s="3" t="s">
        <v>795</v>
      </c>
      <c r="D1370" s="3" t="s">
        <v>795</v>
      </c>
      <c r="E1370" s="8">
        <v>30984516</v>
      </c>
      <c r="F1370" s="2">
        <v>2.5720000000000002E-4</v>
      </c>
      <c r="G1370" s="17">
        <f>F1370 * VLOOKUP('GASB Data'!A1370,Check!$A$2:$F$11,6,FALSE)</f>
        <v>492575.55120000005</v>
      </c>
    </row>
    <row r="1371" spans="1:7" x14ac:dyDescent="0.2">
      <c r="A1371">
        <v>2019</v>
      </c>
      <c r="B1371" s="3" t="s">
        <v>490</v>
      </c>
      <c r="C1371" s="3" t="s">
        <v>796</v>
      </c>
      <c r="D1371" s="3" t="s">
        <v>796</v>
      </c>
      <c r="E1371" s="8">
        <v>28077292</v>
      </c>
      <c r="F1371" s="2">
        <v>2.33E-4</v>
      </c>
      <c r="G1371" s="17">
        <f>F1371 * VLOOKUP('GASB Data'!A1371,Check!$A$2:$F$11,6,FALSE)</f>
        <v>446229.01799999998</v>
      </c>
    </row>
    <row r="1372" spans="1:7" x14ac:dyDescent="0.2">
      <c r="A1372">
        <v>2019</v>
      </c>
      <c r="B1372" s="3" t="s">
        <v>491</v>
      </c>
      <c r="C1372" s="3" t="s">
        <v>797</v>
      </c>
      <c r="D1372" s="3" t="s">
        <v>797</v>
      </c>
      <c r="E1372" s="8">
        <v>253394733</v>
      </c>
      <c r="F1372" s="2">
        <v>2.1031999999999999E-3</v>
      </c>
      <c r="G1372" s="17">
        <f>F1372 * VLOOKUP('GASB Data'!A1372,Check!$A$2:$F$11,6,FALSE)</f>
        <v>4027935.0671999999</v>
      </c>
    </row>
    <row r="1373" spans="1:7" x14ac:dyDescent="0.2">
      <c r="A1373">
        <v>2019</v>
      </c>
      <c r="B1373" s="3" t="s">
        <v>850</v>
      </c>
      <c r="C1373" s="3" t="s">
        <v>913</v>
      </c>
      <c r="D1373" s="3" t="s">
        <v>913</v>
      </c>
      <c r="E1373" s="8">
        <v>17340490</v>
      </c>
      <c r="F1373" s="2">
        <v>1.439E-4</v>
      </c>
      <c r="G1373" s="17">
        <f>F1373 * VLOOKUP('GASB Data'!A1373,Check!$A$2:$F$11,6,FALSE)</f>
        <v>275589.50939999998</v>
      </c>
    </row>
    <row r="1374" spans="1:7" x14ac:dyDescent="0.2">
      <c r="A1374">
        <v>2019</v>
      </c>
      <c r="B1374" s="3" t="s">
        <v>492</v>
      </c>
      <c r="C1374" s="3" t="s">
        <v>799</v>
      </c>
      <c r="D1374" s="3" t="s">
        <v>799</v>
      </c>
      <c r="E1374" s="8">
        <v>62965647</v>
      </c>
      <c r="F1374" s="2">
        <v>5.2260000000000002E-4</v>
      </c>
      <c r="G1374" s="17">
        <f>F1374 * VLOOKUP('GASB Data'!A1374,Check!$A$2:$F$11,6,FALSE)</f>
        <v>1000855.2996</v>
      </c>
    </row>
    <row r="1375" spans="1:7" x14ac:dyDescent="0.2">
      <c r="A1375">
        <v>2019</v>
      </c>
      <c r="B1375" s="3" t="s">
        <v>493</v>
      </c>
      <c r="C1375" s="3" t="s">
        <v>800</v>
      </c>
      <c r="D1375" s="3" t="s">
        <v>800</v>
      </c>
      <c r="E1375" s="8">
        <v>402974212</v>
      </c>
      <c r="F1375" s="2">
        <v>3.3446999999999999E-3</v>
      </c>
      <c r="G1375" s="17">
        <f>F1375 * VLOOKUP('GASB Data'!A1375,Check!$A$2:$F$11,6,FALSE)</f>
        <v>6405588.8262</v>
      </c>
    </row>
    <row r="1376" spans="1:7" x14ac:dyDescent="0.2">
      <c r="A1376">
        <v>2019</v>
      </c>
      <c r="B1376" s="3" t="s">
        <v>494</v>
      </c>
      <c r="C1376" s="3" t="s">
        <v>801</v>
      </c>
      <c r="D1376" s="3" t="s">
        <v>801</v>
      </c>
      <c r="E1376" s="8">
        <v>83644684</v>
      </c>
      <c r="F1376" s="2">
        <v>6.9430000000000002E-4</v>
      </c>
      <c r="G1376" s="17">
        <f>F1376 * VLOOKUP('GASB Data'!A1376,Check!$A$2:$F$11,6,FALSE)</f>
        <v>1329685.8678000001</v>
      </c>
    </row>
    <row r="1377" spans="1:7" x14ac:dyDescent="0.2">
      <c r="A1377">
        <v>2019</v>
      </c>
      <c r="B1377" s="3" t="s">
        <v>495</v>
      </c>
      <c r="C1377" s="3" t="s">
        <v>802</v>
      </c>
      <c r="D1377" s="3" t="s">
        <v>802</v>
      </c>
      <c r="E1377" s="8">
        <v>225885024</v>
      </c>
      <c r="F1377" s="2">
        <v>1.8748E-3</v>
      </c>
      <c r="G1377" s="17">
        <f>F1377 * VLOOKUP('GASB Data'!A1377,Check!$A$2:$F$11,6,FALSE)</f>
        <v>3590515.7208000002</v>
      </c>
    </row>
    <row r="1378" spans="1:7" x14ac:dyDescent="0.2">
      <c r="A1378">
        <v>2019</v>
      </c>
      <c r="B1378" s="3" t="s">
        <v>496</v>
      </c>
      <c r="C1378" s="3" t="s">
        <v>803</v>
      </c>
      <c r="D1378" s="3" t="s">
        <v>803</v>
      </c>
      <c r="E1378" s="8">
        <v>26112499</v>
      </c>
      <c r="F1378" s="2">
        <v>2.1670000000000001E-4</v>
      </c>
      <c r="G1378" s="17">
        <f>F1378 * VLOOKUP('GASB Data'!A1378,Check!$A$2:$F$11,6,FALSE)</f>
        <v>415012.13820000004</v>
      </c>
    </row>
    <row r="1379" spans="1:7" x14ac:dyDescent="0.2">
      <c r="A1379">
        <v>2019</v>
      </c>
      <c r="B1379" s="3" t="s">
        <v>497</v>
      </c>
      <c r="C1379" s="3" t="s">
        <v>804</v>
      </c>
      <c r="D1379" s="3" t="s">
        <v>804</v>
      </c>
      <c r="E1379" s="8">
        <v>58070188</v>
      </c>
      <c r="F1379" s="2">
        <v>4.8200000000000001E-4</v>
      </c>
      <c r="G1379" s="17">
        <f>F1379 * VLOOKUP('GASB Data'!A1379,Check!$A$2:$F$11,6,FALSE)</f>
        <v>923100.37199999997</v>
      </c>
    </row>
    <row r="1380" spans="1:7" x14ac:dyDescent="0.2">
      <c r="A1380">
        <v>2019</v>
      </c>
      <c r="B1380" s="3" t="s">
        <v>498</v>
      </c>
      <c r="C1380" s="3" t="s">
        <v>805</v>
      </c>
      <c r="D1380" s="3" t="s">
        <v>805</v>
      </c>
      <c r="E1380" s="8">
        <v>1108846144</v>
      </c>
      <c r="F1380" s="2">
        <v>9.2034000000000005E-3</v>
      </c>
      <c r="G1380" s="17">
        <f>F1380 * VLOOKUP('GASB Data'!A1380,Check!$A$2:$F$11,6,FALSE)</f>
        <v>17625854.696400002</v>
      </c>
    </row>
    <row r="1381" spans="1:7" x14ac:dyDescent="0.2">
      <c r="A1381">
        <v>2019</v>
      </c>
      <c r="B1381" s="3" t="s">
        <v>499</v>
      </c>
      <c r="C1381" s="3" t="s">
        <v>806</v>
      </c>
      <c r="D1381" s="3" t="s">
        <v>806</v>
      </c>
      <c r="E1381" s="8">
        <v>232488434</v>
      </c>
      <c r="F1381" s="2">
        <v>1.9296999999999999E-3</v>
      </c>
      <c r="G1381" s="17">
        <f>F1381 * VLOOKUP('GASB Data'!A1381,Check!$A$2:$F$11,6,FALSE)</f>
        <v>3695657.2361999997</v>
      </c>
    </row>
    <row r="1382" spans="1:7" x14ac:dyDescent="0.2">
      <c r="A1382">
        <v>2019</v>
      </c>
      <c r="B1382" s="3" t="s">
        <v>500</v>
      </c>
      <c r="C1382" s="3" t="s">
        <v>807</v>
      </c>
      <c r="D1382" s="3" t="s">
        <v>807</v>
      </c>
      <c r="E1382" s="8">
        <v>119829644</v>
      </c>
      <c r="F1382" s="2">
        <v>9.946E-4</v>
      </c>
      <c r="G1382" s="17">
        <f>F1382 * VLOOKUP('GASB Data'!A1382,Check!$A$2:$F$11,6,FALSE)</f>
        <v>1904804.2116</v>
      </c>
    </row>
    <row r="1383" spans="1:7" x14ac:dyDescent="0.2">
      <c r="A1383">
        <v>2019</v>
      </c>
      <c r="B1383" s="3" t="s">
        <v>501</v>
      </c>
      <c r="C1383" s="3" t="s">
        <v>808</v>
      </c>
      <c r="D1383" s="3" t="s">
        <v>808</v>
      </c>
      <c r="E1383" s="8">
        <v>717490472</v>
      </c>
      <c r="F1383" s="2">
        <v>5.9551999999999999E-3</v>
      </c>
      <c r="G1383" s="17">
        <f>F1383 * VLOOKUP('GASB Data'!A1383,Check!$A$2:$F$11,6,FALSE)</f>
        <v>11405077.4592</v>
      </c>
    </row>
    <row r="1384" spans="1:7" x14ac:dyDescent="0.2">
      <c r="A1384">
        <v>2019</v>
      </c>
      <c r="B1384" s="3" t="s">
        <v>502</v>
      </c>
      <c r="C1384" s="3" t="s">
        <v>809</v>
      </c>
      <c r="D1384" s="3" t="s">
        <v>809</v>
      </c>
      <c r="E1384" s="8">
        <v>58849077</v>
      </c>
      <c r="F1384" s="2">
        <v>4.8840000000000005E-4</v>
      </c>
      <c r="G1384" s="17">
        <f>F1384 * VLOOKUP('GASB Data'!A1384,Check!$A$2:$F$11,6,FALSE)</f>
        <v>935357.30640000012</v>
      </c>
    </row>
    <row r="1385" spans="1:7" x14ac:dyDescent="0.2">
      <c r="A1385">
        <v>2019</v>
      </c>
      <c r="B1385" s="3" t="s">
        <v>503</v>
      </c>
      <c r="C1385" s="3" t="s">
        <v>810</v>
      </c>
      <c r="D1385" s="3" t="s">
        <v>810</v>
      </c>
      <c r="E1385" s="8">
        <v>90177156</v>
      </c>
      <c r="F1385" s="2">
        <v>7.4850000000000003E-4</v>
      </c>
      <c r="G1385" s="17">
        <f>F1385 * VLOOKUP('GASB Data'!A1385,Check!$A$2:$F$11,6,FALSE)</f>
        <v>1433486.781</v>
      </c>
    </row>
    <row r="1386" spans="1:7" x14ac:dyDescent="0.2">
      <c r="A1386">
        <v>2019</v>
      </c>
      <c r="B1386" s="3" t="s">
        <v>504</v>
      </c>
      <c r="C1386" s="3" t="s">
        <v>811</v>
      </c>
      <c r="D1386" s="3" t="s">
        <v>811</v>
      </c>
      <c r="E1386" s="8">
        <v>228642970</v>
      </c>
      <c r="F1386" s="2">
        <v>1.8977E-3</v>
      </c>
      <c r="G1386" s="17">
        <f>F1386 * VLOOKUP('GASB Data'!A1386,Check!$A$2:$F$11,6,FALSE)</f>
        <v>3634372.5641999999</v>
      </c>
    </row>
    <row r="1387" spans="1:7" x14ac:dyDescent="0.2">
      <c r="A1387">
        <v>2019</v>
      </c>
      <c r="B1387" s="3" t="s">
        <v>505</v>
      </c>
      <c r="C1387" s="3" t="s">
        <v>812</v>
      </c>
      <c r="D1387" s="3" t="s">
        <v>812</v>
      </c>
      <c r="E1387" s="8">
        <v>312415360</v>
      </c>
      <c r="F1387" s="2">
        <v>2.5929999999999998E-3</v>
      </c>
      <c r="G1387" s="17">
        <f>F1387 * VLOOKUP('GASB Data'!A1387,Check!$A$2:$F$11,6,FALSE)</f>
        <v>4965973.5779999997</v>
      </c>
    </row>
    <row r="1388" spans="1:7" x14ac:dyDescent="0.2">
      <c r="A1388">
        <v>2019</v>
      </c>
      <c r="B1388" s="3" t="s">
        <v>506</v>
      </c>
      <c r="C1388" s="3" t="s">
        <v>813</v>
      </c>
      <c r="D1388" s="3" t="s">
        <v>813</v>
      </c>
      <c r="E1388" s="8">
        <v>95363401</v>
      </c>
      <c r="F1388" s="2">
        <v>7.9149999999999999E-4</v>
      </c>
      <c r="G1388" s="17">
        <f>F1388 * VLOOKUP('GASB Data'!A1388,Check!$A$2:$F$11,6,FALSE)</f>
        <v>1515838.0589999999</v>
      </c>
    </row>
    <row r="1389" spans="1:7" x14ac:dyDescent="0.2">
      <c r="A1389">
        <v>2019</v>
      </c>
      <c r="B1389" s="3" t="s">
        <v>507</v>
      </c>
      <c r="C1389" s="3" t="s">
        <v>814</v>
      </c>
      <c r="D1389" s="3" t="s">
        <v>814</v>
      </c>
      <c r="E1389" s="8">
        <v>995631995</v>
      </c>
      <c r="F1389" s="2">
        <v>8.2638E-3</v>
      </c>
      <c r="G1389" s="17">
        <f>F1389 * VLOOKUP('GASB Data'!A1389,Check!$A$2:$F$11,6,FALSE)</f>
        <v>15826383.514799999</v>
      </c>
    </row>
    <row r="1390" spans="1:7" x14ac:dyDescent="0.2">
      <c r="A1390">
        <v>2019</v>
      </c>
      <c r="B1390" s="3" t="s">
        <v>508</v>
      </c>
      <c r="C1390" s="3" t="s">
        <v>815</v>
      </c>
      <c r="D1390" s="3" t="s">
        <v>815</v>
      </c>
      <c r="E1390" s="8">
        <v>8031187</v>
      </c>
      <c r="F1390" s="2">
        <v>6.6699999999999995E-5</v>
      </c>
      <c r="G1390" s="17">
        <f>F1390 * VLOOKUP('GASB Data'!A1390,Check!$A$2:$F$11,6,FALSE)</f>
        <v>127740.23819999999</v>
      </c>
    </row>
    <row r="1391" spans="1:7" x14ac:dyDescent="0.2">
      <c r="A1391">
        <v>2019</v>
      </c>
      <c r="B1391" s="3" t="s">
        <v>509</v>
      </c>
      <c r="C1391" s="3" t="s">
        <v>816</v>
      </c>
      <c r="D1391" s="3" t="s">
        <v>816</v>
      </c>
      <c r="E1391" s="8">
        <v>69689500</v>
      </c>
      <c r="F1391" s="2">
        <v>5.7839999999999996E-4</v>
      </c>
      <c r="G1391" s="17">
        <f>F1391 * VLOOKUP('GASB Data'!A1391,Check!$A$2:$F$11,6,FALSE)</f>
        <v>1107720.4464</v>
      </c>
    </row>
    <row r="1392" spans="1:7" x14ac:dyDescent="0.2">
      <c r="A1392">
        <v>2019</v>
      </c>
      <c r="B1392" s="3" t="s">
        <v>510</v>
      </c>
      <c r="C1392" s="3" t="s">
        <v>817</v>
      </c>
      <c r="D1392" s="3" t="s">
        <v>817</v>
      </c>
      <c r="E1392" s="8">
        <v>479312481</v>
      </c>
      <c r="F1392" s="2">
        <v>3.9782999999999997E-3</v>
      </c>
      <c r="G1392" s="17">
        <f>F1392 * VLOOKUP('GASB Data'!A1392,Check!$A$2:$F$11,6,FALSE)</f>
        <v>7619025.3317999998</v>
      </c>
    </row>
    <row r="1393" spans="1:7" x14ac:dyDescent="0.2">
      <c r="A1393">
        <v>2019</v>
      </c>
      <c r="B1393" s="3" t="s">
        <v>511</v>
      </c>
      <c r="C1393" s="3" t="s">
        <v>818</v>
      </c>
      <c r="D1393" s="3" t="s">
        <v>818</v>
      </c>
      <c r="E1393" s="8">
        <v>12074542</v>
      </c>
      <c r="F1393" s="2">
        <v>1.002E-4</v>
      </c>
      <c r="G1393" s="17">
        <f>F1393 * VLOOKUP('GASB Data'!A1393,Check!$A$2:$F$11,6,FALSE)</f>
        <v>191897.6292</v>
      </c>
    </row>
    <row r="1394" spans="1:7" x14ac:dyDescent="0.2">
      <c r="A1394">
        <v>2019</v>
      </c>
      <c r="B1394" s="3" t="s">
        <v>512</v>
      </c>
      <c r="C1394" s="3" t="s">
        <v>819</v>
      </c>
      <c r="D1394" s="3" t="s">
        <v>819</v>
      </c>
      <c r="E1394" s="8">
        <v>56932048</v>
      </c>
      <c r="F1394" s="2">
        <v>4.7249999999999999E-4</v>
      </c>
      <c r="G1394" s="17">
        <f>F1394 * VLOOKUP('GASB Data'!A1394,Check!$A$2:$F$11,6,FALSE)</f>
        <v>904906.48499999999</v>
      </c>
    </row>
    <row r="1395" spans="1:7" x14ac:dyDescent="0.2">
      <c r="A1395">
        <v>2019</v>
      </c>
      <c r="B1395" s="3" t="s">
        <v>513</v>
      </c>
      <c r="C1395" s="3" t="s">
        <v>820</v>
      </c>
      <c r="D1395" s="3" t="s">
        <v>820</v>
      </c>
      <c r="E1395" s="8">
        <v>857611534</v>
      </c>
      <c r="F1395" s="2">
        <v>7.1181999999999999E-3</v>
      </c>
      <c r="G1395" s="17">
        <f>F1395 * VLOOKUP('GASB Data'!A1395,Check!$A$2:$F$11,6,FALSE)</f>
        <v>13632392.257199999</v>
      </c>
    </row>
    <row r="1396" spans="1:7" x14ac:dyDescent="0.2">
      <c r="A1396">
        <v>2019</v>
      </c>
      <c r="B1396" s="3" t="s">
        <v>514</v>
      </c>
      <c r="C1396" s="3" t="s">
        <v>821</v>
      </c>
      <c r="D1396" s="3" t="s">
        <v>821</v>
      </c>
      <c r="E1396" s="8">
        <v>166518885</v>
      </c>
      <c r="F1396" s="2">
        <v>1.3821E-3</v>
      </c>
      <c r="G1396" s="17">
        <f>F1396 * VLOOKUP('GASB Data'!A1396,Check!$A$2:$F$11,6,FALSE)</f>
        <v>2646923.2866000002</v>
      </c>
    </row>
    <row r="1397" spans="1:7" x14ac:dyDescent="0.2">
      <c r="A1397">
        <v>2019</v>
      </c>
      <c r="B1397" s="3" t="s">
        <v>515</v>
      </c>
      <c r="C1397" s="3" t="s">
        <v>822</v>
      </c>
      <c r="D1397" s="3" t="s">
        <v>822</v>
      </c>
      <c r="E1397" s="8">
        <v>394337736</v>
      </c>
      <c r="F1397" s="2">
        <v>3.2729999999999999E-3</v>
      </c>
      <c r="G1397" s="17">
        <f>F1397 * VLOOKUP('GASB Data'!A1397,Check!$A$2:$F$11,6,FALSE)</f>
        <v>6268272.858</v>
      </c>
    </row>
    <row r="1398" spans="1:7" x14ac:dyDescent="0.2">
      <c r="A1398">
        <v>2019</v>
      </c>
      <c r="B1398" s="3" t="s">
        <v>516</v>
      </c>
      <c r="C1398" s="3" t="s">
        <v>823</v>
      </c>
      <c r="D1398" s="3" t="s">
        <v>823</v>
      </c>
      <c r="E1398" s="8">
        <v>76029782</v>
      </c>
      <c r="F1398" s="2">
        <v>6.3100000000000005E-4</v>
      </c>
      <c r="G1398" s="17">
        <f>F1398 * VLOOKUP('GASB Data'!A1398,Check!$A$2:$F$11,6,FALSE)</f>
        <v>1208457.1260000002</v>
      </c>
    </row>
    <row r="1399" spans="1:7" x14ac:dyDescent="0.2">
      <c r="A1399">
        <v>2019</v>
      </c>
      <c r="B1399" s="3" t="s">
        <v>517</v>
      </c>
      <c r="C1399" s="3" t="s">
        <v>824</v>
      </c>
      <c r="D1399" s="3" t="s">
        <v>824</v>
      </c>
      <c r="E1399" s="8">
        <v>363304727</v>
      </c>
      <c r="F1399" s="2">
        <v>3.0154000000000001E-3</v>
      </c>
      <c r="G1399" s="17">
        <f>F1399 * VLOOKUP('GASB Data'!A1399,Check!$A$2:$F$11,6,FALSE)</f>
        <v>5774931.2483999999</v>
      </c>
    </row>
    <row r="1400" spans="1:7" x14ac:dyDescent="0.2">
      <c r="A1400">
        <v>2019</v>
      </c>
      <c r="B1400" s="3" t="s">
        <v>518</v>
      </c>
      <c r="C1400" s="3" t="s">
        <v>825</v>
      </c>
      <c r="D1400" s="3" t="s">
        <v>825</v>
      </c>
      <c r="E1400" s="8">
        <v>52439274</v>
      </c>
      <c r="F1400" s="2">
        <v>4.3520000000000001E-4</v>
      </c>
      <c r="G1400" s="17">
        <f>F1400 * VLOOKUP('GASB Data'!A1400,Check!$A$2:$F$11,6,FALSE)</f>
        <v>833471.5392</v>
      </c>
    </row>
    <row r="1401" spans="1:7" x14ac:dyDescent="0.2">
      <c r="A1401">
        <v>2019</v>
      </c>
      <c r="B1401" s="3" t="s">
        <v>519</v>
      </c>
      <c r="C1401" s="3" t="s">
        <v>826</v>
      </c>
      <c r="D1401" s="3" t="s">
        <v>826</v>
      </c>
      <c r="E1401" s="8">
        <v>140235064</v>
      </c>
      <c r="F1401" s="2">
        <v>1.1640000000000001E-3</v>
      </c>
      <c r="G1401" s="17">
        <f>F1401 * VLOOKUP('GASB Data'!A1401,Check!$A$2:$F$11,6,FALSE)</f>
        <v>2229229.9440000001</v>
      </c>
    </row>
    <row r="1402" spans="1:7" x14ac:dyDescent="0.2">
      <c r="A1402">
        <v>2019</v>
      </c>
      <c r="B1402" s="3" t="s">
        <v>520</v>
      </c>
      <c r="C1402" s="3" t="s">
        <v>827</v>
      </c>
      <c r="D1402" s="3" t="s">
        <v>827</v>
      </c>
      <c r="E1402" s="8">
        <v>284060209</v>
      </c>
      <c r="F1402" s="2">
        <v>2.3576999999999999E-3</v>
      </c>
      <c r="G1402" s="17">
        <f>F1402 * VLOOKUP('GASB Data'!A1402,Check!$A$2:$F$11,6,FALSE)</f>
        <v>4515339.7242000001</v>
      </c>
    </row>
    <row r="1403" spans="1:7" x14ac:dyDescent="0.2">
      <c r="A1403">
        <v>2019</v>
      </c>
      <c r="B1403" s="3" t="s">
        <v>521</v>
      </c>
      <c r="C1403" s="3" t="s">
        <v>828</v>
      </c>
      <c r="D1403" s="3" t="s">
        <v>828</v>
      </c>
      <c r="E1403" s="8">
        <v>346777111</v>
      </c>
      <c r="F1403" s="2">
        <v>2.8782999999999999E-3</v>
      </c>
      <c r="G1403" s="17">
        <f>F1403 * VLOOKUP('GASB Data'!A1403,Check!$A$2:$F$11,6,FALSE)</f>
        <v>5512364.7318000002</v>
      </c>
    </row>
    <row r="1404" spans="1:7" x14ac:dyDescent="0.2">
      <c r="A1404">
        <v>2019</v>
      </c>
      <c r="B1404" s="3" t="s">
        <v>522</v>
      </c>
      <c r="C1404" s="3" t="s">
        <v>829</v>
      </c>
      <c r="D1404" s="3" t="s">
        <v>829</v>
      </c>
      <c r="E1404" s="8">
        <v>26856190</v>
      </c>
      <c r="F1404" s="2">
        <v>2.229E-4</v>
      </c>
      <c r="G1404" s="17">
        <f>F1404 * VLOOKUP('GASB Data'!A1404,Check!$A$2:$F$11,6,FALSE)</f>
        <v>426886.04339999997</v>
      </c>
    </row>
    <row r="1405" spans="1:7" x14ac:dyDescent="0.2">
      <c r="A1405">
        <v>2019</v>
      </c>
      <c r="B1405" s="3" t="s">
        <v>523</v>
      </c>
      <c r="C1405" s="3" t="s">
        <v>830</v>
      </c>
      <c r="D1405" s="3" t="s">
        <v>830</v>
      </c>
      <c r="E1405" s="8">
        <v>88928795</v>
      </c>
      <c r="F1405" s="2">
        <v>7.381E-4</v>
      </c>
      <c r="G1405" s="17">
        <f>F1405 * VLOOKUP('GASB Data'!A1405,Check!$A$2:$F$11,6,FALSE)</f>
        <v>1413569.2626</v>
      </c>
    </row>
    <row r="1406" spans="1:7" x14ac:dyDescent="0.2">
      <c r="A1406">
        <v>2019</v>
      </c>
      <c r="B1406" s="3" t="s">
        <v>524</v>
      </c>
      <c r="C1406" s="3" t="s">
        <v>831</v>
      </c>
      <c r="D1406" s="3" t="s">
        <v>831</v>
      </c>
      <c r="E1406" s="8">
        <v>266267742</v>
      </c>
      <c r="F1406" s="2">
        <v>2.2100000000000002E-3</v>
      </c>
      <c r="G1406" s="17">
        <f>F1406 * VLOOKUP('GASB Data'!A1406,Check!$A$2:$F$11,6,FALSE)</f>
        <v>4232472.66</v>
      </c>
    </row>
    <row r="1407" spans="1:7" x14ac:dyDescent="0.2">
      <c r="A1407">
        <v>2019</v>
      </c>
      <c r="B1407" s="3" t="s">
        <v>525</v>
      </c>
      <c r="C1407" s="3" t="s">
        <v>832</v>
      </c>
      <c r="D1407" s="3" t="s">
        <v>832</v>
      </c>
      <c r="E1407" s="8">
        <v>352301847</v>
      </c>
      <c r="F1407" s="2">
        <v>2.9240999999999998E-3</v>
      </c>
      <c r="G1407" s="17">
        <f>F1407 * VLOOKUP('GASB Data'!A1407,Check!$A$2:$F$11,6,FALSE)</f>
        <v>5600078.4185999995</v>
      </c>
    </row>
    <row r="1408" spans="1:7" x14ac:dyDescent="0.2">
      <c r="A1408">
        <v>2019</v>
      </c>
      <c r="B1408" s="3" t="s">
        <v>526</v>
      </c>
      <c r="C1408" s="3" t="s">
        <v>833</v>
      </c>
      <c r="D1408" s="3" t="s">
        <v>833</v>
      </c>
      <c r="E1408" s="8">
        <v>5057874</v>
      </c>
      <c r="F1408" s="2">
        <v>4.1999999999999998E-5</v>
      </c>
      <c r="G1408" s="17">
        <f>F1408 * VLOOKUP('GASB Data'!A1408,Check!$A$2:$F$11,6,FALSE)</f>
        <v>80436.131999999998</v>
      </c>
    </row>
    <row r="1409" spans="1:7" x14ac:dyDescent="0.2">
      <c r="A1409">
        <v>2019</v>
      </c>
      <c r="B1409" s="3" t="s">
        <v>527</v>
      </c>
      <c r="C1409" s="3" t="s">
        <v>834</v>
      </c>
      <c r="D1409" s="3" t="s">
        <v>834</v>
      </c>
      <c r="E1409" s="8">
        <v>29122633</v>
      </c>
      <c r="F1409" s="2">
        <v>2.4169999999999999E-4</v>
      </c>
      <c r="G1409" s="17">
        <f>F1409 * VLOOKUP('GASB Data'!A1409,Check!$A$2:$F$11,6,FALSE)</f>
        <v>462890.78820000001</v>
      </c>
    </row>
    <row r="1410" spans="1:7" x14ac:dyDescent="0.2">
      <c r="A1410">
        <v>2019</v>
      </c>
      <c r="B1410" s="3" t="s">
        <v>528</v>
      </c>
      <c r="C1410" s="3" t="s">
        <v>835</v>
      </c>
      <c r="D1410" s="3" t="s">
        <v>835</v>
      </c>
      <c r="E1410" s="8">
        <v>91340325</v>
      </c>
      <c r="F1410" s="2">
        <v>7.5810000000000005E-4</v>
      </c>
      <c r="G1410" s="17">
        <f>F1410 * VLOOKUP('GASB Data'!A1410,Check!$A$2:$F$11,6,FALSE)</f>
        <v>1451872.1826000002</v>
      </c>
    </row>
    <row r="1411" spans="1:7" x14ac:dyDescent="0.2">
      <c r="A1411">
        <v>2019</v>
      </c>
      <c r="B1411" s="3" t="s">
        <v>529</v>
      </c>
      <c r="C1411" s="3" t="s">
        <v>836</v>
      </c>
      <c r="D1411" s="3" t="s">
        <v>836</v>
      </c>
      <c r="E1411" s="8">
        <v>77000112</v>
      </c>
      <c r="F1411" s="2">
        <v>6.3909999999999998E-4</v>
      </c>
      <c r="G1411" s="17">
        <f>F1411 * VLOOKUP('GASB Data'!A1411,Check!$A$2:$F$11,6,FALSE)</f>
        <v>1223969.8085999999</v>
      </c>
    </row>
    <row r="1412" spans="1:7" x14ac:dyDescent="0.2">
      <c r="A1412">
        <v>2019</v>
      </c>
      <c r="B1412" s="3" t="s">
        <v>530</v>
      </c>
      <c r="C1412" s="3" t="s">
        <v>837</v>
      </c>
      <c r="D1412" s="3" t="s">
        <v>837</v>
      </c>
      <c r="E1412" s="8">
        <v>54523824</v>
      </c>
      <c r="F1412" s="2">
        <v>4.5249999999999999E-4</v>
      </c>
      <c r="G1412" s="17">
        <f>F1412 * VLOOKUP('GASB Data'!A1412,Check!$A$2:$F$11,6,FALSE)</f>
        <v>866603.56499999994</v>
      </c>
    </row>
    <row r="1413" spans="1:7" x14ac:dyDescent="0.2">
      <c r="A1413">
        <v>2019</v>
      </c>
      <c r="B1413" s="3" t="s">
        <v>531</v>
      </c>
      <c r="C1413" s="3" t="s">
        <v>838</v>
      </c>
      <c r="D1413" s="3" t="s">
        <v>838</v>
      </c>
      <c r="E1413" s="8">
        <v>106498879</v>
      </c>
      <c r="F1413" s="2">
        <v>8.8389999999999996E-4</v>
      </c>
      <c r="G1413" s="17">
        <f>F1413 * VLOOKUP('GASB Data'!A1413,Check!$A$2:$F$11,6,FALSE)</f>
        <v>1692797.5493999999</v>
      </c>
    </row>
    <row r="1414" spans="1:7" x14ac:dyDescent="0.2">
      <c r="A1414">
        <v>2019</v>
      </c>
      <c r="B1414" s="3" t="s">
        <v>532</v>
      </c>
      <c r="C1414" s="3" t="s">
        <v>914</v>
      </c>
      <c r="D1414" s="3" t="s">
        <v>914</v>
      </c>
      <c r="E1414" s="8">
        <v>6581651</v>
      </c>
      <c r="F1414" s="2">
        <v>5.4599999999999999E-5</v>
      </c>
      <c r="G1414" s="17">
        <f>F1414 * VLOOKUP('GASB Data'!A1414,Check!$A$2:$F$11,6,FALSE)</f>
        <v>104566.9716</v>
      </c>
    </row>
    <row r="1415" spans="1:7" x14ac:dyDescent="0.2">
      <c r="A1415">
        <v>2019</v>
      </c>
      <c r="B1415" s="3" t="s">
        <v>533</v>
      </c>
      <c r="C1415" s="3" t="s">
        <v>840</v>
      </c>
      <c r="D1415" s="3" t="s">
        <v>840</v>
      </c>
      <c r="E1415" s="8">
        <v>179193402</v>
      </c>
      <c r="F1415" s="2">
        <v>1.4873E-3</v>
      </c>
      <c r="G1415" s="17">
        <f>F1415 * VLOOKUP('GASB Data'!A1415,Check!$A$2:$F$11,6,FALSE)</f>
        <v>2848396.6458000001</v>
      </c>
    </row>
    <row r="1416" spans="1:7" x14ac:dyDescent="0.2">
      <c r="A1416">
        <v>2019</v>
      </c>
      <c r="B1416" s="3" t="s">
        <v>534</v>
      </c>
      <c r="C1416" s="3" t="s">
        <v>841</v>
      </c>
      <c r="D1416" s="3" t="s">
        <v>841</v>
      </c>
      <c r="E1416" s="8">
        <v>13360438</v>
      </c>
      <c r="F1416" s="2">
        <v>1.109E-4</v>
      </c>
      <c r="G1416" s="17">
        <f>F1416 * VLOOKUP('GASB Data'!A1416,Check!$A$2:$F$11,6,FALSE)</f>
        <v>212389.69140000001</v>
      </c>
    </row>
    <row r="1417" spans="1:7" x14ac:dyDescent="0.2">
      <c r="A1417">
        <v>2019</v>
      </c>
      <c r="B1417" s="3" t="s">
        <v>535</v>
      </c>
      <c r="C1417" s="3" t="s">
        <v>842</v>
      </c>
      <c r="D1417" s="3" t="s">
        <v>842</v>
      </c>
      <c r="E1417" s="8">
        <v>40109140</v>
      </c>
      <c r="F1417" s="2">
        <v>3.3290000000000001E-4</v>
      </c>
      <c r="G1417" s="17">
        <f>F1417 * VLOOKUP('GASB Data'!A1417,Check!$A$2:$F$11,6,FALSE)</f>
        <v>637552.10340000002</v>
      </c>
    </row>
    <row r="1418" spans="1:7" x14ac:dyDescent="0.2">
      <c r="A1418">
        <v>2019</v>
      </c>
      <c r="B1418" s="3" t="s">
        <v>536</v>
      </c>
      <c r="C1418" s="3" t="s">
        <v>843</v>
      </c>
      <c r="D1418" s="3" t="s">
        <v>843</v>
      </c>
      <c r="E1418" s="8">
        <v>1906241231</v>
      </c>
      <c r="F1418" s="2">
        <v>1.58218E-2</v>
      </c>
      <c r="G1418" s="17">
        <f>F1418 * VLOOKUP('GASB Data'!A1418,Check!$A$2:$F$11,6,FALSE)</f>
        <v>30301056.982799999</v>
      </c>
    </row>
    <row r="1419" spans="1:7" x14ac:dyDescent="0.2">
      <c r="A1419">
        <v>2019</v>
      </c>
      <c r="B1419" s="3" t="s">
        <v>537</v>
      </c>
      <c r="C1419" s="3" t="s">
        <v>844</v>
      </c>
      <c r="D1419" s="3" t="s">
        <v>844</v>
      </c>
      <c r="E1419" s="8">
        <v>248446603</v>
      </c>
      <c r="F1419" s="2">
        <v>2.0620999999999999E-3</v>
      </c>
      <c r="G1419" s="17">
        <f>F1419 * VLOOKUP('GASB Data'!A1419,Check!$A$2:$F$11,6,FALSE)</f>
        <v>3949222.5665999996</v>
      </c>
    </row>
    <row r="1420" spans="1:7" x14ac:dyDescent="0.2">
      <c r="A1420">
        <v>2019</v>
      </c>
      <c r="B1420" s="3" t="s">
        <v>538</v>
      </c>
      <c r="C1420" s="3" t="s">
        <v>845</v>
      </c>
      <c r="D1420" s="3" t="s">
        <v>845</v>
      </c>
      <c r="E1420" s="8">
        <v>30582136</v>
      </c>
      <c r="F1420" s="2">
        <v>2.5379999999999999E-4</v>
      </c>
      <c r="G1420" s="17">
        <f>F1420 * VLOOKUP('GASB Data'!A1420,Check!$A$2:$F$11,6,FALSE)</f>
        <v>486064.05479999998</v>
      </c>
    </row>
    <row r="1421" spans="1:7" x14ac:dyDescent="0.2">
      <c r="A1421">
        <v>2019</v>
      </c>
      <c r="B1421" s="3" t="s">
        <v>539</v>
      </c>
      <c r="C1421" s="3" t="s">
        <v>846</v>
      </c>
      <c r="D1421" s="3" t="s">
        <v>846</v>
      </c>
      <c r="E1421" s="8">
        <v>88598724</v>
      </c>
      <c r="F1421" s="2">
        <v>7.3539999999999999E-4</v>
      </c>
      <c r="G1421" s="17">
        <f>F1421 * VLOOKUP('GASB Data'!A1421,Check!$A$2:$F$11,6,FALSE)</f>
        <v>1408398.3684</v>
      </c>
    </row>
    <row r="1422" spans="1:7" x14ac:dyDescent="0.2">
      <c r="A1422">
        <v>2019</v>
      </c>
      <c r="B1422" s="3" t="s">
        <v>540</v>
      </c>
      <c r="C1422" s="3" t="s">
        <v>915</v>
      </c>
      <c r="D1422" s="3" t="s">
        <v>915</v>
      </c>
      <c r="E1422" s="8">
        <v>8030610099</v>
      </c>
      <c r="F1422" s="2">
        <v>6.6654099999999994E-2</v>
      </c>
      <c r="G1422" s="17">
        <f>F1422 * VLOOKUP('GASB Data'!A1422,Check!$A$2:$F$11,6,FALSE)</f>
        <v>127652332.99859999</v>
      </c>
    </row>
    <row r="1423" spans="1:7" x14ac:dyDescent="0.2">
      <c r="A1423">
        <v>2019</v>
      </c>
      <c r="B1423" s="3" t="s">
        <v>541</v>
      </c>
      <c r="C1423" s="3" t="s">
        <v>848</v>
      </c>
      <c r="D1423" s="3" t="s">
        <v>848</v>
      </c>
      <c r="E1423" s="8">
        <v>22883923</v>
      </c>
      <c r="F1423" s="2">
        <v>1.8990000000000001E-4</v>
      </c>
      <c r="G1423" s="17">
        <f>F1423 * VLOOKUP('GASB Data'!A1423,Check!$A$2:$F$11,6,FALSE)</f>
        <v>363686.2254</v>
      </c>
    </row>
    <row r="1424" spans="1:7" x14ac:dyDescent="0.2">
      <c r="A1424">
        <v>2019</v>
      </c>
      <c r="B1424" s="3" t="s">
        <v>542</v>
      </c>
      <c r="C1424" s="3" t="s">
        <v>849</v>
      </c>
      <c r="D1424" s="3" t="s">
        <v>849</v>
      </c>
      <c r="E1424" s="8">
        <v>32870875</v>
      </c>
      <c r="F1424" s="2">
        <v>2.7280000000000002E-4</v>
      </c>
      <c r="G1424" s="17">
        <f>F1424 * VLOOKUP('GASB Data'!A1424,Check!$A$2:$F$11,6,FALSE)</f>
        <v>522451.82880000002</v>
      </c>
    </row>
    <row r="1425" spans="1:7" x14ac:dyDescent="0.2">
      <c r="A1425">
        <v>2019</v>
      </c>
      <c r="B1425" s="3" t="s">
        <v>543</v>
      </c>
      <c r="C1425" s="3" t="s">
        <v>851</v>
      </c>
      <c r="D1425" s="3" t="s">
        <v>851</v>
      </c>
      <c r="E1425" s="8">
        <v>676764662</v>
      </c>
      <c r="F1425" s="2">
        <v>5.6172000000000001E-3</v>
      </c>
      <c r="G1425" s="17">
        <f>F1425 * VLOOKUP('GASB Data'!A1425,Check!$A$2:$F$11,6,FALSE)</f>
        <v>10757758.111200001</v>
      </c>
    </row>
    <row r="1426" spans="1:7" x14ac:dyDescent="0.2">
      <c r="A1426">
        <v>2019</v>
      </c>
      <c r="B1426" s="3" t="s">
        <v>561</v>
      </c>
      <c r="C1426" s="3" t="s">
        <v>916</v>
      </c>
      <c r="D1426" s="3" t="s">
        <v>916</v>
      </c>
      <c r="E1426" s="8">
        <v>48472761</v>
      </c>
      <c r="F1426" s="2">
        <v>4.0230000000000002E-4</v>
      </c>
      <c r="G1426" s="17">
        <f>F1426 * VLOOKUP('GASB Data'!A1426,Check!$A$2:$F$11,6,FALSE)</f>
        <v>770463.23580000002</v>
      </c>
    </row>
    <row r="1427" spans="1:7" x14ac:dyDescent="0.2">
      <c r="A1427">
        <v>2019</v>
      </c>
      <c r="B1427" s="3" t="s">
        <v>562</v>
      </c>
      <c r="C1427" s="3" t="s">
        <v>853</v>
      </c>
      <c r="D1427" s="3" t="s">
        <v>853</v>
      </c>
      <c r="E1427" s="8">
        <v>23544836</v>
      </c>
      <c r="F1427" s="2">
        <v>1.9540000000000001E-4</v>
      </c>
      <c r="G1427" s="17">
        <f>F1427 * VLOOKUP('GASB Data'!A1427,Check!$A$2:$F$11,6,FALSE)</f>
        <v>374219.52840000001</v>
      </c>
    </row>
    <row r="1428" spans="1:7" x14ac:dyDescent="0.2">
      <c r="A1428">
        <v>2019</v>
      </c>
      <c r="B1428" s="3" t="s">
        <v>933</v>
      </c>
      <c r="C1428" s="3" t="s">
        <v>932</v>
      </c>
      <c r="D1428" s="3" t="s">
        <v>932</v>
      </c>
      <c r="E1428" s="8">
        <v>7647983</v>
      </c>
      <c r="F1428" s="2">
        <v>6.3499999999999999E-5</v>
      </c>
      <c r="G1428" s="17">
        <f>F1428 * VLOOKUP('GASB Data'!A1428,Check!$A$2:$F$11,6,FALSE)</f>
        <v>121611.77099999999</v>
      </c>
    </row>
    <row r="1429" spans="1:7" x14ac:dyDescent="0.2">
      <c r="A1429">
        <v>2019</v>
      </c>
      <c r="B1429" s="3" t="s">
        <v>563</v>
      </c>
      <c r="C1429" s="3" t="s">
        <v>854</v>
      </c>
      <c r="D1429" s="3" t="s">
        <v>854</v>
      </c>
      <c r="E1429" s="8">
        <v>94492746</v>
      </c>
      <c r="F1429" s="2">
        <v>7.8430000000000004E-4</v>
      </c>
      <c r="G1429" s="17">
        <f>F1429 * VLOOKUP('GASB Data'!A1429,Check!$A$2:$F$11,6,FALSE)</f>
        <v>1502049.0078</v>
      </c>
    </row>
    <row r="1430" spans="1:7" x14ac:dyDescent="0.2">
      <c r="A1430">
        <v>2019</v>
      </c>
      <c r="B1430" s="3" t="s">
        <v>564</v>
      </c>
      <c r="C1430" s="3" t="s">
        <v>855</v>
      </c>
      <c r="D1430" s="3" t="s">
        <v>855</v>
      </c>
      <c r="E1430" s="8">
        <v>3919910</v>
      </c>
      <c r="F1430" s="2">
        <v>3.2499999999999997E-5</v>
      </c>
      <c r="G1430" s="17">
        <f>F1430 * VLOOKUP('GASB Data'!A1430,Check!$A$2:$F$11,6,FALSE)</f>
        <v>62242.244999999995</v>
      </c>
    </row>
    <row r="1431" spans="1:7" x14ac:dyDescent="0.2">
      <c r="A1431">
        <v>2019</v>
      </c>
      <c r="B1431" s="3" t="s">
        <v>565</v>
      </c>
      <c r="C1431" s="3" t="s">
        <v>856</v>
      </c>
      <c r="D1431" s="3" t="s">
        <v>856</v>
      </c>
      <c r="E1431" s="8">
        <v>68112020</v>
      </c>
      <c r="F1431" s="2">
        <v>5.6530000000000003E-4</v>
      </c>
      <c r="G1431" s="17">
        <f>F1431 * VLOOKUP('GASB Data'!A1431,Check!$A$2:$F$11,6,FALSE)</f>
        <v>1082632.0338000001</v>
      </c>
    </row>
    <row r="1432" spans="1:7" x14ac:dyDescent="0.2">
      <c r="A1432">
        <v>2019</v>
      </c>
      <c r="B1432" s="3" t="s">
        <v>566</v>
      </c>
      <c r="C1432" s="3" t="s">
        <v>857</v>
      </c>
      <c r="D1432" s="3" t="s">
        <v>857</v>
      </c>
      <c r="E1432" s="8">
        <v>51943168</v>
      </c>
      <c r="F1432" s="2">
        <v>4.3110000000000002E-4</v>
      </c>
      <c r="G1432" s="17">
        <f>F1432 * VLOOKUP('GASB Data'!A1432,Check!$A$2:$F$11,6,FALSE)</f>
        <v>825619.44060000009</v>
      </c>
    </row>
    <row r="1433" spans="1:7" x14ac:dyDescent="0.2">
      <c r="A1433">
        <v>2019</v>
      </c>
      <c r="B1433" s="3" t="s">
        <v>567</v>
      </c>
      <c r="C1433" s="3" t="s">
        <v>858</v>
      </c>
      <c r="D1433" s="3" t="s">
        <v>858</v>
      </c>
      <c r="E1433" s="8">
        <v>249016319</v>
      </c>
      <c r="F1433" s="2">
        <v>2.0668000000000001E-3</v>
      </c>
      <c r="G1433" s="17">
        <f>F1433 * VLOOKUP('GASB Data'!A1433,Check!$A$2:$F$11,6,FALSE)</f>
        <v>3958223.7528000004</v>
      </c>
    </row>
    <row r="1434" spans="1:7" x14ac:dyDescent="0.2">
      <c r="A1434">
        <v>2019</v>
      </c>
      <c r="B1434" s="3" t="s">
        <v>568</v>
      </c>
      <c r="C1434" s="3" t="s">
        <v>917</v>
      </c>
      <c r="D1434" s="3" t="s">
        <v>917</v>
      </c>
      <c r="E1434" s="8">
        <v>6887239</v>
      </c>
      <c r="F1434" s="2">
        <v>5.7200000000000001E-5</v>
      </c>
      <c r="G1434" s="17">
        <f>F1434 * VLOOKUP('GASB Data'!A1434,Check!$A$2:$F$11,6,FALSE)</f>
        <v>109546.3512</v>
      </c>
    </row>
    <row r="1435" spans="1:7" x14ac:dyDescent="0.2">
      <c r="A1435">
        <v>2019</v>
      </c>
      <c r="B1435" s="3" t="s">
        <v>569</v>
      </c>
      <c r="C1435" s="3" t="s">
        <v>860</v>
      </c>
      <c r="D1435" s="3" t="s">
        <v>860</v>
      </c>
      <c r="E1435" s="8">
        <v>779521268</v>
      </c>
      <c r="F1435" s="2">
        <v>6.4700000000000001E-3</v>
      </c>
      <c r="G1435" s="17">
        <f>F1435 * VLOOKUP('GASB Data'!A1435,Check!$A$2:$F$11,6,FALSE)</f>
        <v>12390994.619999999</v>
      </c>
    </row>
    <row r="1436" spans="1:7" x14ac:dyDescent="0.2">
      <c r="A1436">
        <v>2019</v>
      </c>
      <c r="B1436" s="3" t="s">
        <v>570</v>
      </c>
      <c r="C1436" s="3" t="s">
        <v>861</v>
      </c>
      <c r="D1436" s="3" t="s">
        <v>861</v>
      </c>
      <c r="E1436" s="8">
        <v>114223559</v>
      </c>
      <c r="F1436" s="2">
        <v>9.4810000000000001E-4</v>
      </c>
      <c r="G1436" s="17">
        <f>F1436 * VLOOKUP('GASB Data'!A1436,Check!$A$2:$F$11,6,FALSE)</f>
        <v>1815749.9225999999</v>
      </c>
    </row>
    <row r="1437" spans="1:7" x14ac:dyDescent="0.2">
      <c r="A1437">
        <v>2019</v>
      </c>
      <c r="B1437" s="3" t="s">
        <v>571</v>
      </c>
      <c r="C1437" s="3" t="s">
        <v>862</v>
      </c>
      <c r="D1437" s="3" t="s">
        <v>862</v>
      </c>
      <c r="E1437" s="8">
        <v>433396969</v>
      </c>
      <c r="F1437" s="2">
        <v>3.5972000000000001E-3</v>
      </c>
      <c r="G1437" s="17">
        <f>F1437 * VLOOKUP('GASB Data'!A1437,Check!$A$2:$F$11,6,FALSE)</f>
        <v>6889163.1912000002</v>
      </c>
    </row>
    <row r="1438" spans="1:7" x14ac:dyDescent="0.2">
      <c r="A1438">
        <v>2019</v>
      </c>
      <c r="B1438" s="3" t="s">
        <v>572</v>
      </c>
      <c r="C1438" s="3" t="s">
        <v>863</v>
      </c>
      <c r="D1438" s="3" t="s">
        <v>863</v>
      </c>
      <c r="E1438" s="8">
        <v>30422081</v>
      </c>
      <c r="F1438" s="2">
        <v>2.5250000000000001E-4</v>
      </c>
      <c r="G1438" s="17">
        <f>F1438 * VLOOKUP('GASB Data'!A1438,Check!$A$2:$F$11,6,FALSE)</f>
        <v>483574.36500000005</v>
      </c>
    </row>
    <row r="1439" spans="1:7" x14ac:dyDescent="0.2">
      <c r="A1439">
        <v>2019</v>
      </c>
      <c r="B1439" s="3" t="s">
        <v>573</v>
      </c>
      <c r="C1439" s="3" t="s">
        <v>864</v>
      </c>
      <c r="D1439" s="3" t="s">
        <v>864</v>
      </c>
      <c r="E1439" s="8">
        <v>109252146</v>
      </c>
      <c r="F1439" s="2">
        <v>9.0680000000000003E-4</v>
      </c>
      <c r="G1439" s="17">
        <f>F1439 * VLOOKUP('GASB Data'!A1439,Check!$A$2:$F$11,6,FALSE)</f>
        <v>1736654.3928</v>
      </c>
    </row>
    <row r="1440" spans="1:7" x14ac:dyDescent="0.2">
      <c r="A1440">
        <v>2019</v>
      </c>
      <c r="B1440" s="3" t="s">
        <v>574</v>
      </c>
      <c r="C1440" s="3" t="s">
        <v>865</v>
      </c>
      <c r="D1440" s="3" t="s">
        <v>865</v>
      </c>
      <c r="E1440" s="8">
        <v>481776151</v>
      </c>
      <c r="F1440" s="2">
        <v>3.9987E-3</v>
      </c>
      <c r="G1440" s="17">
        <f>F1440 * VLOOKUP('GASB Data'!A1440,Check!$A$2:$F$11,6,FALSE)</f>
        <v>7658094.3102000002</v>
      </c>
    </row>
    <row r="1441" spans="1:7" x14ac:dyDescent="0.2">
      <c r="A1441">
        <v>2019</v>
      </c>
      <c r="B1441" s="3" t="s">
        <v>575</v>
      </c>
      <c r="C1441" s="3" t="s">
        <v>866</v>
      </c>
      <c r="D1441" s="3" t="s">
        <v>866</v>
      </c>
      <c r="E1441" s="8">
        <v>58157848</v>
      </c>
      <c r="F1441" s="2">
        <v>4.8270000000000002E-4</v>
      </c>
      <c r="G1441" s="17">
        <f>F1441 * VLOOKUP('GASB Data'!A1441,Check!$A$2:$F$11,6,FALSE)</f>
        <v>924440.97420000006</v>
      </c>
    </row>
    <row r="1442" spans="1:7" x14ac:dyDescent="0.2">
      <c r="A1442">
        <v>2019</v>
      </c>
      <c r="B1442" s="3" t="s">
        <v>576</v>
      </c>
      <c r="C1442" s="3" t="s">
        <v>867</v>
      </c>
      <c r="D1442" s="3" t="s">
        <v>867</v>
      </c>
      <c r="E1442" s="8">
        <v>243977859</v>
      </c>
      <c r="F1442" s="2">
        <v>2.0249999999999999E-3</v>
      </c>
      <c r="G1442" s="17">
        <f>F1442 * VLOOKUP('GASB Data'!A1442,Check!$A$2:$F$11,6,FALSE)</f>
        <v>3878170.65</v>
      </c>
    </row>
    <row r="1443" spans="1:7" x14ac:dyDescent="0.2">
      <c r="A1443">
        <v>2019</v>
      </c>
      <c r="B1443" s="3" t="s">
        <v>577</v>
      </c>
      <c r="C1443" s="3" t="s">
        <v>868</v>
      </c>
      <c r="D1443" s="3" t="s">
        <v>868</v>
      </c>
      <c r="E1443" s="8">
        <v>3407847365</v>
      </c>
      <c r="F1443" s="2">
        <v>2.82852E-2</v>
      </c>
      <c r="G1443" s="17">
        <f>F1443 * VLOOKUP('GASB Data'!A1443,Check!$A$2:$F$11,6,FALSE)</f>
        <v>54170287.639200002</v>
      </c>
    </row>
    <row r="1444" spans="1:7" x14ac:dyDescent="0.2">
      <c r="A1444">
        <v>2019</v>
      </c>
      <c r="B1444" s="3" t="s">
        <v>871</v>
      </c>
      <c r="C1444" s="3" t="s">
        <v>869</v>
      </c>
      <c r="D1444" s="3" t="s">
        <v>869</v>
      </c>
      <c r="E1444" s="8">
        <v>3695698</v>
      </c>
      <c r="F1444" s="2">
        <v>3.0700000000000001E-5</v>
      </c>
      <c r="G1444" s="17">
        <f>F1444 * VLOOKUP('GASB Data'!A1444,Check!$A$2:$F$11,6,FALSE)</f>
        <v>58794.982199999999</v>
      </c>
    </row>
    <row r="1445" spans="1:7" x14ac:dyDescent="0.2">
      <c r="A1445">
        <v>2019</v>
      </c>
      <c r="B1445" s="3" t="s">
        <v>872</v>
      </c>
      <c r="C1445" s="3" t="s">
        <v>870</v>
      </c>
      <c r="D1445" s="3" t="s">
        <v>870</v>
      </c>
      <c r="E1445" s="8">
        <v>96520510</v>
      </c>
      <c r="F1445" s="2">
        <v>8.0110000000000001E-4</v>
      </c>
      <c r="G1445" s="17">
        <f>F1445 * VLOOKUP('GASB Data'!A1445,Check!$A$2:$F$11,6,FALSE)</f>
        <v>1534223.4606000001</v>
      </c>
    </row>
    <row r="1446" spans="1:7" x14ac:dyDescent="0.2">
      <c r="A1446">
        <v>2020</v>
      </c>
      <c r="B1446" s="3" t="s">
        <v>58</v>
      </c>
      <c r="C1446" s="3" t="s">
        <v>578</v>
      </c>
      <c r="D1446" s="3" t="s">
        <v>578</v>
      </c>
      <c r="E1446" s="8">
        <v>140807753</v>
      </c>
      <c r="F1446" s="2">
        <v>1.1367E-3</v>
      </c>
      <c r="G1446" s="17">
        <f>F1446 * VLOOKUP('GASB Data'!A1446,Check!$A$2:$F$11,6,FALSE)</f>
        <v>2336003.7524999999</v>
      </c>
    </row>
    <row r="1447" spans="1:7" x14ac:dyDescent="0.2">
      <c r="A1447">
        <v>2020</v>
      </c>
      <c r="B1447" s="3" t="s">
        <v>59</v>
      </c>
      <c r="C1447" s="3" t="s">
        <v>579</v>
      </c>
      <c r="D1447" s="3" t="s">
        <v>579</v>
      </c>
      <c r="E1447" s="8">
        <v>391158529</v>
      </c>
      <c r="F1447" s="2">
        <v>3.1578000000000001E-3</v>
      </c>
      <c r="G1447" s="17">
        <f>F1447 * VLOOKUP('GASB Data'!A1447,Check!$A$2:$F$11,6,FALSE)</f>
        <v>6489515.835</v>
      </c>
    </row>
    <row r="1448" spans="1:7" x14ac:dyDescent="0.2">
      <c r="A1448">
        <v>2020</v>
      </c>
      <c r="B1448" s="3" t="s">
        <v>60</v>
      </c>
      <c r="C1448" s="3" t="s">
        <v>874</v>
      </c>
      <c r="D1448" s="3" t="s">
        <v>874</v>
      </c>
      <c r="E1448" s="8">
        <v>91932559</v>
      </c>
      <c r="F1448" s="2">
        <v>7.4220000000000004E-4</v>
      </c>
      <c r="G1448" s="17">
        <f>F1448 * VLOOKUP('GASB Data'!A1448,Check!$A$2:$F$11,6,FALSE)</f>
        <v>1525276.665</v>
      </c>
    </row>
    <row r="1449" spans="1:7" x14ac:dyDescent="0.2">
      <c r="A1449">
        <v>2020</v>
      </c>
      <c r="B1449" s="3" t="s">
        <v>61</v>
      </c>
      <c r="C1449" s="3" t="s">
        <v>581</v>
      </c>
      <c r="D1449" s="3" t="s">
        <v>581</v>
      </c>
      <c r="E1449" s="8">
        <v>619121945</v>
      </c>
      <c r="F1449" s="2">
        <v>4.9981000000000001E-3</v>
      </c>
      <c r="G1449" s="17">
        <f>F1449 * VLOOKUP('GASB Data'!A1449,Check!$A$2:$F$11,6,FALSE)</f>
        <v>10271470.3575</v>
      </c>
    </row>
    <row r="1450" spans="1:7" x14ac:dyDescent="0.2">
      <c r="A1450">
        <v>2020</v>
      </c>
      <c r="B1450" s="3" t="s">
        <v>62</v>
      </c>
      <c r="C1450" s="3" t="s">
        <v>582</v>
      </c>
      <c r="D1450" s="3" t="s">
        <v>582</v>
      </c>
      <c r="E1450" s="8">
        <v>2515241281</v>
      </c>
      <c r="F1450" s="2">
        <v>2.0305199999999999E-2</v>
      </c>
      <c r="G1450" s="17">
        <f>F1450 * VLOOKUP('GASB Data'!A1450,Check!$A$2:$F$11,6,FALSE)</f>
        <v>41728708.890000001</v>
      </c>
    </row>
    <row r="1451" spans="1:7" x14ac:dyDescent="0.2">
      <c r="A1451">
        <v>2020</v>
      </c>
      <c r="B1451" s="3" t="s">
        <v>63</v>
      </c>
      <c r="C1451" s="3" t="s">
        <v>583</v>
      </c>
      <c r="D1451" s="3" t="s">
        <v>583</v>
      </c>
      <c r="E1451" s="8">
        <v>21396961</v>
      </c>
      <c r="F1451" s="2">
        <v>1.727E-4</v>
      </c>
      <c r="G1451" s="17">
        <f>F1451 * VLOOKUP('GASB Data'!A1451,Check!$A$2:$F$11,6,FALSE)</f>
        <v>354911.45250000001</v>
      </c>
    </row>
    <row r="1452" spans="1:7" x14ac:dyDescent="0.2">
      <c r="A1452">
        <v>2020</v>
      </c>
      <c r="B1452" s="3" t="s">
        <v>64</v>
      </c>
      <c r="C1452" s="3" t="s">
        <v>584</v>
      </c>
      <c r="D1452" s="3" t="s">
        <v>584</v>
      </c>
      <c r="E1452" s="8">
        <v>195870147</v>
      </c>
      <c r="F1452" s="2">
        <v>1.5812000000000001E-3</v>
      </c>
      <c r="G1452" s="17">
        <f>F1452 * VLOOKUP('GASB Data'!A1452,Check!$A$2:$F$11,6,FALSE)</f>
        <v>3249484.5900000003</v>
      </c>
    </row>
    <row r="1453" spans="1:7" x14ac:dyDescent="0.2">
      <c r="A1453">
        <v>2020</v>
      </c>
      <c r="B1453" s="3" t="s">
        <v>65</v>
      </c>
      <c r="C1453" s="3" t="s">
        <v>876</v>
      </c>
      <c r="D1453" s="3" t="s">
        <v>876</v>
      </c>
      <c r="E1453" s="8">
        <v>46046800</v>
      </c>
      <c r="F1453" s="2">
        <v>3.7169999999999998E-4</v>
      </c>
      <c r="G1453" s="17">
        <f>F1453 * VLOOKUP('GASB Data'!A1453,Check!$A$2:$F$11,6,FALSE)</f>
        <v>763871.37749999994</v>
      </c>
    </row>
    <row r="1454" spans="1:7" x14ac:dyDescent="0.2">
      <c r="A1454">
        <v>2020</v>
      </c>
      <c r="B1454" s="3" t="s">
        <v>66</v>
      </c>
      <c r="C1454" s="3" t="s">
        <v>586</v>
      </c>
      <c r="D1454" s="3" t="s">
        <v>586</v>
      </c>
      <c r="E1454" s="8">
        <v>657261039</v>
      </c>
      <c r="F1454" s="2">
        <v>5.306E-3</v>
      </c>
      <c r="G1454" s="17">
        <f>F1454 * VLOOKUP('GASB Data'!A1454,Check!$A$2:$F$11,6,FALSE)</f>
        <v>10904227.949999999</v>
      </c>
    </row>
    <row r="1455" spans="1:7" x14ac:dyDescent="0.2">
      <c r="A1455">
        <v>2020</v>
      </c>
      <c r="B1455" s="3" t="s">
        <v>67</v>
      </c>
      <c r="C1455" s="3" t="s">
        <v>587</v>
      </c>
      <c r="D1455" s="3" t="s">
        <v>587</v>
      </c>
      <c r="E1455" s="8">
        <v>85664856</v>
      </c>
      <c r="F1455" s="2">
        <v>6.9160000000000001E-4</v>
      </c>
      <c r="G1455" s="17">
        <f>F1455 * VLOOKUP('GASB Data'!A1455,Check!$A$2:$F$11,6,FALSE)</f>
        <v>1421289.87</v>
      </c>
    </row>
    <row r="1456" spans="1:7" x14ac:dyDescent="0.2">
      <c r="A1456">
        <v>2020</v>
      </c>
      <c r="B1456" s="3" t="s">
        <v>68</v>
      </c>
      <c r="C1456" s="3" t="s">
        <v>878</v>
      </c>
      <c r="D1456" s="3" t="s">
        <v>878</v>
      </c>
      <c r="E1456" s="8">
        <v>85184091</v>
      </c>
      <c r="F1456" s="2">
        <v>6.8769999999999996E-4</v>
      </c>
      <c r="G1456" s="17">
        <f>F1456 * VLOOKUP('GASB Data'!A1456,Check!$A$2:$F$11,6,FALSE)</f>
        <v>1413275.0774999999</v>
      </c>
    </row>
    <row r="1457" spans="1:7" x14ac:dyDescent="0.2">
      <c r="A1457">
        <v>2020</v>
      </c>
      <c r="B1457" s="3" t="s">
        <v>924</v>
      </c>
      <c r="C1457" s="3" t="s">
        <v>921</v>
      </c>
      <c r="D1457" s="3" t="s">
        <v>921</v>
      </c>
      <c r="E1457" s="8">
        <v>30960479</v>
      </c>
      <c r="F1457" s="2">
        <v>2.499E-4</v>
      </c>
      <c r="G1457" s="17">
        <f>F1457 * VLOOKUP('GASB Data'!A1457,Check!$A$2:$F$11,6,FALSE)</f>
        <v>513563.24249999999</v>
      </c>
    </row>
    <row r="1458" spans="1:7" x14ac:dyDescent="0.2">
      <c r="A1458">
        <v>2020</v>
      </c>
      <c r="B1458" s="3" t="s">
        <v>69</v>
      </c>
      <c r="C1458" s="3" t="s">
        <v>879</v>
      </c>
      <c r="D1458" s="3" t="s">
        <v>879</v>
      </c>
      <c r="E1458" s="8">
        <v>597240734</v>
      </c>
      <c r="F1458" s="2">
        <v>4.8214E-3</v>
      </c>
      <c r="G1458" s="17">
        <f>F1458 * VLOOKUP('GASB Data'!A1458,Check!$A$2:$F$11,6,FALSE)</f>
        <v>9908338.6050000004</v>
      </c>
    </row>
    <row r="1459" spans="1:7" x14ac:dyDescent="0.2">
      <c r="A1459">
        <v>2020</v>
      </c>
      <c r="B1459" s="3" t="s">
        <v>70</v>
      </c>
      <c r="C1459" s="3" t="s">
        <v>880</v>
      </c>
      <c r="D1459" s="3" t="s">
        <v>880</v>
      </c>
      <c r="E1459" s="8">
        <v>69871199</v>
      </c>
      <c r="F1459" s="2">
        <v>5.641E-4</v>
      </c>
      <c r="G1459" s="17">
        <f>F1459 * VLOOKUP('GASB Data'!A1459,Check!$A$2:$F$11,6,FALSE)</f>
        <v>1159267.8074999999</v>
      </c>
    </row>
    <row r="1460" spans="1:7" x14ac:dyDescent="0.2">
      <c r="A1460">
        <v>2020</v>
      </c>
      <c r="B1460" s="3" t="s">
        <v>71</v>
      </c>
      <c r="C1460" s="3" t="s">
        <v>591</v>
      </c>
      <c r="D1460" s="3" t="s">
        <v>591</v>
      </c>
      <c r="E1460" s="8">
        <v>295837266</v>
      </c>
      <c r="F1460" s="2">
        <v>2.3882999999999999E-3</v>
      </c>
      <c r="G1460" s="17">
        <f>F1460 * VLOOKUP('GASB Data'!A1460,Check!$A$2:$F$11,6,FALSE)</f>
        <v>4908135.6224999996</v>
      </c>
    </row>
    <row r="1461" spans="1:7" x14ac:dyDescent="0.2">
      <c r="A1461">
        <v>2020</v>
      </c>
      <c r="B1461" s="3" t="s">
        <v>72</v>
      </c>
      <c r="C1461" s="3" t="s">
        <v>592</v>
      </c>
      <c r="D1461" s="3" t="s">
        <v>592</v>
      </c>
      <c r="E1461" s="8">
        <v>34475424</v>
      </c>
      <c r="F1461" s="2">
        <v>2.7829999999999999E-4</v>
      </c>
      <c r="G1461" s="17">
        <f>F1461 * VLOOKUP('GASB Data'!A1461,Check!$A$2:$F$11,6,FALSE)</f>
        <v>571927.37249999994</v>
      </c>
    </row>
    <row r="1462" spans="1:7" x14ac:dyDescent="0.2">
      <c r="A1462">
        <v>2020</v>
      </c>
      <c r="B1462" s="3" t="s">
        <v>73</v>
      </c>
      <c r="C1462" s="3" t="s">
        <v>881</v>
      </c>
      <c r="D1462" s="3" t="s">
        <v>881</v>
      </c>
      <c r="E1462" s="8">
        <v>33584482</v>
      </c>
      <c r="F1462" s="2">
        <v>2.7109999999999998E-4</v>
      </c>
      <c r="G1462" s="17">
        <f>F1462 * VLOOKUP('GASB Data'!A1462,Check!$A$2:$F$11,6,FALSE)</f>
        <v>557130.8324999999</v>
      </c>
    </row>
    <row r="1463" spans="1:7" x14ac:dyDescent="0.2">
      <c r="A1463">
        <v>2020</v>
      </c>
      <c r="B1463" s="3" t="s">
        <v>74</v>
      </c>
      <c r="C1463" s="3" t="s">
        <v>882</v>
      </c>
      <c r="D1463" s="3" t="s">
        <v>882</v>
      </c>
      <c r="E1463" s="8">
        <v>4648951</v>
      </c>
      <c r="F1463" s="2">
        <v>3.7499999999999997E-5</v>
      </c>
      <c r="G1463" s="17">
        <f>F1463 * VLOOKUP('GASB Data'!A1463,Check!$A$2:$F$11,6,FALSE)</f>
        <v>77065.3125</v>
      </c>
    </row>
    <row r="1464" spans="1:7" x14ac:dyDescent="0.2">
      <c r="A1464">
        <v>2020</v>
      </c>
      <c r="B1464" s="3" t="s">
        <v>75</v>
      </c>
      <c r="C1464" s="3" t="s">
        <v>595</v>
      </c>
      <c r="D1464" s="3" t="s">
        <v>595</v>
      </c>
      <c r="E1464" s="8">
        <v>239470733</v>
      </c>
      <c r="F1464" s="2">
        <v>1.9331999999999999E-3</v>
      </c>
      <c r="G1464" s="17">
        <f>F1464 * VLOOKUP('GASB Data'!A1464,Check!$A$2:$F$11,6,FALSE)</f>
        <v>3972870.9899999998</v>
      </c>
    </row>
    <row r="1465" spans="1:7" x14ac:dyDescent="0.2">
      <c r="A1465">
        <v>2020</v>
      </c>
      <c r="B1465" s="3" t="s">
        <v>76</v>
      </c>
      <c r="C1465" s="3" t="s">
        <v>883</v>
      </c>
      <c r="D1465" s="3" t="s">
        <v>883</v>
      </c>
      <c r="E1465" s="8">
        <v>6059215603</v>
      </c>
      <c r="F1465" s="2">
        <v>4.8915300000000002E-2</v>
      </c>
      <c r="G1465" s="17">
        <f>F1465 * VLOOKUP('GASB Data'!A1465,Check!$A$2:$F$11,6,FALSE)</f>
        <v>100524610.14750001</v>
      </c>
    </row>
    <row r="1466" spans="1:7" x14ac:dyDescent="0.2">
      <c r="A1466">
        <v>2020</v>
      </c>
      <c r="B1466" s="3" t="s">
        <v>77</v>
      </c>
      <c r="C1466" s="3" t="s">
        <v>597</v>
      </c>
      <c r="D1466" s="3" t="s">
        <v>597</v>
      </c>
      <c r="E1466" s="8">
        <v>549022942</v>
      </c>
      <c r="F1466" s="2">
        <v>4.4321999999999999E-3</v>
      </c>
      <c r="G1466" s="17">
        <f>F1466 * VLOOKUP('GASB Data'!A1466,Check!$A$2:$F$11,6,FALSE)</f>
        <v>9108503.4149999991</v>
      </c>
    </row>
    <row r="1467" spans="1:7" x14ac:dyDescent="0.2">
      <c r="A1467">
        <v>2020</v>
      </c>
      <c r="B1467" s="3" t="s">
        <v>78</v>
      </c>
      <c r="C1467" s="3" t="s">
        <v>884</v>
      </c>
      <c r="D1467" s="3" t="s">
        <v>884</v>
      </c>
      <c r="E1467" s="8">
        <v>250835809</v>
      </c>
      <c r="F1467" s="2">
        <v>2.0249999999999999E-3</v>
      </c>
      <c r="G1467" s="17">
        <f>F1467 * VLOOKUP('GASB Data'!A1467,Check!$A$2:$F$11,6,FALSE)</f>
        <v>4161526.875</v>
      </c>
    </row>
    <row r="1468" spans="1:7" x14ac:dyDescent="0.2">
      <c r="A1468">
        <v>2020</v>
      </c>
      <c r="B1468" s="3" t="s">
        <v>79</v>
      </c>
      <c r="C1468" s="3" t="s">
        <v>885</v>
      </c>
      <c r="D1468" s="3" t="s">
        <v>885</v>
      </c>
      <c r="E1468" s="8">
        <v>138800631</v>
      </c>
      <c r="F1468" s="2">
        <v>1.1205E-3</v>
      </c>
      <c r="G1468" s="17">
        <f>F1468 * VLOOKUP('GASB Data'!A1468,Check!$A$2:$F$11,6,FALSE)</f>
        <v>2302711.5375000001</v>
      </c>
    </row>
    <row r="1469" spans="1:7" x14ac:dyDescent="0.2">
      <c r="A1469">
        <v>2020</v>
      </c>
      <c r="B1469" s="3" t="s">
        <v>80</v>
      </c>
      <c r="C1469" s="3" t="s">
        <v>886</v>
      </c>
      <c r="D1469" s="3" t="s">
        <v>886</v>
      </c>
      <c r="E1469" s="8">
        <v>548056083</v>
      </c>
      <c r="F1469" s="2">
        <v>4.4244000000000002E-3</v>
      </c>
      <c r="G1469" s="17">
        <f>F1469 * VLOOKUP('GASB Data'!A1469,Check!$A$2:$F$11,6,FALSE)</f>
        <v>9092473.8300000001</v>
      </c>
    </row>
    <row r="1470" spans="1:7" x14ac:dyDescent="0.2">
      <c r="A1470">
        <v>2020</v>
      </c>
      <c r="B1470" s="3" t="s">
        <v>81</v>
      </c>
      <c r="C1470" s="3" t="s">
        <v>887</v>
      </c>
      <c r="D1470" s="3" t="s">
        <v>887</v>
      </c>
      <c r="E1470" s="8">
        <v>62688638</v>
      </c>
      <c r="F1470" s="2">
        <v>5.061E-4</v>
      </c>
      <c r="G1470" s="17">
        <f>F1470 * VLOOKUP('GASB Data'!A1470,Check!$A$2:$F$11,6,FALSE)</f>
        <v>1040073.4575</v>
      </c>
    </row>
    <row r="1471" spans="1:7" x14ac:dyDescent="0.2">
      <c r="A1471">
        <v>2020</v>
      </c>
      <c r="B1471" s="3" t="s">
        <v>82</v>
      </c>
      <c r="C1471" s="3" t="s">
        <v>888</v>
      </c>
      <c r="D1471" s="3" t="s">
        <v>888</v>
      </c>
      <c r="E1471" s="8">
        <v>181961051</v>
      </c>
      <c r="F1471" s="2">
        <v>1.4689E-3</v>
      </c>
      <c r="G1471" s="17">
        <f>F1471 * VLOOKUP('GASB Data'!A1471,Check!$A$2:$F$11,6,FALSE)</f>
        <v>3018699.6675</v>
      </c>
    </row>
    <row r="1472" spans="1:7" x14ac:dyDescent="0.2">
      <c r="A1472">
        <v>2020</v>
      </c>
      <c r="B1472" s="3" t="s">
        <v>632</v>
      </c>
      <c r="C1472" s="3" t="s">
        <v>889</v>
      </c>
      <c r="D1472" s="3" t="s">
        <v>889</v>
      </c>
      <c r="E1472" s="8">
        <v>28867453</v>
      </c>
      <c r="F1472" s="2">
        <v>2.33E-4</v>
      </c>
      <c r="G1472" s="17">
        <f>F1472 * VLOOKUP('GASB Data'!A1472,Check!$A$2:$F$11,6,FALSE)</f>
        <v>478832.47499999998</v>
      </c>
    </row>
    <row r="1473" spans="1:7" x14ac:dyDescent="0.2">
      <c r="A1473">
        <v>2020</v>
      </c>
      <c r="B1473" s="3" t="s">
        <v>83</v>
      </c>
      <c r="C1473" s="3" t="s">
        <v>890</v>
      </c>
      <c r="D1473" s="3" t="s">
        <v>890</v>
      </c>
      <c r="E1473" s="8">
        <v>679368548</v>
      </c>
      <c r="F1473" s="2">
        <v>5.4844999999999998E-3</v>
      </c>
      <c r="G1473" s="17">
        <f>F1473 * VLOOKUP('GASB Data'!A1473,Check!$A$2:$F$11,6,FALSE)</f>
        <v>11271058.8375</v>
      </c>
    </row>
    <row r="1474" spans="1:7" x14ac:dyDescent="0.2">
      <c r="A1474">
        <v>2020</v>
      </c>
      <c r="B1474" s="3" t="s">
        <v>84</v>
      </c>
      <c r="C1474" s="3" t="s">
        <v>891</v>
      </c>
      <c r="D1474" s="3" t="s">
        <v>891</v>
      </c>
      <c r="E1474" s="8">
        <v>1781262</v>
      </c>
      <c r="F1474" s="2">
        <v>1.4399999999999999E-5</v>
      </c>
      <c r="G1474" s="17">
        <f>F1474 * VLOOKUP('GASB Data'!A1474,Check!$A$2:$F$11,6,FALSE)</f>
        <v>29593.079999999998</v>
      </c>
    </row>
    <row r="1475" spans="1:7" x14ac:dyDescent="0.2">
      <c r="A1475">
        <v>2020</v>
      </c>
      <c r="B1475" s="3" t="s">
        <v>925</v>
      </c>
      <c r="C1475" s="3" t="s">
        <v>928</v>
      </c>
      <c r="D1475" s="3" t="s">
        <v>928</v>
      </c>
      <c r="E1475" s="8">
        <v>215701</v>
      </c>
      <c r="F1475" s="2">
        <v>1.7E-6</v>
      </c>
      <c r="G1475" s="17">
        <f>F1475 * VLOOKUP('GASB Data'!A1475,Check!$A$2:$F$11,6,FALSE)</f>
        <v>3493.6275000000001</v>
      </c>
    </row>
    <row r="1476" spans="1:7" x14ac:dyDescent="0.2">
      <c r="A1476">
        <v>2020</v>
      </c>
      <c r="B1476" s="3" t="s">
        <v>86</v>
      </c>
      <c r="C1476" s="3" t="s">
        <v>892</v>
      </c>
      <c r="D1476" s="3" t="s">
        <v>892</v>
      </c>
      <c r="E1476" s="8">
        <v>937405</v>
      </c>
      <c r="F1476" s="2">
        <v>7.6000000000000001E-6</v>
      </c>
      <c r="G1476" s="17">
        <f>F1476 * VLOOKUP('GASB Data'!A1476,Check!$A$2:$F$11,6,FALSE)</f>
        <v>15618.57</v>
      </c>
    </row>
    <row r="1477" spans="1:7" x14ac:dyDescent="0.2">
      <c r="A1477">
        <v>2020</v>
      </c>
      <c r="B1477" s="3" t="s">
        <v>87</v>
      </c>
      <c r="C1477" s="3" t="s">
        <v>929</v>
      </c>
      <c r="D1477" s="3" t="s">
        <v>929</v>
      </c>
      <c r="E1477" s="8">
        <v>2790077</v>
      </c>
      <c r="F1477" s="2">
        <v>2.2500000000000001E-5</v>
      </c>
      <c r="G1477" s="17">
        <f>F1477 * VLOOKUP('GASB Data'!A1477,Check!$A$2:$F$11,6,FALSE)</f>
        <v>46239.1875</v>
      </c>
    </row>
    <row r="1478" spans="1:7" x14ac:dyDescent="0.2">
      <c r="A1478">
        <v>2020</v>
      </c>
      <c r="B1478" s="3" t="s">
        <v>88</v>
      </c>
      <c r="C1478" s="3" t="s">
        <v>894</v>
      </c>
      <c r="D1478" s="3" t="s">
        <v>894</v>
      </c>
      <c r="E1478" s="8">
        <v>96490398</v>
      </c>
      <c r="F1478" s="2">
        <v>7.7899999999999996E-4</v>
      </c>
      <c r="G1478" s="17">
        <f>F1478 * VLOOKUP('GASB Data'!A1478,Check!$A$2:$F$11,6,FALSE)</f>
        <v>1600903.4249999998</v>
      </c>
    </row>
    <row r="1479" spans="1:7" x14ac:dyDescent="0.2">
      <c r="A1479">
        <v>2020</v>
      </c>
      <c r="B1479" s="3" t="s">
        <v>89</v>
      </c>
      <c r="C1479" s="3" t="s">
        <v>610</v>
      </c>
      <c r="D1479" s="3" t="s">
        <v>610</v>
      </c>
      <c r="E1479" s="8">
        <v>8763931327</v>
      </c>
      <c r="F1479" s="2">
        <v>7.0749300000000001E-2</v>
      </c>
      <c r="G1479" s="17">
        <f>F1479 * VLOOKUP('GASB Data'!A1479,Check!$A$2:$F$11,6,FALSE)</f>
        <v>145395117.69749999</v>
      </c>
    </row>
    <row r="1480" spans="1:7" x14ac:dyDescent="0.2">
      <c r="A1480">
        <v>2020</v>
      </c>
      <c r="B1480" s="3" t="s">
        <v>90</v>
      </c>
      <c r="C1480" s="3" t="s">
        <v>611</v>
      </c>
      <c r="D1480" s="3" t="s">
        <v>611</v>
      </c>
      <c r="E1480" s="8">
        <v>843974922</v>
      </c>
      <c r="F1480" s="2">
        <v>6.8133000000000004E-3</v>
      </c>
      <c r="G1480" s="17">
        <f>F1480 * VLOOKUP('GASB Data'!A1480,Check!$A$2:$F$11,6,FALSE)</f>
        <v>14001842.497500001</v>
      </c>
    </row>
    <row r="1481" spans="1:7" x14ac:dyDescent="0.2">
      <c r="A1481">
        <v>2020</v>
      </c>
      <c r="B1481" s="3" t="s">
        <v>91</v>
      </c>
      <c r="C1481" s="3" t="s">
        <v>895</v>
      </c>
      <c r="D1481" s="3" t="s">
        <v>895</v>
      </c>
      <c r="E1481" s="8">
        <v>113052097</v>
      </c>
      <c r="F1481" s="2">
        <v>9.1270000000000001E-4</v>
      </c>
      <c r="G1481" s="17">
        <f>F1481 * VLOOKUP('GASB Data'!A1481,Check!$A$2:$F$11,6,FALSE)</f>
        <v>1875666.9525000001</v>
      </c>
    </row>
    <row r="1482" spans="1:7" x14ac:dyDescent="0.2">
      <c r="A1482">
        <v>2020</v>
      </c>
      <c r="B1482" s="3" t="s">
        <v>92</v>
      </c>
      <c r="C1482" s="3" t="s">
        <v>613</v>
      </c>
      <c r="D1482" s="3" t="s">
        <v>613</v>
      </c>
      <c r="E1482" s="8">
        <v>1693644364</v>
      </c>
      <c r="F1482" s="2">
        <v>1.36726E-2</v>
      </c>
      <c r="G1482" s="17">
        <f>F1482 * VLOOKUP('GASB Data'!A1482,Check!$A$2:$F$11,6,FALSE)</f>
        <v>28098218.445</v>
      </c>
    </row>
    <row r="1483" spans="1:7" x14ac:dyDescent="0.2">
      <c r="A1483">
        <v>2020</v>
      </c>
      <c r="B1483" s="3" t="s">
        <v>93</v>
      </c>
      <c r="C1483" s="3" t="s">
        <v>614</v>
      </c>
      <c r="D1483" s="3" t="s">
        <v>614</v>
      </c>
      <c r="E1483" s="8">
        <v>125755674</v>
      </c>
      <c r="F1483" s="2">
        <v>1.0152E-3</v>
      </c>
      <c r="G1483" s="17">
        <f>F1483 * VLOOKUP('GASB Data'!A1483,Check!$A$2:$F$11,6,FALSE)</f>
        <v>2086312.14</v>
      </c>
    </row>
    <row r="1484" spans="1:7" x14ac:dyDescent="0.2">
      <c r="A1484">
        <v>2020</v>
      </c>
      <c r="B1484" s="3" t="s">
        <v>94</v>
      </c>
      <c r="C1484" s="3" t="s">
        <v>615</v>
      </c>
      <c r="D1484" s="3" t="s">
        <v>615</v>
      </c>
      <c r="E1484" s="8">
        <v>243965901</v>
      </c>
      <c r="F1484" s="2">
        <v>1.9694999999999999E-3</v>
      </c>
      <c r="G1484" s="17">
        <f>F1484 * VLOOKUP('GASB Data'!A1484,Check!$A$2:$F$11,6,FALSE)</f>
        <v>4047470.2124999999</v>
      </c>
    </row>
    <row r="1485" spans="1:7" x14ac:dyDescent="0.2">
      <c r="A1485">
        <v>2020</v>
      </c>
      <c r="B1485" s="3" t="s">
        <v>95</v>
      </c>
      <c r="C1485" s="3" t="s">
        <v>896</v>
      </c>
      <c r="D1485" s="3" t="s">
        <v>896</v>
      </c>
      <c r="E1485" s="8">
        <v>526051925</v>
      </c>
      <c r="F1485" s="2">
        <v>4.2467E-3</v>
      </c>
      <c r="G1485" s="17">
        <f>F1485 * VLOOKUP('GASB Data'!A1485,Check!$A$2:$F$11,6,FALSE)</f>
        <v>8727287.0024999995</v>
      </c>
    </row>
    <row r="1486" spans="1:7" x14ac:dyDescent="0.2">
      <c r="A1486">
        <v>2020</v>
      </c>
      <c r="B1486" s="3" t="s">
        <v>96</v>
      </c>
      <c r="C1486" s="3" t="s">
        <v>897</v>
      </c>
      <c r="D1486" s="3" t="s">
        <v>897</v>
      </c>
      <c r="E1486" s="8">
        <v>422857165</v>
      </c>
      <c r="F1486" s="2">
        <v>3.4137E-3</v>
      </c>
      <c r="G1486" s="17">
        <f>F1486 * VLOOKUP('GASB Data'!A1486,Check!$A$2:$F$11,6,FALSE)</f>
        <v>7015409.5274999999</v>
      </c>
    </row>
    <row r="1487" spans="1:7" x14ac:dyDescent="0.2">
      <c r="A1487">
        <v>2020</v>
      </c>
      <c r="B1487" s="3" t="s">
        <v>97</v>
      </c>
      <c r="C1487" s="3" t="s">
        <v>618</v>
      </c>
      <c r="D1487" s="3" t="s">
        <v>618</v>
      </c>
      <c r="E1487" s="8">
        <v>657077162</v>
      </c>
      <c r="F1487" s="2">
        <v>5.3045000000000002E-3</v>
      </c>
      <c r="G1487" s="17">
        <f>F1487 * VLOOKUP('GASB Data'!A1487,Check!$A$2:$F$11,6,FALSE)</f>
        <v>10901145.3375</v>
      </c>
    </row>
    <row r="1488" spans="1:7" x14ac:dyDescent="0.2">
      <c r="A1488">
        <v>2020</v>
      </c>
      <c r="B1488" s="3" t="s">
        <v>98</v>
      </c>
      <c r="C1488" s="3" t="s">
        <v>898</v>
      </c>
      <c r="D1488" s="3" t="s">
        <v>898</v>
      </c>
      <c r="E1488" s="8">
        <v>250934071</v>
      </c>
      <c r="F1488" s="2">
        <v>2.0257999999999999E-3</v>
      </c>
      <c r="G1488" s="17">
        <f>F1488 * VLOOKUP('GASB Data'!A1488,Check!$A$2:$F$11,6,FALSE)</f>
        <v>4163170.9349999996</v>
      </c>
    </row>
    <row r="1489" spans="1:7" x14ac:dyDescent="0.2">
      <c r="A1489">
        <v>2020</v>
      </c>
      <c r="B1489" s="3" t="s">
        <v>99</v>
      </c>
      <c r="C1489" s="3" t="s">
        <v>899</v>
      </c>
      <c r="D1489" s="3" t="s">
        <v>899</v>
      </c>
      <c r="E1489" s="8">
        <v>2809746755</v>
      </c>
      <c r="F1489" s="2">
        <v>2.26827E-2</v>
      </c>
      <c r="G1489" s="17">
        <f>F1489 * VLOOKUP('GASB Data'!A1489,Check!$A$2:$F$11,6,FALSE)</f>
        <v>46614649.702500001</v>
      </c>
    </row>
    <row r="1490" spans="1:7" x14ac:dyDescent="0.2">
      <c r="A1490">
        <v>2020</v>
      </c>
      <c r="B1490" s="3" t="s">
        <v>100</v>
      </c>
      <c r="C1490" s="3" t="s">
        <v>621</v>
      </c>
      <c r="D1490" s="3" t="s">
        <v>621</v>
      </c>
      <c r="E1490" s="8">
        <v>3891492474</v>
      </c>
      <c r="F1490" s="2">
        <v>3.1415499999999999E-2</v>
      </c>
      <c r="G1490" s="17">
        <f>F1490 * VLOOKUP('GASB Data'!A1490,Check!$A$2:$F$11,6,FALSE)</f>
        <v>64561208.662500001</v>
      </c>
    </row>
    <row r="1491" spans="1:7" x14ac:dyDescent="0.2">
      <c r="A1491">
        <v>2020</v>
      </c>
      <c r="B1491" s="3" t="s">
        <v>101</v>
      </c>
      <c r="C1491" s="3" t="s">
        <v>622</v>
      </c>
      <c r="D1491" s="3" t="s">
        <v>622</v>
      </c>
      <c r="E1491" s="8">
        <v>129479124</v>
      </c>
      <c r="F1491" s="2">
        <v>1.0453000000000001E-3</v>
      </c>
      <c r="G1491" s="17">
        <f>F1491 * VLOOKUP('GASB Data'!A1491,Check!$A$2:$F$11,6,FALSE)</f>
        <v>2148169.8975</v>
      </c>
    </row>
    <row r="1492" spans="1:7" x14ac:dyDescent="0.2">
      <c r="A1492">
        <v>2020</v>
      </c>
      <c r="B1492" s="3" t="s">
        <v>633</v>
      </c>
      <c r="C1492" s="3" t="s">
        <v>623</v>
      </c>
      <c r="D1492" s="3" t="s">
        <v>623</v>
      </c>
      <c r="E1492" s="8">
        <v>14432217</v>
      </c>
      <c r="F1492" s="2">
        <v>1.165E-4</v>
      </c>
      <c r="G1492" s="17">
        <f>F1492 * VLOOKUP('GASB Data'!A1492,Check!$A$2:$F$11,6,FALSE)</f>
        <v>239416.23749999999</v>
      </c>
    </row>
    <row r="1493" spans="1:7" x14ac:dyDescent="0.2">
      <c r="A1493">
        <v>2020</v>
      </c>
      <c r="B1493" s="3" t="s">
        <v>102</v>
      </c>
      <c r="C1493" s="3" t="s">
        <v>624</v>
      </c>
      <c r="D1493" s="3" t="s">
        <v>624</v>
      </c>
      <c r="E1493" s="8">
        <v>4697493368</v>
      </c>
      <c r="F1493" s="2">
        <v>3.7922299999999999E-2</v>
      </c>
      <c r="G1493" s="17">
        <f>F1493 * VLOOKUP('GASB Data'!A1493,Check!$A$2:$F$11,6,FALSE)</f>
        <v>77933170.672499999</v>
      </c>
    </row>
    <row r="1494" spans="1:7" x14ac:dyDescent="0.2">
      <c r="A1494">
        <v>2020</v>
      </c>
      <c r="B1494" s="3" t="s">
        <v>103</v>
      </c>
      <c r="C1494" s="3" t="s">
        <v>625</v>
      </c>
      <c r="D1494" s="3" t="s">
        <v>625</v>
      </c>
      <c r="E1494" s="8">
        <v>20426890</v>
      </c>
      <c r="F1494" s="2">
        <v>1.649E-4</v>
      </c>
      <c r="G1494" s="17">
        <f>F1494 * VLOOKUP('GASB Data'!A1494,Check!$A$2:$F$11,6,FALSE)</f>
        <v>338881.86749999999</v>
      </c>
    </row>
    <row r="1495" spans="1:7" x14ac:dyDescent="0.2">
      <c r="A1495">
        <v>2020</v>
      </c>
      <c r="B1495" s="3" t="s">
        <v>104</v>
      </c>
      <c r="C1495" s="3" t="s">
        <v>626</v>
      </c>
      <c r="D1495" s="3" t="s">
        <v>626</v>
      </c>
      <c r="E1495" s="8">
        <v>413507027</v>
      </c>
      <c r="F1495" s="2">
        <v>3.3381999999999999E-3</v>
      </c>
      <c r="G1495" s="17">
        <f>F1495 * VLOOKUP('GASB Data'!A1495,Check!$A$2:$F$11,6,FALSE)</f>
        <v>6860251.3650000002</v>
      </c>
    </row>
    <row r="1496" spans="1:7" x14ac:dyDescent="0.2">
      <c r="A1496">
        <v>2020</v>
      </c>
      <c r="B1496" s="3" t="s">
        <v>105</v>
      </c>
      <c r="C1496" s="3" t="s">
        <v>627</v>
      </c>
      <c r="D1496" s="3" t="s">
        <v>627</v>
      </c>
      <c r="E1496" s="8">
        <v>239461024</v>
      </c>
      <c r="F1496" s="2">
        <v>1.9331000000000001E-3</v>
      </c>
      <c r="G1496" s="17">
        <f>F1496 * VLOOKUP('GASB Data'!A1496,Check!$A$2:$F$11,6,FALSE)</f>
        <v>3972665.4825000004</v>
      </c>
    </row>
    <row r="1497" spans="1:7" x14ac:dyDescent="0.2">
      <c r="A1497">
        <v>2020</v>
      </c>
      <c r="B1497" s="3" t="s">
        <v>106</v>
      </c>
      <c r="C1497" s="3" t="s">
        <v>628</v>
      </c>
      <c r="D1497" s="3" t="s">
        <v>628</v>
      </c>
      <c r="E1497" s="8">
        <v>415174167</v>
      </c>
      <c r="F1497" s="2">
        <v>3.3516000000000002E-3</v>
      </c>
      <c r="G1497" s="17">
        <f>F1497 * VLOOKUP('GASB Data'!A1497,Check!$A$2:$F$11,6,FALSE)</f>
        <v>6887789.3700000001</v>
      </c>
    </row>
    <row r="1498" spans="1:7" x14ac:dyDescent="0.2">
      <c r="A1498">
        <v>2020</v>
      </c>
      <c r="B1498" s="3" t="s">
        <v>107</v>
      </c>
      <c r="C1498" s="3" t="s">
        <v>629</v>
      </c>
      <c r="D1498" s="3" t="s">
        <v>629</v>
      </c>
      <c r="E1498" s="8">
        <v>140436677</v>
      </c>
      <c r="F1498" s="2">
        <v>1.1337000000000001E-3</v>
      </c>
      <c r="G1498" s="17">
        <f>F1498 * VLOOKUP('GASB Data'!A1498,Check!$A$2:$F$11,6,FALSE)</f>
        <v>2329838.5275000003</v>
      </c>
    </row>
    <row r="1499" spans="1:7" x14ac:dyDescent="0.2">
      <c r="A1499">
        <v>2020</v>
      </c>
      <c r="B1499" s="3" t="s">
        <v>108</v>
      </c>
      <c r="C1499" s="3" t="s">
        <v>630</v>
      </c>
      <c r="D1499" s="3" t="s">
        <v>630</v>
      </c>
      <c r="E1499" s="8">
        <v>923214409</v>
      </c>
      <c r="F1499" s="2">
        <v>7.4530000000000004E-3</v>
      </c>
      <c r="G1499" s="17">
        <f>F1499 * VLOOKUP('GASB Data'!A1499,Check!$A$2:$F$11,6,FALSE)</f>
        <v>15316473.975000001</v>
      </c>
    </row>
    <row r="1500" spans="1:7" x14ac:dyDescent="0.2">
      <c r="A1500">
        <v>2020</v>
      </c>
      <c r="B1500" s="3" t="s">
        <v>109</v>
      </c>
      <c r="C1500" s="3" t="s">
        <v>631</v>
      </c>
      <c r="D1500" s="3" t="s">
        <v>631</v>
      </c>
      <c r="E1500" s="8">
        <v>516426962</v>
      </c>
      <c r="F1500" s="2">
        <v>4.169E-3</v>
      </c>
      <c r="G1500" s="17">
        <f>F1500 * VLOOKUP('GASB Data'!A1500,Check!$A$2:$F$11,6,FALSE)</f>
        <v>8567607.6750000007</v>
      </c>
    </row>
    <row r="1501" spans="1:7" x14ac:dyDescent="0.2">
      <c r="A1501">
        <v>2020</v>
      </c>
      <c r="B1501" s="3" t="s">
        <v>110</v>
      </c>
      <c r="C1501" s="3" t="s">
        <v>634</v>
      </c>
      <c r="D1501" s="3" t="s">
        <v>634</v>
      </c>
      <c r="E1501" s="8">
        <v>110716065</v>
      </c>
      <c r="F1501" s="2">
        <v>8.9380000000000004E-4</v>
      </c>
      <c r="G1501" s="17">
        <f>F1501 * VLOOKUP('GASB Data'!A1501,Check!$A$2:$F$11,6,FALSE)</f>
        <v>1836826.0350000001</v>
      </c>
    </row>
    <row r="1502" spans="1:7" x14ac:dyDescent="0.2">
      <c r="A1502">
        <v>2020</v>
      </c>
      <c r="B1502" s="3" t="s">
        <v>111</v>
      </c>
      <c r="C1502" s="3" t="s">
        <v>635</v>
      </c>
      <c r="D1502" s="3" t="s">
        <v>635</v>
      </c>
      <c r="E1502" s="8">
        <v>1042454845</v>
      </c>
      <c r="F1502" s="2">
        <v>8.4156000000000005E-3</v>
      </c>
      <c r="G1502" s="17">
        <f>F1502 * VLOOKUP('GASB Data'!A1502,Check!$A$2:$F$11,6,FALSE)</f>
        <v>17294689.170000002</v>
      </c>
    </row>
    <row r="1503" spans="1:7" x14ac:dyDescent="0.2">
      <c r="A1503">
        <v>2020</v>
      </c>
      <c r="B1503" s="3" t="s">
        <v>166</v>
      </c>
      <c r="C1503" s="3" t="s">
        <v>636</v>
      </c>
      <c r="D1503" s="3" t="s">
        <v>636</v>
      </c>
      <c r="E1503" s="8">
        <v>21374315</v>
      </c>
      <c r="F1503" s="2">
        <v>1.7259999999999999E-4</v>
      </c>
      <c r="G1503" s="17">
        <f>F1503 * VLOOKUP('GASB Data'!A1503,Check!$A$2:$F$11,6,FALSE)</f>
        <v>354705.94500000001</v>
      </c>
    </row>
    <row r="1504" spans="1:7" x14ac:dyDescent="0.2">
      <c r="A1504">
        <v>2020</v>
      </c>
      <c r="B1504" s="3" t="s">
        <v>167</v>
      </c>
      <c r="C1504" s="3" t="s">
        <v>637</v>
      </c>
      <c r="D1504" s="3" t="s">
        <v>637</v>
      </c>
      <c r="E1504" s="8">
        <v>29566792</v>
      </c>
      <c r="F1504" s="2">
        <v>2.387E-4</v>
      </c>
      <c r="G1504" s="17">
        <f>F1504 * VLOOKUP('GASB Data'!A1504,Check!$A$2:$F$11,6,FALSE)</f>
        <v>490546.40250000003</v>
      </c>
    </row>
    <row r="1505" spans="1:7" x14ac:dyDescent="0.2">
      <c r="A1505">
        <v>2020</v>
      </c>
      <c r="B1505" s="3" t="s">
        <v>168</v>
      </c>
      <c r="C1505" s="3" t="s">
        <v>638</v>
      </c>
      <c r="D1505" s="3" t="s">
        <v>638</v>
      </c>
      <c r="E1505" s="8">
        <v>14402959</v>
      </c>
      <c r="F1505" s="2">
        <v>1.1629999999999999E-4</v>
      </c>
      <c r="G1505" s="17">
        <f>F1505 * VLOOKUP('GASB Data'!A1505,Check!$A$2:$F$11,6,FALSE)</f>
        <v>239005.22249999997</v>
      </c>
    </row>
    <row r="1506" spans="1:7" x14ac:dyDescent="0.2">
      <c r="A1506">
        <v>2020</v>
      </c>
      <c r="B1506" s="3" t="s">
        <v>169</v>
      </c>
      <c r="C1506" s="3" t="s">
        <v>639</v>
      </c>
      <c r="D1506" s="3" t="s">
        <v>639</v>
      </c>
      <c r="E1506" s="8">
        <v>105053171</v>
      </c>
      <c r="F1506" s="2">
        <v>8.4809999999999996E-4</v>
      </c>
      <c r="G1506" s="17">
        <f>F1506 * VLOOKUP('GASB Data'!A1506,Check!$A$2:$F$11,6,FALSE)</f>
        <v>1742909.1074999999</v>
      </c>
    </row>
    <row r="1507" spans="1:7" x14ac:dyDescent="0.2">
      <c r="A1507">
        <v>2020</v>
      </c>
      <c r="B1507" s="3" t="s">
        <v>170</v>
      </c>
      <c r="C1507" s="3" t="s">
        <v>640</v>
      </c>
      <c r="D1507" s="3" t="s">
        <v>640</v>
      </c>
      <c r="E1507" s="8">
        <v>237527075</v>
      </c>
      <c r="F1507" s="2">
        <v>1.9174999999999999E-3</v>
      </c>
      <c r="G1507" s="17">
        <f>F1507 * VLOOKUP('GASB Data'!A1507,Check!$A$2:$F$11,6,FALSE)</f>
        <v>3940606.3125</v>
      </c>
    </row>
    <row r="1508" spans="1:7" x14ac:dyDescent="0.2">
      <c r="A1508">
        <v>2020</v>
      </c>
      <c r="B1508" s="3" t="s">
        <v>171</v>
      </c>
      <c r="C1508" s="3" t="s">
        <v>641</v>
      </c>
      <c r="D1508" s="3" t="s">
        <v>641</v>
      </c>
      <c r="E1508" s="8">
        <v>76928996</v>
      </c>
      <c r="F1508" s="2">
        <v>6.2100000000000002E-4</v>
      </c>
      <c r="G1508" s="17">
        <f>F1508 * VLOOKUP('GASB Data'!A1508,Check!$A$2:$F$11,6,FALSE)</f>
        <v>1276201.575</v>
      </c>
    </row>
    <row r="1509" spans="1:7" x14ac:dyDescent="0.2">
      <c r="A1509">
        <v>2020</v>
      </c>
      <c r="B1509" s="3" t="s">
        <v>172</v>
      </c>
      <c r="C1509" s="3" t="s">
        <v>642</v>
      </c>
      <c r="D1509" s="3" t="s">
        <v>642</v>
      </c>
      <c r="E1509" s="8">
        <v>143913735</v>
      </c>
      <c r="F1509" s="2">
        <v>1.1617999999999999E-3</v>
      </c>
      <c r="G1509" s="17">
        <f>F1509 * VLOOKUP('GASB Data'!A1509,Check!$A$2:$F$11,6,FALSE)</f>
        <v>2387586.1349999998</v>
      </c>
    </row>
    <row r="1510" spans="1:7" x14ac:dyDescent="0.2">
      <c r="A1510">
        <v>2020</v>
      </c>
      <c r="B1510" s="3" t="s">
        <v>173</v>
      </c>
      <c r="C1510" s="3" t="s">
        <v>643</v>
      </c>
      <c r="D1510" s="3" t="s">
        <v>643</v>
      </c>
      <c r="E1510" s="8">
        <v>84266198</v>
      </c>
      <c r="F1510" s="2">
        <v>6.803E-4</v>
      </c>
      <c r="G1510" s="17">
        <f>F1510 * VLOOKUP('GASB Data'!A1510,Check!$A$2:$F$11,6,FALSE)</f>
        <v>1398067.5225</v>
      </c>
    </row>
    <row r="1511" spans="1:7" x14ac:dyDescent="0.2">
      <c r="A1511">
        <v>2020</v>
      </c>
      <c r="B1511" s="3" t="s">
        <v>174</v>
      </c>
      <c r="C1511" s="3" t="s">
        <v>644</v>
      </c>
      <c r="D1511" s="3" t="s">
        <v>644</v>
      </c>
      <c r="E1511" s="8">
        <v>150872104</v>
      </c>
      <c r="F1511" s="2">
        <v>1.2179999999999999E-3</v>
      </c>
      <c r="G1511" s="17">
        <f>F1511 * VLOOKUP('GASB Data'!A1511,Check!$A$2:$F$11,6,FALSE)</f>
        <v>2503081.3499999996</v>
      </c>
    </row>
    <row r="1512" spans="1:7" x14ac:dyDescent="0.2">
      <c r="A1512">
        <v>2020</v>
      </c>
      <c r="B1512" s="3" t="s">
        <v>175</v>
      </c>
      <c r="C1512" s="3" t="s">
        <v>645</v>
      </c>
      <c r="D1512" s="3" t="s">
        <v>645</v>
      </c>
      <c r="E1512" s="8">
        <v>110745188</v>
      </c>
      <c r="F1512" s="2">
        <v>8.9400000000000005E-4</v>
      </c>
      <c r="G1512" s="17">
        <f>F1512 * VLOOKUP('GASB Data'!A1512,Check!$A$2:$F$11,6,FALSE)</f>
        <v>1837237.05</v>
      </c>
    </row>
    <row r="1513" spans="1:7" x14ac:dyDescent="0.2">
      <c r="A1513">
        <v>2020</v>
      </c>
      <c r="B1513" s="3" t="s">
        <v>176</v>
      </c>
      <c r="C1513" s="3" t="s">
        <v>646</v>
      </c>
      <c r="D1513" s="3" t="s">
        <v>646</v>
      </c>
      <c r="E1513" s="8">
        <v>2468593</v>
      </c>
      <c r="F1513" s="2">
        <v>1.9899999999999999E-5</v>
      </c>
      <c r="G1513" s="17">
        <f>F1513 * VLOOKUP('GASB Data'!A1513,Check!$A$2:$F$11,6,FALSE)</f>
        <v>40895.9925</v>
      </c>
    </row>
    <row r="1514" spans="1:7" x14ac:dyDescent="0.2">
      <c r="A1514">
        <v>2020</v>
      </c>
      <c r="B1514" s="3" t="s">
        <v>177</v>
      </c>
      <c r="C1514" s="3" t="s">
        <v>647</v>
      </c>
      <c r="D1514" s="3" t="s">
        <v>647</v>
      </c>
      <c r="E1514" s="8">
        <v>300586867</v>
      </c>
      <c r="F1514" s="2">
        <v>2.4266000000000001E-3</v>
      </c>
      <c r="G1514" s="17">
        <f>F1514 * VLOOKUP('GASB Data'!A1514,Check!$A$2:$F$11,6,FALSE)</f>
        <v>4986844.9950000001</v>
      </c>
    </row>
    <row r="1515" spans="1:7" x14ac:dyDescent="0.2">
      <c r="A1515">
        <v>2020</v>
      </c>
      <c r="B1515" s="3" t="s">
        <v>178</v>
      </c>
      <c r="C1515" s="3" t="s">
        <v>648</v>
      </c>
      <c r="D1515" s="3" t="s">
        <v>648</v>
      </c>
      <c r="E1515" s="8">
        <v>59322594</v>
      </c>
      <c r="F1515" s="2">
        <v>4.7889999999999999E-4</v>
      </c>
      <c r="G1515" s="17">
        <f>F1515 * VLOOKUP('GASB Data'!A1515,Check!$A$2:$F$11,6,FALSE)</f>
        <v>984175.41749999998</v>
      </c>
    </row>
    <row r="1516" spans="1:7" x14ac:dyDescent="0.2">
      <c r="A1516">
        <v>2020</v>
      </c>
      <c r="B1516" s="3" t="s">
        <v>179</v>
      </c>
      <c r="C1516" s="3" t="s">
        <v>649</v>
      </c>
      <c r="D1516" s="3" t="s">
        <v>649</v>
      </c>
      <c r="E1516" s="8">
        <v>97359814</v>
      </c>
      <c r="F1516" s="2">
        <v>7.8600000000000002E-4</v>
      </c>
      <c r="G1516" s="17">
        <f>F1516 * VLOOKUP('GASB Data'!A1516,Check!$A$2:$F$11,6,FALSE)</f>
        <v>1615288.95</v>
      </c>
    </row>
    <row r="1517" spans="1:7" x14ac:dyDescent="0.2">
      <c r="A1517">
        <v>2020</v>
      </c>
      <c r="B1517" s="3" t="s">
        <v>180</v>
      </c>
      <c r="C1517" s="3" t="s">
        <v>650</v>
      </c>
      <c r="D1517" s="3" t="s">
        <v>650</v>
      </c>
      <c r="E1517" s="8">
        <v>194511924</v>
      </c>
      <c r="F1517" s="2">
        <v>1.5703E-3</v>
      </c>
      <c r="G1517" s="17">
        <f>F1517 * VLOOKUP('GASB Data'!A1517,Check!$A$2:$F$11,6,FALSE)</f>
        <v>3227084.2725</v>
      </c>
    </row>
    <row r="1518" spans="1:7" x14ac:dyDescent="0.2">
      <c r="A1518">
        <v>2020</v>
      </c>
      <c r="B1518" s="3" t="s">
        <v>181</v>
      </c>
      <c r="C1518" s="3" t="s">
        <v>651</v>
      </c>
      <c r="D1518" s="3" t="s">
        <v>651</v>
      </c>
      <c r="E1518" s="8">
        <v>38990402</v>
      </c>
      <c r="F1518" s="2">
        <v>3.1480000000000001E-4</v>
      </c>
      <c r="G1518" s="17">
        <f>F1518 * VLOOKUP('GASB Data'!A1518,Check!$A$2:$F$11,6,FALSE)</f>
        <v>646937.61</v>
      </c>
    </row>
    <row r="1519" spans="1:7" x14ac:dyDescent="0.2">
      <c r="A1519">
        <v>2020</v>
      </c>
      <c r="B1519" s="3" t="s">
        <v>182</v>
      </c>
      <c r="C1519" s="3" t="s">
        <v>652</v>
      </c>
      <c r="D1519" s="3" t="s">
        <v>652</v>
      </c>
      <c r="E1519" s="8">
        <v>597051317</v>
      </c>
      <c r="F1519" s="2">
        <v>4.8199000000000002E-3</v>
      </c>
      <c r="G1519" s="17">
        <f>F1519 * VLOOKUP('GASB Data'!A1519,Check!$A$2:$F$11,6,FALSE)</f>
        <v>9905255.9924999997</v>
      </c>
    </row>
    <row r="1520" spans="1:7" x14ac:dyDescent="0.2">
      <c r="A1520">
        <v>2020</v>
      </c>
      <c r="B1520" s="3" t="s">
        <v>183</v>
      </c>
      <c r="C1520" s="3" t="s">
        <v>653</v>
      </c>
      <c r="D1520" s="3" t="s">
        <v>653</v>
      </c>
      <c r="E1520" s="8">
        <v>54887743</v>
      </c>
      <c r="F1520" s="2">
        <v>4.4309999999999998E-4</v>
      </c>
      <c r="G1520" s="17">
        <f>F1520 * VLOOKUP('GASB Data'!A1520,Check!$A$2:$F$11,6,FALSE)</f>
        <v>910603.73249999993</v>
      </c>
    </row>
    <row r="1521" spans="1:7" x14ac:dyDescent="0.2">
      <c r="A1521">
        <v>2020</v>
      </c>
      <c r="B1521" s="3" t="s">
        <v>184</v>
      </c>
      <c r="C1521" s="3" t="s">
        <v>654</v>
      </c>
      <c r="D1521" s="3" t="s">
        <v>654</v>
      </c>
      <c r="E1521" s="8">
        <v>1229047106</v>
      </c>
      <c r="F1521" s="2">
        <v>9.9219000000000009E-3</v>
      </c>
      <c r="G1521" s="17">
        <f>F1521 * VLOOKUP('GASB Data'!A1521,Check!$A$2:$F$11,6,FALSE)</f>
        <v>20390248.642500002</v>
      </c>
    </row>
    <row r="1522" spans="1:7" x14ac:dyDescent="0.2">
      <c r="A1522">
        <v>2020</v>
      </c>
      <c r="B1522" s="3" t="s">
        <v>185</v>
      </c>
      <c r="C1522" s="3" t="s">
        <v>900</v>
      </c>
      <c r="D1522" s="3" t="s">
        <v>900</v>
      </c>
      <c r="E1522" s="8">
        <v>7661117</v>
      </c>
      <c r="F1522" s="2">
        <v>6.1799999999999998E-5</v>
      </c>
      <c r="G1522" s="17">
        <f>F1522 * VLOOKUP('GASB Data'!A1522,Check!$A$2:$F$11,6,FALSE)</f>
        <v>127003.63499999999</v>
      </c>
    </row>
    <row r="1523" spans="1:7" x14ac:dyDescent="0.2">
      <c r="A1523">
        <v>2020</v>
      </c>
      <c r="B1523" s="3" t="s">
        <v>186</v>
      </c>
      <c r="C1523" s="3" t="s">
        <v>656</v>
      </c>
      <c r="D1523" s="3" t="s">
        <v>656</v>
      </c>
      <c r="E1523" s="8">
        <v>20608365</v>
      </c>
      <c r="F1523" s="2">
        <v>1.6640000000000001E-4</v>
      </c>
      <c r="G1523" s="17">
        <f>F1523 * VLOOKUP('GASB Data'!A1523,Check!$A$2:$F$11,6,FALSE)</f>
        <v>341964.48000000004</v>
      </c>
    </row>
    <row r="1524" spans="1:7" x14ac:dyDescent="0.2">
      <c r="A1524">
        <v>2020</v>
      </c>
      <c r="B1524" s="3" t="s">
        <v>187</v>
      </c>
      <c r="C1524" s="3" t="s">
        <v>657</v>
      </c>
      <c r="D1524" s="3" t="s">
        <v>657</v>
      </c>
      <c r="E1524" s="8">
        <v>182587555</v>
      </c>
      <c r="F1524" s="2">
        <v>1.474E-3</v>
      </c>
      <c r="G1524" s="17">
        <f>F1524 * VLOOKUP('GASB Data'!A1524,Check!$A$2:$F$11,6,FALSE)</f>
        <v>3029180.5500000003</v>
      </c>
    </row>
    <row r="1525" spans="1:7" x14ac:dyDescent="0.2">
      <c r="A1525">
        <v>2020</v>
      </c>
      <c r="B1525" s="3" t="s">
        <v>188</v>
      </c>
      <c r="C1525" s="3" t="s">
        <v>658</v>
      </c>
      <c r="D1525" s="3" t="s">
        <v>658</v>
      </c>
      <c r="E1525" s="8">
        <v>302032244</v>
      </c>
      <c r="F1525" s="2">
        <v>2.4383E-3</v>
      </c>
      <c r="G1525" s="17">
        <f>F1525 * VLOOKUP('GASB Data'!A1525,Check!$A$2:$F$11,6,FALSE)</f>
        <v>5010889.3724999996</v>
      </c>
    </row>
    <row r="1526" spans="1:7" x14ac:dyDescent="0.2">
      <c r="A1526">
        <v>2020</v>
      </c>
      <c r="B1526" s="3" t="s">
        <v>189</v>
      </c>
      <c r="C1526" s="3" t="s">
        <v>659</v>
      </c>
      <c r="D1526" s="3" t="s">
        <v>659</v>
      </c>
      <c r="E1526" s="8">
        <v>535399727</v>
      </c>
      <c r="F1526" s="2">
        <v>4.3222E-3</v>
      </c>
      <c r="G1526" s="17">
        <f>F1526 * VLOOKUP('GASB Data'!A1526,Check!$A$2:$F$11,6,FALSE)</f>
        <v>8882445.1649999991</v>
      </c>
    </row>
    <row r="1527" spans="1:7" x14ac:dyDescent="0.2">
      <c r="A1527">
        <v>2020</v>
      </c>
      <c r="B1527" s="3" t="s">
        <v>190</v>
      </c>
      <c r="C1527" s="3" t="s">
        <v>901</v>
      </c>
      <c r="D1527" s="3" t="s">
        <v>901</v>
      </c>
      <c r="E1527" s="8">
        <v>57832412</v>
      </c>
      <c r="F1527" s="2">
        <v>4.6690000000000002E-4</v>
      </c>
      <c r="G1527" s="17">
        <f>F1527 * VLOOKUP('GASB Data'!A1527,Check!$A$2:$F$11,6,FALSE)</f>
        <v>959514.51750000007</v>
      </c>
    </row>
    <row r="1528" spans="1:7" x14ac:dyDescent="0.2">
      <c r="A1528">
        <v>2020</v>
      </c>
      <c r="B1528" s="3" t="s">
        <v>191</v>
      </c>
      <c r="C1528" s="3" t="s">
        <v>661</v>
      </c>
      <c r="D1528" s="3" t="s">
        <v>661</v>
      </c>
      <c r="E1528" s="8">
        <v>1547429722</v>
      </c>
      <c r="F1528" s="2">
        <v>1.24922E-2</v>
      </c>
      <c r="G1528" s="17">
        <f>F1528 * VLOOKUP('GASB Data'!A1528,Check!$A$2:$F$11,6,FALSE)</f>
        <v>25672407.914999999</v>
      </c>
    </row>
    <row r="1529" spans="1:7" x14ac:dyDescent="0.2">
      <c r="A1529">
        <v>2020</v>
      </c>
      <c r="B1529" s="3" t="s">
        <v>192</v>
      </c>
      <c r="C1529" s="3" t="s">
        <v>662</v>
      </c>
      <c r="D1529" s="3" t="s">
        <v>662</v>
      </c>
      <c r="E1529" s="8">
        <v>32301496</v>
      </c>
      <c r="F1529" s="2">
        <v>2.608E-4</v>
      </c>
      <c r="G1529" s="17">
        <f>F1529 * VLOOKUP('GASB Data'!A1529,Check!$A$2:$F$11,6,FALSE)</f>
        <v>535963.55999999994</v>
      </c>
    </row>
    <row r="1530" spans="1:7" x14ac:dyDescent="0.2">
      <c r="A1530">
        <v>2020</v>
      </c>
      <c r="B1530" s="3" t="s">
        <v>193</v>
      </c>
      <c r="C1530" s="3" t="s">
        <v>663</v>
      </c>
      <c r="D1530" s="3" t="s">
        <v>663</v>
      </c>
      <c r="E1530" s="8">
        <v>262024003</v>
      </c>
      <c r="F1530" s="2">
        <v>2.1153000000000001E-3</v>
      </c>
      <c r="G1530" s="17">
        <f>F1530 * VLOOKUP('GASB Data'!A1530,Check!$A$2:$F$11,6,FALSE)</f>
        <v>4347100.1475</v>
      </c>
    </row>
    <row r="1531" spans="1:7" x14ac:dyDescent="0.2">
      <c r="A1531">
        <v>2020</v>
      </c>
      <c r="B1531" s="3" t="s">
        <v>194</v>
      </c>
      <c r="C1531" s="3" t="s">
        <v>664</v>
      </c>
      <c r="D1531" s="3" t="s">
        <v>664</v>
      </c>
      <c r="E1531" s="8">
        <v>529448906</v>
      </c>
      <c r="F1531" s="2">
        <v>4.2741999999999997E-3</v>
      </c>
      <c r="G1531" s="17">
        <f>F1531 * VLOOKUP('GASB Data'!A1531,Check!$A$2:$F$11,6,FALSE)</f>
        <v>8783801.5649999995</v>
      </c>
    </row>
    <row r="1532" spans="1:7" x14ac:dyDescent="0.2">
      <c r="A1532">
        <v>2020</v>
      </c>
      <c r="B1532" s="3" t="s">
        <v>195</v>
      </c>
      <c r="C1532" s="3" t="s">
        <v>665</v>
      </c>
      <c r="D1532" s="3" t="s">
        <v>665</v>
      </c>
      <c r="E1532" s="8">
        <v>105437966</v>
      </c>
      <c r="F1532" s="2">
        <v>8.5119999999999998E-4</v>
      </c>
      <c r="G1532" s="17">
        <f>F1532 * VLOOKUP('GASB Data'!A1532,Check!$A$2:$F$11,6,FALSE)</f>
        <v>1749279.8399999999</v>
      </c>
    </row>
    <row r="1533" spans="1:7" x14ac:dyDescent="0.2">
      <c r="A1533">
        <v>2020</v>
      </c>
      <c r="B1533" s="3" t="s">
        <v>196</v>
      </c>
      <c r="C1533" s="3" t="s">
        <v>666</v>
      </c>
      <c r="D1533" s="3" t="s">
        <v>666</v>
      </c>
      <c r="E1533" s="8">
        <v>88856440</v>
      </c>
      <c r="F1533" s="2">
        <v>7.1730000000000003E-4</v>
      </c>
      <c r="G1533" s="17">
        <f>F1533 * VLOOKUP('GASB Data'!A1533,Check!$A$2:$F$11,6,FALSE)</f>
        <v>1474105.2975000001</v>
      </c>
    </row>
    <row r="1534" spans="1:7" x14ac:dyDescent="0.2">
      <c r="A1534">
        <v>2020</v>
      </c>
      <c r="B1534" s="3" t="s">
        <v>197</v>
      </c>
      <c r="C1534" s="3" t="s">
        <v>667</v>
      </c>
      <c r="D1534" s="3" t="s">
        <v>667</v>
      </c>
      <c r="E1534" s="8">
        <v>400084246</v>
      </c>
      <c r="F1534" s="2">
        <v>3.2298000000000001E-3</v>
      </c>
      <c r="G1534" s="17">
        <f>F1534 * VLOOKUP('GASB Data'!A1534,Check!$A$2:$F$11,6,FALSE)</f>
        <v>6637481.2350000003</v>
      </c>
    </row>
    <row r="1535" spans="1:7" x14ac:dyDescent="0.2">
      <c r="A1535">
        <v>2020</v>
      </c>
      <c r="B1535" s="3" t="s">
        <v>198</v>
      </c>
      <c r="C1535" s="3" t="s">
        <v>668</v>
      </c>
      <c r="D1535" s="3" t="s">
        <v>668</v>
      </c>
      <c r="E1535" s="8">
        <v>60794674</v>
      </c>
      <c r="F1535" s="2">
        <v>4.908E-4</v>
      </c>
      <c r="G1535" s="17">
        <f>F1535 * VLOOKUP('GASB Data'!A1535,Check!$A$2:$F$11,6,FALSE)</f>
        <v>1008630.81</v>
      </c>
    </row>
    <row r="1536" spans="1:7" x14ac:dyDescent="0.2">
      <c r="A1536">
        <v>2020</v>
      </c>
      <c r="B1536" s="3" t="s">
        <v>199</v>
      </c>
      <c r="C1536" s="3" t="s">
        <v>669</v>
      </c>
      <c r="D1536" s="3" t="s">
        <v>669</v>
      </c>
      <c r="E1536" s="8">
        <v>112051368</v>
      </c>
      <c r="F1536" s="2">
        <v>9.0459999999999998E-4</v>
      </c>
      <c r="G1536" s="17">
        <f>F1536 * VLOOKUP('GASB Data'!A1536,Check!$A$2:$F$11,6,FALSE)</f>
        <v>1859020.845</v>
      </c>
    </row>
    <row r="1537" spans="1:7" x14ac:dyDescent="0.2">
      <c r="A1537">
        <v>2020</v>
      </c>
      <c r="B1537" s="3" t="s">
        <v>200</v>
      </c>
      <c r="C1537" s="3" t="s">
        <v>670</v>
      </c>
      <c r="D1537" s="3" t="s">
        <v>670</v>
      </c>
      <c r="E1537" s="8">
        <v>706864652</v>
      </c>
      <c r="F1537" s="2">
        <v>5.7064000000000004E-3</v>
      </c>
      <c r="G1537" s="17">
        <f>F1537 * VLOOKUP('GASB Data'!A1537,Check!$A$2:$F$11,6,FALSE)</f>
        <v>11727079.98</v>
      </c>
    </row>
    <row r="1538" spans="1:7" x14ac:dyDescent="0.2">
      <c r="A1538">
        <v>2020</v>
      </c>
      <c r="B1538" s="3" t="s">
        <v>201</v>
      </c>
      <c r="C1538" s="3" t="s">
        <v>671</v>
      </c>
      <c r="D1538" s="3" t="s">
        <v>671</v>
      </c>
      <c r="E1538" s="8">
        <v>147339211</v>
      </c>
      <c r="F1538" s="2">
        <v>1.1895E-3</v>
      </c>
      <c r="G1538" s="17">
        <f>F1538 * VLOOKUP('GASB Data'!A1538,Check!$A$2:$F$11,6,FALSE)</f>
        <v>2444511.7124999999</v>
      </c>
    </row>
    <row r="1539" spans="1:7" x14ac:dyDescent="0.2">
      <c r="A1539">
        <v>2020</v>
      </c>
      <c r="B1539" s="3" t="s">
        <v>202</v>
      </c>
      <c r="C1539" s="3" t="s">
        <v>672</v>
      </c>
      <c r="D1539" s="3" t="s">
        <v>672</v>
      </c>
      <c r="E1539" s="8">
        <v>179753909</v>
      </c>
      <c r="F1539" s="2">
        <v>1.4511000000000001E-3</v>
      </c>
      <c r="G1539" s="17">
        <f>F1539 * VLOOKUP('GASB Data'!A1539,Check!$A$2:$F$11,6,FALSE)</f>
        <v>2982119.3325</v>
      </c>
    </row>
    <row r="1540" spans="1:7" x14ac:dyDescent="0.2">
      <c r="A1540">
        <v>2020</v>
      </c>
      <c r="B1540" s="3" t="s">
        <v>203</v>
      </c>
      <c r="C1540" s="3" t="s">
        <v>673</v>
      </c>
      <c r="D1540" s="3" t="s">
        <v>673</v>
      </c>
      <c r="E1540" s="8">
        <v>147256827</v>
      </c>
      <c r="F1540" s="2">
        <v>1.1888000000000001E-3</v>
      </c>
      <c r="G1540" s="17">
        <f>F1540 * VLOOKUP('GASB Data'!A1540,Check!$A$2:$F$11,6,FALSE)</f>
        <v>2443073.16</v>
      </c>
    </row>
    <row r="1541" spans="1:7" x14ac:dyDescent="0.2">
      <c r="A1541">
        <v>2020</v>
      </c>
      <c r="B1541" s="3" t="s">
        <v>204</v>
      </c>
      <c r="C1541" s="3" t="s">
        <v>674</v>
      </c>
      <c r="D1541" s="3" t="s">
        <v>674</v>
      </c>
      <c r="E1541" s="8">
        <v>465023503</v>
      </c>
      <c r="F1541" s="2">
        <v>3.7540999999999998E-3</v>
      </c>
      <c r="G1541" s="17">
        <f>F1541 * VLOOKUP('GASB Data'!A1541,Check!$A$2:$F$11,6,FALSE)</f>
        <v>7714957.0574999992</v>
      </c>
    </row>
    <row r="1542" spans="1:7" x14ac:dyDescent="0.2">
      <c r="A1542">
        <v>2020</v>
      </c>
      <c r="B1542" s="3" t="s">
        <v>205</v>
      </c>
      <c r="C1542" s="3" t="s">
        <v>675</v>
      </c>
      <c r="D1542" s="3" t="s">
        <v>675</v>
      </c>
      <c r="E1542" s="8">
        <v>181603218</v>
      </c>
      <c r="F1542" s="2">
        <v>1.4660999999999999E-3</v>
      </c>
      <c r="G1542" s="17">
        <f>F1542 * VLOOKUP('GASB Data'!A1542,Check!$A$2:$F$11,6,FALSE)</f>
        <v>3012945.4575</v>
      </c>
    </row>
    <row r="1543" spans="1:7" x14ac:dyDescent="0.2">
      <c r="A1543">
        <v>2020</v>
      </c>
      <c r="B1543" s="3" t="s">
        <v>206</v>
      </c>
      <c r="C1543" s="3" t="s">
        <v>676</v>
      </c>
      <c r="D1543" s="3" t="s">
        <v>676</v>
      </c>
      <c r="E1543" s="8">
        <v>38478654</v>
      </c>
      <c r="F1543" s="2">
        <v>3.1060000000000001E-4</v>
      </c>
      <c r="G1543" s="17">
        <f>F1543 * VLOOKUP('GASB Data'!A1543,Check!$A$2:$F$11,6,FALSE)</f>
        <v>638306.29500000004</v>
      </c>
    </row>
    <row r="1544" spans="1:7" x14ac:dyDescent="0.2">
      <c r="A1544">
        <v>2020</v>
      </c>
      <c r="B1544" s="3" t="s">
        <v>207</v>
      </c>
      <c r="C1544" s="3" t="s">
        <v>677</v>
      </c>
      <c r="D1544" s="3" t="s">
        <v>677</v>
      </c>
      <c r="E1544" s="8">
        <v>101543513</v>
      </c>
      <c r="F1544" s="2">
        <v>8.1970000000000003E-4</v>
      </c>
      <c r="G1544" s="17">
        <f>F1544 * VLOOKUP('GASB Data'!A1544,Check!$A$2:$F$11,6,FALSE)</f>
        <v>1684544.9775</v>
      </c>
    </row>
    <row r="1545" spans="1:7" x14ac:dyDescent="0.2">
      <c r="A1545">
        <v>2020</v>
      </c>
      <c r="B1545" s="3" t="s">
        <v>208</v>
      </c>
      <c r="C1545" s="3" t="s">
        <v>678</v>
      </c>
      <c r="D1545" s="3" t="s">
        <v>678</v>
      </c>
      <c r="E1545" s="8">
        <v>69194733</v>
      </c>
      <c r="F1545" s="2">
        <v>5.5860000000000003E-4</v>
      </c>
      <c r="G1545" s="17">
        <f>F1545 * VLOOKUP('GASB Data'!A1545,Check!$A$2:$F$11,6,FALSE)</f>
        <v>1147964.895</v>
      </c>
    </row>
    <row r="1546" spans="1:7" x14ac:dyDescent="0.2">
      <c r="A1546">
        <v>2020</v>
      </c>
      <c r="B1546" s="3" t="s">
        <v>209</v>
      </c>
      <c r="C1546" s="3" t="s">
        <v>679</v>
      </c>
      <c r="D1546" s="3" t="s">
        <v>679</v>
      </c>
      <c r="E1546" s="8">
        <v>691401978</v>
      </c>
      <c r="F1546" s="2">
        <v>5.5815999999999999E-3</v>
      </c>
      <c r="G1546" s="17">
        <f>F1546 * VLOOKUP('GASB Data'!A1546,Check!$A$2:$F$11,6,FALSE)</f>
        <v>11470606.619999999</v>
      </c>
    </row>
    <row r="1547" spans="1:7" x14ac:dyDescent="0.2">
      <c r="A1547">
        <v>2020</v>
      </c>
      <c r="B1547" s="3" t="s">
        <v>210</v>
      </c>
      <c r="C1547" s="3" t="s">
        <v>930</v>
      </c>
      <c r="D1547" s="3" t="s">
        <v>930</v>
      </c>
      <c r="E1547" s="8">
        <v>72601978</v>
      </c>
      <c r="F1547" s="2">
        <v>5.8609999999999999E-4</v>
      </c>
      <c r="G1547" s="17">
        <f>F1547 * VLOOKUP('GASB Data'!A1547,Check!$A$2:$F$11,6,FALSE)</f>
        <v>1204479.4575</v>
      </c>
    </row>
    <row r="1548" spans="1:7" x14ac:dyDescent="0.2">
      <c r="A1548">
        <v>2020</v>
      </c>
      <c r="B1548" s="3" t="s">
        <v>211</v>
      </c>
      <c r="C1548" s="3" t="s">
        <v>681</v>
      </c>
      <c r="D1548" s="3" t="s">
        <v>681</v>
      </c>
      <c r="E1548" s="8">
        <v>246429461</v>
      </c>
      <c r="F1548" s="2">
        <v>1.9894000000000001E-3</v>
      </c>
      <c r="G1548" s="17">
        <f>F1548 * VLOOKUP('GASB Data'!A1548,Check!$A$2:$F$11,6,FALSE)</f>
        <v>4088366.2050000001</v>
      </c>
    </row>
    <row r="1549" spans="1:7" x14ac:dyDescent="0.2">
      <c r="A1549">
        <v>2020</v>
      </c>
      <c r="B1549" s="3" t="s">
        <v>212</v>
      </c>
      <c r="C1549" s="3" t="s">
        <v>682</v>
      </c>
      <c r="D1549" s="3" t="s">
        <v>682</v>
      </c>
      <c r="E1549" s="8">
        <v>65585551</v>
      </c>
      <c r="F1549" s="2">
        <v>5.2950000000000002E-4</v>
      </c>
      <c r="G1549" s="17">
        <f>F1549 * VLOOKUP('GASB Data'!A1549,Check!$A$2:$F$11,6,FALSE)</f>
        <v>1088162.2125000001</v>
      </c>
    </row>
    <row r="1550" spans="1:7" x14ac:dyDescent="0.2">
      <c r="A1550">
        <v>2020</v>
      </c>
      <c r="B1550" s="3" t="s">
        <v>213</v>
      </c>
      <c r="C1550" s="3" t="s">
        <v>683</v>
      </c>
      <c r="D1550" s="3" t="s">
        <v>683</v>
      </c>
      <c r="E1550" s="8">
        <v>104413923</v>
      </c>
      <c r="F1550" s="2">
        <v>8.4290000000000005E-4</v>
      </c>
      <c r="G1550" s="17">
        <f>F1550 * VLOOKUP('GASB Data'!A1550,Check!$A$2:$F$11,6,FALSE)</f>
        <v>1732222.7175</v>
      </c>
    </row>
    <row r="1551" spans="1:7" x14ac:dyDescent="0.2">
      <c r="A1551">
        <v>2020</v>
      </c>
      <c r="B1551" s="3" t="s">
        <v>215</v>
      </c>
      <c r="C1551" s="3" t="s">
        <v>684</v>
      </c>
      <c r="D1551" s="3" t="s">
        <v>684</v>
      </c>
      <c r="E1551" s="8">
        <v>592555859</v>
      </c>
      <c r="F1551" s="2">
        <v>4.7835999999999998E-3</v>
      </c>
      <c r="G1551" s="17">
        <f>F1551 * VLOOKUP('GASB Data'!A1551,Check!$A$2:$F$11,6,FALSE)</f>
        <v>9830656.7699999996</v>
      </c>
    </row>
    <row r="1552" spans="1:7" x14ac:dyDescent="0.2">
      <c r="A1552">
        <v>2020</v>
      </c>
      <c r="B1552" s="3" t="s">
        <v>216</v>
      </c>
      <c r="C1552" s="3" t="s">
        <v>685</v>
      </c>
      <c r="D1552" s="3" t="s">
        <v>685</v>
      </c>
      <c r="E1552" s="8">
        <v>89829297</v>
      </c>
      <c r="F1552" s="2">
        <v>7.2519999999999995E-4</v>
      </c>
      <c r="G1552" s="17">
        <f>F1552 * VLOOKUP('GASB Data'!A1552,Check!$A$2:$F$11,6,FALSE)</f>
        <v>1490340.39</v>
      </c>
    </row>
    <row r="1553" spans="1:7" x14ac:dyDescent="0.2">
      <c r="A1553">
        <v>2020</v>
      </c>
      <c r="B1553" s="3" t="s">
        <v>217</v>
      </c>
      <c r="C1553" s="3" t="s">
        <v>686</v>
      </c>
      <c r="D1553" s="3" t="s">
        <v>686</v>
      </c>
      <c r="E1553" s="8">
        <v>2098209488</v>
      </c>
      <c r="F1553" s="2">
        <v>1.6938600000000002E-2</v>
      </c>
      <c r="G1553" s="17">
        <f>F1553 * VLOOKUP('GASB Data'!A1553,Check!$A$2:$F$11,6,FALSE)</f>
        <v>34810093.395000003</v>
      </c>
    </row>
    <row r="1554" spans="1:7" x14ac:dyDescent="0.2">
      <c r="A1554">
        <v>2020</v>
      </c>
      <c r="B1554" s="3" t="s">
        <v>218</v>
      </c>
      <c r="C1554" s="3" t="s">
        <v>687</v>
      </c>
      <c r="D1554" s="3" t="s">
        <v>687</v>
      </c>
      <c r="E1554" s="8">
        <v>325069227</v>
      </c>
      <c r="F1554" s="2">
        <v>2.6242000000000001E-3</v>
      </c>
      <c r="G1554" s="17">
        <f>F1554 * VLOOKUP('GASB Data'!A1554,Check!$A$2:$F$11,6,FALSE)</f>
        <v>5392927.8150000004</v>
      </c>
    </row>
    <row r="1555" spans="1:7" x14ac:dyDescent="0.2">
      <c r="A1555">
        <v>2020</v>
      </c>
      <c r="B1555" s="3" t="s">
        <v>219</v>
      </c>
      <c r="C1555" s="3" t="s">
        <v>688</v>
      </c>
      <c r="D1555" s="3" t="s">
        <v>688</v>
      </c>
      <c r="E1555" s="8">
        <v>204243893</v>
      </c>
      <c r="F1555" s="2">
        <v>1.6488E-3</v>
      </c>
      <c r="G1555" s="17">
        <f>F1555 * VLOOKUP('GASB Data'!A1555,Check!$A$2:$F$11,6,FALSE)</f>
        <v>3388407.66</v>
      </c>
    </row>
    <row r="1556" spans="1:7" x14ac:dyDescent="0.2">
      <c r="A1556">
        <v>2020</v>
      </c>
      <c r="B1556" s="3" t="s">
        <v>274</v>
      </c>
      <c r="C1556" s="3" t="s">
        <v>689</v>
      </c>
      <c r="D1556" s="3" t="s">
        <v>689</v>
      </c>
      <c r="E1556" s="8">
        <v>287540948</v>
      </c>
      <c r="F1556" s="2">
        <v>2.3213000000000001E-3</v>
      </c>
      <c r="G1556" s="17">
        <f>F1556 * VLOOKUP('GASB Data'!A1556,Check!$A$2:$F$11,6,FALSE)</f>
        <v>4770445.5975000001</v>
      </c>
    </row>
    <row r="1557" spans="1:7" x14ac:dyDescent="0.2">
      <c r="A1557">
        <v>2020</v>
      </c>
      <c r="B1557" s="3" t="s">
        <v>275</v>
      </c>
      <c r="C1557" s="3" t="s">
        <v>690</v>
      </c>
      <c r="D1557" s="3" t="s">
        <v>690</v>
      </c>
      <c r="E1557" s="8">
        <v>778119213</v>
      </c>
      <c r="F1557" s="2">
        <v>6.2817000000000003E-3</v>
      </c>
      <c r="G1557" s="17">
        <f>F1557 * VLOOKUP('GASB Data'!A1557,Check!$A$2:$F$11,6,FALSE)</f>
        <v>12909364.627500001</v>
      </c>
    </row>
    <row r="1558" spans="1:7" x14ac:dyDescent="0.2">
      <c r="A1558">
        <v>2020</v>
      </c>
      <c r="B1558" s="3" t="s">
        <v>276</v>
      </c>
      <c r="C1558" s="3" t="s">
        <v>691</v>
      </c>
      <c r="D1558" s="3" t="s">
        <v>691</v>
      </c>
      <c r="E1558" s="8">
        <v>17870676</v>
      </c>
      <c r="F1558" s="2">
        <v>1.4430000000000001E-4</v>
      </c>
      <c r="G1558" s="17">
        <f>F1558 * VLOOKUP('GASB Data'!A1558,Check!$A$2:$F$11,6,FALSE)</f>
        <v>296547.32250000001</v>
      </c>
    </row>
    <row r="1559" spans="1:7" x14ac:dyDescent="0.2">
      <c r="A1559">
        <v>2020</v>
      </c>
      <c r="B1559" s="3" t="s">
        <v>935</v>
      </c>
      <c r="C1559" s="3" t="s">
        <v>934</v>
      </c>
      <c r="D1559" s="3" t="s">
        <v>934</v>
      </c>
      <c r="E1559" s="8">
        <v>3866334</v>
      </c>
      <c r="F1559" s="2">
        <v>3.1199999999999999E-5</v>
      </c>
      <c r="G1559" s="17">
        <f>F1559 * VLOOKUP('GASB Data'!A1559,Check!$A$2:$F$11,6,FALSE)</f>
        <v>64118.34</v>
      </c>
    </row>
    <row r="1560" spans="1:7" x14ac:dyDescent="0.2">
      <c r="A1560">
        <v>2020</v>
      </c>
      <c r="B1560" s="3" t="s">
        <v>277</v>
      </c>
      <c r="C1560" s="3" t="s">
        <v>692</v>
      </c>
      <c r="D1560" s="3" t="s">
        <v>692</v>
      </c>
      <c r="E1560" s="8">
        <v>106834915</v>
      </c>
      <c r="F1560" s="2">
        <v>8.6249999999999999E-4</v>
      </c>
      <c r="G1560" s="17">
        <f>F1560 * VLOOKUP('GASB Data'!A1560,Check!$A$2:$F$11,6,FALSE)</f>
        <v>1772502.1875</v>
      </c>
    </row>
    <row r="1561" spans="1:7" x14ac:dyDescent="0.2">
      <c r="A1561">
        <v>2020</v>
      </c>
      <c r="B1561" s="3" t="s">
        <v>278</v>
      </c>
      <c r="C1561" s="3" t="s">
        <v>693</v>
      </c>
      <c r="D1561" s="3" t="s">
        <v>693</v>
      </c>
      <c r="E1561" s="8">
        <v>144614185</v>
      </c>
      <c r="F1561" s="2">
        <v>1.1674999999999999E-3</v>
      </c>
      <c r="G1561" s="17">
        <f>F1561 * VLOOKUP('GASB Data'!A1561,Check!$A$2:$F$11,6,FALSE)</f>
        <v>2399300.0625</v>
      </c>
    </row>
    <row r="1562" spans="1:7" x14ac:dyDescent="0.2">
      <c r="A1562">
        <v>2020</v>
      </c>
      <c r="B1562" s="3" t="s">
        <v>279</v>
      </c>
      <c r="C1562" s="3" t="s">
        <v>694</v>
      </c>
      <c r="D1562" s="3" t="s">
        <v>694</v>
      </c>
      <c r="E1562" s="8">
        <v>127798301</v>
      </c>
      <c r="F1562" s="2">
        <v>1.0317E-3</v>
      </c>
      <c r="G1562" s="17">
        <f>F1562 * VLOOKUP('GASB Data'!A1562,Check!$A$2:$F$11,6,FALSE)</f>
        <v>2120220.8774999999</v>
      </c>
    </row>
    <row r="1563" spans="1:7" x14ac:dyDescent="0.2">
      <c r="A1563">
        <v>2020</v>
      </c>
      <c r="B1563" s="3" t="s">
        <v>280</v>
      </c>
      <c r="C1563" s="3" t="s">
        <v>695</v>
      </c>
      <c r="D1563" s="3" t="s">
        <v>695</v>
      </c>
      <c r="E1563" s="8">
        <v>298405708</v>
      </c>
      <c r="F1563" s="2">
        <v>2.4090000000000001E-3</v>
      </c>
      <c r="G1563" s="17">
        <f>F1563 * VLOOKUP('GASB Data'!A1563,Check!$A$2:$F$11,6,FALSE)</f>
        <v>4950675.6749999998</v>
      </c>
    </row>
    <row r="1564" spans="1:7" x14ac:dyDescent="0.2">
      <c r="A1564">
        <v>2020</v>
      </c>
      <c r="B1564" s="3" t="s">
        <v>281</v>
      </c>
      <c r="C1564" s="3" t="s">
        <v>904</v>
      </c>
      <c r="D1564" s="3" t="s">
        <v>904</v>
      </c>
      <c r="E1564" s="8">
        <v>7345812</v>
      </c>
      <c r="F1564" s="2">
        <v>5.9299999999999998E-5</v>
      </c>
      <c r="G1564" s="17">
        <f>F1564 * VLOOKUP('GASB Data'!A1564,Check!$A$2:$F$11,6,FALSE)</f>
        <v>121865.94749999999</v>
      </c>
    </row>
    <row r="1565" spans="1:7" x14ac:dyDescent="0.2">
      <c r="A1565">
        <v>2020</v>
      </c>
      <c r="B1565" s="3" t="s">
        <v>282</v>
      </c>
      <c r="C1565" s="3" t="s">
        <v>697</v>
      </c>
      <c r="D1565" s="3" t="s">
        <v>697</v>
      </c>
      <c r="E1565" s="8">
        <v>42613068</v>
      </c>
      <c r="F1565" s="2">
        <v>3.4400000000000001E-4</v>
      </c>
      <c r="G1565" s="17">
        <f>F1565 * VLOOKUP('GASB Data'!A1565,Check!$A$2:$F$11,6,FALSE)</f>
        <v>706945.8</v>
      </c>
    </row>
    <row r="1566" spans="1:7" x14ac:dyDescent="0.2">
      <c r="A1566">
        <v>2020</v>
      </c>
      <c r="B1566" s="3" t="s">
        <v>283</v>
      </c>
      <c r="C1566" s="3" t="s">
        <v>698</v>
      </c>
      <c r="D1566" s="3" t="s">
        <v>698</v>
      </c>
      <c r="E1566" s="8">
        <v>404107863</v>
      </c>
      <c r="F1566" s="2">
        <v>3.2623000000000001E-3</v>
      </c>
      <c r="G1566" s="17">
        <f>F1566 * VLOOKUP('GASB Data'!A1566,Check!$A$2:$F$11,6,FALSE)</f>
        <v>6704271.1725000003</v>
      </c>
    </row>
    <row r="1567" spans="1:7" x14ac:dyDescent="0.2">
      <c r="A1567">
        <v>2020</v>
      </c>
      <c r="B1567" s="3" t="s">
        <v>284</v>
      </c>
      <c r="C1567" s="3" t="s">
        <v>699</v>
      </c>
      <c r="D1567" s="3" t="s">
        <v>699</v>
      </c>
      <c r="E1567" s="8">
        <v>46927700</v>
      </c>
      <c r="F1567" s="2">
        <v>3.7879999999999999E-4</v>
      </c>
      <c r="G1567" s="17">
        <f>F1567 * VLOOKUP('GASB Data'!A1567,Check!$A$2:$F$11,6,FALSE)</f>
        <v>778462.41</v>
      </c>
    </row>
    <row r="1568" spans="1:7" x14ac:dyDescent="0.2">
      <c r="A1568">
        <v>2020</v>
      </c>
      <c r="B1568" s="3" t="s">
        <v>285</v>
      </c>
      <c r="C1568" s="3" t="s">
        <v>700</v>
      </c>
      <c r="D1568" s="3" t="s">
        <v>700</v>
      </c>
      <c r="E1568" s="8">
        <v>1997627368</v>
      </c>
      <c r="F1568" s="2">
        <v>1.6126600000000001E-2</v>
      </c>
      <c r="G1568" s="17">
        <f>F1568 * VLOOKUP('GASB Data'!A1568,Check!$A$2:$F$11,6,FALSE)</f>
        <v>33141372.495000001</v>
      </c>
    </row>
    <row r="1569" spans="1:7" x14ac:dyDescent="0.2">
      <c r="A1569">
        <v>2020</v>
      </c>
      <c r="B1569" s="3" t="s">
        <v>286</v>
      </c>
      <c r="C1569" s="3" t="s">
        <v>905</v>
      </c>
      <c r="D1569" s="3" t="s">
        <v>905</v>
      </c>
      <c r="E1569" s="8">
        <v>34183901</v>
      </c>
      <c r="F1569" s="2">
        <v>2.7599999999999999E-4</v>
      </c>
      <c r="G1569" s="17">
        <f>F1569 * VLOOKUP('GASB Data'!A1569,Check!$A$2:$F$11,6,FALSE)</f>
        <v>567200.69999999995</v>
      </c>
    </row>
    <row r="1570" spans="1:7" x14ac:dyDescent="0.2">
      <c r="A1570">
        <v>2020</v>
      </c>
      <c r="B1570" s="3" t="s">
        <v>287</v>
      </c>
      <c r="C1570" s="3" t="s">
        <v>702</v>
      </c>
      <c r="D1570" s="3" t="s">
        <v>702</v>
      </c>
      <c r="E1570" s="8">
        <v>20712048</v>
      </c>
      <c r="F1570" s="2">
        <v>1.672E-4</v>
      </c>
      <c r="G1570" s="17">
        <f>F1570 * VLOOKUP('GASB Data'!A1570,Check!$A$2:$F$11,6,FALSE)</f>
        <v>343608.54</v>
      </c>
    </row>
    <row r="1571" spans="1:7" x14ac:dyDescent="0.2">
      <c r="A1571">
        <v>2020</v>
      </c>
      <c r="B1571" s="3" t="s">
        <v>288</v>
      </c>
      <c r="C1571" s="3" t="s">
        <v>703</v>
      </c>
      <c r="D1571" s="3" t="s">
        <v>703</v>
      </c>
      <c r="E1571" s="8">
        <v>54823223</v>
      </c>
      <c r="F1571" s="2">
        <v>4.4260000000000002E-4</v>
      </c>
      <c r="G1571" s="17">
        <f>F1571 * VLOOKUP('GASB Data'!A1571,Check!$A$2:$F$11,6,FALSE)</f>
        <v>909576.19500000007</v>
      </c>
    </row>
    <row r="1572" spans="1:7" x14ac:dyDescent="0.2">
      <c r="A1572">
        <v>2020</v>
      </c>
      <c r="B1572" s="3" t="s">
        <v>289</v>
      </c>
      <c r="C1572" s="3" t="s">
        <v>704</v>
      </c>
      <c r="D1572" s="3" t="s">
        <v>704</v>
      </c>
      <c r="E1572" s="8">
        <v>151438684</v>
      </c>
      <c r="F1572" s="2">
        <v>1.2225000000000001E-3</v>
      </c>
      <c r="G1572" s="17">
        <f>F1572 * VLOOKUP('GASB Data'!A1572,Check!$A$2:$F$11,6,FALSE)</f>
        <v>2512329.1875</v>
      </c>
    </row>
    <row r="1573" spans="1:7" x14ac:dyDescent="0.2">
      <c r="A1573">
        <v>2020</v>
      </c>
      <c r="B1573" s="3" t="s">
        <v>290</v>
      </c>
      <c r="C1573" s="3" t="s">
        <v>705</v>
      </c>
      <c r="D1573" s="3" t="s">
        <v>705</v>
      </c>
      <c r="E1573" s="8">
        <v>14285064</v>
      </c>
      <c r="F1573" s="2">
        <v>1.153E-4</v>
      </c>
      <c r="G1573" s="17">
        <f>F1573 * VLOOKUP('GASB Data'!A1573,Check!$A$2:$F$11,6,FALSE)</f>
        <v>236950.14749999999</v>
      </c>
    </row>
    <row r="1574" spans="1:7" x14ac:dyDescent="0.2">
      <c r="A1574">
        <v>2020</v>
      </c>
      <c r="B1574" s="3" t="s">
        <v>291</v>
      </c>
      <c r="C1574" s="3" t="s">
        <v>706</v>
      </c>
      <c r="D1574" s="3" t="s">
        <v>706</v>
      </c>
      <c r="E1574" s="8">
        <v>58900091</v>
      </c>
      <c r="F1574" s="2">
        <v>4.7550000000000001E-4</v>
      </c>
      <c r="G1574" s="17">
        <f>F1574 * VLOOKUP('GASB Data'!A1574,Check!$A$2:$F$11,6,FALSE)</f>
        <v>977188.16249999998</v>
      </c>
    </row>
    <row r="1575" spans="1:7" x14ac:dyDescent="0.2">
      <c r="A1575">
        <v>2020</v>
      </c>
      <c r="B1575" s="3" t="s">
        <v>294</v>
      </c>
      <c r="C1575" s="3" t="s">
        <v>709</v>
      </c>
      <c r="D1575" s="3" t="s">
        <v>709</v>
      </c>
      <c r="E1575" s="8">
        <v>280573690</v>
      </c>
      <c r="F1575" s="2">
        <v>2.2650000000000001E-3</v>
      </c>
      <c r="G1575" s="17">
        <f>F1575 * VLOOKUP('GASB Data'!A1575,Check!$A$2:$F$11,6,FALSE)</f>
        <v>4654744.875</v>
      </c>
    </row>
    <row r="1576" spans="1:7" x14ac:dyDescent="0.2">
      <c r="A1576">
        <v>2020</v>
      </c>
      <c r="B1576" s="3" t="s">
        <v>295</v>
      </c>
      <c r="C1576" s="3" t="s">
        <v>710</v>
      </c>
      <c r="D1576" s="3" t="s">
        <v>710</v>
      </c>
      <c r="E1576" s="8">
        <v>59803556</v>
      </c>
      <c r="F1576" s="2">
        <v>4.8280000000000003E-4</v>
      </c>
      <c r="G1576" s="17">
        <f>F1576 * VLOOKUP('GASB Data'!A1576,Check!$A$2:$F$11,6,FALSE)</f>
        <v>992190.21000000008</v>
      </c>
    </row>
    <row r="1577" spans="1:7" x14ac:dyDescent="0.2">
      <c r="A1577">
        <v>2020</v>
      </c>
      <c r="B1577" s="3" t="s">
        <v>296</v>
      </c>
      <c r="C1577" s="3" t="s">
        <v>711</v>
      </c>
      <c r="D1577" s="3" t="s">
        <v>711</v>
      </c>
      <c r="E1577" s="8">
        <v>2540671864</v>
      </c>
      <c r="F1577" s="2">
        <v>2.0510500000000001E-2</v>
      </c>
      <c r="G1577" s="17">
        <f>F1577 * VLOOKUP('GASB Data'!A1577,Check!$A$2:$F$11,6,FALSE)</f>
        <v>42150615.787500001</v>
      </c>
    </row>
    <row r="1578" spans="1:7" x14ac:dyDescent="0.2">
      <c r="A1578">
        <v>2020</v>
      </c>
      <c r="B1578" s="3" t="s">
        <v>297</v>
      </c>
      <c r="C1578" s="3" t="s">
        <v>712</v>
      </c>
      <c r="D1578" s="3" t="s">
        <v>712</v>
      </c>
      <c r="E1578" s="8">
        <v>22944137</v>
      </c>
      <c r="F1578" s="2">
        <v>1.852E-4</v>
      </c>
      <c r="G1578" s="17">
        <f>F1578 * VLOOKUP('GASB Data'!A1578,Check!$A$2:$F$11,6,FALSE)</f>
        <v>380599.89</v>
      </c>
    </row>
    <row r="1579" spans="1:7" x14ac:dyDescent="0.2">
      <c r="A1579">
        <v>2020</v>
      </c>
      <c r="B1579" s="3" t="s">
        <v>298</v>
      </c>
      <c r="C1579" s="3" t="s">
        <v>713</v>
      </c>
      <c r="D1579" s="3" t="s">
        <v>713</v>
      </c>
      <c r="E1579" s="8">
        <v>224016383</v>
      </c>
      <c r="F1579" s="2">
        <v>1.8085E-3</v>
      </c>
      <c r="G1579" s="17">
        <f>F1579 * VLOOKUP('GASB Data'!A1579,Check!$A$2:$F$11,6,FALSE)</f>
        <v>3716603.1375000002</v>
      </c>
    </row>
    <row r="1580" spans="1:7" x14ac:dyDescent="0.2">
      <c r="A1580">
        <v>2020</v>
      </c>
      <c r="B1580" s="3" t="s">
        <v>299</v>
      </c>
      <c r="C1580" s="3" t="s">
        <v>714</v>
      </c>
      <c r="D1580" s="3" t="s">
        <v>714</v>
      </c>
      <c r="E1580" s="8">
        <v>385603754</v>
      </c>
      <c r="F1580" s="2">
        <v>3.1129E-3</v>
      </c>
      <c r="G1580" s="17">
        <f>F1580 * VLOOKUP('GASB Data'!A1580,Check!$A$2:$F$11,6,FALSE)</f>
        <v>6397242.9675000003</v>
      </c>
    </row>
    <row r="1581" spans="1:7" x14ac:dyDescent="0.2">
      <c r="A1581">
        <v>2020</v>
      </c>
      <c r="B1581" s="3" t="s">
        <v>300</v>
      </c>
      <c r="C1581" s="3" t="s">
        <v>715</v>
      </c>
      <c r="D1581" s="3" t="s">
        <v>715</v>
      </c>
      <c r="E1581" s="8">
        <v>12489373</v>
      </c>
      <c r="F1581" s="2">
        <v>1.008E-4</v>
      </c>
      <c r="G1581" s="17">
        <f>F1581 * VLOOKUP('GASB Data'!A1581,Check!$A$2:$F$11,6,FALSE)</f>
        <v>207151.56</v>
      </c>
    </row>
    <row r="1582" spans="1:7" x14ac:dyDescent="0.2">
      <c r="A1582">
        <v>2020</v>
      </c>
      <c r="B1582" s="3" t="s">
        <v>301</v>
      </c>
      <c r="C1582" s="3" t="s">
        <v>716</v>
      </c>
      <c r="D1582" s="3" t="s">
        <v>716</v>
      </c>
      <c r="E1582" s="8">
        <v>1345280196</v>
      </c>
      <c r="F1582" s="2">
        <v>1.08603E-2</v>
      </c>
      <c r="G1582" s="17">
        <f>F1582 * VLOOKUP('GASB Data'!A1582,Check!$A$2:$F$11,6,FALSE)</f>
        <v>22318731.022500001</v>
      </c>
    </row>
    <row r="1583" spans="1:7" x14ac:dyDescent="0.2">
      <c r="A1583">
        <v>2020</v>
      </c>
      <c r="B1583" s="3" t="s">
        <v>302</v>
      </c>
      <c r="C1583" s="3" t="s">
        <v>717</v>
      </c>
      <c r="D1583" s="3" t="s">
        <v>717</v>
      </c>
      <c r="E1583" s="8">
        <v>154419155</v>
      </c>
      <c r="F1583" s="2">
        <v>1.2466000000000001E-3</v>
      </c>
      <c r="G1583" s="17">
        <f>F1583 * VLOOKUP('GASB Data'!A1583,Check!$A$2:$F$11,6,FALSE)</f>
        <v>2561856.4950000001</v>
      </c>
    </row>
    <row r="1584" spans="1:7" x14ac:dyDescent="0.2">
      <c r="A1584">
        <v>2020</v>
      </c>
      <c r="B1584" s="3" t="s">
        <v>303</v>
      </c>
      <c r="C1584" s="3" t="s">
        <v>718</v>
      </c>
      <c r="D1584" s="3" t="s">
        <v>718</v>
      </c>
      <c r="E1584" s="8">
        <v>92872160</v>
      </c>
      <c r="F1584" s="2">
        <v>7.4969999999999995E-4</v>
      </c>
      <c r="G1584" s="17">
        <f>F1584 * VLOOKUP('GASB Data'!A1584,Check!$A$2:$F$11,6,FALSE)</f>
        <v>1540689.7274999998</v>
      </c>
    </row>
    <row r="1585" spans="1:7" x14ac:dyDescent="0.2">
      <c r="A1585">
        <v>2020</v>
      </c>
      <c r="B1585" s="3" t="s">
        <v>304</v>
      </c>
      <c r="C1585" s="3" t="s">
        <v>719</v>
      </c>
      <c r="D1585" s="3" t="s">
        <v>719</v>
      </c>
      <c r="E1585" s="8">
        <v>69238834</v>
      </c>
      <c r="F1585" s="2">
        <v>5.5900000000000004E-4</v>
      </c>
      <c r="G1585" s="17">
        <f>F1585 * VLOOKUP('GASB Data'!A1585,Check!$A$2:$F$11,6,FALSE)</f>
        <v>1148786.925</v>
      </c>
    </row>
    <row r="1586" spans="1:7" x14ac:dyDescent="0.2">
      <c r="A1586">
        <v>2020</v>
      </c>
      <c r="B1586" s="3" t="s">
        <v>305</v>
      </c>
      <c r="C1586" s="3" t="s">
        <v>720</v>
      </c>
      <c r="D1586" s="3" t="s">
        <v>720</v>
      </c>
      <c r="E1586" s="8">
        <v>331785789</v>
      </c>
      <c r="F1586" s="2">
        <v>2.6784999999999999E-3</v>
      </c>
      <c r="G1586" s="17">
        <f>F1586 * VLOOKUP('GASB Data'!A1586,Check!$A$2:$F$11,6,FALSE)</f>
        <v>5504518.3875000002</v>
      </c>
    </row>
    <row r="1587" spans="1:7" x14ac:dyDescent="0.2">
      <c r="A1587">
        <v>2020</v>
      </c>
      <c r="B1587" s="3" t="s">
        <v>306</v>
      </c>
      <c r="C1587" s="3" t="s">
        <v>721</v>
      </c>
      <c r="D1587" s="3" t="s">
        <v>721</v>
      </c>
      <c r="E1587" s="8">
        <v>153305128</v>
      </c>
      <c r="F1587" s="2">
        <v>1.2375999999999999E-3</v>
      </c>
      <c r="G1587" s="17">
        <f>F1587 * VLOOKUP('GASB Data'!A1587,Check!$A$2:$F$11,6,FALSE)</f>
        <v>2543360.8199999998</v>
      </c>
    </row>
    <row r="1588" spans="1:7" x14ac:dyDescent="0.2">
      <c r="A1588">
        <v>2020</v>
      </c>
      <c r="B1588" s="3" t="s">
        <v>307</v>
      </c>
      <c r="C1588" s="3" t="s">
        <v>722</v>
      </c>
      <c r="D1588" s="3" t="s">
        <v>722</v>
      </c>
      <c r="E1588" s="8">
        <v>3532047626</v>
      </c>
      <c r="F1588" s="2">
        <v>2.8513799999999999E-2</v>
      </c>
      <c r="G1588" s="17">
        <f>F1588 * VLOOKUP('GASB Data'!A1588,Check!$A$2:$F$11,6,FALSE)</f>
        <v>58597997.534999996</v>
      </c>
    </row>
    <row r="1589" spans="1:7" x14ac:dyDescent="0.2">
      <c r="A1589">
        <v>2020</v>
      </c>
      <c r="B1589" s="3" t="s">
        <v>308</v>
      </c>
      <c r="C1589" s="3" t="s">
        <v>723</v>
      </c>
      <c r="D1589" s="3" t="s">
        <v>723</v>
      </c>
      <c r="E1589" s="8">
        <v>273763504</v>
      </c>
      <c r="F1589" s="2">
        <v>2.2101E-3</v>
      </c>
      <c r="G1589" s="17">
        <f>F1589 * VLOOKUP('GASB Data'!A1589,Check!$A$2:$F$11,6,FALSE)</f>
        <v>4541921.2575000003</v>
      </c>
    </row>
    <row r="1590" spans="1:7" x14ac:dyDescent="0.2">
      <c r="A1590">
        <v>2020</v>
      </c>
      <c r="B1590" s="3" t="s">
        <v>309</v>
      </c>
      <c r="C1590" s="3" t="s">
        <v>724</v>
      </c>
      <c r="D1590" s="3" t="s">
        <v>724</v>
      </c>
      <c r="E1590" s="8">
        <v>114458072</v>
      </c>
      <c r="F1590" s="2">
        <v>9.2400000000000002E-4</v>
      </c>
      <c r="G1590" s="17">
        <f>F1590 * VLOOKUP('GASB Data'!A1590,Check!$A$2:$F$11,6,FALSE)</f>
        <v>1898889.3</v>
      </c>
    </row>
    <row r="1591" spans="1:7" x14ac:dyDescent="0.2">
      <c r="A1591">
        <v>2020</v>
      </c>
      <c r="B1591" s="3" t="s">
        <v>310</v>
      </c>
      <c r="C1591" s="3" t="s">
        <v>725</v>
      </c>
      <c r="D1591" s="3" t="s">
        <v>725</v>
      </c>
      <c r="E1591" s="8">
        <v>46749758</v>
      </c>
      <c r="F1591" s="2">
        <v>3.7740000000000001E-4</v>
      </c>
      <c r="G1591" s="17">
        <f>F1591 * VLOOKUP('GASB Data'!A1591,Check!$A$2:$F$11,6,FALSE)</f>
        <v>775585.30500000005</v>
      </c>
    </row>
    <row r="1592" spans="1:7" x14ac:dyDescent="0.2">
      <c r="A1592">
        <v>2020</v>
      </c>
      <c r="B1592" s="3" t="s">
        <v>311</v>
      </c>
      <c r="C1592" s="3" t="s">
        <v>726</v>
      </c>
      <c r="D1592" s="3" t="s">
        <v>726</v>
      </c>
      <c r="E1592" s="8">
        <v>133209545</v>
      </c>
      <c r="F1592" s="2">
        <v>1.0754E-3</v>
      </c>
      <c r="G1592" s="17">
        <f>F1592 * VLOOKUP('GASB Data'!A1592,Check!$A$2:$F$11,6,FALSE)</f>
        <v>2210027.6549999998</v>
      </c>
    </row>
    <row r="1593" spans="1:7" x14ac:dyDescent="0.2">
      <c r="A1593">
        <v>2020</v>
      </c>
      <c r="B1593" s="3" t="s">
        <v>312</v>
      </c>
      <c r="C1593" s="3" t="s">
        <v>727</v>
      </c>
      <c r="D1593" s="3" t="s">
        <v>727</v>
      </c>
      <c r="E1593" s="8">
        <v>44107733</v>
      </c>
      <c r="F1593" s="2">
        <v>3.5609999999999998E-4</v>
      </c>
      <c r="G1593" s="17">
        <f>F1593 * VLOOKUP('GASB Data'!A1593,Check!$A$2:$F$11,6,FALSE)</f>
        <v>731812.20750000002</v>
      </c>
    </row>
    <row r="1594" spans="1:7" x14ac:dyDescent="0.2">
      <c r="A1594">
        <v>2020</v>
      </c>
      <c r="B1594" s="3" t="s">
        <v>313</v>
      </c>
      <c r="C1594" s="3" t="s">
        <v>728</v>
      </c>
      <c r="D1594" s="3" t="s">
        <v>728</v>
      </c>
      <c r="E1594" s="8">
        <v>865452595</v>
      </c>
      <c r="F1594" s="2">
        <v>6.9867000000000002E-3</v>
      </c>
      <c r="G1594" s="17">
        <f>F1594 * VLOOKUP('GASB Data'!A1594,Check!$A$2:$F$11,6,FALSE)</f>
        <v>14358192.502500001</v>
      </c>
    </row>
    <row r="1595" spans="1:7" x14ac:dyDescent="0.2">
      <c r="A1595">
        <v>2020</v>
      </c>
      <c r="B1595" s="3" t="s">
        <v>314</v>
      </c>
      <c r="C1595" s="3" t="s">
        <v>729</v>
      </c>
      <c r="D1595" s="3" t="s">
        <v>729</v>
      </c>
      <c r="E1595" s="8">
        <v>353918149</v>
      </c>
      <c r="F1595" s="2">
        <v>2.8571E-3</v>
      </c>
      <c r="G1595" s="17">
        <f>F1595 * VLOOKUP('GASB Data'!A1595,Check!$A$2:$F$11,6,FALSE)</f>
        <v>5871554.7824999997</v>
      </c>
    </row>
    <row r="1596" spans="1:7" x14ac:dyDescent="0.2">
      <c r="A1596">
        <v>2020</v>
      </c>
      <c r="B1596" s="3" t="s">
        <v>315</v>
      </c>
      <c r="C1596" s="3" t="s">
        <v>730</v>
      </c>
      <c r="D1596" s="3" t="s">
        <v>730</v>
      </c>
      <c r="E1596" s="8">
        <v>63093451</v>
      </c>
      <c r="F1596" s="2">
        <v>5.0929999999999997E-4</v>
      </c>
      <c r="G1596" s="17">
        <f>F1596 * VLOOKUP('GASB Data'!A1596,Check!$A$2:$F$11,6,FALSE)</f>
        <v>1046649.6974999999</v>
      </c>
    </row>
    <row r="1597" spans="1:7" x14ac:dyDescent="0.2">
      <c r="A1597">
        <v>2020</v>
      </c>
      <c r="B1597" s="3" t="s">
        <v>316</v>
      </c>
      <c r="C1597" s="3" t="s">
        <v>731</v>
      </c>
      <c r="D1597" s="3" t="s">
        <v>731</v>
      </c>
      <c r="E1597" s="8">
        <v>636502743</v>
      </c>
      <c r="F1597" s="2">
        <v>5.1384000000000004E-3</v>
      </c>
      <c r="G1597" s="17">
        <f>F1597 * VLOOKUP('GASB Data'!A1597,Check!$A$2:$F$11,6,FALSE)</f>
        <v>10559797.380000001</v>
      </c>
    </row>
    <row r="1598" spans="1:7" x14ac:dyDescent="0.2">
      <c r="A1598">
        <v>2020</v>
      </c>
      <c r="B1598" s="3" t="s">
        <v>317</v>
      </c>
      <c r="C1598" s="3" t="s">
        <v>732</v>
      </c>
      <c r="D1598" s="3" t="s">
        <v>732</v>
      </c>
      <c r="E1598" s="8">
        <v>8840607</v>
      </c>
      <c r="F1598" s="2">
        <v>7.1400000000000001E-5</v>
      </c>
      <c r="G1598" s="17">
        <f>F1598 * VLOOKUP('GASB Data'!A1598,Check!$A$2:$F$11,6,FALSE)</f>
        <v>146732.35500000001</v>
      </c>
    </row>
    <row r="1599" spans="1:7" x14ac:dyDescent="0.2">
      <c r="A1599">
        <v>2020</v>
      </c>
      <c r="B1599" s="3" t="s">
        <v>318</v>
      </c>
      <c r="C1599" s="3" t="s">
        <v>733</v>
      </c>
      <c r="D1599" s="3" t="s">
        <v>733</v>
      </c>
      <c r="E1599" s="8">
        <v>85618239</v>
      </c>
      <c r="F1599" s="2">
        <v>6.912E-4</v>
      </c>
      <c r="G1599" s="17">
        <f>F1599 * VLOOKUP('GASB Data'!A1599,Check!$A$2:$F$11,6,FALSE)</f>
        <v>1420467.84</v>
      </c>
    </row>
    <row r="1600" spans="1:7" x14ac:dyDescent="0.2">
      <c r="A1600">
        <v>2020</v>
      </c>
      <c r="B1600" s="3" t="s">
        <v>319</v>
      </c>
      <c r="C1600" s="3" t="s">
        <v>734</v>
      </c>
      <c r="D1600" s="3" t="s">
        <v>734</v>
      </c>
      <c r="E1600" s="8">
        <v>139477672</v>
      </c>
      <c r="F1600" s="2">
        <v>1.126E-3</v>
      </c>
      <c r="G1600" s="17">
        <f>F1600 * VLOOKUP('GASB Data'!A1600,Check!$A$2:$F$11,6,FALSE)</f>
        <v>2314014.4500000002</v>
      </c>
    </row>
    <row r="1601" spans="1:7" x14ac:dyDescent="0.2">
      <c r="A1601">
        <v>2020</v>
      </c>
      <c r="B1601" s="3" t="s">
        <v>320</v>
      </c>
      <c r="C1601" s="3" t="s">
        <v>735</v>
      </c>
      <c r="D1601" s="3" t="s">
        <v>735</v>
      </c>
      <c r="E1601" s="8">
        <v>22680287</v>
      </c>
      <c r="F1601" s="2">
        <v>1.8310000000000001E-4</v>
      </c>
      <c r="G1601" s="17">
        <f>F1601 * VLOOKUP('GASB Data'!A1601,Check!$A$2:$F$11,6,FALSE)</f>
        <v>376284.23249999998</v>
      </c>
    </row>
    <row r="1602" spans="1:7" x14ac:dyDescent="0.2">
      <c r="A1602">
        <v>2020</v>
      </c>
      <c r="B1602" s="3" t="s">
        <v>321</v>
      </c>
      <c r="C1602" s="3" t="s">
        <v>736</v>
      </c>
      <c r="D1602" s="3" t="s">
        <v>736</v>
      </c>
      <c r="E1602" s="8">
        <v>422094825</v>
      </c>
      <c r="F1602" s="2">
        <v>3.4074999999999999E-3</v>
      </c>
      <c r="G1602" s="17">
        <f>F1602 * VLOOKUP('GASB Data'!A1602,Check!$A$2:$F$11,6,FALSE)</f>
        <v>7002668.0625</v>
      </c>
    </row>
    <row r="1603" spans="1:7" x14ac:dyDescent="0.2">
      <c r="A1603">
        <v>2020</v>
      </c>
      <c r="B1603" s="3" t="s">
        <v>322</v>
      </c>
      <c r="C1603" s="3" t="s">
        <v>737</v>
      </c>
      <c r="D1603" s="3" t="s">
        <v>737</v>
      </c>
      <c r="E1603" s="8">
        <v>42974990</v>
      </c>
      <c r="F1603" s="2">
        <v>3.4689999999999998E-4</v>
      </c>
      <c r="G1603" s="17">
        <f>F1603 * VLOOKUP('GASB Data'!A1603,Check!$A$2:$F$11,6,FALSE)</f>
        <v>712905.51749999996</v>
      </c>
    </row>
    <row r="1604" spans="1:7" x14ac:dyDescent="0.2">
      <c r="A1604">
        <v>2020</v>
      </c>
      <c r="B1604" s="3" t="s">
        <v>323</v>
      </c>
      <c r="C1604" s="3" t="s">
        <v>738</v>
      </c>
      <c r="D1604" s="3" t="s">
        <v>738</v>
      </c>
      <c r="E1604" s="8">
        <v>882724302</v>
      </c>
      <c r="F1604" s="2">
        <v>7.1260999999999998E-3</v>
      </c>
      <c r="G1604" s="17">
        <f>F1604 * VLOOKUP('GASB Data'!A1604,Check!$A$2:$F$11,6,FALSE)</f>
        <v>14644669.9575</v>
      </c>
    </row>
    <row r="1605" spans="1:7" x14ac:dyDescent="0.2">
      <c r="A1605">
        <v>2020</v>
      </c>
      <c r="B1605" s="3" t="s">
        <v>324</v>
      </c>
      <c r="C1605" s="3" t="s">
        <v>907</v>
      </c>
      <c r="D1605" s="3" t="s">
        <v>907</v>
      </c>
      <c r="E1605" s="8">
        <v>23844976</v>
      </c>
      <c r="F1605" s="2">
        <v>1.9249999999999999E-4</v>
      </c>
      <c r="G1605" s="17">
        <f>F1605 * VLOOKUP('GASB Data'!A1605,Check!$A$2:$F$11,6,FALSE)</f>
        <v>395601.9375</v>
      </c>
    </row>
    <row r="1606" spans="1:7" x14ac:dyDescent="0.2">
      <c r="A1606">
        <v>2020</v>
      </c>
      <c r="B1606" s="3" t="s">
        <v>325</v>
      </c>
      <c r="C1606" s="3" t="s">
        <v>740</v>
      </c>
      <c r="D1606" s="3" t="s">
        <v>740</v>
      </c>
      <c r="E1606" s="8">
        <v>1203921</v>
      </c>
      <c r="F1606" s="2">
        <v>9.7000000000000003E-6</v>
      </c>
      <c r="G1606" s="17">
        <f>F1606 * VLOOKUP('GASB Data'!A1606,Check!$A$2:$F$11,6,FALSE)</f>
        <v>19934.227500000001</v>
      </c>
    </row>
    <row r="1607" spans="1:7" x14ac:dyDescent="0.2">
      <c r="A1607">
        <v>2020</v>
      </c>
      <c r="B1607" s="3" t="s">
        <v>326</v>
      </c>
      <c r="C1607" s="3" t="s">
        <v>741</v>
      </c>
      <c r="D1607" s="3" t="s">
        <v>741</v>
      </c>
      <c r="E1607" s="8">
        <v>85850361</v>
      </c>
      <c r="F1607" s="2">
        <v>6.9309999999999999E-4</v>
      </c>
      <c r="G1607" s="17">
        <f>F1607 * VLOOKUP('GASB Data'!A1607,Check!$A$2:$F$11,6,FALSE)</f>
        <v>1424372.4824999999</v>
      </c>
    </row>
    <row r="1608" spans="1:7" x14ac:dyDescent="0.2">
      <c r="A1608">
        <v>2020</v>
      </c>
      <c r="B1608" s="3" t="s">
        <v>327</v>
      </c>
      <c r="C1608" s="3" t="s">
        <v>742</v>
      </c>
      <c r="D1608" s="3" t="s">
        <v>742</v>
      </c>
      <c r="E1608" s="8">
        <v>284020343</v>
      </c>
      <c r="F1608" s="2">
        <v>2.2929000000000001E-3</v>
      </c>
      <c r="G1608" s="17">
        <f>F1608 * VLOOKUP('GASB Data'!A1608,Check!$A$2:$F$11,6,FALSE)</f>
        <v>4712081.4675000003</v>
      </c>
    </row>
    <row r="1609" spans="1:7" x14ac:dyDescent="0.2">
      <c r="A1609">
        <v>2020</v>
      </c>
      <c r="B1609" s="3" t="s">
        <v>382</v>
      </c>
      <c r="C1609" s="3" t="s">
        <v>743</v>
      </c>
      <c r="D1609" s="3" t="s">
        <v>743</v>
      </c>
      <c r="E1609" s="8">
        <v>188382503</v>
      </c>
      <c r="F1609" s="2">
        <v>1.5208000000000001E-3</v>
      </c>
      <c r="G1609" s="17">
        <f>F1609 * VLOOKUP('GASB Data'!A1609,Check!$A$2:$F$11,6,FALSE)</f>
        <v>3125358.06</v>
      </c>
    </row>
    <row r="1610" spans="1:7" x14ac:dyDescent="0.2">
      <c r="A1610">
        <v>2020</v>
      </c>
      <c r="B1610" s="3" t="s">
        <v>383</v>
      </c>
      <c r="C1610" s="3" t="s">
        <v>744</v>
      </c>
      <c r="D1610" s="3" t="s">
        <v>744</v>
      </c>
      <c r="E1610" s="8">
        <v>79423861</v>
      </c>
      <c r="F1610" s="2">
        <v>6.4119999999999997E-4</v>
      </c>
      <c r="G1610" s="17">
        <f>F1610 * VLOOKUP('GASB Data'!A1610,Check!$A$2:$F$11,6,FALSE)</f>
        <v>1317714.0899999999</v>
      </c>
    </row>
    <row r="1611" spans="1:7" x14ac:dyDescent="0.2">
      <c r="A1611">
        <v>2020</v>
      </c>
      <c r="B1611" s="3" t="s">
        <v>384</v>
      </c>
      <c r="C1611" s="3" t="s">
        <v>745</v>
      </c>
      <c r="D1611" s="3" t="s">
        <v>745</v>
      </c>
      <c r="E1611" s="8">
        <v>1705761146</v>
      </c>
      <c r="F1611" s="2">
        <v>1.37704E-2</v>
      </c>
      <c r="G1611" s="17">
        <f>F1611 * VLOOKUP('GASB Data'!A1611,Check!$A$2:$F$11,6,FALSE)</f>
        <v>28299204.780000001</v>
      </c>
    </row>
    <row r="1612" spans="1:7" x14ac:dyDescent="0.2">
      <c r="A1612">
        <v>2020</v>
      </c>
      <c r="B1612" s="3" t="s">
        <v>385</v>
      </c>
      <c r="C1612" s="3" t="s">
        <v>746</v>
      </c>
      <c r="D1612" s="3" t="s">
        <v>746</v>
      </c>
      <c r="E1612" s="8">
        <v>145914351</v>
      </c>
      <c r="F1612" s="2">
        <v>1.1779E-3</v>
      </c>
      <c r="G1612" s="17">
        <f>F1612 * VLOOKUP('GASB Data'!A1612,Check!$A$2:$F$11,6,FALSE)</f>
        <v>2420672.8424999998</v>
      </c>
    </row>
    <row r="1613" spans="1:7" x14ac:dyDescent="0.2">
      <c r="A1613">
        <v>2020</v>
      </c>
      <c r="B1613" s="3" t="s">
        <v>386</v>
      </c>
      <c r="C1613" s="3" t="s">
        <v>747</v>
      </c>
      <c r="D1613" s="3" t="s">
        <v>747</v>
      </c>
      <c r="E1613" s="8">
        <v>35332752</v>
      </c>
      <c r="F1613" s="2">
        <v>2.8519999999999999E-4</v>
      </c>
      <c r="G1613" s="17">
        <f>F1613 * VLOOKUP('GASB Data'!A1613,Check!$A$2:$F$11,6,FALSE)</f>
        <v>586107.39</v>
      </c>
    </row>
    <row r="1614" spans="1:7" x14ac:dyDescent="0.2">
      <c r="A1614">
        <v>2020</v>
      </c>
      <c r="B1614" s="3" t="s">
        <v>387</v>
      </c>
      <c r="C1614" s="3" t="s">
        <v>748</v>
      </c>
      <c r="D1614" s="3" t="s">
        <v>748</v>
      </c>
      <c r="E1614" s="8">
        <v>62923356</v>
      </c>
      <c r="F1614" s="2">
        <v>5.0799999999999999E-4</v>
      </c>
      <c r="G1614" s="17">
        <f>F1614 * VLOOKUP('GASB Data'!A1614,Check!$A$2:$F$11,6,FALSE)</f>
        <v>1043978.1</v>
      </c>
    </row>
    <row r="1615" spans="1:7" x14ac:dyDescent="0.2">
      <c r="A1615">
        <v>2020</v>
      </c>
      <c r="B1615" s="3" t="s">
        <v>388</v>
      </c>
      <c r="C1615" s="3" t="s">
        <v>749</v>
      </c>
      <c r="D1615" s="3" t="s">
        <v>749</v>
      </c>
      <c r="E1615" s="8">
        <v>482382202</v>
      </c>
      <c r="F1615" s="2">
        <v>3.8942E-3</v>
      </c>
      <c r="G1615" s="17">
        <f>F1615 * VLOOKUP('GASB Data'!A1615,Check!$A$2:$F$11,6,FALSE)</f>
        <v>8002873.0650000004</v>
      </c>
    </row>
    <row r="1616" spans="1:7" x14ac:dyDescent="0.2">
      <c r="A1616">
        <v>2020</v>
      </c>
      <c r="B1616" s="3" t="s">
        <v>389</v>
      </c>
      <c r="C1616" s="3" t="s">
        <v>750</v>
      </c>
      <c r="D1616" s="3" t="s">
        <v>750</v>
      </c>
      <c r="E1616" s="8">
        <v>176092597</v>
      </c>
      <c r="F1616" s="2">
        <v>1.4216000000000001E-3</v>
      </c>
      <c r="G1616" s="17">
        <f>F1616 * VLOOKUP('GASB Data'!A1616,Check!$A$2:$F$11,6,FALSE)</f>
        <v>2921494.62</v>
      </c>
    </row>
    <row r="1617" spans="1:7" x14ac:dyDescent="0.2">
      <c r="A1617">
        <v>2020</v>
      </c>
      <c r="B1617" s="3" t="s">
        <v>390</v>
      </c>
      <c r="C1617" s="3" t="s">
        <v>751</v>
      </c>
      <c r="D1617" s="3" t="s">
        <v>751</v>
      </c>
      <c r="E1617" s="8">
        <v>369831981</v>
      </c>
      <c r="F1617" s="2">
        <v>2.9856000000000001E-3</v>
      </c>
      <c r="G1617" s="17">
        <f>F1617 * VLOOKUP('GASB Data'!A1617,Check!$A$2:$F$11,6,FALSE)</f>
        <v>6135631.9199999999</v>
      </c>
    </row>
    <row r="1618" spans="1:7" x14ac:dyDescent="0.2">
      <c r="A1618">
        <v>2020</v>
      </c>
      <c r="B1618" s="3" t="s">
        <v>391</v>
      </c>
      <c r="C1618" s="3" t="s">
        <v>752</v>
      </c>
      <c r="D1618" s="3" t="s">
        <v>752</v>
      </c>
      <c r="E1618" s="8">
        <v>3991419</v>
      </c>
      <c r="F1618" s="2">
        <v>3.2199999999999997E-5</v>
      </c>
      <c r="G1618" s="17">
        <f>F1618 * VLOOKUP('GASB Data'!A1618,Check!$A$2:$F$11,6,FALSE)</f>
        <v>66173.414999999994</v>
      </c>
    </row>
    <row r="1619" spans="1:7" x14ac:dyDescent="0.2">
      <c r="A1619">
        <v>2020</v>
      </c>
      <c r="B1619" s="3" t="s">
        <v>392</v>
      </c>
      <c r="C1619" s="3" t="s">
        <v>753</v>
      </c>
      <c r="D1619" s="3" t="s">
        <v>753</v>
      </c>
      <c r="E1619" s="8">
        <v>116601047</v>
      </c>
      <c r="F1619" s="2">
        <v>9.4129999999999995E-4</v>
      </c>
      <c r="G1619" s="17">
        <f>F1619 * VLOOKUP('GASB Data'!A1619,Check!$A$2:$F$11,6,FALSE)</f>
        <v>1934442.0974999999</v>
      </c>
    </row>
    <row r="1620" spans="1:7" x14ac:dyDescent="0.2">
      <c r="A1620">
        <v>2020</v>
      </c>
      <c r="B1620" s="3" t="s">
        <v>393</v>
      </c>
      <c r="C1620" s="3" t="s">
        <v>754</v>
      </c>
      <c r="D1620" s="3" t="s">
        <v>754</v>
      </c>
      <c r="E1620" s="8">
        <v>497769829</v>
      </c>
      <c r="F1620" s="2">
        <v>4.0184000000000001E-3</v>
      </c>
      <c r="G1620" s="17">
        <f>F1620 * VLOOKUP('GASB Data'!A1620,Check!$A$2:$F$11,6,FALSE)</f>
        <v>8258113.3799999999</v>
      </c>
    </row>
    <row r="1621" spans="1:7" x14ac:dyDescent="0.2">
      <c r="A1621">
        <v>2020</v>
      </c>
      <c r="B1621" s="3" t="s">
        <v>394</v>
      </c>
      <c r="C1621" s="3" t="s">
        <v>755</v>
      </c>
      <c r="D1621" s="3" t="s">
        <v>755</v>
      </c>
      <c r="E1621" s="8">
        <v>210472380</v>
      </c>
      <c r="F1621" s="2">
        <v>1.6991E-3</v>
      </c>
      <c r="G1621" s="17">
        <f>F1621 * VLOOKUP('GASB Data'!A1621,Check!$A$2:$F$11,6,FALSE)</f>
        <v>3491777.9325000001</v>
      </c>
    </row>
    <row r="1622" spans="1:7" x14ac:dyDescent="0.2">
      <c r="A1622">
        <v>2020</v>
      </c>
      <c r="B1622" s="3" t="s">
        <v>395</v>
      </c>
      <c r="C1622" s="3" t="s">
        <v>756</v>
      </c>
      <c r="D1622" s="3" t="s">
        <v>756</v>
      </c>
      <c r="E1622" s="8">
        <v>116606749</v>
      </c>
      <c r="F1622" s="2">
        <v>9.4140000000000001E-4</v>
      </c>
      <c r="G1622" s="17">
        <f>F1622 * VLOOKUP('GASB Data'!A1622,Check!$A$2:$F$11,6,FALSE)</f>
        <v>1934647.605</v>
      </c>
    </row>
    <row r="1623" spans="1:7" x14ac:dyDescent="0.2">
      <c r="A1623">
        <v>2020</v>
      </c>
      <c r="B1623" s="3" t="s">
        <v>396</v>
      </c>
      <c r="C1623" s="3" t="s">
        <v>757</v>
      </c>
      <c r="D1623" s="3" t="s">
        <v>757</v>
      </c>
      <c r="E1623" s="8">
        <v>155997806</v>
      </c>
      <c r="F1623" s="2">
        <v>1.2593999999999999E-3</v>
      </c>
      <c r="G1623" s="17">
        <f>F1623 * VLOOKUP('GASB Data'!A1623,Check!$A$2:$F$11,6,FALSE)</f>
        <v>2588161.4550000001</v>
      </c>
    </row>
    <row r="1624" spans="1:7" x14ac:dyDescent="0.2">
      <c r="A1624">
        <v>2020</v>
      </c>
      <c r="B1624" s="3" t="s">
        <v>397</v>
      </c>
      <c r="C1624" s="3" t="s">
        <v>758</v>
      </c>
      <c r="D1624" s="3" t="s">
        <v>758</v>
      </c>
      <c r="E1624" s="8">
        <v>30867223</v>
      </c>
      <c r="F1624" s="2">
        <v>2.4919999999999999E-4</v>
      </c>
      <c r="G1624" s="17">
        <f>F1624 * VLOOKUP('GASB Data'!A1624,Check!$A$2:$F$11,6,FALSE)</f>
        <v>512124.68999999994</v>
      </c>
    </row>
    <row r="1625" spans="1:7" x14ac:dyDescent="0.2">
      <c r="A1625">
        <v>2020</v>
      </c>
      <c r="B1625" s="3" t="s">
        <v>398</v>
      </c>
      <c r="C1625" s="3" t="s">
        <v>759</v>
      </c>
      <c r="D1625" s="3" t="s">
        <v>759</v>
      </c>
      <c r="E1625" s="8">
        <v>295528130</v>
      </c>
      <c r="F1625" s="2">
        <v>2.3858E-3</v>
      </c>
      <c r="G1625" s="17">
        <f>F1625 * VLOOKUP('GASB Data'!A1625,Check!$A$2:$F$11,6,FALSE)</f>
        <v>4902997.9349999996</v>
      </c>
    </row>
    <row r="1626" spans="1:7" x14ac:dyDescent="0.2">
      <c r="A1626">
        <v>2020</v>
      </c>
      <c r="B1626" s="3" t="s">
        <v>399</v>
      </c>
      <c r="C1626" s="3" t="s">
        <v>760</v>
      </c>
      <c r="D1626" s="3" t="s">
        <v>760</v>
      </c>
      <c r="E1626" s="8">
        <v>33073862</v>
      </c>
      <c r="F1626" s="2">
        <v>2.6699999999999998E-4</v>
      </c>
      <c r="G1626" s="17">
        <f>F1626 * VLOOKUP('GASB Data'!A1626,Check!$A$2:$F$11,6,FALSE)</f>
        <v>548705.02500000002</v>
      </c>
    </row>
    <row r="1627" spans="1:7" x14ac:dyDescent="0.2">
      <c r="A1627">
        <v>2020</v>
      </c>
      <c r="B1627" s="3" t="s">
        <v>400</v>
      </c>
      <c r="C1627" s="3" t="s">
        <v>761</v>
      </c>
      <c r="D1627" s="3" t="s">
        <v>761</v>
      </c>
      <c r="E1627" s="8">
        <v>7478824042</v>
      </c>
      <c r="F1627" s="2">
        <v>6.0375600000000001E-2</v>
      </c>
      <c r="G1627" s="17">
        <f>F1627 * VLOOKUP('GASB Data'!A1627,Check!$A$2:$F$11,6,FALSE)</f>
        <v>124076386.17</v>
      </c>
    </row>
    <row r="1628" spans="1:7" x14ac:dyDescent="0.2">
      <c r="A1628">
        <v>2020</v>
      </c>
      <c r="B1628" s="3" t="s">
        <v>403</v>
      </c>
      <c r="C1628" s="3" t="s">
        <v>764</v>
      </c>
      <c r="D1628" s="3" t="s">
        <v>764</v>
      </c>
      <c r="E1628" s="8">
        <v>50378796</v>
      </c>
      <c r="F1628" s="2">
        <v>4.0670000000000002E-4</v>
      </c>
      <c r="G1628" s="17">
        <f>F1628 * VLOOKUP('GASB Data'!A1628,Check!$A$2:$F$11,6,FALSE)</f>
        <v>835799.00250000006</v>
      </c>
    </row>
    <row r="1629" spans="1:7" x14ac:dyDescent="0.2">
      <c r="A1629">
        <v>2020</v>
      </c>
      <c r="B1629" s="3" t="s">
        <v>404</v>
      </c>
      <c r="C1629" s="3" t="s">
        <v>765</v>
      </c>
      <c r="D1629" s="3" t="s">
        <v>765</v>
      </c>
      <c r="E1629" s="8">
        <v>37618733</v>
      </c>
      <c r="F1629" s="2">
        <v>3.0370000000000001E-4</v>
      </c>
      <c r="G1629" s="17">
        <f>F1629 * VLOOKUP('GASB Data'!A1629,Check!$A$2:$F$11,6,FALSE)</f>
        <v>624126.27749999997</v>
      </c>
    </row>
    <row r="1630" spans="1:7" x14ac:dyDescent="0.2">
      <c r="A1630">
        <v>2020</v>
      </c>
      <c r="B1630" s="3" t="s">
        <v>405</v>
      </c>
      <c r="C1630" s="3" t="s">
        <v>766</v>
      </c>
      <c r="D1630" s="3" t="s">
        <v>766</v>
      </c>
      <c r="E1630" s="8">
        <v>577655641</v>
      </c>
      <c r="F1630" s="2">
        <v>4.6633000000000004E-3</v>
      </c>
      <c r="G1630" s="17">
        <f>F1630 * VLOOKUP('GASB Data'!A1630,Check!$A$2:$F$11,6,FALSE)</f>
        <v>9583431.2475000005</v>
      </c>
    </row>
    <row r="1631" spans="1:7" x14ac:dyDescent="0.2">
      <c r="A1631">
        <v>2020</v>
      </c>
      <c r="B1631" s="3" t="s">
        <v>406</v>
      </c>
      <c r="C1631" s="3" t="s">
        <v>767</v>
      </c>
      <c r="D1631" s="3" t="s">
        <v>767</v>
      </c>
      <c r="E1631" s="8">
        <v>86396262</v>
      </c>
      <c r="F1631" s="2">
        <v>6.9749999999999999E-4</v>
      </c>
      <c r="G1631" s="17">
        <f>F1631 * VLOOKUP('GASB Data'!A1631,Check!$A$2:$F$11,6,FALSE)</f>
        <v>1433414.8125</v>
      </c>
    </row>
    <row r="1632" spans="1:7" x14ac:dyDescent="0.2">
      <c r="A1632">
        <v>2020</v>
      </c>
      <c r="B1632" s="3" t="s">
        <v>407</v>
      </c>
      <c r="C1632" s="3" t="s">
        <v>768</v>
      </c>
      <c r="D1632" s="3" t="s">
        <v>768</v>
      </c>
      <c r="E1632" s="8">
        <v>27589671</v>
      </c>
      <c r="F1632" s="2">
        <v>2.2269999999999999E-4</v>
      </c>
      <c r="G1632" s="17">
        <f>F1632 * VLOOKUP('GASB Data'!A1632,Check!$A$2:$F$11,6,FALSE)</f>
        <v>457665.20249999996</v>
      </c>
    </row>
    <row r="1633" spans="1:7" x14ac:dyDescent="0.2">
      <c r="A1633">
        <v>2020</v>
      </c>
      <c r="B1633" s="3" t="s">
        <v>408</v>
      </c>
      <c r="C1633" s="3" t="s">
        <v>769</v>
      </c>
      <c r="D1633" s="3" t="s">
        <v>769</v>
      </c>
      <c r="E1633" s="8">
        <v>74340677</v>
      </c>
      <c r="F1633" s="2">
        <v>6.001E-4</v>
      </c>
      <c r="G1633" s="17">
        <f>F1633 * VLOOKUP('GASB Data'!A1633,Check!$A$2:$F$11,6,FALSE)</f>
        <v>1233250.5075000001</v>
      </c>
    </row>
    <row r="1634" spans="1:7" x14ac:dyDescent="0.2">
      <c r="A1634">
        <v>2020</v>
      </c>
      <c r="B1634" s="3" t="s">
        <v>409</v>
      </c>
      <c r="C1634" s="3" t="s">
        <v>770</v>
      </c>
      <c r="D1634" s="3" t="s">
        <v>770</v>
      </c>
      <c r="E1634" s="8">
        <v>12598455</v>
      </c>
      <c r="F1634" s="2">
        <v>1.0170000000000001E-4</v>
      </c>
      <c r="G1634" s="17">
        <f>F1634 * VLOOKUP('GASB Data'!A1634,Check!$A$2:$F$11,6,FALSE)</f>
        <v>209001.1275</v>
      </c>
    </row>
    <row r="1635" spans="1:7" x14ac:dyDescent="0.2">
      <c r="A1635">
        <v>2020</v>
      </c>
      <c r="B1635" s="3" t="s">
        <v>410</v>
      </c>
      <c r="C1635" s="3" t="s">
        <v>771</v>
      </c>
      <c r="D1635" s="3" t="s">
        <v>771</v>
      </c>
      <c r="E1635" s="8">
        <v>88837572</v>
      </c>
      <c r="F1635" s="2">
        <v>7.1719999999999998E-4</v>
      </c>
      <c r="G1635" s="17">
        <f>F1635 * VLOOKUP('GASB Data'!A1635,Check!$A$2:$F$11,6,FALSE)</f>
        <v>1473899.79</v>
      </c>
    </row>
    <row r="1636" spans="1:7" x14ac:dyDescent="0.2">
      <c r="A1636">
        <v>2020</v>
      </c>
      <c r="B1636" s="3" t="s">
        <v>411</v>
      </c>
      <c r="C1636" s="3" t="s">
        <v>772</v>
      </c>
      <c r="D1636" s="3" t="s">
        <v>772</v>
      </c>
      <c r="E1636" s="8">
        <v>37115335</v>
      </c>
      <c r="F1636" s="2">
        <v>2.9960000000000002E-4</v>
      </c>
      <c r="G1636" s="17">
        <f>F1636 * VLOOKUP('GASB Data'!A1636,Check!$A$2:$F$11,6,FALSE)</f>
        <v>615700.47000000009</v>
      </c>
    </row>
    <row r="1637" spans="1:7" x14ac:dyDescent="0.2">
      <c r="A1637">
        <v>2020</v>
      </c>
      <c r="B1637" s="3" t="s">
        <v>412</v>
      </c>
      <c r="C1637" s="3" t="s">
        <v>773</v>
      </c>
      <c r="D1637" s="3" t="s">
        <v>773</v>
      </c>
      <c r="E1637" s="8">
        <v>46141058</v>
      </c>
      <c r="F1637" s="2">
        <v>3.725E-4</v>
      </c>
      <c r="G1637" s="17">
        <f>F1637 * VLOOKUP('GASB Data'!A1637,Check!$A$2:$F$11,6,FALSE)</f>
        <v>765515.4375</v>
      </c>
    </row>
    <row r="1638" spans="1:7" x14ac:dyDescent="0.2">
      <c r="A1638">
        <v>2020</v>
      </c>
      <c r="B1638" s="3" t="s">
        <v>413</v>
      </c>
      <c r="C1638" s="3" t="s">
        <v>774</v>
      </c>
      <c r="D1638" s="3" t="s">
        <v>774</v>
      </c>
      <c r="E1638" s="8">
        <v>178523766</v>
      </c>
      <c r="F1638" s="2">
        <v>1.4411999999999999E-3</v>
      </c>
      <c r="G1638" s="17">
        <f>F1638 * VLOOKUP('GASB Data'!A1638,Check!$A$2:$F$11,6,FALSE)</f>
        <v>2961774.09</v>
      </c>
    </row>
    <row r="1639" spans="1:7" x14ac:dyDescent="0.2">
      <c r="A1639">
        <v>2020</v>
      </c>
      <c r="B1639" s="3" t="s">
        <v>414</v>
      </c>
      <c r="C1639" s="3" t="s">
        <v>775</v>
      </c>
      <c r="D1639" s="3" t="s">
        <v>775</v>
      </c>
      <c r="E1639" s="8">
        <v>38250257</v>
      </c>
      <c r="F1639" s="2">
        <v>3.0880000000000002E-4</v>
      </c>
      <c r="G1639" s="17">
        <f>F1639 * VLOOKUP('GASB Data'!A1639,Check!$A$2:$F$11,6,FALSE)</f>
        <v>634607.16</v>
      </c>
    </row>
    <row r="1640" spans="1:7" x14ac:dyDescent="0.2">
      <c r="A1640">
        <v>2020</v>
      </c>
      <c r="B1640" s="3" t="s">
        <v>415</v>
      </c>
      <c r="C1640" s="3" t="s">
        <v>776</v>
      </c>
      <c r="D1640" s="3" t="s">
        <v>776</v>
      </c>
      <c r="E1640" s="8">
        <v>616449593</v>
      </c>
      <c r="F1640" s="2">
        <v>4.9765E-3</v>
      </c>
      <c r="G1640" s="17">
        <f>F1640 * VLOOKUP('GASB Data'!A1640,Check!$A$2:$F$11,6,FALSE)</f>
        <v>10227080.737500001</v>
      </c>
    </row>
    <row r="1641" spans="1:7" x14ac:dyDescent="0.2">
      <c r="A1641">
        <v>2020</v>
      </c>
      <c r="B1641" s="3" t="s">
        <v>416</v>
      </c>
      <c r="C1641" s="3" t="s">
        <v>777</v>
      </c>
      <c r="D1641" s="3" t="s">
        <v>777</v>
      </c>
      <c r="E1641" s="8">
        <v>13677517</v>
      </c>
      <c r="F1641" s="2">
        <v>1.104E-4</v>
      </c>
      <c r="G1641" s="17">
        <f>F1641 * VLOOKUP('GASB Data'!A1641,Check!$A$2:$F$11,6,FALSE)</f>
        <v>226880.28</v>
      </c>
    </row>
    <row r="1642" spans="1:7" x14ac:dyDescent="0.2">
      <c r="A1642">
        <v>2020</v>
      </c>
      <c r="B1642" s="3" t="s">
        <v>417</v>
      </c>
      <c r="C1642" s="3" t="s">
        <v>778</v>
      </c>
      <c r="D1642" s="3" t="s">
        <v>778</v>
      </c>
      <c r="E1642" s="8">
        <v>18747355</v>
      </c>
      <c r="F1642" s="2">
        <v>1.5129999999999999E-4</v>
      </c>
      <c r="G1642" s="17">
        <f>F1642 * VLOOKUP('GASB Data'!A1642,Check!$A$2:$F$11,6,FALSE)</f>
        <v>310932.84749999997</v>
      </c>
    </row>
    <row r="1643" spans="1:7" x14ac:dyDescent="0.2">
      <c r="A1643">
        <v>2020</v>
      </c>
      <c r="B1643" s="3" t="s">
        <v>927</v>
      </c>
      <c r="C1643" s="3" t="s">
        <v>926</v>
      </c>
      <c r="D1643" s="3" t="s">
        <v>926</v>
      </c>
      <c r="E1643" s="8">
        <v>28092131</v>
      </c>
      <c r="F1643" s="2">
        <v>2.2680000000000001E-4</v>
      </c>
      <c r="G1643" s="17">
        <f>F1643 * VLOOKUP('GASB Data'!A1643,Check!$A$2:$F$11,6,FALSE)</f>
        <v>466091.01</v>
      </c>
    </row>
    <row r="1644" spans="1:7" x14ac:dyDescent="0.2">
      <c r="A1644">
        <v>2020</v>
      </c>
      <c r="B1644" s="3" t="s">
        <v>418</v>
      </c>
      <c r="C1644" s="3" t="s">
        <v>779</v>
      </c>
      <c r="D1644" s="3" t="s">
        <v>779</v>
      </c>
      <c r="E1644" s="8">
        <v>116333491</v>
      </c>
      <c r="F1644" s="2">
        <v>9.391E-4</v>
      </c>
      <c r="G1644" s="17">
        <f>F1644 * VLOOKUP('GASB Data'!A1644,Check!$A$2:$F$11,6,FALSE)</f>
        <v>1929920.9325000001</v>
      </c>
    </row>
    <row r="1645" spans="1:7" x14ac:dyDescent="0.2">
      <c r="A1645">
        <v>2020</v>
      </c>
      <c r="B1645" s="3" t="s">
        <v>419</v>
      </c>
      <c r="C1645" s="3" t="s">
        <v>780</v>
      </c>
      <c r="D1645" s="3" t="s">
        <v>780</v>
      </c>
      <c r="E1645" s="8">
        <v>636360569</v>
      </c>
      <c r="F1645" s="2">
        <v>5.1373E-3</v>
      </c>
      <c r="G1645" s="17">
        <f>F1645 * VLOOKUP('GASB Data'!A1645,Check!$A$2:$F$11,6,FALSE)</f>
        <v>10557536.797499999</v>
      </c>
    </row>
    <row r="1646" spans="1:7" x14ac:dyDescent="0.2">
      <c r="A1646">
        <v>2020</v>
      </c>
      <c r="B1646" s="3" t="s">
        <v>420</v>
      </c>
      <c r="C1646" s="3" t="s">
        <v>931</v>
      </c>
      <c r="D1646" s="3" t="s">
        <v>931</v>
      </c>
      <c r="E1646" s="8">
        <v>103799690</v>
      </c>
      <c r="F1646" s="2">
        <v>8.3799999999999999E-4</v>
      </c>
      <c r="G1646" s="17">
        <f>F1646 * VLOOKUP('GASB Data'!A1646,Check!$A$2:$F$11,6,FALSE)</f>
        <v>1722152.8499999999</v>
      </c>
    </row>
    <row r="1647" spans="1:7" x14ac:dyDescent="0.2">
      <c r="A1647">
        <v>2020</v>
      </c>
      <c r="B1647" s="3" t="s">
        <v>421</v>
      </c>
      <c r="C1647" s="3" t="s">
        <v>782</v>
      </c>
      <c r="D1647" s="3" t="s">
        <v>782</v>
      </c>
      <c r="E1647" s="8">
        <v>1339250653</v>
      </c>
      <c r="F1647" s="2">
        <v>1.0811599999999999E-2</v>
      </c>
      <c r="G1647" s="17">
        <f>F1647 * VLOOKUP('GASB Data'!A1647,Check!$A$2:$F$11,6,FALSE)</f>
        <v>22218648.869999997</v>
      </c>
    </row>
    <row r="1648" spans="1:7" x14ac:dyDescent="0.2">
      <c r="A1648">
        <v>2020</v>
      </c>
      <c r="B1648" s="3" t="s">
        <v>422</v>
      </c>
      <c r="C1648" s="3" t="s">
        <v>910</v>
      </c>
      <c r="D1648" s="3" t="s">
        <v>910</v>
      </c>
      <c r="E1648" s="8">
        <v>17739222</v>
      </c>
      <c r="F1648" s="2">
        <v>1.4320000000000001E-4</v>
      </c>
      <c r="G1648" s="17">
        <f>F1648 * VLOOKUP('GASB Data'!A1648,Check!$A$2:$F$11,6,FALSE)</f>
        <v>294286.74000000005</v>
      </c>
    </row>
    <row r="1649" spans="1:7" x14ac:dyDescent="0.2">
      <c r="A1649">
        <v>2020</v>
      </c>
      <c r="B1649" s="3" t="s">
        <v>423</v>
      </c>
      <c r="C1649" s="3" t="s">
        <v>784</v>
      </c>
      <c r="D1649" s="3" t="s">
        <v>784</v>
      </c>
      <c r="E1649" s="8">
        <v>5487334</v>
      </c>
      <c r="F1649" s="2">
        <v>4.4299999999999999E-5</v>
      </c>
      <c r="G1649" s="17">
        <f>F1649 * VLOOKUP('GASB Data'!A1649,Check!$A$2:$F$11,6,FALSE)</f>
        <v>91039.822499999995</v>
      </c>
    </row>
    <row r="1650" spans="1:7" x14ac:dyDescent="0.2">
      <c r="A1650">
        <v>2020</v>
      </c>
      <c r="B1650" s="3" t="s">
        <v>424</v>
      </c>
      <c r="C1650" s="3" t="s">
        <v>785</v>
      </c>
      <c r="D1650" s="3" t="s">
        <v>785</v>
      </c>
      <c r="E1650" s="8">
        <v>252025240</v>
      </c>
      <c r="F1650" s="2">
        <v>2.0346000000000001E-3</v>
      </c>
      <c r="G1650" s="17">
        <f>F1650 * VLOOKUP('GASB Data'!A1650,Check!$A$2:$F$11,6,FALSE)</f>
        <v>4181255.5950000002</v>
      </c>
    </row>
    <row r="1651" spans="1:7" x14ac:dyDescent="0.2">
      <c r="A1651">
        <v>2020</v>
      </c>
      <c r="B1651" s="3" t="s">
        <v>425</v>
      </c>
      <c r="C1651" s="3" t="s">
        <v>786</v>
      </c>
      <c r="D1651" s="3" t="s">
        <v>786</v>
      </c>
      <c r="E1651" s="8">
        <v>86272576</v>
      </c>
      <c r="F1651" s="2">
        <v>6.9649999999999996E-4</v>
      </c>
      <c r="G1651" s="17">
        <f>F1651 * VLOOKUP('GASB Data'!A1651,Check!$A$2:$F$11,6,FALSE)</f>
        <v>1431359.7374999998</v>
      </c>
    </row>
    <row r="1652" spans="1:7" x14ac:dyDescent="0.2">
      <c r="A1652">
        <v>2020</v>
      </c>
      <c r="B1652" s="3" t="s">
        <v>426</v>
      </c>
      <c r="C1652" s="3" t="s">
        <v>787</v>
      </c>
      <c r="D1652" s="3" t="s">
        <v>787</v>
      </c>
      <c r="E1652" s="8">
        <v>47176118</v>
      </c>
      <c r="F1652" s="2">
        <v>3.8079999999999999E-4</v>
      </c>
      <c r="G1652" s="17">
        <f>F1652 * VLOOKUP('GASB Data'!A1652,Check!$A$2:$F$11,6,FALSE)</f>
        <v>782572.55999999994</v>
      </c>
    </row>
    <row r="1653" spans="1:7" x14ac:dyDescent="0.2">
      <c r="A1653">
        <v>2020</v>
      </c>
      <c r="B1653" s="3" t="s">
        <v>427</v>
      </c>
      <c r="C1653" s="3" t="s">
        <v>788</v>
      </c>
      <c r="D1653" s="3" t="s">
        <v>788</v>
      </c>
      <c r="E1653" s="8">
        <v>1187827392</v>
      </c>
      <c r="F1653" s="2">
        <v>9.5892000000000008E-3</v>
      </c>
      <c r="G1653" s="17">
        <f>F1653 * VLOOKUP('GASB Data'!A1653,Check!$A$2:$F$11,6,FALSE)</f>
        <v>19706525.190000001</v>
      </c>
    </row>
    <row r="1654" spans="1:7" x14ac:dyDescent="0.2">
      <c r="A1654">
        <v>2020</v>
      </c>
      <c r="B1654" s="3" t="s">
        <v>428</v>
      </c>
      <c r="C1654" s="3" t="s">
        <v>789</v>
      </c>
      <c r="D1654" s="3" t="s">
        <v>789</v>
      </c>
      <c r="E1654" s="8">
        <v>5884944</v>
      </c>
      <c r="F1654" s="2">
        <v>4.7500000000000003E-5</v>
      </c>
      <c r="G1654" s="17">
        <f>F1654 * VLOOKUP('GASB Data'!A1654,Check!$A$2:$F$11,6,FALSE)</f>
        <v>97616.0625</v>
      </c>
    </row>
    <row r="1655" spans="1:7" x14ac:dyDescent="0.2">
      <c r="A1655">
        <v>2020</v>
      </c>
      <c r="B1655" s="3" t="s">
        <v>429</v>
      </c>
      <c r="C1655" s="3" t="s">
        <v>790</v>
      </c>
      <c r="D1655" s="3" t="s">
        <v>790</v>
      </c>
      <c r="E1655" s="8">
        <v>128303123</v>
      </c>
      <c r="F1655" s="2">
        <v>1.0357999999999999E-3</v>
      </c>
      <c r="G1655" s="17">
        <f>F1655 * VLOOKUP('GASB Data'!A1655,Check!$A$2:$F$11,6,FALSE)</f>
        <v>2128646.6850000001</v>
      </c>
    </row>
    <row r="1656" spans="1:7" x14ac:dyDescent="0.2">
      <c r="A1656">
        <v>2020</v>
      </c>
      <c r="B1656" s="3" t="s">
        <v>430</v>
      </c>
      <c r="C1656" s="3" t="s">
        <v>791</v>
      </c>
      <c r="D1656" s="3" t="s">
        <v>791</v>
      </c>
      <c r="E1656" s="8">
        <v>411125349</v>
      </c>
      <c r="F1656" s="2">
        <v>3.3189999999999999E-3</v>
      </c>
      <c r="G1656" s="17">
        <f>F1656 * VLOOKUP('GASB Data'!A1656,Check!$A$2:$F$11,6,FALSE)</f>
        <v>6820793.9249999998</v>
      </c>
    </row>
    <row r="1657" spans="1:7" x14ac:dyDescent="0.2">
      <c r="A1657">
        <v>2020</v>
      </c>
      <c r="B1657" s="3" t="s">
        <v>432</v>
      </c>
      <c r="C1657" s="3" t="s">
        <v>792</v>
      </c>
      <c r="D1657" s="3" t="s">
        <v>792</v>
      </c>
      <c r="E1657" s="8">
        <v>34040521</v>
      </c>
      <c r="F1657" s="2">
        <v>2.7480000000000001E-4</v>
      </c>
      <c r="G1657" s="17">
        <f>F1657 * VLOOKUP('GASB Data'!A1657,Check!$A$2:$F$11,6,FALSE)</f>
        <v>564734.61</v>
      </c>
    </row>
    <row r="1658" spans="1:7" x14ac:dyDescent="0.2">
      <c r="A1658">
        <v>2020</v>
      </c>
      <c r="B1658" s="3" t="s">
        <v>433</v>
      </c>
      <c r="C1658" s="3" t="s">
        <v>793</v>
      </c>
      <c r="D1658" s="3" t="s">
        <v>793</v>
      </c>
      <c r="E1658" s="8">
        <v>821044541</v>
      </c>
      <c r="F1658" s="2">
        <v>6.6281999999999999E-3</v>
      </c>
      <c r="G1658" s="17">
        <f>F1658 * VLOOKUP('GASB Data'!A1658,Check!$A$2:$F$11,6,FALSE)</f>
        <v>13621448.115</v>
      </c>
    </row>
    <row r="1659" spans="1:7" x14ac:dyDescent="0.2">
      <c r="A1659">
        <v>2020</v>
      </c>
      <c r="B1659" s="3" t="s">
        <v>434</v>
      </c>
      <c r="C1659" s="3" t="s">
        <v>794</v>
      </c>
      <c r="D1659" s="3" t="s">
        <v>794</v>
      </c>
      <c r="E1659" s="8">
        <v>79141881</v>
      </c>
      <c r="F1659" s="2">
        <v>6.3889999999999997E-4</v>
      </c>
      <c r="G1659" s="17">
        <f>F1659 * VLOOKUP('GASB Data'!A1659,Check!$A$2:$F$11,6,FALSE)</f>
        <v>1312987.4175</v>
      </c>
    </row>
    <row r="1660" spans="1:7" x14ac:dyDescent="0.2">
      <c r="A1660">
        <v>2020</v>
      </c>
      <c r="B1660" s="3" t="s">
        <v>435</v>
      </c>
      <c r="C1660" s="3" t="s">
        <v>795</v>
      </c>
      <c r="D1660" s="3" t="s">
        <v>795</v>
      </c>
      <c r="E1660" s="8">
        <v>31244610</v>
      </c>
      <c r="F1660" s="2">
        <v>2.522E-4</v>
      </c>
      <c r="G1660" s="17">
        <f>F1660 * VLOOKUP('GASB Data'!A1660,Check!$A$2:$F$11,6,FALSE)</f>
        <v>518289.91500000004</v>
      </c>
    </row>
    <row r="1661" spans="1:7" x14ac:dyDescent="0.2">
      <c r="A1661">
        <v>2020</v>
      </c>
      <c r="B1661" s="3" t="s">
        <v>490</v>
      </c>
      <c r="C1661" s="3" t="s">
        <v>796</v>
      </c>
      <c r="D1661" s="3" t="s">
        <v>796</v>
      </c>
      <c r="E1661" s="8">
        <v>28807770</v>
      </c>
      <c r="F1661" s="2">
        <v>2.3259999999999999E-4</v>
      </c>
      <c r="G1661" s="17">
        <f>F1661 * VLOOKUP('GASB Data'!A1661,Check!$A$2:$F$11,6,FALSE)</f>
        <v>478010.44499999995</v>
      </c>
    </row>
    <row r="1662" spans="1:7" x14ac:dyDescent="0.2">
      <c r="A1662">
        <v>2020</v>
      </c>
      <c r="B1662" s="3" t="s">
        <v>491</v>
      </c>
      <c r="C1662" s="3" t="s">
        <v>797</v>
      </c>
      <c r="D1662" s="3" t="s">
        <v>797</v>
      </c>
      <c r="E1662" s="8">
        <v>255145116</v>
      </c>
      <c r="F1662" s="2">
        <v>2.0598000000000001E-3</v>
      </c>
      <c r="G1662" s="17">
        <f>F1662 * VLOOKUP('GASB Data'!A1662,Check!$A$2:$F$11,6,FALSE)</f>
        <v>4233043.4850000003</v>
      </c>
    </row>
    <row r="1663" spans="1:7" x14ac:dyDescent="0.2">
      <c r="A1663">
        <v>2020</v>
      </c>
      <c r="B1663" s="3" t="s">
        <v>850</v>
      </c>
      <c r="C1663" s="3" t="s">
        <v>913</v>
      </c>
      <c r="D1663" s="3" t="s">
        <v>913</v>
      </c>
      <c r="E1663" s="8">
        <v>21488880</v>
      </c>
      <c r="F1663" s="2">
        <v>1.7349999999999999E-4</v>
      </c>
      <c r="G1663" s="17">
        <f>F1663 * VLOOKUP('GASB Data'!A1663,Check!$A$2:$F$11,6,FALSE)</f>
        <v>356555.51249999995</v>
      </c>
    </row>
    <row r="1664" spans="1:7" x14ac:dyDescent="0.2">
      <c r="A1664">
        <v>2020</v>
      </c>
      <c r="B1664" s="3" t="s">
        <v>492</v>
      </c>
      <c r="C1664" s="3" t="s">
        <v>799</v>
      </c>
      <c r="D1664" s="3" t="s">
        <v>799</v>
      </c>
      <c r="E1664" s="8">
        <v>66104420</v>
      </c>
      <c r="F1664" s="2">
        <v>5.3370000000000002E-4</v>
      </c>
      <c r="G1664" s="17">
        <f>F1664 * VLOOKUP('GASB Data'!A1664,Check!$A$2:$F$11,6,FALSE)</f>
        <v>1096793.5275000001</v>
      </c>
    </row>
    <row r="1665" spans="1:7" x14ac:dyDescent="0.2">
      <c r="A1665">
        <v>2020</v>
      </c>
      <c r="B1665" s="3" t="s">
        <v>493</v>
      </c>
      <c r="C1665" s="3" t="s">
        <v>800</v>
      </c>
      <c r="D1665" s="3" t="s">
        <v>800</v>
      </c>
      <c r="E1665" s="8">
        <v>426592168</v>
      </c>
      <c r="F1665" s="2">
        <v>3.4437999999999999E-3</v>
      </c>
      <c r="G1665" s="17">
        <f>F1665 * VLOOKUP('GASB Data'!A1665,Check!$A$2:$F$11,6,FALSE)</f>
        <v>7077267.2850000001</v>
      </c>
    </row>
    <row r="1666" spans="1:7" x14ac:dyDescent="0.2">
      <c r="A1666">
        <v>2020</v>
      </c>
      <c r="B1666" s="3" t="s">
        <v>494</v>
      </c>
      <c r="C1666" s="3" t="s">
        <v>801</v>
      </c>
      <c r="D1666" s="3" t="s">
        <v>801</v>
      </c>
      <c r="E1666" s="8">
        <v>85775751</v>
      </c>
      <c r="F1666" s="2">
        <v>6.9249999999999997E-4</v>
      </c>
      <c r="G1666" s="17">
        <f>F1666 * VLOOKUP('GASB Data'!A1666,Check!$A$2:$F$11,6,FALSE)</f>
        <v>1423139.4375</v>
      </c>
    </row>
    <row r="1667" spans="1:7" x14ac:dyDescent="0.2">
      <c r="A1667">
        <v>2020</v>
      </c>
      <c r="B1667" s="3" t="s">
        <v>495</v>
      </c>
      <c r="C1667" s="3" t="s">
        <v>802</v>
      </c>
      <c r="D1667" s="3" t="s">
        <v>802</v>
      </c>
      <c r="E1667" s="8">
        <v>221438675</v>
      </c>
      <c r="F1667" s="2">
        <v>1.7876000000000001E-3</v>
      </c>
      <c r="G1667" s="17">
        <f>F1667 * VLOOKUP('GASB Data'!A1667,Check!$A$2:$F$11,6,FALSE)</f>
        <v>3673652.0700000003</v>
      </c>
    </row>
    <row r="1668" spans="1:7" x14ac:dyDescent="0.2">
      <c r="A1668">
        <v>2020</v>
      </c>
      <c r="B1668" s="3" t="s">
        <v>496</v>
      </c>
      <c r="C1668" s="3" t="s">
        <v>803</v>
      </c>
      <c r="D1668" s="3" t="s">
        <v>803</v>
      </c>
      <c r="E1668" s="8">
        <v>26568258</v>
      </c>
      <c r="F1668" s="2">
        <v>2.1450000000000001E-4</v>
      </c>
      <c r="G1668" s="17">
        <f>F1668 * VLOOKUP('GASB Data'!A1668,Check!$A$2:$F$11,6,FALSE)</f>
        <v>440813.58750000002</v>
      </c>
    </row>
    <row r="1669" spans="1:7" x14ac:dyDescent="0.2">
      <c r="A1669">
        <v>2020</v>
      </c>
      <c r="B1669" s="3" t="s">
        <v>497</v>
      </c>
      <c r="C1669" s="3" t="s">
        <v>804</v>
      </c>
      <c r="D1669" s="3" t="s">
        <v>804</v>
      </c>
      <c r="E1669" s="8">
        <v>53993952</v>
      </c>
      <c r="F1669" s="2">
        <v>4.3590000000000002E-4</v>
      </c>
      <c r="G1669" s="17">
        <f>F1669 * VLOOKUP('GASB Data'!A1669,Check!$A$2:$F$11,6,FALSE)</f>
        <v>895807.1925</v>
      </c>
    </row>
    <row r="1670" spans="1:7" x14ac:dyDescent="0.2">
      <c r="A1670">
        <v>2020</v>
      </c>
      <c r="B1670" s="3" t="s">
        <v>498</v>
      </c>
      <c r="C1670" s="3" t="s">
        <v>805</v>
      </c>
      <c r="D1670" s="3" t="s">
        <v>805</v>
      </c>
      <c r="E1670" s="8">
        <v>1138007091</v>
      </c>
      <c r="F1670" s="2">
        <v>9.1870000000000007E-3</v>
      </c>
      <c r="G1670" s="17">
        <f>F1670 * VLOOKUP('GASB Data'!A1670,Check!$A$2:$F$11,6,FALSE)</f>
        <v>18879974.025000002</v>
      </c>
    </row>
    <row r="1671" spans="1:7" x14ac:dyDescent="0.2">
      <c r="A1671">
        <v>2020</v>
      </c>
      <c r="B1671" s="3" t="s">
        <v>499</v>
      </c>
      <c r="C1671" s="3" t="s">
        <v>806</v>
      </c>
      <c r="D1671" s="3" t="s">
        <v>806</v>
      </c>
      <c r="E1671" s="8">
        <v>229085274</v>
      </c>
      <c r="F1671" s="2">
        <v>1.8494E-3</v>
      </c>
      <c r="G1671" s="17">
        <f>F1671 * VLOOKUP('GASB Data'!A1671,Check!$A$2:$F$11,6,FALSE)</f>
        <v>3800655.7050000001</v>
      </c>
    </row>
    <row r="1672" spans="1:7" x14ac:dyDescent="0.2">
      <c r="A1672">
        <v>2020</v>
      </c>
      <c r="B1672" s="3" t="s">
        <v>500</v>
      </c>
      <c r="C1672" s="3" t="s">
        <v>807</v>
      </c>
      <c r="D1672" s="3" t="s">
        <v>807</v>
      </c>
      <c r="E1672" s="8">
        <v>121216310</v>
      </c>
      <c r="F1672" s="2">
        <v>9.7860000000000004E-4</v>
      </c>
      <c r="G1672" s="17">
        <f>F1672 * VLOOKUP('GASB Data'!A1672,Check!$A$2:$F$11,6,FALSE)</f>
        <v>2011096.395</v>
      </c>
    </row>
    <row r="1673" spans="1:7" x14ac:dyDescent="0.2">
      <c r="A1673">
        <v>2020</v>
      </c>
      <c r="B1673" s="3" t="s">
        <v>501</v>
      </c>
      <c r="C1673" s="3" t="s">
        <v>808</v>
      </c>
      <c r="D1673" s="3" t="s">
        <v>808</v>
      </c>
      <c r="E1673" s="8">
        <v>717769591</v>
      </c>
      <c r="F1673" s="2">
        <v>5.7945000000000002E-3</v>
      </c>
      <c r="G1673" s="17">
        <f>F1673 * VLOOKUP('GASB Data'!A1673,Check!$A$2:$F$11,6,FALSE)</f>
        <v>11908132.0875</v>
      </c>
    </row>
    <row r="1674" spans="1:7" x14ac:dyDescent="0.2">
      <c r="A1674">
        <v>2020</v>
      </c>
      <c r="B1674" s="3" t="s">
        <v>502</v>
      </c>
      <c r="C1674" s="3" t="s">
        <v>809</v>
      </c>
      <c r="D1674" s="3" t="s">
        <v>809</v>
      </c>
      <c r="E1674" s="8">
        <v>64722059</v>
      </c>
      <c r="F1674" s="2">
        <v>5.2249999999999996E-4</v>
      </c>
      <c r="G1674" s="17">
        <f>F1674 * VLOOKUP('GASB Data'!A1674,Check!$A$2:$F$11,6,FALSE)</f>
        <v>1073776.6875</v>
      </c>
    </row>
    <row r="1675" spans="1:7" x14ac:dyDescent="0.2">
      <c r="A1675">
        <v>2020</v>
      </c>
      <c r="B1675" s="3" t="s">
        <v>503</v>
      </c>
      <c r="C1675" s="3" t="s">
        <v>810</v>
      </c>
      <c r="D1675" s="3" t="s">
        <v>810</v>
      </c>
      <c r="E1675" s="8">
        <v>92201840</v>
      </c>
      <c r="F1675" s="2">
        <v>7.4430000000000004E-4</v>
      </c>
      <c r="G1675" s="17">
        <f>F1675 * VLOOKUP('GASB Data'!A1675,Check!$A$2:$F$11,6,FALSE)</f>
        <v>1529592.3225</v>
      </c>
    </row>
    <row r="1676" spans="1:7" x14ac:dyDescent="0.2">
      <c r="A1676">
        <v>2020</v>
      </c>
      <c r="B1676" s="3" t="s">
        <v>504</v>
      </c>
      <c r="C1676" s="3" t="s">
        <v>811</v>
      </c>
      <c r="D1676" s="3" t="s">
        <v>811</v>
      </c>
      <c r="E1676" s="8">
        <v>234574266</v>
      </c>
      <c r="F1676" s="2">
        <v>1.8936999999999999E-3</v>
      </c>
      <c r="G1676" s="17">
        <f>F1676 * VLOOKUP('GASB Data'!A1676,Check!$A$2:$F$11,6,FALSE)</f>
        <v>3891695.5274999999</v>
      </c>
    </row>
    <row r="1677" spans="1:7" x14ac:dyDescent="0.2">
      <c r="A1677">
        <v>2020</v>
      </c>
      <c r="B1677" s="3" t="s">
        <v>505</v>
      </c>
      <c r="C1677" s="3" t="s">
        <v>812</v>
      </c>
      <c r="D1677" s="3" t="s">
        <v>812</v>
      </c>
      <c r="E1677" s="8">
        <v>310163664</v>
      </c>
      <c r="F1677" s="2">
        <v>2.5038999999999999E-3</v>
      </c>
      <c r="G1677" s="17">
        <f>F1677 * VLOOKUP('GASB Data'!A1677,Check!$A$2:$F$11,6,FALSE)</f>
        <v>5145702.2924999995</v>
      </c>
    </row>
    <row r="1678" spans="1:7" x14ac:dyDescent="0.2">
      <c r="A1678">
        <v>2020</v>
      </c>
      <c r="B1678" s="3" t="s">
        <v>506</v>
      </c>
      <c r="C1678" s="3" t="s">
        <v>813</v>
      </c>
      <c r="D1678" s="3" t="s">
        <v>813</v>
      </c>
      <c r="E1678" s="8">
        <v>95688598</v>
      </c>
      <c r="F1678" s="2">
        <v>7.7249999999999997E-4</v>
      </c>
      <c r="G1678" s="17">
        <f>F1678 * VLOOKUP('GASB Data'!A1678,Check!$A$2:$F$11,6,FALSE)</f>
        <v>1587545.4375</v>
      </c>
    </row>
    <row r="1679" spans="1:7" x14ac:dyDescent="0.2">
      <c r="A1679">
        <v>2020</v>
      </c>
      <c r="B1679" s="3" t="s">
        <v>507</v>
      </c>
      <c r="C1679" s="3" t="s">
        <v>814</v>
      </c>
      <c r="D1679" s="3" t="s">
        <v>814</v>
      </c>
      <c r="E1679" s="8">
        <v>946291551</v>
      </c>
      <c r="F1679" s="2">
        <v>7.6392999999999999E-3</v>
      </c>
      <c r="G1679" s="17">
        <f>F1679 * VLOOKUP('GASB Data'!A1679,Check!$A$2:$F$11,6,FALSE)</f>
        <v>15699334.4475</v>
      </c>
    </row>
    <row r="1680" spans="1:7" x14ac:dyDescent="0.2">
      <c r="A1680">
        <v>2020</v>
      </c>
      <c r="B1680" s="3" t="s">
        <v>508</v>
      </c>
      <c r="C1680" s="3" t="s">
        <v>815</v>
      </c>
      <c r="D1680" s="3" t="s">
        <v>815</v>
      </c>
      <c r="E1680" s="8">
        <v>9266119</v>
      </c>
      <c r="F1680" s="2">
        <v>7.4800000000000002E-5</v>
      </c>
      <c r="G1680" s="17">
        <f>F1680 * VLOOKUP('GASB Data'!A1680,Check!$A$2:$F$11,6,FALSE)</f>
        <v>153719.61000000002</v>
      </c>
    </row>
    <row r="1681" spans="1:7" x14ac:dyDescent="0.2">
      <c r="A1681">
        <v>2020</v>
      </c>
      <c r="B1681" s="3" t="s">
        <v>509</v>
      </c>
      <c r="C1681" s="3" t="s">
        <v>816</v>
      </c>
      <c r="D1681" s="3" t="s">
        <v>816</v>
      </c>
      <c r="E1681" s="8">
        <v>73579018</v>
      </c>
      <c r="F1681" s="2">
        <v>5.9400000000000002E-4</v>
      </c>
      <c r="G1681" s="17">
        <f>F1681 * VLOOKUP('GASB Data'!A1681,Check!$A$2:$F$11,6,FALSE)</f>
        <v>1220714.55</v>
      </c>
    </row>
    <row r="1682" spans="1:7" x14ac:dyDescent="0.2">
      <c r="A1682">
        <v>2020</v>
      </c>
      <c r="B1682" s="3" t="s">
        <v>510</v>
      </c>
      <c r="C1682" s="3" t="s">
        <v>817</v>
      </c>
      <c r="D1682" s="3" t="s">
        <v>817</v>
      </c>
      <c r="E1682" s="8">
        <v>502146629</v>
      </c>
      <c r="F1682" s="2">
        <v>4.0537999999999998E-3</v>
      </c>
      <c r="G1682" s="17">
        <f>F1682 * VLOOKUP('GASB Data'!A1682,Check!$A$2:$F$11,6,FALSE)</f>
        <v>8330863.0349999992</v>
      </c>
    </row>
    <row r="1683" spans="1:7" x14ac:dyDescent="0.2">
      <c r="A1683">
        <v>2020</v>
      </c>
      <c r="B1683" s="3" t="s">
        <v>511</v>
      </c>
      <c r="C1683" s="3" t="s">
        <v>818</v>
      </c>
      <c r="D1683" s="3" t="s">
        <v>818</v>
      </c>
      <c r="E1683" s="8">
        <v>14109898</v>
      </c>
      <c r="F1683" s="2">
        <v>1.139E-4</v>
      </c>
      <c r="G1683" s="17">
        <f>F1683 * VLOOKUP('GASB Data'!A1683,Check!$A$2:$F$11,6,FALSE)</f>
        <v>234073.04250000001</v>
      </c>
    </row>
    <row r="1684" spans="1:7" x14ac:dyDescent="0.2">
      <c r="A1684">
        <v>2020</v>
      </c>
      <c r="B1684" s="3" t="s">
        <v>512</v>
      </c>
      <c r="C1684" s="3" t="s">
        <v>819</v>
      </c>
      <c r="D1684" s="3" t="s">
        <v>819</v>
      </c>
      <c r="E1684" s="8">
        <v>56530409</v>
      </c>
      <c r="F1684" s="2">
        <v>4.5639999999999998E-4</v>
      </c>
      <c r="G1684" s="17">
        <f>F1684 * VLOOKUP('GASB Data'!A1684,Check!$A$2:$F$11,6,FALSE)</f>
        <v>937936.23</v>
      </c>
    </row>
    <row r="1685" spans="1:7" x14ac:dyDescent="0.2">
      <c r="A1685">
        <v>2020</v>
      </c>
      <c r="B1685" s="3" t="s">
        <v>513</v>
      </c>
      <c r="C1685" s="3" t="s">
        <v>820</v>
      </c>
      <c r="D1685" s="3" t="s">
        <v>820</v>
      </c>
      <c r="E1685" s="8">
        <v>872125825</v>
      </c>
      <c r="F1685" s="2">
        <v>7.0406000000000002E-3</v>
      </c>
      <c r="G1685" s="17">
        <f>F1685 * VLOOKUP('GASB Data'!A1685,Check!$A$2:$F$11,6,FALSE)</f>
        <v>14468961.045</v>
      </c>
    </row>
    <row r="1686" spans="1:7" x14ac:dyDescent="0.2">
      <c r="A1686">
        <v>2020</v>
      </c>
      <c r="B1686" s="3" t="s">
        <v>514</v>
      </c>
      <c r="C1686" s="3" t="s">
        <v>821</v>
      </c>
      <c r="D1686" s="3" t="s">
        <v>821</v>
      </c>
      <c r="E1686" s="8">
        <v>175065056</v>
      </c>
      <c r="F1686" s="2">
        <v>1.4132999999999999E-3</v>
      </c>
      <c r="G1686" s="17">
        <f>F1686 * VLOOKUP('GASB Data'!A1686,Check!$A$2:$F$11,6,FALSE)</f>
        <v>2904437.4975000001</v>
      </c>
    </row>
    <row r="1687" spans="1:7" x14ac:dyDescent="0.2">
      <c r="A1687">
        <v>2020</v>
      </c>
      <c r="B1687" s="3" t="s">
        <v>515</v>
      </c>
      <c r="C1687" s="3" t="s">
        <v>822</v>
      </c>
      <c r="D1687" s="3" t="s">
        <v>822</v>
      </c>
      <c r="E1687" s="8">
        <v>392479787</v>
      </c>
      <c r="F1687" s="2">
        <v>3.1684E-3</v>
      </c>
      <c r="G1687" s="17">
        <f>F1687 * VLOOKUP('GASB Data'!A1687,Check!$A$2:$F$11,6,FALSE)</f>
        <v>6511299.6299999999</v>
      </c>
    </row>
    <row r="1688" spans="1:7" x14ac:dyDescent="0.2">
      <c r="A1688">
        <v>2020</v>
      </c>
      <c r="B1688" s="3" t="s">
        <v>516</v>
      </c>
      <c r="C1688" s="3" t="s">
        <v>823</v>
      </c>
      <c r="D1688" s="3" t="s">
        <v>823</v>
      </c>
      <c r="E1688" s="8">
        <v>74876944</v>
      </c>
      <c r="F1688" s="2">
        <v>6.045E-4</v>
      </c>
      <c r="G1688" s="17">
        <f>F1688 * VLOOKUP('GASB Data'!A1688,Check!$A$2:$F$11,6,FALSE)</f>
        <v>1242292.8374999999</v>
      </c>
    </row>
    <row r="1689" spans="1:7" x14ac:dyDescent="0.2">
      <c r="A1689">
        <v>2020</v>
      </c>
      <c r="B1689" s="3" t="s">
        <v>517</v>
      </c>
      <c r="C1689" s="3" t="s">
        <v>824</v>
      </c>
      <c r="D1689" s="3" t="s">
        <v>824</v>
      </c>
      <c r="E1689" s="8">
        <v>363456037</v>
      </c>
      <c r="F1689" s="2">
        <v>2.9340999999999998E-3</v>
      </c>
      <c r="G1689" s="17">
        <f>F1689 * VLOOKUP('GASB Data'!A1689,Check!$A$2:$F$11,6,FALSE)</f>
        <v>6029795.5574999992</v>
      </c>
    </row>
    <row r="1690" spans="1:7" x14ac:dyDescent="0.2">
      <c r="A1690">
        <v>2020</v>
      </c>
      <c r="B1690" s="3" t="s">
        <v>518</v>
      </c>
      <c r="C1690" s="3" t="s">
        <v>825</v>
      </c>
      <c r="D1690" s="3" t="s">
        <v>825</v>
      </c>
      <c r="E1690" s="8">
        <v>55965496</v>
      </c>
      <c r="F1690" s="2">
        <v>4.5179999999999998E-4</v>
      </c>
      <c r="G1690" s="17">
        <f>F1690 * VLOOKUP('GASB Data'!A1690,Check!$A$2:$F$11,6,FALSE)</f>
        <v>928482.88500000001</v>
      </c>
    </row>
    <row r="1691" spans="1:7" x14ac:dyDescent="0.2">
      <c r="A1691">
        <v>2020</v>
      </c>
      <c r="B1691" s="3" t="s">
        <v>519</v>
      </c>
      <c r="C1691" s="3" t="s">
        <v>826</v>
      </c>
      <c r="D1691" s="3" t="s">
        <v>826</v>
      </c>
      <c r="E1691" s="8">
        <v>136929406</v>
      </c>
      <c r="F1691" s="2">
        <v>1.1054000000000001E-3</v>
      </c>
      <c r="G1691" s="17">
        <f>F1691 * VLOOKUP('GASB Data'!A1691,Check!$A$2:$F$11,6,FALSE)</f>
        <v>2271679.9050000003</v>
      </c>
    </row>
    <row r="1692" spans="1:7" x14ac:dyDescent="0.2">
      <c r="A1692">
        <v>2020</v>
      </c>
      <c r="B1692" s="3" t="s">
        <v>520</v>
      </c>
      <c r="C1692" s="3" t="s">
        <v>827</v>
      </c>
      <c r="D1692" s="3" t="s">
        <v>827</v>
      </c>
      <c r="E1692" s="8">
        <v>291546513</v>
      </c>
      <c r="F1692" s="2">
        <v>2.3536E-3</v>
      </c>
      <c r="G1692" s="17">
        <f>F1692 * VLOOKUP('GASB Data'!A1692,Check!$A$2:$F$11,6,FALSE)</f>
        <v>4836824.5199999996</v>
      </c>
    </row>
    <row r="1693" spans="1:7" x14ac:dyDescent="0.2">
      <c r="A1693">
        <v>2020</v>
      </c>
      <c r="B1693" s="3" t="s">
        <v>521</v>
      </c>
      <c r="C1693" s="3" t="s">
        <v>828</v>
      </c>
      <c r="D1693" s="3" t="s">
        <v>828</v>
      </c>
      <c r="E1693" s="8">
        <v>370937569</v>
      </c>
      <c r="F1693" s="2">
        <v>2.9945000000000002E-3</v>
      </c>
      <c r="G1693" s="17">
        <f>F1693 * VLOOKUP('GASB Data'!A1693,Check!$A$2:$F$11,6,FALSE)</f>
        <v>6153922.0875000004</v>
      </c>
    </row>
    <row r="1694" spans="1:7" x14ac:dyDescent="0.2">
      <c r="A1694">
        <v>2020</v>
      </c>
      <c r="B1694" s="3" t="s">
        <v>522</v>
      </c>
      <c r="C1694" s="3" t="s">
        <v>829</v>
      </c>
      <c r="D1694" s="3" t="s">
        <v>829</v>
      </c>
      <c r="E1694" s="8">
        <v>27450458</v>
      </c>
      <c r="F1694" s="2">
        <v>2.2159999999999999E-4</v>
      </c>
      <c r="G1694" s="17">
        <f>F1694 * VLOOKUP('GASB Data'!A1694,Check!$A$2:$F$11,6,FALSE)</f>
        <v>455404.62</v>
      </c>
    </row>
    <row r="1695" spans="1:7" x14ac:dyDescent="0.2">
      <c r="A1695">
        <v>2020</v>
      </c>
      <c r="B1695" s="3" t="s">
        <v>523</v>
      </c>
      <c r="C1695" s="3" t="s">
        <v>830</v>
      </c>
      <c r="D1695" s="3" t="s">
        <v>830</v>
      </c>
      <c r="E1695" s="8">
        <v>88707280</v>
      </c>
      <c r="F1695" s="2">
        <v>7.161E-4</v>
      </c>
      <c r="G1695" s="17">
        <f>F1695 * VLOOKUP('GASB Data'!A1695,Check!$A$2:$F$11,6,FALSE)</f>
        <v>1471639.2075</v>
      </c>
    </row>
    <row r="1696" spans="1:7" x14ac:dyDescent="0.2">
      <c r="A1696">
        <v>2020</v>
      </c>
      <c r="B1696" s="3" t="s">
        <v>524</v>
      </c>
      <c r="C1696" s="3" t="s">
        <v>831</v>
      </c>
      <c r="D1696" s="3" t="s">
        <v>831</v>
      </c>
      <c r="E1696" s="8">
        <v>275316976</v>
      </c>
      <c r="F1696" s="2">
        <v>2.2225999999999999E-3</v>
      </c>
      <c r="G1696" s="17">
        <f>F1696 * VLOOKUP('GASB Data'!A1696,Check!$A$2:$F$11,6,FALSE)</f>
        <v>4567609.6950000003</v>
      </c>
    </row>
    <row r="1697" spans="1:7" x14ac:dyDescent="0.2">
      <c r="A1697">
        <v>2020</v>
      </c>
      <c r="B1697" s="3" t="s">
        <v>525</v>
      </c>
      <c r="C1697" s="3" t="s">
        <v>832</v>
      </c>
      <c r="D1697" s="3" t="s">
        <v>832</v>
      </c>
      <c r="E1697" s="8">
        <v>348840172</v>
      </c>
      <c r="F1697" s="2">
        <v>2.8161000000000002E-3</v>
      </c>
      <c r="G1697" s="17">
        <f>F1697 * VLOOKUP('GASB Data'!A1697,Check!$A$2:$F$11,6,FALSE)</f>
        <v>5787296.7075000005</v>
      </c>
    </row>
    <row r="1698" spans="1:7" x14ac:dyDescent="0.2">
      <c r="A1698">
        <v>2020</v>
      </c>
      <c r="B1698" s="3" t="s">
        <v>526</v>
      </c>
      <c r="C1698" s="3" t="s">
        <v>833</v>
      </c>
      <c r="D1698" s="3" t="s">
        <v>833</v>
      </c>
      <c r="E1698" s="8">
        <v>4990678</v>
      </c>
      <c r="F1698" s="2">
        <v>4.0299999999999997E-5</v>
      </c>
      <c r="G1698" s="17">
        <f>F1698 * VLOOKUP('GASB Data'!A1698,Check!$A$2:$F$11,6,FALSE)</f>
        <v>82819.522499999992</v>
      </c>
    </row>
    <row r="1699" spans="1:7" x14ac:dyDescent="0.2">
      <c r="A1699">
        <v>2020</v>
      </c>
      <c r="B1699" s="3" t="s">
        <v>527</v>
      </c>
      <c r="C1699" s="3" t="s">
        <v>834</v>
      </c>
      <c r="D1699" s="3" t="s">
        <v>834</v>
      </c>
      <c r="E1699" s="8">
        <v>30112102</v>
      </c>
      <c r="F1699" s="2">
        <v>2.431E-4</v>
      </c>
      <c r="G1699" s="17">
        <f>F1699 * VLOOKUP('GASB Data'!A1699,Check!$A$2:$F$11,6,FALSE)</f>
        <v>499588.73249999998</v>
      </c>
    </row>
    <row r="1700" spans="1:7" x14ac:dyDescent="0.2">
      <c r="A1700">
        <v>2020</v>
      </c>
      <c r="B1700" s="3" t="s">
        <v>528</v>
      </c>
      <c r="C1700" s="3" t="s">
        <v>835</v>
      </c>
      <c r="D1700" s="3" t="s">
        <v>835</v>
      </c>
      <c r="E1700" s="8">
        <v>89514189</v>
      </c>
      <c r="F1700" s="2">
        <v>7.226E-4</v>
      </c>
      <c r="G1700" s="17">
        <f>F1700 * VLOOKUP('GASB Data'!A1700,Check!$A$2:$F$11,6,FALSE)</f>
        <v>1484997.1950000001</v>
      </c>
    </row>
    <row r="1701" spans="1:7" x14ac:dyDescent="0.2">
      <c r="A1701">
        <v>2020</v>
      </c>
      <c r="B1701" s="3" t="s">
        <v>529</v>
      </c>
      <c r="C1701" s="3" t="s">
        <v>836</v>
      </c>
      <c r="D1701" s="3" t="s">
        <v>836</v>
      </c>
      <c r="E1701" s="8">
        <v>83167373</v>
      </c>
      <c r="F1701" s="2">
        <v>6.7139999999999995E-4</v>
      </c>
      <c r="G1701" s="17">
        <f>F1701 * VLOOKUP('GASB Data'!A1701,Check!$A$2:$F$11,6,FALSE)</f>
        <v>1379777.355</v>
      </c>
    </row>
    <row r="1702" spans="1:7" x14ac:dyDescent="0.2">
      <c r="A1702">
        <v>2020</v>
      </c>
      <c r="B1702" s="3" t="s">
        <v>530</v>
      </c>
      <c r="C1702" s="3" t="s">
        <v>837</v>
      </c>
      <c r="D1702" s="3" t="s">
        <v>837</v>
      </c>
      <c r="E1702" s="8">
        <v>57593622</v>
      </c>
      <c r="F1702" s="2">
        <v>4.6490000000000002E-4</v>
      </c>
      <c r="G1702" s="17">
        <f>F1702 * VLOOKUP('GASB Data'!A1702,Check!$A$2:$F$11,6,FALSE)</f>
        <v>955404.36750000005</v>
      </c>
    </row>
    <row r="1703" spans="1:7" x14ac:dyDescent="0.2">
      <c r="A1703">
        <v>2020</v>
      </c>
      <c r="B1703" s="3" t="s">
        <v>531</v>
      </c>
      <c r="C1703" s="3" t="s">
        <v>838</v>
      </c>
      <c r="D1703" s="3" t="s">
        <v>838</v>
      </c>
      <c r="E1703" s="8">
        <v>107950543</v>
      </c>
      <c r="F1703" s="2">
        <v>8.7149999999999999E-4</v>
      </c>
      <c r="G1703" s="17">
        <f>F1703 * VLOOKUP('GASB Data'!A1703,Check!$A$2:$F$11,6,FALSE)</f>
        <v>1790997.8625</v>
      </c>
    </row>
    <row r="1704" spans="1:7" x14ac:dyDescent="0.2">
      <c r="A1704">
        <v>2020</v>
      </c>
      <c r="B1704" s="3" t="s">
        <v>532</v>
      </c>
      <c r="C1704" s="3" t="s">
        <v>914</v>
      </c>
      <c r="D1704" s="3" t="s">
        <v>914</v>
      </c>
      <c r="E1704" s="8">
        <v>7179322</v>
      </c>
      <c r="F1704" s="2">
        <v>5.8E-5</v>
      </c>
      <c r="G1704" s="17">
        <f>F1704 * VLOOKUP('GASB Data'!A1704,Check!$A$2:$F$11,6,FALSE)</f>
        <v>119194.35</v>
      </c>
    </row>
    <row r="1705" spans="1:7" x14ac:dyDescent="0.2">
      <c r="A1705">
        <v>2020</v>
      </c>
      <c r="B1705" s="3" t="s">
        <v>533</v>
      </c>
      <c r="C1705" s="3" t="s">
        <v>840</v>
      </c>
      <c r="D1705" s="3" t="s">
        <v>840</v>
      </c>
      <c r="E1705" s="8">
        <v>185693958</v>
      </c>
      <c r="F1705" s="2">
        <v>1.4991E-3</v>
      </c>
      <c r="G1705" s="17">
        <f>F1705 * VLOOKUP('GASB Data'!A1705,Check!$A$2:$F$11,6,FALSE)</f>
        <v>3080762.9325000001</v>
      </c>
    </row>
    <row r="1706" spans="1:7" x14ac:dyDescent="0.2">
      <c r="A1706">
        <v>2020</v>
      </c>
      <c r="B1706" s="3" t="s">
        <v>534</v>
      </c>
      <c r="C1706" s="3" t="s">
        <v>841</v>
      </c>
      <c r="D1706" s="3" t="s">
        <v>841</v>
      </c>
      <c r="E1706" s="8">
        <v>17638324</v>
      </c>
      <c r="F1706" s="2">
        <v>1.4239999999999999E-4</v>
      </c>
      <c r="G1706" s="17">
        <f>F1706 * VLOOKUP('GASB Data'!A1706,Check!$A$2:$F$11,6,FALSE)</f>
        <v>292642.68</v>
      </c>
    </row>
    <row r="1707" spans="1:7" x14ac:dyDescent="0.2">
      <c r="A1707">
        <v>2020</v>
      </c>
      <c r="B1707" s="3" t="s">
        <v>535</v>
      </c>
      <c r="C1707" s="3" t="s">
        <v>842</v>
      </c>
      <c r="D1707" s="3" t="s">
        <v>842</v>
      </c>
      <c r="E1707" s="8">
        <v>41818299</v>
      </c>
      <c r="F1707" s="2">
        <v>3.3760000000000002E-4</v>
      </c>
      <c r="G1707" s="17">
        <f>F1707 * VLOOKUP('GASB Data'!A1707,Check!$A$2:$F$11,6,FALSE)</f>
        <v>693793.32000000007</v>
      </c>
    </row>
    <row r="1708" spans="1:7" x14ac:dyDescent="0.2">
      <c r="A1708">
        <v>2020</v>
      </c>
      <c r="B1708" s="3" t="s">
        <v>536</v>
      </c>
      <c r="C1708" s="3" t="s">
        <v>843</v>
      </c>
      <c r="D1708" s="3" t="s">
        <v>843</v>
      </c>
      <c r="E1708" s="8">
        <v>1965373379</v>
      </c>
      <c r="F1708" s="2">
        <v>1.58662E-2</v>
      </c>
      <c r="G1708" s="17">
        <f>F1708 * VLOOKUP('GASB Data'!A1708,Check!$A$2:$F$11,6,FALSE)</f>
        <v>32606230.965</v>
      </c>
    </row>
    <row r="1709" spans="1:7" x14ac:dyDescent="0.2">
      <c r="A1709">
        <v>2020</v>
      </c>
      <c r="B1709" s="3" t="s">
        <v>537</v>
      </c>
      <c r="C1709" s="3" t="s">
        <v>844</v>
      </c>
      <c r="D1709" s="3" t="s">
        <v>844</v>
      </c>
      <c r="E1709" s="8">
        <v>236431829</v>
      </c>
      <c r="F1709" s="2">
        <v>1.9086999999999999E-3</v>
      </c>
      <c r="G1709" s="17">
        <f>F1709 * VLOOKUP('GASB Data'!A1709,Check!$A$2:$F$11,6,FALSE)</f>
        <v>3922521.6524999999</v>
      </c>
    </row>
    <row r="1710" spans="1:7" x14ac:dyDescent="0.2">
      <c r="A1710">
        <v>2020</v>
      </c>
      <c r="B1710" s="3" t="s">
        <v>538</v>
      </c>
      <c r="C1710" s="3" t="s">
        <v>845</v>
      </c>
      <c r="D1710" s="3" t="s">
        <v>845</v>
      </c>
      <c r="E1710" s="8">
        <v>33918541</v>
      </c>
      <c r="F1710" s="2">
        <v>2.7379999999999999E-4</v>
      </c>
      <c r="G1710" s="17">
        <f>F1710 * VLOOKUP('GASB Data'!A1710,Check!$A$2:$F$11,6,FALSE)</f>
        <v>562679.53499999992</v>
      </c>
    </row>
    <row r="1711" spans="1:7" x14ac:dyDescent="0.2">
      <c r="A1711">
        <v>2020</v>
      </c>
      <c r="B1711" s="3" t="s">
        <v>539</v>
      </c>
      <c r="C1711" s="3" t="s">
        <v>846</v>
      </c>
      <c r="D1711" s="3" t="s">
        <v>846</v>
      </c>
      <c r="E1711" s="8">
        <v>90561283</v>
      </c>
      <c r="F1711" s="2">
        <v>7.3110000000000004E-4</v>
      </c>
      <c r="G1711" s="17">
        <f>F1711 * VLOOKUP('GASB Data'!A1711,Check!$A$2:$F$11,6,FALSE)</f>
        <v>1502465.3325</v>
      </c>
    </row>
    <row r="1712" spans="1:7" x14ac:dyDescent="0.2">
      <c r="A1712">
        <v>2020</v>
      </c>
      <c r="B1712" s="3" t="s">
        <v>540</v>
      </c>
      <c r="C1712" s="3" t="s">
        <v>847</v>
      </c>
      <c r="D1712" s="3" t="s">
        <v>847</v>
      </c>
      <c r="E1712" s="8">
        <v>8302138895</v>
      </c>
      <c r="F1712" s="2">
        <v>6.7022100000000001E-2</v>
      </c>
      <c r="G1712" s="17">
        <f>F1712 * VLOOKUP('GASB Data'!A1712,Check!$A$2:$F$11,6,FALSE)</f>
        <v>137735442.1575</v>
      </c>
    </row>
    <row r="1713" spans="1:7" x14ac:dyDescent="0.2">
      <c r="A1713">
        <v>2020</v>
      </c>
      <c r="B1713" s="3" t="s">
        <v>541</v>
      </c>
      <c r="C1713" s="3" t="s">
        <v>848</v>
      </c>
      <c r="D1713" s="3" t="s">
        <v>848</v>
      </c>
      <c r="E1713" s="8">
        <v>22649714</v>
      </c>
      <c r="F1713" s="2">
        <v>1.828E-4</v>
      </c>
      <c r="G1713" s="17">
        <f>F1713 * VLOOKUP('GASB Data'!A1713,Check!$A$2:$F$11,6,FALSE)</f>
        <v>375667.71</v>
      </c>
    </row>
    <row r="1714" spans="1:7" x14ac:dyDescent="0.2">
      <c r="A1714">
        <v>2020</v>
      </c>
      <c r="B1714" s="3" t="s">
        <v>542</v>
      </c>
      <c r="C1714" s="3" t="s">
        <v>849</v>
      </c>
      <c r="D1714" s="3" t="s">
        <v>849</v>
      </c>
      <c r="E1714" s="8">
        <v>39027170</v>
      </c>
      <c r="F1714" s="2">
        <v>3.1510000000000002E-4</v>
      </c>
      <c r="G1714" s="17">
        <f>F1714 * VLOOKUP('GASB Data'!A1714,Check!$A$2:$F$11,6,FALSE)</f>
        <v>647554.13250000007</v>
      </c>
    </row>
    <row r="1715" spans="1:7" x14ac:dyDescent="0.2">
      <c r="A1715">
        <v>2020</v>
      </c>
      <c r="B1715" s="3" t="s">
        <v>543</v>
      </c>
      <c r="C1715" s="3" t="s">
        <v>851</v>
      </c>
      <c r="D1715" s="3" t="s">
        <v>851</v>
      </c>
      <c r="E1715" s="8">
        <v>679361326</v>
      </c>
      <c r="F1715" s="2">
        <v>5.4844000000000004E-3</v>
      </c>
      <c r="G1715" s="17">
        <f>F1715 * VLOOKUP('GASB Data'!A1715,Check!$A$2:$F$11,6,FALSE)</f>
        <v>11270853.33</v>
      </c>
    </row>
    <row r="1716" spans="1:7" x14ac:dyDescent="0.2">
      <c r="A1716">
        <v>2020</v>
      </c>
      <c r="B1716" s="3" t="s">
        <v>561</v>
      </c>
      <c r="C1716" s="3" t="s">
        <v>852</v>
      </c>
      <c r="D1716" s="3" t="s">
        <v>852</v>
      </c>
      <c r="E1716" s="8">
        <v>51947514</v>
      </c>
      <c r="F1716" s="2">
        <v>4.194E-4</v>
      </c>
      <c r="G1716" s="17">
        <f>F1716 * VLOOKUP('GASB Data'!A1716,Check!$A$2:$F$11,6,FALSE)</f>
        <v>861898.45499999996</v>
      </c>
    </row>
    <row r="1717" spans="1:7" x14ac:dyDescent="0.2">
      <c r="A1717">
        <v>2020</v>
      </c>
      <c r="B1717" s="3" t="s">
        <v>562</v>
      </c>
      <c r="C1717" s="3" t="s">
        <v>853</v>
      </c>
      <c r="D1717" s="3" t="s">
        <v>853</v>
      </c>
      <c r="E1717" s="8">
        <v>21905314</v>
      </c>
      <c r="F1717" s="2">
        <v>1.7679999999999999E-4</v>
      </c>
      <c r="G1717" s="17">
        <f>F1717 * VLOOKUP('GASB Data'!A1717,Check!$A$2:$F$11,6,FALSE)</f>
        <v>363337.25999999995</v>
      </c>
    </row>
    <row r="1718" spans="1:7" x14ac:dyDescent="0.2">
      <c r="A1718">
        <v>2020</v>
      </c>
      <c r="B1718" s="3" t="s">
        <v>933</v>
      </c>
      <c r="C1718" s="3" t="s">
        <v>932</v>
      </c>
      <c r="D1718" s="3" t="s">
        <v>932</v>
      </c>
      <c r="E1718" s="8">
        <v>8418146</v>
      </c>
      <c r="F1718" s="2">
        <v>6.7999999999999999E-5</v>
      </c>
      <c r="G1718" s="17">
        <f>F1718 * VLOOKUP('GASB Data'!A1718,Check!$A$2:$F$11,6,FALSE)</f>
        <v>139745.1</v>
      </c>
    </row>
    <row r="1719" spans="1:7" x14ac:dyDescent="0.2">
      <c r="A1719">
        <v>2020</v>
      </c>
      <c r="B1719" s="3" t="s">
        <v>563</v>
      </c>
      <c r="C1719" s="3" t="s">
        <v>854</v>
      </c>
      <c r="D1719" s="3" t="s">
        <v>854</v>
      </c>
      <c r="E1719" s="8">
        <v>85315136</v>
      </c>
      <c r="F1719" s="2">
        <v>6.8869999999999999E-4</v>
      </c>
      <c r="G1719" s="17">
        <f>F1719 * VLOOKUP('GASB Data'!A1719,Check!$A$2:$F$11,6,FALSE)</f>
        <v>1415330.1525000001</v>
      </c>
    </row>
    <row r="1720" spans="1:7" x14ac:dyDescent="0.2">
      <c r="A1720">
        <v>2020</v>
      </c>
      <c r="B1720" s="3" t="s">
        <v>564</v>
      </c>
      <c r="C1720" s="3" t="s">
        <v>855</v>
      </c>
      <c r="D1720" s="3" t="s">
        <v>855</v>
      </c>
      <c r="E1720" s="8">
        <v>3473289</v>
      </c>
      <c r="F1720" s="2">
        <v>2.8E-5</v>
      </c>
      <c r="G1720" s="17">
        <f>F1720 * VLOOKUP('GASB Data'!A1720,Check!$A$2:$F$11,6,FALSE)</f>
        <v>57542.1</v>
      </c>
    </row>
    <row r="1721" spans="1:7" x14ac:dyDescent="0.2">
      <c r="A1721">
        <v>2020</v>
      </c>
      <c r="B1721" s="3" t="s">
        <v>565</v>
      </c>
      <c r="C1721" s="3" t="s">
        <v>856</v>
      </c>
      <c r="D1721" s="3" t="s">
        <v>856</v>
      </c>
      <c r="E1721" s="8">
        <v>61241153</v>
      </c>
      <c r="F1721" s="2">
        <v>4.9439999999999998E-4</v>
      </c>
      <c r="G1721" s="17">
        <f>F1721 * VLOOKUP('GASB Data'!A1721,Check!$A$2:$F$11,6,FALSE)</f>
        <v>1016029.08</v>
      </c>
    </row>
    <row r="1722" spans="1:7" x14ac:dyDescent="0.2">
      <c r="A1722">
        <v>2020</v>
      </c>
      <c r="B1722" s="3" t="s">
        <v>566</v>
      </c>
      <c r="C1722" s="3" t="s">
        <v>857</v>
      </c>
      <c r="D1722" s="3" t="s">
        <v>857</v>
      </c>
      <c r="E1722" s="8">
        <v>59750271</v>
      </c>
      <c r="F1722" s="2">
        <v>4.8240000000000002E-4</v>
      </c>
      <c r="G1722" s="17">
        <f>F1722 * VLOOKUP('GASB Data'!A1722,Check!$A$2:$F$11,6,FALSE)</f>
        <v>991368.18</v>
      </c>
    </row>
    <row r="1723" spans="1:7" x14ac:dyDescent="0.2">
      <c r="A1723">
        <v>2020</v>
      </c>
      <c r="B1723" s="3" t="s">
        <v>567</v>
      </c>
      <c r="C1723" s="3" t="s">
        <v>858</v>
      </c>
      <c r="D1723" s="3" t="s">
        <v>858</v>
      </c>
      <c r="E1723" s="8">
        <v>255608747</v>
      </c>
      <c r="F1723" s="2">
        <v>2.0634999999999998E-3</v>
      </c>
      <c r="G1723" s="17">
        <f>F1723 * VLOOKUP('GASB Data'!A1723,Check!$A$2:$F$11,6,FALSE)</f>
        <v>4240647.2624999993</v>
      </c>
    </row>
    <row r="1724" spans="1:7" x14ac:dyDescent="0.2">
      <c r="A1724">
        <v>2020</v>
      </c>
      <c r="B1724" s="3" t="s">
        <v>568</v>
      </c>
      <c r="C1724" s="3" t="s">
        <v>917</v>
      </c>
      <c r="D1724" s="3" t="s">
        <v>917</v>
      </c>
      <c r="E1724" s="8">
        <v>7538989</v>
      </c>
      <c r="F1724" s="2">
        <v>6.0900000000000003E-5</v>
      </c>
      <c r="G1724" s="17">
        <f>F1724 * VLOOKUP('GASB Data'!A1724,Check!$A$2:$F$11,6,FALSE)</f>
        <v>125154.0675</v>
      </c>
    </row>
    <row r="1725" spans="1:7" x14ac:dyDescent="0.2">
      <c r="A1725">
        <v>2020</v>
      </c>
      <c r="B1725" s="3" t="s">
        <v>569</v>
      </c>
      <c r="C1725" s="3" t="s">
        <v>860</v>
      </c>
      <c r="D1725" s="3" t="s">
        <v>860</v>
      </c>
      <c r="E1725" s="8">
        <v>803068701</v>
      </c>
      <c r="F1725" s="2">
        <v>6.4831000000000003E-3</v>
      </c>
      <c r="G1725" s="17">
        <f>F1725 * VLOOKUP('GASB Data'!A1725,Check!$A$2:$F$11,6,FALSE)</f>
        <v>13323256.7325</v>
      </c>
    </row>
    <row r="1726" spans="1:7" x14ac:dyDescent="0.2">
      <c r="A1726">
        <v>2020</v>
      </c>
      <c r="B1726" s="3" t="s">
        <v>570</v>
      </c>
      <c r="C1726" s="3" t="s">
        <v>861</v>
      </c>
      <c r="D1726" s="3" t="s">
        <v>861</v>
      </c>
      <c r="E1726" s="8">
        <v>117008995</v>
      </c>
      <c r="F1726" s="2">
        <v>9.4459999999999998E-4</v>
      </c>
      <c r="G1726" s="17">
        <f>F1726 * VLOOKUP('GASB Data'!A1726,Check!$A$2:$F$11,6,FALSE)</f>
        <v>1941223.845</v>
      </c>
    </row>
    <row r="1727" spans="1:7" x14ac:dyDescent="0.2">
      <c r="A1727">
        <v>2020</v>
      </c>
      <c r="B1727" s="3" t="s">
        <v>571</v>
      </c>
      <c r="C1727" s="3" t="s">
        <v>862</v>
      </c>
      <c r="D1727" s="3" t="s">
        <v>862</v>
      </c>
      <c r="E1727" s="8">
        <v>438817959</v>
      </c>
      <c r="F1727" s="2">
        <v>3.5425000000000001E-3</v>
      </c>
      <c r="G1727" s="17">
        <f>F1727 * VLOOKUP('GASB Data'!A1727,Check!$A$2:$F$11,6,FALSE)</f>
        <v>7280103.1875</v>
      </c>
    </row>
    <row r="1728" spans="1:7" x14ac:dyDescent="0.2">
      <c r="A1728">
        <v>2020</v>
      </c>
      <c r="B1728" s="3" t="s">
        <v>572</v>
      </c>
      <c r="C1728" s="3" t="s">
        <v>863</v>
      </c>
      <c r="D1728" s="3" t="s">
        <v>863</v>
      </c>
      <c r="E1728" s="8">
        <v>30490062</v>
      </c>
      <c r="F1728" s="2">
        <v>2.4610000000000002E-4</v>
      </c>
      <c r="G1728" s="17">
        <f>F1728 * VLOOKUP('GASB Data'!A1728,Check!$A$2:$F$11,6,FALSE)</f>
        <v>505753.95750000002</v>
      </c>
    </row>
    <row r="1729" spans="1:7" x14ac:dyDescent="0.2">
      <c r="A1729">
        <v>2020</v>
      </c>
      <c r="B1729" s="3" t="s">
        <v>573</v>
      </c>
      <c r="C1729" s="3" t="s">
        <v>864</v>
      </c>
      <c r="D1729" s="3" t="s">
        <v>864</v>
      </c>
      <c r="E1729" s="8">
        <v>110232215</v>
      </c>
      <c r="F1729" s="2">
        <v>8.899E-4</v>
      </c>
      <c r="G1729" s="17">
        <f>F1729 * VLOOKUP('GASB Data'!A1729,Check!$A$2:$F$11,6,FALSE)</f>
        <v>1828811.2424999999</v>
      </c>
    </row>
    <row r="1730" spans="1:7" x14ac:dyDescent="0.2">
      <c r="A1730">
        <v>2020</v>
      </c>
      <c r="B1730" s="3" t="s">
        <v>574</v>
      </c>
      <c r="C1730" s="3" t="s">
        <v>865</v>
      </c>
      <c r="D1730" s="3" t="s">
        <v>865</v>
      </c>
      <c r="E1730" s="8">
        <v>481356502</v>
      </c>
      <c r="F1730" s="2">
        <v>3.8858999999999999E-3</v>
      </c>
      <c r="G1730" s="17">
        <f>F1730 * VLOOKUP('GASB Data'!A1730,Check!$A$2:$F$11,6,FALSE)</f>
        <v>7985815.9424999999</v>
      </c>
    </row>
    <row r="1731" spans="1:7" x14ac:dyDescent="0.2">
      <c r="A1731">
        <v>2020</v>
      </c>
      <c r="B1731" s="3" t="s">
        <v>575</v>
      </c>
      <c r="C1731" s="3" t="s">
        <v>866</v>
      </c>
      <c r="D1731" s="3" t="s">
        <v>866</v>
      </c>
      <c r="E1731" s="8">
        <v>56764373</v>
      </c>
      <c r="F1731" s="2">
        <v>4.5830000000000003E-4</v>
      </c>
      <c r="G1731" s="17">
        <f>F1731 * VLOOKUP('GASB Data'!A1731,Check!$A$2:$F$11,6,FALSE)</f>
        <v>941840.87250000006</v>
      </c>
    </row>
    <row r="1732" spans="1:7" x14ac:dyDescent="0.2">
      <c r="A1732">
        <v>2020</v>
      </c>
      <c r="B1732" s="3" t="s">
        <v>576</v>
      </c>
      <c r="C1732" s="3" t="s">
        <v>867</v>
      </c>
      <c r="D1732" s="3" t="s">
        <v>867</v>
      </c>
      <c r="E1732" s="8">
        <v>241523142</v>
      </c>
      <c r="F1732" s="2">
        <v>1.9498E-3</v>
      </c>
      <c r="G1732" s="17">
        <f>F1732 * VLOOKUP('GASB Data'!A1732,Check!$A$2:$F$11,6,FALSE)</f>
        <v>4006985.2349999999</v>
      </c>
    </row>
    <row r="1733" spans="1:7" x14ac:dyDescent="0.2">
      <c r="A1733">
        <v>2020</v>
      </c>
      <c r="B1733" s="3" t="s">
        <v>577</v>
      </c>
      <c r="C1733" s="3" t="s">
        <v>868</v>
      </c>
      <c r="D1733" s="3" t="s">
        <v>868</v>
      </c>
      <c r="E1733" s="8">
        <v>3829928224</v>
      </c>
      <c r="F1733" s="2">
        <v>3.0918500000000002E-2</v>
      </c>
      <c r="G1733" s="17">
        <f>F1733 * VLOOKUP('GASB Data'!A1733,Check!$A$2:$F$11,6,FALSE)</f>
        <v>63539836.387500003</v>
      </c>
    </row>
    <row r="1734" spans="1:7" x14ac:dyDescent="0.2">
      <c r="A1734">
        <v>2020</v>
      </c>
      <c r="B1734" s="3" t="s">
        <v>871</v>
      </c>
      <c r="C1734" s="3" t="s">
        <v>869</v>
      </c>
      <c r="D1734" s="3" t="s">
        <v>869</v>
      </c>
      <c r="E1734" s="8">
        <v>2909829</v>
      </c>
      <c r="F1734" s="2">
        <v>2.3499999999999999E-5</v>
      </c>
      <c r="G1734" s="17">
        <f>F1734 * VLOOKUP('GASB Data'!A1734,Check!$A$2:$F$11,6,FALSE)</f>
        <v>48294.262499999997</v>
      </c>
    </row>
    <row r="1735" spans="1:7" x14ac:dyDescent="0.2">
      <c r="A1735">
        <v>2020</v>
      </c>
      <c r="B1735" s="3" t="s">
        <v>872</v>
      </c>
      <c r="C1735" s="3" t="s">
        <v>870</v>
      </c>
      <c r="D1735" s="3" t="s">
        <v>870</v>
      </c>
      <c r="E1735" s="8">
        <v>106054783</v>
      </c>
      <c r="F1735" s="2">
        <v>8.5619999999999999E-4</v>
      </c>
      <c r="G1735" s="17">
        <f>F1735 * VLOOKUP('GASB Data'!A1735,Check!$A$2:$F$11,6,FALSE)</f>
        <v>1759555.2150000001</v>
      </c>
    </row>
    <row r="1736" spans="1:7" x14ac:dyDescent="0.2">
      <c r="A1736">
        <v>2021</v>
      </c>
      <c r="B1736" s="3" t="s">
        <v>58</v>
      </c>
      <c r="C1736" s="3" t="s">
        <v>578</v>
      </c>
      <c r="D1736" s="3" t="s">
        <v>578</v>
      </c>
      <c r="E1736" s="8">
        <v>149873305</v>
      </c>
      <c r="F1736" s="2">
        <v>1.1975E-3</v>
      </c>
      <c r="G1736" s="17">
        <f>F1736 * VLOOKUP('GASB Data'!A1736,Check!$A$2:$F$11,6,FALSE)</f>
        <v>2841969.27</v>
      </c>
    </row>
    <row r="1737" spans="1:7" x14ac:dyDescent="0.2">
      <c r="A1737">
        <v>2021</v>
      </c>
      <c r="B1737" s="3" t="s">
        <v>59</v>
      </c>
      <c r="C1737" s="3" t="s">
        <v>579</v>
      </c>
      <c r="D1737" s="3" t="s">
        <v>579</v>
      </c>
      <c r="E1737" s="8">
        <v>421704581</v>
      </c>
      <c r="F1737" s="2">
        <v>3.3695999999999999E-3</v>
      </c>
      <c r="G1737" s="17">
        <f>F1737 * VLOOKUP('GASB Data'!A1737,Check!$A$2:$F$11,6,FALSE)</f>
        <v>7996909.9391999999</v>
      </c>
    </row>
    <row r="1738" spans="1:7" x14ac:dyDescent="0.2">
      <c r="A1738">
        <v>2021</v>
      </c>
      <c r="B1738" s="3" t="s">
        <v>60</v>
      </c>
      <c r="C1738" s="3" t="s">
        <v>874</v>
      </c>
      <c r="D1738" s="3" t="s">
        <v>874</v>
      </c>
      <c r="E1738" s="8">
        <v>97401552</v>
      </c>
      <c r="F1738" s="2">
        <v>7.783E-4</v>
      </c>
      <c r="G1738" s="17">
        <f>F1738 * VLOOKUP('GASB Data'!A1738,Check!$A$2:$F$11,6,FALSE)</f>
        <v>1847102.0316000001</v>
      </c>
    </row>
    <row r="1739" spans="1:7" x14ac:dyDescent="0.2">
      <c r="A1739">
        <v>2021</v>
      </c>
      <c r="B1739" s="3" t="s">
        <v>61</v>
      </c>
      <c r="C1739" s="3" t="s">
        <v>581</v>
      </c>
      <c r="D1739" s="3" t="s">
        <v>581</v>
      </c>
      <c r="E1739" s="8">
        <v>645093857</v>
      </c>
      <c r="F1739" s="2">
        <v>5.1545999999999996E-3</v>
      </c>
      <c r="G1739" s="17">
        <f>F1739 * VLOOKUP('GASB Data'!A1739,Check!$A$2:$F$11,6,FALSE)</f>
        <v>12233164.759199999</v>
      </c>
    </row>
    <row r="1740" spans="1:7" x14ac:dyDescent="0.2">
      <c r="A1740">
        <v>2021</v>
      </c>
      <c r="B1740" s="3" t="s">
        <v>62</v>
      </c>
      <c r="C1740" s="3" t="s">
        <v>582</v>
      </c>
      <c r="D1740" s="3" t="s">
        <v>582</v>
      </c>
      <c r="E1740" s="8">
        <v>2643123693</v>
      </c>
      <c r="F1740" s="2">
        <v>2.1119599999999999E-2</v>
      </c>
      <c r="G1740" s="17">
        <f>F1740 * VLOOKUP('GASB Data'!A1740,Check!$A$2:$F$11,6,FALSE)</f>
        <v>50122132.939199999</v>
      </c>
    </row>
    <row r="1741" spans="1:7" x14ac:dyDescent="0.2">
      <c r="A1741">
        <v>2021</v>
      </c>
      <c r="B1741" s="3" t="s">
        <v>63</v>
      </c>
      <c r="C1741" s="3" t="s">
        <v>583</v>
      </c>
      <c r="D1741" s="3" t="s">
        <v>583</v>
      </c>
      <c r="E1741" s="8">
        <v>22255795</v>
      </c>
      <c r="F1741" s="2">
        <v>1.7780000000000001E-4</v>
      </c>
      <c r="G1741" s="17">
        <f>F1741 * VLOOKUP('GASB Data'!A1741,Check!$A$2:$F$11,6,FALSE)</f>
        <v>421964.20560000004</v>
      </c>
    </row>
    <row r="1742" spans="1:7" x14ac:dyDescent="0.2">
      <c r="A1742">
        <v>2021</v>
      </c>
      <c r="B1742" s="3" t="s">
        <v>64</v>
      </c>
      <c r="C1742" s="3" t="s">
        <v>584</v>
      </c>
      <c r="D1742" s="3" t="s">
        <v>584</v>
      </c>
      <c r="E1742" s="8">
        <v>220388389</v>
      </c>
      <c r="F1742" s="2">
        <v>1.761E-3</v>
      </c>
      <c r="G1742" s="17">
        <f>F1742 * VLOOKUP('GASB Data'!A1742,Check!$A$2:$F$11,6,FALSE)</f>
        <v>4179296.7719999999</v>
      </c>
    </row>
    <row r="1743" spans="1:7" x14ac:dyDescent="0.2">
      <c r="A1743">
        <v>2021</v>
      </c>
      <c r="B1743" s="3" t="s">
        <v>65</v>
      </c>
      <c r="C1743" s="3" t="s">
        <v>876</v>
      </c>
      <c r="D1743" s="3" t="s">
        <v>876</v>
      </c>
      <c r="E1743" s="8">
        <v>57389652</v>
      </c>
      <c r="F1743" s="2">
        <v>4.5859999999999998E-4</v>
      </c>
      <c r="G1743" s="17">
        <f>F1743 * VLOOKUP('GASB Data'!A1743,Check!$A$2:$F$11,6,FALSE)</f>
        <v>1088373.3672</v>
      </c>
    </row>
    <row r="1744" spans="1:7" x14ac:dyDescent="0.2">
      <c r="A1744">
        <v>2021</v>
      </c>
      <c r="B1744" s="3" t="s">
        <v>66</v>
      </c>
      <c r="C1744" s="3" t="s">
        <v>586</v>
      </c>
      <c r="D1744" s="3" t="s">
        <v>586</v>
      </c>
      <c r="E1744" s="8">
        <v>722891015</v>
      </c>
      <c r="F1744" s="2">
        <v>5.7762000000000004E-3</v>
      </c>
      <c r="G1744" s="17">
        <f>F1744 * VLOOKUP('GASB Data'!A1744,Check!$A$2:$F$11,6,FALSE)</f>
        <v>13708378.202400001</v>
      </c>
    </row>
    <row r="1745" spans="1:7" x14ac:dyDescent="0.2">
      <c r="A1745">
        <v>2021</v>
      </c>
      <c r="B1745" s="3" t="s">
        <v>67</v>
      </c>
      <c r="C1745" s="3" t="s">
        <v>587</v>
      </c>
      <c r="D1745" s="3" t="s">
        <v>587</v>
      </c>
      <c r="E1745" s="8">
        <v>89237628</v>
      </c>
      <c r="F1745" s="2">
        <v>7.1299999999999998E-4</v>
      </c>
      <c r="G1745" s="17">
        <f>F1745 * VLOOKUP('GASB Data'!A1745,Check!$A$2:$F$11,6,FALSE)</f>
        <v>1692128.676</v>
      </c>
    </row>
    <row r="1746" spans="1:7" x14ac:dyDescent="0.2">
      <c r="A1746">
        <v>2021</v>
      </c>
      <c r="B1746" s="3" t="s">
        <v>68</v>
      </c>
      <c r="C1746" s="3" t="s">
        <v>878</v>
      </c>
      <c r="D1746" s="3" t="s">
        <v>878</v>
      </c>
      <c r="E1746" s="8">
        <v>86077329</v>
      </c>
      <c r="F1746" s="2">
        <v>6.8780000000000002E-4</v>
      </c>
      <c r="G1746" s="17">
        <f>F1746 * VLOOKUP('GASB Data'!A1746,Check!$A$2:$F$11,6,FALSE)</f>
        <v>1632322.7256</v>
      </c>
    </row>
    <row r="1747" spans="1:7" x14ac:dyDescent="0.2">
      <c r="A1747">
        <v>2021</v>
      </c>
      <c r="B1747" s="3" t="s">
        <v>924</v>
      </c>
      <c r="C1747" s="3" t="s">
        <v>921</v>
      </c>
      <c r="D1747" s="3" t="s">
        <v>921</v>
      </c>
      <c r="E1747" s="8">
        <v>34694539</v>
      </c>
      <c r="F1747" s="2">
        <v>2.7720000000000002E-4</v>
      </c>
      <c r="G1747" s="17">
        <f>F1747 * VLOOKUP('GASB Data'!A1747,Check!$A$2:$F$11,6,FALSE)</f>
        <v>657865.45440000005</v>
      </c>
    </row>
    <row r="1748" spans="1:7" x14ac:dyDescent="0.2">
      <c r="A1748">
        <v>2021</v>
      </c>
      <c r="B1748" s="3" t="s">
        <v>69</v>
      </c>
      <c r="C1748" s="3" t="s">
        <v>879</v>
      </c>
      <c r="D1748" s="3" t="s">
        <v>879</v>
      </c>
      <c r="E1748" s="8">
        <v>621568190</v>
      </c>
      <c r="F1748" s="2">
        <v>4.9665999999999998E-3</v>
      </c>
      <c r="G1748" s="17">
        <f>F1748 * VLOOKUP('GASB Data'!A1748,Check!$A$2:$F$11,6,FALSE)</f>
        <v>11786993.383199999</v>
      </c>
    </row>
    <row r="1749" spans="1:7" x14ac:dyDescent="0.2">
      <c r="A1749">
        <v>2021</v>
      </c>
      <c r="B1749" s="3" t="s">
        <v>70</v>
      </c>
      <c r="C1749" s="3" t="s">
        <v>880</v>
      </c>
      <c r="D1749" s="3" t="s">
        <v>880</v>
      </c>
      <c r="E1749" s="8">
        <v>72945140</v>
      </c>
      <c r="F1749" s="2">
        <v>5.8290000000000002E-4</v>
      </c>
      <c r="G1749" s="17">
        <f>F1749 * VLOOKUP('GASB Data'!A1749,Check!$A$2:$F$11,6,FALSE)</f>
        <v>1383368.5908000001</v>
      </c>
    </row>
    <row r="1750" spans="1:7" x14ac:dyDescent="0.2">
      <c r="A1750">
        <v>2021</v>
      </c>
      <c r="B1750" s="3" t="s">
        <v>71</v>
      </c>
      <c r="C1750" s="3" t="s">
        <v>591</v>
      </c>
      <c r="D1750" s="3" t="s">
        <v>591</v>
      </c>
      <c r="E1750" s="8">
        <v>299399877</v>
      </c>
      <c r="F1750" s="2">
        <v>2.3923E-3</v>
      </c>
      <c r="G1750" s="17">
        <f>F1750 * VLOOKUP('GASB Data'!A1750,Check!$A$2:$F$11,6,FALSE)</f>
        <v>5677530.7595999995</v>
      </c>
    </row>
    <row r="1751" spans="1:7" x14ac:dyDescent="0.2">
      <c r="A1751">
        <v>2021</v>
      </c>
      <c r="B1751" s="3" t="s">
        <v>72</v>
      </c>
      <c r="C1751" s="3" t="s">
        <v>592</v>
      </c>
      <c r="D1751" s="3" t="s">
        <v>592</v>
      </c>
      <c r="E1751" s="8">
        <v>51412170</v>
      </c>
      <c r="F1751" s="2">
        <v>4.1080000000000001E-4</v>
      </c>
      <c r="G1751" s="17">
        <f>F1751 * VLOOKUP('GASB Data'!A1751,Check!$A$2:$F$11,6,FALSE)</f>
        <v>974931.9216</v>
      </c>
    </row>
    <row r="1752" spans="1:7" x14ac:dyDescent="0.2">
      <c r="A1752">
        <v>2021</v>
      </c>
      <c r="B1752" s="3" t="s">
        <v>73</v>
      </c>
      <c r="C1752" s="3" t="s">
        <v>881</v>
      </c>
      <c r="D1752" s="3" t="s">
        <v>881</v>
      </c>
      <c r="E1752" s="8">
        <v>37381310</v>
      </c>
      <c r="F1752" s="2">
        <v>2.987E-4</v>
      </c>
      <c r="G1752" s="17">
        <f>F1752 * VLOOKUP('GASB Data'!A1752,Check!$A$2:$F$11,6,FALSE)</f>
        <v>708890.37239999999</v>
      </c>
    </row>
    <row r="1753" spans="1:7" x14ac:dyDescent="0.2">
      <c r="A1753">
        <v>2021</v>
      </c>
      <c r="B1753" s="3" t="s">
        <v>74</v>
      </c>
      <c r="C1753" s="3" t="s">
        <v>882</v>
      </c>
      <c r="D1753" s="3" t="s">
        <v>882</v>
      </c>
      <c r="E1753" s="8">
        <v>4787734</v>
      </c>
      <c r="F1753" s="2">
        <v>3.8300000000000003E-5</v>
      </c>
      <c r="G1753" s="17">
        <f>F1753 * VLOOKUP('GASB Data'!A1753,Check!$A$2:$F$11,6,FALSE)</f>
        <v>90895.551600000006</v>
      </c>
    </row>
    <row r="1754" spans="1:7" x14ac:dyDescent="0.2">
      <c r="A1754">
        <v>2021</v>
      </c>
      <c r="B1754" s="3" t="s">
        <v>75</v>
      </c>
      <c r="C1754" s="3" t="s">
        <v>595</v>
      </c>
      <c r="D1754" s="3" t="s">
        <v>595</v>
      </c>
      <c r="E1754" s="8">
        <v>250510572</v>
      </c>
      <c r="F1754" s="2">
        <v>2.0016999999999999E-3</v>
      </c>
      <c r="G1754" s="17">
        <f>F1754 * VLOOKUP('GASB Data'!A1754,Check!$A$2:$F$11,6,FALSE)</f>
        <v>4750538.5284000002</v>
      </c>
    </row>
    <row r="1755" spans="1:7" x14ac:dyDescent="0.2">
      <c r="A1755">
        <v>2021</v>
      </c>
      <c r="B1755" s="3" t="s">
        <v>76</v>
      </c>
      <c r="C1755" s="3" t="s">
        <v>883</v>
      </c>
      <c r="D1755" s="3" t="s">
        <v>883</v>
      </c>
      <c r="E1755" s="8">
        <v>6754465176</v>
      </c>
      <c r="F1755" s="2">
        <v>5.3970900000000002E-2</v>
      </c>
      <c r="G1755" s="17">
        <f>F1755 * VLOOKUP('GASB Data'!A1755,Check!$A$2:$F$11,6,FALSE)</f>
        <v>128086546.36680001</v>
      </c>
    </row>
    <row r="1756" spans="1:7" x14ac:dyDescent="0.2">
      <c r="A1756">
        <v>2021</v>
      </c>
      <c r="B1756" s="3" t="s">
        <v>77</v>
      </c>
      <c r="C1756" s="3" t="s">
        <v>597</v>
      </c>
      <c r="D1756" s="3" t="s">
        <v>597</v>
      </c>
      <c r="E1756" s="8">
        <v>630462460</v>
      </c>
      <c r="F1756" s="2">
        <v>5.0375999999999997E-3</v>
      </c>
      <c r="G1756" s="17">
        <f>F1756 * VLOOKUP('GASB Data'!A1756,Check!$A$2:$F$11,6,FALSE)</f>
        <v>11955494.2752</v>
      </c>
    </row>
    <row r="1757" spans="1:7" x14ac:dyDescent="0.2">
      <c r="A1757">
        <v>2021</v>
      </c>
      <c r="B1757" s="3" t="s">
        <v>78</v>
      </c>
      <c r="C1757" s="3" t="s">
        <v>884</v>
      </c>
      <c r="D1757" s="3" t="s">
        <v>884</v>
      </c>
      <c r="E1757" s="8">
        <v>254627624</v>
      </c>
      <c r="F1757" s="2">
        <v>2.0346000000000001E-3</v>
      </c>
      <c r="G1757" s="17">
        <f>F1757 * VLOOKUP('GASB Data'!A1757,Check!$A$2:$F$11,6,FALSE)</f>
        <v>4828618.5192</v>
      </c>
    </row>
    <row r="1758" spans="1:7" x14ac:dyDescent="0.2">
      <c r="A1758">
        <v>2021</v>
      </c>
      <c r="B1758" s="3" t="s">
        <v>79</v>
      </c>
      <c r="C1758" s="3" t="s">
        <v>885</v>
      </c>
      <c r="D1758" s="3" t="s">
        <v>885</v>
      </c>
      <c r="E1758" s="8">
        <v>139625082</v>
      </c>
      <c r="F1758" s="2">
        <v>1.1157000000000001E-3</v>
      </c>
      <c r="G1758" s="17">
        <f>F1758 * VLOOKUP('GASB Data'!A1758,Check!$A$2:$F$11,6,FALSE)</f>
        <v>2647837.2564000003</v>
      </c>
    </row>
    <row r="1759" spans="1:7" x14ac:dyDescent="0.2">
      <c r="A1759">
        <v>2021</v>
      </c>
      <c r="B1759" s="3" t="s">
        <v>80</v>
      </c>
      <c r="C1759" s="3" t="s">
        <v>886</v>
      </c>
      <c r="D1759" s="3" t="s">
        <v>886</v>
      </c>
      <c r="E1759" s="8">
        <v>569902057</v>
      </c>
      <c r="F1759" s="2">
        <v>4.5536999999999999E-3</v>
      </c>
      <c r="G1759" s="17">
        <f>F1759 * VLOOKUP('GASB Data'!A1759,Check!$A$2:$F$11,6,FALSE)</f>
        <v>10807077.6324</v>
      </c>
    </row>
    <row r="1760" spans="1:7" x14ac:dyDescent="0.2">
      <c r="A1760">
        <v>2021</v>
      </c>
      <c r="B1760" s="3" t="s">
        <v>81</v>
      </c>
      <c r="C1760" s="3" t="s">
        <v>887</v>
      </c>
      <c r="D1760" s="3" t="s">
        <v>887</v>
      </c>
      <c r="E1760" s="8">
        <v>64451421</v>
      </c>
      <c r="F1760" s="2">
        <v>5.1500000000000005E-4</v>
      </c>
      <c r="G1760" s="17">
        <f>F1760 * VLOOKUP('GASB Data'!A1760,Check!$A$2:$F$11,6,FALSE)</f>
        <v>1222224.78</v>
      </c>
    </row>
    <row r="1761" spans="1:7" x14ac:dyDescent="0.2">
      <c r="A1761">
        <v>2021</v>
      </c>
      <c r="B1761" s="3" t="s">
        <v>82</v>
      </c>
      <c r="C1761" s="3" t="s">
        <v>888</v>
      </c>
      <c r="D1761" s="3" t="s">
        <v>888</v>
      </c>
      <c r="E1761" s="8">
        <v>198041995</v>
      </c>
      <c r="F1761" s="2">
        <v>1.5824000000000001E-3</v>
      </c>
      <c r="G1761" s="17">
        <f>F1761 * VLOOKUP('GASB Data'!A1761,Check!$A$2:$F$11,6,FALSE)</f>
        <v>3755433.9648000002</v>
      </c>
    </row>
    <row r="1762" spans="1:7" x14ac:dyDescent="0.2">
      <c r="A1762">
        <v>2021</v>
      </c>
      <c r="B1762" s="3" t="s">
        <v>632</v>
      </c>
      <c r="C1762" s="3" t="s">
        <v>889</v>
      </c>
      <c r="D1762" s="3" t="s">
        <v>889</v>
      </c>
      <c r="E1762" s="8">
        <v>27211460</v>
      </c>
      <c r="F1762" s="2">
        <v>2.174E-4</v>
      </c>
      <c r="G1762" s="17">
        <f>F1762 * VLOOKUP('GASB Data'!A1762,Check!$A$2:$F$11,6,FALSE)</f>
        <v>515944.98479999998</v>
      </c>
    </row>
    <row r="1763" spans="1:7" x14ac:dyDescent="0.2">
      <c r="A1763">
        <v>2021</v>
      </c>
      <c r="B1763" s="3" t="s">
        <v>83</v>
      </c>
      <c r="C1763" s="3" t="s">
        <v>890</v>
      </c>
      <c r="D1763" s="3" t="s">
        <v>890</v>
      </c>
      <c r="E1763" s="8">
        <v>679615928</v>
      </c>
      <c r="F1763" s="2">
        <v>5.4304000000000002E-3</v>
      </c>
      <c r="G1763" s="17">
        <f>F1763 * VLOOKUP('GASB Data'!A1763,Check!$A$2:$F$11,6,FALSE)</f>
        <v>12887707.660800001</v>
      </c>
    </row>
    <row r="1764" spans="1:7" x14ac:dyDescent="0.2">
      <c r="A1764">
        <v>2021</v>
      </c>
      <c r="B1764" s="3" t="s">
        <v>84</v>
      </c>
      <c r="C1764" s="3" t="s">
        <v>891</v>
      </c>
      <c r="D1764" s="3" t="s">
        <v>891</v>
      </c>
      <c r="E1764" s="8">
        <v>2031500</v>
      </c>
      <c r="F1764" s="2">
        <v>1.6200000000000001E-5</v>
      </c>
      <c r="G1764" s="17">
        <f>F1764 * VLOOKUP('GASB Data'!A1764,Check!$A$2:$F$11,6,FALSE)</f>
        <v>38446.682400000005</v>
      </c>
    </row>
    <row r="1765" spans="1:7" x14ac:dyDescent="0.2">
      <c r="A1765">
        <v>2021</v>
      </c>
      <c r="B1765" s="3" t="s">
        <v>925</v>
      </c>
      <c r="C1765" s="3" t="s">
        <v>928</v>
      </c>
      <c r="D1765" s="3" t="s">
        <v>928</v>
      </c>
      <c r="E1765" s="8">
        <v>257935</v>
      </c>
      <c r="F1765" s="2">
        <v>2.0999999999999998E-6</v>
      </c>
      <c r="G1765" s="17">
        <f>F1765 * VLOOKUP('GASB Data'!A1765,Check!$A$2:$F$11,6,FALSE)</f>
        <v>4983.8291999999992</v>
      </c>
    </row>
    <row r="1766" spans="1:7" x14ac:dyDescent="0.2">
      <c r="A1766">
        <v>2021</v>
      </c>
      <c r="B1766" s="3" t="s">
        <v>86</v>
      </c>
      <c r="C1766" s="3" t="s">
        <v>892</v>
      </c>
      <c r="D1766" s="3" t="s">
        <v>892</v>
      </c>
      <c r="E1766" s="8">
        <v>952643</v>
      </c>
      <c r="F1766" s="2">
        <v>7.6000000000000001E-6</v>
      </c>
      <c r="G1766" s="17">
        <f>F1766 * VLOOKUP('GASB Data'!A1766,Check!$A$2:$F$11,6,FALSE)</f>
        <v>18036.715199999999</v>
      </c>
    </row>
    <row r="1767" spans="1:7" x14ac:dyDescent="0.2">
      <c r="A1767">
        <v>2021</v>
      </c>
      <c r="B1767" s="3" t="s">
        <v>87</v>
      </c>
      <c r="C1767" s="3" t="s">
        <v>929</v>
      </c>
      <c r="D1767" s="3" t="s">
        <v>929</v>
      </c>
      <c r="E1767" s="8">
        <v>2942529</v>
      </c>
      <c r="F1767" s="2">
        <v>2.3499999999999999E-5</v>
      </c>
      <c r="G1767" s="17">
        <f>F1767 * VLOOKUP('GASB Data'!A1767,Check!$A$2:$F$11,6,FALSE)</f>
        <v>55771.421999999999</v>
      </c>
    </row>
    <row r="1768" spans="1:7" x14ac:dyDescent="0.2">
      <c r="A1768">
        <v>2021</v>
      </c>
      <c r="B1768" s="3" t="s">
        <v>88</v>
      </c>
      <c r="C1768" s="3" t="s">
        <v>894</v>
      </c>
      <c r="D1768" s="3" t="s">
        <v>894</v>
      </c>
      <c r="E1768" s="8">
        <v>97710636</v>
      </c>
      <c r="F1768" s="2">
        <v>7.8069999999999995E-4</v>
      </c>
      <c r="G1768" s="17">
        <f>F1768 * VLOOKUP('GASB Data'!A1768,Check!$A$2:$F$11,6,FALSE)</f>
        <v>1852797.8363999999</v>
      </c>
    </row>
    <row r="1769" spans="1:7" x14ac:dyDescent="0.2">
      <c r="A1769">
        <v>2021</v>
      </c>
      <c r="B1769" s="3" t="s">
        <v>89</v>
      </c>
      <c r="C1769" s="3" t="s">
        <v>610</v>
      </c>
      <c r="D1769" s="3" t="s">
        <v>610</v>
      </c>
      <c r="E1769" s="8">
        <v>9606870350</v>
      </c>
      <c r="F1769" s="2">
        <v>7.6763100000000001E-2</v>
      </c>
      <c r="G1769" s="17">
        <f>F1769 * VLOOKUP('GASB Data'!A1769,Check!$A$2:$F$11,6,FALSE)</f>
        <v>182178180.60120001</v>
      </c>
    </row>
    <row r="1770" spans="1:7" x14ac:dyDescent="0.2">
      <c r="A1770">
        <v>2021</v>
      </c>
      <c r="B1770" s="3" t="s">
        <v>90</v>
      </c>
      <c r="C1770" s="3" t="s">
        <v>611</v>
      </c>
      <c r="D1770" s="3" t="s">
        <v>611</v>
      </c>
      <c r="E1770" s="8">
        <v>847291910</v>
      </c>
      <c r="F1770" s="2">
        <v>6.7701999999999997E-3</v>
      </c>
      <c r="G1770" s="17">
        <f>F1770 * VLOOKUP('GASB Data'!A1770,Check!$A$2:$F$11,6,FALSE)</f>
        <v>16067390.690399999</v>
      </c>
    </row>
    <row r="1771" spans="1:7" x14ac:dyDescent="0.2">
      <c r="A1771">
        <v>2021</v>
      </c>
      <c r="B1771" s="3" t="s">
        <v>91</v>
      </c>
      <c r="C1771" s="3" t="s">
        <v>895</v>
      </c>
      <c r="D1771" s="3" t="s">
        <v>895</v>
      </c>
      <c r="E1771" s="8">
        <v>116561511</v>
      </c>
      <c r="F1771" s="2">
        <v>9.3139999999999998E-4</v>
      </c>
      <c r="G1771" s="17">
        <f>F1771 * VLOOKUP('GASB Data'!A1771,Check!$A$2:$F$11,6,FALSE)</f>
        <v>2210446.9128</v>
      </c>
    </row>
    <row r="1772" spans="1:7" x14ac:dyDescent="0.2">
      <c r="A1772">
        <v>2021</v>
      </c>
      <c r="B1772" s="3" t="s">
        <v>92</v>
      </c>
      <c r="C1772" s="3" t="s">
        <v>613</v>
      </c>
      <c r="D1772" s="3" t="s">
        <v>613</v>
      </c>
      <c r="E1772" s="8">
        <v>1656968690</v>
      </c>
      <c r="F1772" s="2">
        <v>1.3239799999999999E-2</v>
      </c>
      <c r="G1772" s="17">
        <f>F1772 * VLOOKUP('GASB Data'!A1772,Check!$A$2:$F$11,6,FALSE)</f>
        <v>31421381.829599999</v>
      </c>
    </row>
    <row r="1773" spans="1:7" x14ac:dyDescent="0.2">
      <c r="A1773">
        <v>2021</v>
      </c>
      <c r="B1773" s="3" t="s">
        <v>93</v>
      </c>
      <c r="C1773" s="3" t="s">
        <v>614</v>
      </c>
      <c r="D1773" s="3" t="s">
        <v>614</v>
      </c>
      <c r="E1773" s="8">
        <v>129300182</v>
      </c>
      <c r="F1773" s="2">
        <v>1.0332E-3</v>
      </c>
      <c r="G1773" s="17">
        <f>F1773 * VLOOKUP('GASB Data'!A1773,Check!$A$2:$F$11,6,FALSE)</f>
        <v>2452043.9663999998</v>
      </c>
    </row>
    <row r="1774" spans="1:7" x14ac:dyDescent="0.2">
      <c r="A1774">
        <v>2021</v>
      </c>
      <c r="B1774" s="3" t="s">
        <v>94</v>
      </c>
      <c r="C1774" s="3" t="s">
        <v>615</v>
      </c>
      <c r="D1774" s="3" t="s">
        <v>615</v>
      </c>
      <c r="E1774" s="8">
        <v>237735649</v>
      </c>
      <c r="F1774" s="2">
        <v>1.8996E-3</v>
      </c>
      <c r="G1774" s="17">
        <f>F1774 * VLOOKUP('GASB Data'!A1774,Check!$A$2:$F$11,6,FALSE)</f>
        <v>4508229.4992000004</v>
      </c>
    </row>
    <row r="1775" spans="1:7" x14ac:dyDescent="0.2">
      <c r="A1775">
        <v>2021</v>
      </c>
      <c r="B1775" s="3" t="s">
        <v>95</v>
      </c>
      <c r="C1775" s="3" t="s">
        <v>896</v>
      </c>
      <c r="D1775" s="3" t="s">
        <v>896</v>
      </c>
      <c r="E1775" s="8">
        <v>537226768</v>
      </c>
      <c r="F1775" s="2">
        <v>4.2927E-3</v>
      </c>
      <c r="G1775" s="17">
        <f>F1775 * VLOOKUP('GASB Data'!A1775,Check!$A$2:$F$11,6,FALSE)</f>
        <v>10187658.860400001</v>
      </c>
    </row>
    <row r="1776" spans="1:7" x14ac:dyDescent="0.2">
      <c r="A1776">
        <v>2021</v>
      </c>
      <c r="B1776" s="3" t="s">
        <v>96</v>
      </c>
      <c r="C1776" s="3" t="s">
        <v>897</v>
      </c>
      <c r="D1776" s="3" t="s">
        <v>897</v>
      </c>
      <c r="E1776" s="8">
        <v>421074225</v>
      </c>
      <c r="F1776" s="2">
        <v>3.3646000000000001E-3</v>
      </c>
      <c r="G1776" s="17">
        <f>F1776 * VLOOKUP('GASB Data'!A1776,Check!$A$2:$F$11,6,FALSE)</f>
        <v>7985043.6792000001</v>
      </c>
    </row>
    <row r="1777" spans="1:7" x14ac:dyDescent="0.2">
      <c r="A1777">
        <v>2021</v>
      </c>
      <c r="B1777" s="3" t="s">
        <v>97</v>
      </c>
      <c r="C1777" s="3" t="s">
        <v>618</v>
      </c>
      <c r="D1777" s="3" t="s">
        <v>618</v>
      </c>
      <c r="E1777" s="8">
        <v>676610890</v>
      </c>
      <c r="F1777" s="2">
        <v>5.4063999999999996E-3</v>
      </c>
      <c r="G1777" s="17">
        <f>F1777 * VLOOKUP('GASB Data'!A1777,Check!$A$2:$F$11,6,FALSE)</f>
        <v>12830749.612799998</v>
      </c>
    </row>
    <row r="1778" spans="1:7" x14ac:dyDescent="0.2">
      <c r="A1778">
        <v>2021</v>
      </c>
      <c r="B1778" s="3" t="s">
        <v>98</v>
      </c>
      <c r="C1778" s="3" t="s">
        <v>898</v>
      </c>
      <c r="D1778" s="3" t="s">
        <v>898</v>
      </c>
      <c r="E1778" s="8">
        <v>252978626</v>
      </c>
      <c r="F1778" s="2">
        <v>2.0214E-3</v>
      </c>
      <c r="G1778" s="17">
        <f>F1778 * VLOOKUP('GASB Data'!A1778,Check!$A$2:$F$11,6,FALSE)</f>
        <v>4797291.5927999998</v>
      </c>
    </row>
    <row r="1779" spans="1:7" x14ac:dyDescent="0.2">
      <c r="A1779">
        <v>2021</v>
      </c>
      <c r="B1779" s="3" t="s">
        <v>99</v>
      </c>
      <c r="C1779" s="3" t="s">
        <v>899</v>
      </c>
      <c r="D1779" s="3" t="s">
        <v>899</v>
      </c>
      <c r="E1779" s="8">
        <v>2753364342</v>
      </c>
      <c r="F1779" s="2">
        <v>2.2000499999999999E-2</v>
      </c>
      <c r="G1779" s="17">
        <f>F1779 * VLOOKUP('GASB Data'!A1779,Check!$A$2:$F$11,6,FALSE)</f>
        <v>52212730.625999995</v>
      </c>
    </row>
    <row r="1780" spans="1:7" x14ac:dyDescent="0.2">
      <c r="A1780">
        <v>2021</v>
      </c>
      <c r="B1780" s="3" t="s">
        <v>100</v>
      </c>
      <c r="C1780" s="3" t="s">
        <v>621</v>
      </c>
      <c r="D1780" s="3" t="s">
        <v>621</v>
      </c>
      <c r="E1780" s="8">
        <v>4108061151</v>
      </c>
      <c r="F1780" s="2">
        <v>3.2825E-2</v>
      </c>
      <c r="G1780" s="17">
        <f>F1780 * VLOOKUP('GASB Data'!A1780,Check!$A$2:$F$11,6,FALSE)</f>
        <v>77901996.900000006</v>
      </c>
    </row>
    <row r="1781" spans="1:7" x14ac:dyDescent="0.2">
      <c r="A1781">
        <v>2021</v>
      </c>
      <c r="B1781" s="3" t="s">
        <v>101</v>
      </c>
      <c r="C1781" s="3" t="s">
        <v>622</v>
      </c>
      <c r="D1781" s="3" t="s">
        <v>622</v>
      </c>
      <c r="E1781" s="8">
        <v>148324801</v>
      </c>
      <c r="F1781" s="2">
        <v>1.1852E-3</v>
      </c>
      <c r="G1781" s="17">
        <f>F1781 * VLOOKUP('GASB Data'!A1781,Check!$A$2:$F$11,6,FALSE)</f>
        <v>2812778.2703999998</v>
      </c>
    </row>
    <row r="1782" spans="1:7" x14ac:dyDescent="0.2">
      <c r="A1782">
        <v>2021</v>
      </c>
      <c r="B1782" s="3" t="s">
        <v>633</v>
      </c>
      <c r="C1782" s="3" t="s">
        <v>623</v>
      </c>
      <c r="D1782" s="3" t="s">
        <v>623</v>
      </c>
      <c r="E1782" s="8">
        <v>16973594</v>
      </c>
      <c r="F1782" s="2">
        <v>1.3559999999999999E-4</v>
      </c>
      <c r="G1782" s="17">
        <f>F1782 * VLOOKUP('GASB Data'!A1782,Check!$A$2:$F$11,6,FALSE)</f>
        <v>321812.97119999997</v>
      </c>
    </row>
    <row r="1783" spans="1:7" x14ac:dyDescent="0.2">
      <c r="A1783">
        <v>2021</v>
      </c>
      <c r="B1783" s="3" t="s">
        <v>102</v>
      </c>
      <c r="C1783" s="3" t="s">
        <v>624</v>
      </c>
      <c r="D1783" s="3" t="s">
        <v>624</v>
      </c>
      <c r="E1783" s="8">
        <v>4835329851</v>
      </c>
      <c r="F1783" s="2">
        <v>3.8636200000000002E-2</v>
      </c>
      <c r="G1783" s="17">
        <f>F1783 * VLOOKUP('GASB Data'!A1783,Check!$A$2:$F$11,6,FALSE)</f>
        <v>91693438.922400013</v>
      </c>
    </row>
    <row r="1784" spans="1:7" x14ac:dyDescent="0.2">
      <c r="A1784">
        <v>2021</v>
      </c>
      <c r="B1784" s="3" t="s">
        <v>103</v>
      </c>
      <c r="C1784" s="3" t="s">
        <v>625</v>
      </c>
      <c r="D1784" s="3" t="s">
        <v>625</v>
      </c>
      <c r="E1784" s="8">
        <v>21395690</v>
      </c>
      <c r="F1784" s="2">
        <v>1.7100000000000001E-4</v>
      </c>
      <c r="G1784" s="17">
        <f>F1784 * VLOOKUP('GASB Data'!A1784,Check!$A$2:$F$11,6,FALSE)</f>
        <v>405826.092</v>
      </c>
    </row>
    <row r="1785" spans="1:7" x14ac:dyDescent="0.2">
      <c r="A1785">
        <v>2021</v>
      </c>
      <c r="B1785" s="3" t="s">
        <v>104</v>
      </c>
      <c r="C1785" s="3" t="s">
        <v>626</v>
      </c>
      <c r="D1785" s="3" t="s">
        <v>626</v>
      </c>
      <c r="E1785" s="8">
        <v>426601518</v>
      </c>
      <c r="F1785" s="2">
        <v>3.4087000000000002E-3</v>
      </c>
      <c r="G1785" s="17">
        <f>F1785 * VLOOKUP('GASB Data'!A1785,Check!$A$2:$F$11,6,FALSE)</f>
        <v>8089704.0924000004</v>
      </c>
    </row>
    <row r="1786" spans="1:7" x14ac:dyDescent="0.2">
      <c r="A1786">
        <v>2021</v>
      </c>
      <c r="B1786" s="3" t="s">
        <v>105</v>
      </c>
      <c r="C1786" s="3" t="s">
        <v>627</v>
      </c>
      <c r="D1786" s="3" t="s">
        <v>627</v>
      </c>
      <c r="E1786" s="8">
        <v>236346512</v>
      </c>
      <c r="F1786" s="2">
        <v>1.8885E-3</v>
      </c>
      <c r="G1786" s="17">
        <f>F1786 * VLOOKUP('GASB Data'!A1786,Check!$A$2:$F$11,6,FALSE)</f>
        <v>4481886.4019999998</v>
      </c>
    </row>
    <row r="1787" spans="1:7" x14ac:dyDescent="0.2">
      <c r="A1787">
        <v>2021</v>
      </c>
      <c r="B1787" s="3" t="s">
        <v>106</v>
      </c>
      <c r="C1787" s="3" t="s">
        <v>628</v>
      </c>
      <c r="D1787" s="3" t="s">
        <v>628</v>
      </c>
      <c r="E1787" s="8">
        <v>435937047</v>
      </c>
      <c r="F1787" s="2">
        <v>3.4832999999999999E-3</v>
      </c>
      <c r="G1787" s="17">
        <f>F1787 * VLOOKUP('GASB Data'!A1787,Check!$A$2:$F$11,6,FALSE)</f>
        <v>8266748.6915999996</v>
      </c>
    </row>
    <row r="1788" spans="1:7" x14ac:dyDescent="0.2">
      <c r="A1788">
        <v>2021</v>
      </c>
      <c r="B1788" s="3" t="s">
        <v>107</v>
      </c>
      <c r="C1788" s="3" t="s">
        <v>629</v>
      </c>
      <c r="D1788" s="3" t="s">
        <v>629</v>
      </c>
      <c r="E1788" s="8">
        <v>142291847</v>
      </c>
      <c r="F1788" s="2">
        <v>1.137E-3</v>
      </c>
      <c r="G1788" s="17">
        <f>F1788 * VLOOKUP('GASB Data'!A1788,Check!$A$2:$F$11,6,FALSE)</f>
        <v>2698387.5240000002</v>
      </c>
    </row>
    <row r="1789" spans="1:7" x14ac:dyDescent="0.2">
      <c r="A1789">
        <v>2021</v>
      </c>
      <c r="B1789" s="3" t="s">
        <v>108</v>
      </c>
      <c r="C1789" s="3" t="s">
        <v>630</v>
      </c>
      <c r="D1789" s="3" t="s">
        <v>630</v>
      </c>
      <c r="E1789" s="8">
        <v>935123915</v>
      </c>
      <c r="F1789" s="2">
        <v>7.4720000000000003E-3</v>
      </c>
      <c r="G1789" s="17">
        <f>F1789 * VLOOKUP('GASB Data'!A1789,Check!$A$2:$F$11,6,FALSE)</f>
        <v>17732938.944000002</v>
      </c>
    </row>
    <row r="1790" spans="1:7" x14ac:dyDescent="0.2">
      <c r="A1790">
        <v>2021</v>
      </c>
      <c r="B1790" s="3" t="s">
        <v>109</v>
      </c>
      <c r="C1790" s="3" t="s">
        <v>631</v>
      </c>
      <c r="D1790" s="3" t="s">
        <v>631</v>
      </c>
      <c r="E1790" s="8">
        <v>548572364</v>
      </c>
      <c r="F1790" s="2">
        <v>4.3832999999999997E-3</v>
      </c>
      <c r="G1790" s="17">
        <f>F1790 * VLOOKUP('GASB Data'!A1790,Check!$A$2:$F$11,6,FALSE)</f>
        <v>10402675.491599999</v>
      </c>
    </row>
    <row r="1791" spans="1:7" x14ac:dyDescent="0.2">
      <c r="A1791">
        <v>2021</v>
      </c>
      <c r="B1791" s="3" t="s">
        <v>110</v>
      </c>
      <c r="C1791" s="3" t="s">
        <v>634</v>
      </c>
      <c r="D1791" s="3" t="s">
        <v>634</v>
      </c>
      <c r="E1791" s="8">
        <v>104237771</v>
      </c>
      <c r="F1791" s="2">
        <v>8.3290000000000002E-4</v>
      </c>
      <c r="G1791" s="17">
        <f>F1791 * VLOOKUP('GASB Data'!A1791,Check!$A$2:$F$11,6,FALSE)</f>
        <v>1976681.5908000001</v>
      </c>
    </row>
    <row r="1792" spans="1:7" x14ac:dyDescent="0.2">
      <c r="A1792">
        <v>2021</v>
      </c>
      <c r="B1792" s="3" t="s">
        <v>111</v>
      </c>
      <c r="C1792" s="3" t="s">
        <v>635</v>
      </c>
      <c r="D1792" s="3" t="s">
        <v>635</v>
      </c>
      <c r="E1792" s="8">
        <v>1033678213</v>
      </c>
      <c r="F1792" s="2">
        <v>8.2594999999999995E-3</v>
      </c>
      <c r="G1792" s="17">
        <f>F1792 * VLOOKUP('GASB Data'!A1792,Check!$A$2:$F$11,6,FALSE)</f>
        <v>19601874.893999998</v>
      </c>
    </row>
    <row r="1793" spans="1:7" x14ac:dyDescent="0.2">
      <c r="A1793">
        <v>2021</v>
      </c>
      <c r="B1793" s="3" t="s">
        <v>166</v>
      </c>
      <c r="C1793" s="3" t="s">
        <v>636</v>
      </c>
      <c r="D1793" s="3" t="s">
        <v>636</v>
      </c>
      <c r="E1793" s="8">
        <v>22182989</v>
      </c>
      <c r="F1793" s="2">
        <v>1.773E-4</v>
      </c>
      <c r="G1793" s="17">
        <f>F1793 * VLOOKUP('GASB Data'!A1793,Check!$A$2:$F$11,6,FALSE)</f>
        <v>420777.5796</v>
      </c>
    </row>
    <row r="1794" spans="1:7" x14ac:dyDescent="0.2">
      <c r="A1794">
        <v>2021</v>
      </c>
      <c r="B1794" s="3" t="s">
        <v>167</v>
      </c>
      <c r="C1794" s="3" t="s">
        <v>637</v>
      </c>
      <c r="D1794" s="3" t="s">
        <v>637</v>
      </c>
      <c r="E1794" s="8">
        <v>28710847</v>
      </c>
      <c r="F1794" s="2">
        <v>2.2939999999999999E-4</v>
      </c>
      <c r="G1794" s="17">
        <f>F1794 * VLOOKUP('GASB Data'!A1794,Check!$A$2:$F$11,6,FALSE)</f>
        <v>544424.00879999995</v>
      </c>
    </row>
    <row r="1795" spans="1:7" x14ac:dyDescent="0.2">
      <c r="A1795">
        <v>2021</v>
      </c>
      <c r="B1795" s="3" t="s">
        <v>168</v>
      </c>
      <c r="C1795" s="3" t="s">
        <v>638</v>
      </c>
      <c r="D1795" s="3" t="s">
        <v>638</v>
      </c>
      <c r="E1795" s="8">
        <v>15479671</v>
      </c>
      <c r="F1795" s="2">
        <v>1.237E-4</v>
      </c>
      <c r="G1795" s="17">
        <f>F1795 * VLOOKUP('GASB Data'!A1795,Check!$A$2:$F$11,6,FALSE)</f>
        <v>293571.27240000002</v>
      </c>
    </row>
    <row r="1796" spans="1:7" x14ac:dyDescent="0.2">
      <c r="A1796">
        <v>2021</v>
      </c>
      <c r="B1796" s="3" t="s">
        <v>169</v>
      </c>
      <c r="C1796" s="3" t="s">
        <v>639</v>
      </c>
      <c r="D1796" s="3" t="s">
        <v>639</v>
      </c>
      <c r="E1796" s="8">
        <v>102994289</v>
      </c>
      <c r="F1796" s="2">
        <v>8.2299999999999995E-4</v>
      </c>
      <c r="G1796" s="17">
        <f>F1796 * VLOOKUP('GASB Data'!A1796,Check!$A$2:$F$11,6,FALSE)</f>
        <v>1953186.3959999999</v>
      </c>
    </row>
    <row r="1797" spans="1:7" x14ac:dyDescent="0.2">
      <c r="A1797">
        <v>2021</v>
      </c>
      <c r="B1797" s="3" t="s">
        <v>170</v>
      </c>
      <c r="C1797" s="3" t="s">
        <v>640</v>
      </c>
      <c r="D1797" s="3" t="s">
        <v>640</v>
      </c>
      <c r="E1797" s="8">
        <v>230959412</v>
      </c>
      <c r="F1797" s="2">
        <v>1.8454999999999999E-3</v>
      </c>
      <c r="G1797" s="17">
        <f>F1797 * VLOOKUP('GASB Data'!A1797,Check!$A$2:$F$11,6,FALSE)</f>
        <v>4379836.5659999996</v>
      </c>
    </row>
    <row r="1798" spans="1:7" x14ac:dyDescent="0.2">
      <c r="A1798">
        <v>2021</v>
      </c>
      <c r="B1798" s="3" t="s">
        <v>171</v>
      </c>
      <c r="C1798" s="3" t="s">
        <v>641</v>
      </c>
      <c r="D1798" s="3" t="s">
        <v>641</v>
      </c>
      <c r="E1798" s="8">
        <v>75320971</v>
      </c>
      <c r="F1798" s="2">
        <v>6.0179999999999999E-4</v>
      </c>
      <c r="G1798" s="17">
        <f>F1798 * VLOOKUP('GASB Data'!A1798,Check!$A$2:$F$11,6,FALSE)</f>
        <v>1428223.0536</v>
      </c>
    </row>
    <row r="1799" spans="1:7" x14ac:dyDescent="0.2">
      <c r="A1799">
        <v>2021</v>
      </c>
      <c r="B1799" s="3" t="s">
        <v>172</v>
      </c>
      <c r="C1799" s="3" t="s">
        <v>642</v>
      </c>
      <c r="D1799" s="3" t="s">
        <v>642</v>
      </c>
      <c r="E1799" s="8">
        <v>140501065</v>
      </c>
      <c r="F1799" s="2">
        <v>1.1226999999999999E-3</v>
      </c>
      <c r="G1799" s="17">
        <f>F1799 * VLOOKUP('GASB Data'!A1799,Check!$A$2:$F$11,6,FALSE)</f>
        <v>2664450.0203999998</v>
      </c>
    </row>
    <row r="1800" spans="1:7" x14ac:dyDescent="0.2">
      <c r="A1800">
        <v>2021</v>
      </c>
      <c r="B1800" s="3" t="s">
        <v>173</v>
      </c>
      <c r="C1800" s="3" t="s">
        <v>643</v>
      </c>
      <c r="D1800" s="3" t="s">
        <v>643</v>
      </c>
      <c r="E1800" s="8">
        <v>87580033</v>
      </c>
      <c r="F1800" s="2">
        <v>6.9979999999999999E-4</v>
      </c>
      <c r="G1800" s="17">
        <f>F1800 * VLOOKUP('GASB Data'!A1800,Check!$A$2:$F$11,6,FALSE)</f>
        <v>1660801.7496</v>
      </c>
    </row>
    <row r="1801" spans="1:7" x14ac:dyDescent="0.2">
      <c r="A1801">
        <v>2021</v>
      </c>
      <c r="B1801" s="3" t="s">
        <v>174</v>
      </c>
      <c r="C1801" s="3" t="s">
        <v>644</v>
      </c>
      <c r="D1801" s="3" t="s">
        <v>644</v>
      </c>
      <c r="E1801" s="8">
        <v>143599499</v>
      </c>
      <c r="F1801" s="2">
        <v>1.1474E-3</v>
      </c>
      <c r="G1801" s="17">
        <f>F1801 * VLOOKUP('GASB Data'!A1801,Check!$A$2:$F$11,6,FALSE)</f>
        <v>2723069.3448000001</v>
      </c>
    </row>
    <row r="1802" spans="1:7" x14ac:dyDescent="0.2">
      <c r="A1802">
        <v>2021</v>
      </c>
      <c r="B1802" s="3" t="s">
        <v>175</v>
      </c>
      <c r="C1802" s="3" t="s">
        <v>645</v>
      </c>
      <c r="D1802" s="3" t="s">
        <v>645</v>
      </c>
      <c r="E1802" s="8">
        <v>109432713</v>
      </c>
      <c r="F1802" s="2">
        <v>8.744E-4</v>
      </c>
      <c r="G1802" s="17">
        <f>F1802 * VLOOKUP('GASB Data'!A1802,Check!$A$2:$F$11,6,FALSE)</f>
        <v>2075171.5488</v>
      </c>
    </row>
    <row r="1803" spans="1:7" x14ac:dyDescent="0.2">
      <c r="A1803">
        <v>2021</v>
      </c>
      <c r="B1803" s="3" t="s">
        <v>177</v>
      </c>
      <c r="C1803" s="3" t="s">
        <v>647</v>
      </c>
      <c r="D1803" s="3" t="s">
        <v>647</v>
      </c>
      <c r="E1803" s="8">
        <v>286711686</v>
      </c>
      <c r="F1803" s="2">
        <v>2.2908999999999998E-3</v>
      </c>
      <c r="G1803" s="17">
        <f>F1803 * VLOOKUP('GASB Data'!A1803,Check!$A$2:$F$11,6,FALSE)</f>
        <v>5436883.0067999996</v>
      </c>
    </row>
    <row r="1804" spans="1:7" x14ac:dyDescent="0.2">
      <c r="A1804">
        <v>2021</v>
      </c>
      <c r="B1804" s="3" t="s">
        <v>178</v>
      </c>
      <c r="C1804" s="3" t="s">
        <v>648</v>
      </c>
      <c r="D1804" s="3" t="s">
        <v>648</v>
      </c>
      <c r="E1804" s="8">
        <v>61178253</v>
      </c>
      <c r="F1804" s="2">
        <v>4.8879999999999996E-4</v>
      </c>
      <c r="G1804" s="17">
        <f>F1804 * VLOOKUP('GASB Data'!A1804,Check!$A$2:$F$11,6,FALSE)</f>
        <v>1160045.5776</v>
      </c>
    </row>
    <row r="1805" spans="1:7" x14ac:dyDescent="0.2">
      <c r="A1805">
        <v>2021</v>
      </c>
      <c r="B1805" s="3" t="s">
        <v>179</v>
      </c>
      <c r="C1805" s="3" t="s">
        <v>649</v>
      </c>
      <c r="D1805" s="3" t="s">
        <v>649</v>
      </c>
      <c r="E1805" s="8">
        <v>90760089</v>
      </c>
      <c r="F1805" s="2">
        <v>7.2519999999999995E-4</v>
      </c>
      <c r="G1805" s="17">
        <f>F1805 * VLOOKUP('GASB Data'!A1805,Check!$A$2:$F$11,6,FALSE)</f>
        <v>1721082.3503999999</v>
      </c>
    </row>
    <row r="1806" spans="1:7" x14ac:dyDescent="0.2">
      <c r="A1806">
        <v>2021</v>
      </c>
      <c r="B1806" s="3" t="s">
        <v>180</v>
      </c>
      <c r="C1806" s="3" t="s">
        <v>650</v>
      </c>
      <c r="D1806" s="3" t="s">
        <v>650</v>
      </c>
      <c r="E1806" s="8">
        <v>194184864</v>
      </c>
      <c r="F1806" s="2">
        <v>1.5516E-3</v>
      </c>
      <c r="G1806" s="17">
        <f>F1806 * VLOOKUP('GASB Data'!A1806,Check!$A$2:$F$11,6,FALSE)</f>
        <v>3682337.8032</v>
      </c>
    </row>
    <row r="1807" spans="1:7" x14ac:dyDescent="0.2">
      <c r="A1807">
        <v>2021</v>
      </c>
      <c r="B1807" s="3" t="s">
        <v>181</v>
      </c>
      <c r="C1807" s="3" t="s">
        <v>651</v>
      </c>
      <c r="D1807" s="3" t="s">
        <v>651</v>
      </c>
      <c r="E1807" s="8">
        <v>36876856</v>
      </c>
      <c r="F1807" s="2">
        <v>2.9470000000000001E-4</v>
      </c>
      <c r="G1807" s="17">
        <f>F1807 * VLOOKUP('GASB Data'!A1807,Check!$A$2:$F$11,6,FALSE)</f>
        <v>699397.36439999996</v>
      </c>
    </row>
    <row r="1808" spans="1:7" x14ac:dyDescent="0.2">
      <c r="A1808">
        <v>2021</v>
      </c>
      <c r="B1808" s="3" t="s">
        <v>182</v>
      </c>
      <c r="C1808" s="3" t="s">
        <v>652</v>
      </c>
      <c r="D1808" s="3" t="s">
        <v>652</v>
      </c>
      <c r="E1808" s="8">
        <v>596472894</v>
      </c>
      <c r="F1808" s="2">
        <v>4.7660999999999997E-3</v>
      </c>
      <c r="G1808" s="17">
        <f>F1808 * VLOOKUP('GASB Data'!A1808,Check!$A$2:$F$11,6,FALSE)</f>
        <v>11311156.357199999</v>
      </c>
    </row>
    <row r="1809" spans="1:7" x14ac:dyDescent="0.2">
      <c r="A1809">
        <v>2021</v>
      </c>
      <c r="B1809" s="3" t="s">
        <v>183</v>
      </c>
      <c r="C1809" s="3" t="s">
        <v>653</v>
      </c>
      <c r="D1809" s="3" t="s">
        <v>653</v>
      </c>
      <c r="E1809" s="8">
        <v>57550097</v>
      </c>
      <c r="F1809" s="2">
        <v>4.5980000000000001E-4</v>
      </c>
      <c r="G1809" s="17">
        <f>F1809 * VLOOKUP('GASB Data'!A1809,Check!$A$2:$F$11,6,FALSE)</f>
        <v>1091221.2696</v>
      </c>
    </row>
    <row r="1810" spans="1:7" x14ac:dyDescent="0.2">
      <c r="A1810">
        <v>2021</v>
      </c>
      <c r="B1810" s="3" t="s">
        <v>184</v>
      </c>
      <c r="C1810" s="3" t="s">
        <v>654</v>
      </c>
      <c r="D1810" s="3" t="s">
        <v>654</v>
      </c>
      <c r="E1810" s="8">
        <v>1206300519</v>
      </c>
      <c r="F1810" s="2">
        <v>9.6387999999999995E-3</v>
      </c>
      <c r="G1810" s="17">
        <f>F1810 * VLOOKUP('GASB Data'!A1810,Check!$A$2:$F$11,6,FALSE)</f>
        <v>22875301.377599999</v>
      </c>
    </row>
    <row r="1811" spans="1:7" x14ac:dyDescent="0.2">
      <c r="A1811">
        <v>2021</v>
      </c>
      <c r="B1811" s="3" t="s">
        <v>185</v>
      </c>
      <c r="C1811" s="3" t="s">
        <v>900</v>
      </c>
      <c r="D1811" s="3" t="s">
        <v>900</v>
      </c>
      <c r="E1811" s="8">
        <v>7600682</v>
      </c>
      <c r="F1811" s="2">
        <v>6.0699999999999998E-5</v>
      </c>
      <c r="G1811" s="17">
        <f>F1811 * VLOOKUP('GASB Data'!A1811,Check!$A$2:$F$11,6,FALSE)</f>
        <v>144056.3964</v>
      </c>
    </row>
    <row r="1812" spans="1:7" x14ac:dyDescent="0.2">
      <c r="A1812">
        <v>2021</v>
      </c>
      <c r="B1812" s="3" t="s">
        <v>186</v>
      </c>
      <c r="C1812" s="3" t="s">
        <v>656</v>
      </c>
      <c r="D1812" s="3" t="s">
        <v>656</v>
      </c>
      <c r="E1812" s="8">
        <v>21559253</v>
      </c>
      <c r="F1812" s="2">
        <v>1.7229999999999999E-4</v>
      </c>
      <c r="G1812" s="17">
        <f>F1812 * VLOOKUP('GASB Data'!A1812,Check!$A$2:$F$11,6,FALSE)</f>
        <v>408911.31959999999</v>
      </c>
    </row>
    <row r="1813" spans="1:7" x14ac:dyDescent="0.2">
      <c r="A1813">
        <v>2021</v>
      </c>
      <c r="B1813" s="3" t="s">
        <v>187</v>
      </c>
      <c r="C1813" s="3" t="s">
        <v>657</v>
      </c>
      <c r="D1813" s="3" t="s">
        <v>657</v>
      </c>
      <c r="E1813" s="8">
        <v>189279880</v>
      </c>
      <c r="F1813" s="2">
        <v>1.5123999999999999E-3</v>
      </c>
      <c r="G1813" s="17">
        <f>F1813 * VLOOKUP('GASB Data'!A1813,Check!$A$2:$F$11,6,FALSE)</f>
        <v>3589306.3247999996</v>
      </c>
    </row>
    <row r="1814" spans="1:7" x14ac:dyDescent="0.2">
      <c r="A1814">
        <v>2021</v>
      </c>
      <c r="B1814" s="3" t="s">
        <v>188</v>
      </c>
      <c r="C1814" s="3" t="s">
        <v>658</v>
      </c>
      <c r="D1814" s="3" t="s">
        <v>658</v>
      </c>
      <c r="E1814" s="8">
        <v>294015506</v>
      </c>
      <c r="F1814" s="2">
        <v>2.3492999999999999E-3</v>
      </c>
      <c r="G1814" s="17">
        <f>F1814 * VLOOKUP('GASB Data'!A1814,Check!$A$2:$F$11,6,FALSE)</f>
        <v>5575480.9235999994</v>
      </c>
    </row>
    <row r="1815" spans="1:7" x14ac:dyDescent="0.2">
      <c r="A1815">
        <v>2021</v>
      </c>
      <c r="B1815" s="3" t="s">
        <v>189</v>
      </c>
      <c r="C1815" s="3" t="s">
        <v>659</v>
      </c>
      <c r="D1815" s="3" t="s">
        <v>659</v>
      </c>
      <c r="E1815" s="8">
        <v>493333015</v>
      </c>
      <c r="F1815" s="2">
        <v>3.9418999999999999E-3</v>
      </c>
      <c r="G1815" s="17">
        <f>F1815 * VLOOKUP('GASB Data'!A1815,Check!$A$2:$F$11,6,FALSE)</f>
        <v>9355122.0588000007</v>
      </c>
    </row>
    <row r="1816" spans="1:7" x14ac:dyDescent="0.2">
      <c r="A1816">
        <v>2021</v>
      </c>
      <c r="B1816" s="3" t="s">
        <v>190</v>
      </c>
      <c r="C1816" s="3" t="s">
        <v>901</v>
      </c>
      <c r="D1816" s="3" t="s">
        <v>901</v>
      </c>
      <c r="E1816" s="8">
        <v>60307219</v>
      </c>
      <c r="F1816" s="2">
        <v>4.819E-4</v>
      </c>
      <c r="G1816" s="17">
        <f>F1816 * VLOOKUP('GASB Data'!A1816,Check!$A$2:$F$11,6,FALSE)</f>
        <v>1143670.1388000001</v>
      </c>
    </row>
    <row r="1817" spans="1:7" x14ac:dyDescent="0.2">
      <c r="A1817">
        <v>2021</v>
      </c>
      <c r="B1817" s="3" t="s">
        <v>191</v>
      </c>
      <c r="C1817" s="3" t="s">
        <v>661</v>
      </c>
      <c r="D1817" s="3" t="s">
        <v>661</v>
      </c>
      <c r="E1817" s="8">
        <v>1615077459</v>
      </c>
      <c r="F1817" s="2">
        <v>1.2905099999999999E-2</v>
      </c>
      <c r="G1817" s="17">
        <f>F1817 * VLOOKUP('GASB Data'!A1817,Check!$A$2:$F$11,6,FALSE)</f>
        <v>30627054.385199998</v>
      </c>
    </row>
    <row r="1818" spans="1:7" x14ac:dyDescent="0.2">
      <c r="A1818">
        <v>2021</v>
      </c>
      <c r="B1818" s="3" t="s">
        <v>192</v>
      </c>
      <c r="C1818" s="3" t="s">
        <v>662</v>
      </c>
      <c r="D1818" s="3" t="s">
        <v>662</v>
      </c>
      <c r="E1818" s="8">
        <v>30187310</v>
      </c>
      <c r="F1818" s="2">
        <v>2.4120000000000001E-4</v>
      </c>
      <c r="G1818" s="17">
        <f>F1818 * VLOOKUP('GASB Data'!A1818,Check!$A$2:$F$11,6,FALSE)</f>
        <v>572428.3824</v>
      </c>
    </row>
    <row r="1819" spans="1:7" x14ac:dyDescent="0.2">
      <c r="A1819">
        <v>2021</v>
      </c>
      <c r="B1819" s="3" t="s">
        <v>193</v>
      </c>
      <c r="C1819" s="3" t="s">
        <v>663</v>
      </c>
      <c r="D1819" s="3" t="s">
        <v>663</v>
      </c>
      <c r="E1819" s="8">
        <v>258056968</v>
      </c>
      <c r="F1819" s="2">
        <v>2.062E-3</v>
      </c>
      <c r="G1819" s="17">
        <f>F1819 * VLOOKUP('GASB Data'!A1819,Check!$A$2:$F$11,6,FALSE)</f>
        <v>4893645.6239999998</v>
      </c>
    </row>
    <row r="1820" spans="1:7" x14ac:dyDescent="0.2">
      <c r="A1820">
        <v>2021</v>
      </c>
      <c r="B1820" s="3" t="s">
        <v>194</v>
      </c>
      <c r="C1820" s="3" t="s">
        <v>664</v>
      </c>
      <c r="D1820" s="3" t="s">
        <v>664</v>
      </c>
      <c r="E1820" s="8">
        <v>490422059</v>
      </c>
      <c r="F1820" s="2">
        <v>3.9186999999999998E-3</v>
      </c>
      <c r="G1820" s="17">
        <f>F1820 * VLOOKUP('GASB Data'!A1820,Check!$A$2:$F$11,6,FALSE)</f>
        <v>9300062.6123999991</v>
      </c>
    </row>
    <row r="1821" spans="1:7" x14ac:dyDescent="0.2">
      <c r="A1821">
        <v>2021</v>
      </c>
      <c r="B1821" s="3" t="s">
        <v>195</v>
      </c>
      <c r="C1821" s="3" t="s">
        <v>665</v>
      </c>
      <c r="D1821" s="3" t="s">
        <v>665</v>
      </c>
      <c r="E1821" s="8">
        <v>109096683</v>
      </c>
      <c r="F1821" s="2">
        <v>8.7169999999999999E-4</v>
      </c>
      <c r="G1821" s="17">
        <f>F1821 * VLOOKUP('GASB Data'!A1821,Check!$A$2:$F$11,6,FALSE)</f>
        <v>2068763.7683999999</v>
      </c>
    </row>
    <row r="1822" spans="1:7" x14ac:dyDescent="0.2">
      <c r="A1822">
        <v>2021</v>
      </c>
      <c r="B1822" s="3" t="s">
        <v>196</v>
      </c>
      <c r="C1822" s="3" t="s">
        <v>666</v>
      </c>
      <c r="D1822" s="3" t="s">
        <v>666</v>
      </c>
      <c r="E1822" s="8">
        <v>85492775</v>
      </c>
      <c r="F1822" s="2">
        <v>6.8309999999999996E-4</v>
      </c>
      <c r="G1822" s="17">
        <f>F1822 * VLOOKUP('GASB Data'!A1822,Check!$A$2:$F$11,6,FALSE)</f>
        <v>1621168.4412</v>
      </c>
    </row>
    <row r="1823" spans="1:7" x14ac:dyDescent="0.2">
      <c r="A1823">
        <v>2021</v>
      </c>
      <c r="B1823" s="3" t="s">
        <v>197</v>
      </c>
      <c r="C1823" s="3" t="s">
        <v>667</v>
      </c>
      <c r="D1823" s="3" t="s">
        <v>667</v>
      </c>
      <c r="E1823" s="8">
        <v>383893345</v>
      </c>
      <c r="F1823" s="2">
        <v>3.0674999999999999E-3</v>
      </c>
      <c r="G1823" s="17">
        <f>F1823 * VLOOKUP('GASB Data'!A1823,Check!$A$2:$F$11,6,FALSE)</f>
        <v>7279950.5099999998</v>
      </c>
    </row>
    <row r="1824" spans="1:7" x14ac:dyDescent="0.2">
      <c r="A1824">
        <v>2021</v>
      </c>
      <c r="B1824" s="3" t="s">
        <v>198</v>
      </c>
      <c r="C1824" s="3" t="s">
        <v>668</v>
      </c>
      <c r="D1824" s="3" t="s">
        <v>668</v>
      </c>
      <c r="E1824" s="8">
        <v>60612451</v>
      </c>
      <c r="F1824" s="2">
        <v>4.8430000000000001E-4</v>
      </c>
      <c r="G1824" s="17">
        <f>F1824 * VLOOKUP('GASB Data'!A1824,Check!$A$2:$F$11,6,FALSE)</f>
        <v>1149365.9436000001</v>
      </c>
    </row>
    <row r="1825" spans="1:7" x14ac:dyDescent="0.2">
      <c r="A1825">
        <v>2021</v>
      </c>
      <c r="B1825" s="3" t="s">
        <v>199</v>
      </c>
      <c r="C1825" s="3" t="s">
        <v>669</v>
      </c>
      <c r="D1825" s="3" t="s">
        <v>669</v>
      </c>
      <c r="E1825" s="8">
        <v>107095126</v>
      </c>
      <c r="F1825" s="2">
        <v>8.5570000000000004E-4</v>
      </c>
      <c r="G1825" s="17">
        <f>F1825 * VLOOKUP('GASB Data'!A1825,Check!$A$2:$F$11,6,FALSE)</f>
        <v>2030791.7364000001</v>
      </c>
    </row>
    <row r="1826" spans="1:7" x14ac:dyDescent="0.2">
      <c r="A1826">
        <v>2021</v>
      </c>
      <c r="B1826" s="3" t="s">
        <v>200</v>
      </c>
      <c r="C1826" s="3" t="s">
        <v>670</v>
      </c>
      <c r="D1826" s="3" t="s">
        <v>670</v>
      </c>
      <c r="E1826" s="8">
        <v>673867886</v>
      </c>
      <c r="F1826" s="2">
        <v>5.3845000000000004E-3</v>
      </c>
      <c r="G1826" s="17">
        <f>F1826 * VLOOKUP('GASB Data'!A1826,Check!$A$2:$F$11,6,FALSE)</f>
        <v>12778775.394000001</v>
      </c>
    </row>
    <row r="1827" spans="1:7" x14ac:dyDescent="0.2">
      <c r="A1827">
        <v>2021</v>
      </c>
      <c r="B1827" s="3" t="s">
        <v>201</v>
      </c>
      <c r="C1827" s="3" t="s">
        <v>671</v>
      </c>
      <c r="D1827" s="3" t="s">
        <v>671</v>
      </c>
      <c r="E1827" s="8">
        <v>148260227</v>
      </c>
      <c r="F1827" s="2">
        <v>1.1846999999999999E-3</v>
      </c>
      <c r="G1827" s="17">
        <f>F1827 * VLOOKUP('GASB Data'!A1827,Check!$A$2:$F$11,6,FALSE)</f>
        <v>2811591.6443999996</v>
      </c>
    </row>
    <row r="1828" spans="1:7" x14ac:dyDescent="0.2">
      <c r="A1828">
        <v>2021</v>
      </c>
      <c r="B1828" s="3" t="s">
        <v>202</v>
      </c>
      <c r="C1828" s="3" t="s">
        <v>672</v>
      </c>
      <c r="D1828" s="3" t="s">
        <v>672</v>
      </c>
      <c r="E1828" s="8">
        <v>175182663</v>
      </c>
      <c r="F1828" s="2">
        <v>1.3998000000000001E-3</v>
      </c>
      <c r="G1828" s="17">
        <f>F1828 * VLOOKUP('GASB Data'!A1828,Check!$A$2:$F$11,6,FALSE)</f>
        <v>3322078.1496000001</v>
      </c>
    </row>
    <row r="1829" spans="1:7" x14ac:dyDescent="0.2">
      <c r="A1829">
        <v>2021</v>
      </c>
      <c r="B1829" s="3" t="s">
        <v>203</v>
      </c>
      <c r="C1829" s="3" t="s">
        <v>673</v>
      </c>
      <c r="D1829" s="3" t="s">
        <v>673</v>
      </c>
      <c r="E1829" s="8">
        <v>147395980</v>
      </c>
      <c r="F1829" s="2">
        <v>1.1777999999999999E-3</v>
      </c>
      <c r="G1829" s="17">
        <f>F1829 * VLOOKUP('GASB Data'!A1829,Check!$A$2:$F$11,6,FALSE)</f>
        <v>2795216.2056</v>
      </c>
    </row>
    <row r="1830" spans="1:7" x14ac:dyDescent="0.2">
      <c r="A1830">
        <v>2021</v>
      </c>
      <c r="B1830" s="3" t="s">
        <v>204</v>
      </c>
      <c r="C1830" s="3" t="s">
        <v>674</v>
      </c>
      <c r="D1830" s="3" t="s">
        <v>674</v>
      </c>
      <c r="E1830" s="8">
        <v>456961351</v>
      </c>
      <c r="F1830" s="2">
        <v>3.6513000000000001E-3</v>
      </c>
      <c r="G1830" s="17">
        <f>F1830 * VLOOKUP('GASB Data'!A1830,Check!$A$2:$F$11,6,FALSE)</f>
        <v>8665455.0275999997</v>
      </c>
    </row>
    <row r="1831" spans="1:7" x14ac:dyDescent="0.2">
      <c r="A1831">
        <v>2021</v>
      </c>
      <c r="B1831" s="3" t="s">
        <v>205</v>
      </c>
      <c r="C1831" s="3" t="s">
        <v>675</v>
      </c>
      <c r="D1831" s="3" t="s">
        <v>675</v>
      </c>
      <c r="E1831" s="8">
        <v>171068229</v>
      </c>
      <c r="F1831" s="2">
        <v>1.3669000000000001E-3</v>
      </c>
      <c r="G1831" s="17">
        <f>F1831 * VLOOKUP('GASB Data'!A1831,Check!$A$2:$F$11,6,FALSE)</f>
        <v>3243998.1588000003</v>
      </c>
    </row>
    <row r="1832" spans="1:7" x14ac:dyDescent="0.2">
      <c r="A1832">
        <v>2021</v>
      </c>
      <c r="B1832" s="3" t="s">
        <v>206</v>
      </c>
      <c r="C1832" s="3" t="s">
        <v>676</v>
      </c>
      <c r="D1832" s="3" t="s">
        <v>676</v>
      </c>
      <c r="E1832" s="8">
        <v>42657432</v>
      </c>
      <c r="F1832" s="2">
        <v>3.4079999999999999E-4</v>
      </c>
      <c r="G1832" s="17">
        <f>F1832 * VLOOKUP('GASB Data'!A1832,Check!$A$2:$F$11,6,FALSE)</f>
        <v>808804.28159999999</v>
      </c>
    </row>
    <row r="1833" spans="1:7" x14ac:dyDescent="0.2">
      <c r="A1833">
        <v>2021</v>
      </c>
      <c r="B1833" s="3" t="s">
        <v>207</v>
      </c>
      <c r="C1833" s="3" t="s">
        <v>677</v>
      </c>
      <c r="D1833" s="3" t="s">
        <v>677</v>
      </c>
      <c r="E1833" s="8">
        <v>92431784</v>
      </c>
      <c r="F1833" s="2">
        <v>7.3859999999999996E-4</v>
      </c>
      <c r="G1833" s="17">
        <f>F1833 * VLOOKUP('GASB Data'!A1833,Check!$A$2:$F$11,6,FALSE)</f>
        <v>1752883.9271999998</v>
      </c>
    </row>
    <row r="1834" spans="1:7" x14ac:dyDescent="0.2">
      <c r="A1834">
        <v>2021</v>
      </c>
      <c r="B1834" s="3" t="s">
        <v>208</v>
      </c>
      <c r="C1834" s="3" t="s">
        <v>678</v>
      </c>
      <c r="D1834" s="3" t="s">
        <v>678</v>
      </c>
      <c r="E1834" s="8">
        <v>66955742</v>
      </c>
      <c r="F1834" s="2">
        <v>5.3499999999999999E-4</v>
      </c>
      <c r="G1834" s="17">
        <f>F1834 * VLOOKUP('GASB Data'!A1834,Check!$A$2:$F$11,6,FALSE)</f>
        <v>1269689.82</v>
      </c>
    </row>
    <row r="1835" spans="1:7" x14ac:dyDescent="0.2">
      <c r="A1835">
        <v>2021</v>
      </c>
      <c r="B1835" s="3" t="s">
        <v>209</v>
      </c>
      <c r="C1835" s="3" t="s">
        <v>679</v>
      </c>
      <c r="D1835" s="3" t="s">
        <v>679</v>
      </c>
      <c r="E1835" s="8">
        <v>670848459</v>
      </c>
      <c r="F1835" s="2">
        <v>5.3603000000000001E-3</v>
      </c>
      <c r="G1835" s="17">
        <f>F1835 * VLOOKUP('GASB Data'!A1835,Check!$A$2:$F$11,6,FALSE)</f>
        <v>12721342.695600001</v>
      </c>
    </row>
    <row r="1836" spans="1:7" x14ac:dyDescent="0.2">
      <c r="A1836">
        <v>2021</v>
      </c>
      <c r="B1836" s="3" t="s">
        <v>210</v>
      </c>
      <c r="C1836" s="3" t="s">
        <v>930</v>
      </c>
      <c r="D1836" s="3" t="s">
        <v>930</v>
      </c>
      <c r="E1836" s="8">
        <v>74128464</v>
      </c>
      <c r="F1836" s="2">
        <v>5.9230000000000003E-4</v>
      </c>
      <c r="G1836" s="17">
        <f>F1836 * VLOOKUP('GASB Data'!A1836,Check!$A$2:$F$11,6,FALSE)</f>
        <v>1405677.1596000001</v>
      </c>
    </row>
    <row r="1837" spans="1:7" x14ac:dyDescent="0.2">
      <c r="A1837">
        <v>2021</v>
      </c>
      <c r="B1837" s="3" t="s">
        <v>211</v>
      </c>
      <c r="C1837" s="3" t="s">
        <v>681</v>
      </c>
      <c r="D1837" s="3" t="s">
        <v>681</v>
      </c>
      <c r="E1837" s="8">
        <v>235361748</v>
      </c>
      <c r="F1837" s="2">
        <v>1.8806000000000001E-3</v>
      </c>
      <c r="G1837" s="17">
        <f>F1837 * VLOOKUP('GASB Data'!A1837,Check!$A$2:$F$11,6,FALSE)</f>
        <v>4463137.7111999998</v>
      </c>
    </row>
    <row r="1838" spans="1:7" x14ac:dyDescent="0.2">
      <c r="A1838">
        <v>2021</v>
      </c>
      <c r="B1838" s="3" t="s">
        <v>212</v>
      </c>
      <c r="C1838" s="3" t="s">
        <v>682</v>
      </c>
      <c r="D1838" s="3" t="s">
        <v>682</v>
      </c>
      <c r="E1838" s="8">
        <v>62823718</v>
      </c>
      <c r="F1838" s="2">
        <v>5.0199999999999995E-4</v>
      </c>
      <c r="G1838" s="17">
        <f>F1838 * VLOOKUP('GASB Data'!A1838,Check!$A$2:$F$11,6,FALSE)</f>
        <v>1191372.504</v>
      </c>
    </row>
    <row r="1839" spans="1:7" x14ac:dyDescent="0.2">
      <c r="A1839">
        <v>2021</v>
      </c>
      <c r="B1839" s="3" t="s">
        <v>213</v>
      </c>
      <c r="C1839" s="3" t="s">
        <v>683</v>
      </c>
      <c r="D1839" s="3" t="s">
        <v>683</v>
      </c>
      <c r="E1839" s="8">
        <v>102212514</v>
      </c>
      <c r="F1839" s="2">
        <v>8.1669999999999996E-4</v>
      </c>
      <c r="G1839" s="17">
        <f>F1839 * VLOOKUP('GASB Data'!A1839,Check!$A$2:$F$11,6,FALSE)</f>
        <v>1938234.9083999998</v>
      </c>
    </row>
    <row r="1840" spans="1:7" x14ac:dyDescent="0.2">
      <c r="A1840">
        <v>2021</v>
      </c>
      <c r="B1840" s="3" t="s">
        <v>215</v>
      </c>
      <c r="C1840" s="3" t="s">
        <v>684</v>
      </c>
      <c r="D1840" s="3" t="s">
        <v>684</v>
      </c>
      <c r="E1840" s="8">
        <v>571052894</v>
      </c>
      <c r="F1840" s="2">
        <v>4.5628999999999999E-3</v>
      </c>
      <c r="G1840" s="17">
        <f>F1840 * VLOOKUP('GASB Data'!A1840,Check!$A$2:$F$11,6,FALSE)</f>
        <v>10828911.550799999</v>
      </c>
    </row>
    <row r="1841" spans="1:7" x14ac:dyDescent="0.2">
      <c r="A1841">
        <v>2021</v>
      </c>
      <c r="B1841" s="3" t="s">
        <v>216</v>
      </c>
      <c r="C1841" s="3" t="s">
        <v>685</v>
      </c>
      <c r="D1841" s="3" t="s">
        <v>685</v>
      </c>
      <c r="E1841" s="8">
        <v>93275303</v>
      </c>
      <c r="F1841" s="2">
        <v>7.4529999999999996E-4</v>
      </c>
      <c r="G1841" s="17">
        <f>F1841 * VLOOKUP('GASB Data'!A1841,Check!$A$2:$F$11,6,FALSE)</f>
        <v>1768784.7156</v>
      </c>
    </row>
    <row r="1842" spans="1:7" x14ac:dyDescent="0.2">
      <c r="A1842">
        <v>2021</v>
      </c>
      <c r="B1842" s="3" t="s">
        <v>217</v>
      </c>
      <c r="C1842" s="3" t="s">
        <v>686</v>
      </c>
      <c r="D1842" s="3" t="s">
        <v>686</v>
      </c>
      <c r="E1842" s="8">
        <v>2114926306</v>
      </c>
      <c r="F1842" s="2">
        <v>1.68991E-2</v>
      </c>
      <c r="G1842" s="17">
        <f>F1842 * VLOOKUP('GASB Data'!A1842,Check!$A$2:$F$11,6,FALSE)</f>
        <v>40105822.873199999</v>
      </c>
    </row>
    <row r="1843" spans="1:7" x14ac:dyDescent="0.2">
      <c r="A1843">
        <v>2021</v>
      </c>
      <c r="B1843" s="3" t="s">
        <v>218</v>
      </c>
      <c r="C1843" s="3" t="s">
        <v>687</v>
      </c>
      <c r="D1843" s="3" t="s">
        <v>687</v>
      </c>
      <c r="E1843" s="8">
        <v>349022187</v>
      </c>
      <c r="F1843" s="2">
        <v>2.7888000000000001E-3</v>
      </c>
      <c r="G1843" s="17">
        <f>F1843 * VLOOKUP('GASB Data'!A1843,Check!$A$2:$F$11,6,FALSE)</f>
        <v>6618525.1776000001</v>
      </c>
    </row>
    <row r="1844" spans="1:7" x14ac:dyDescent="0.2">
      <c r="A1844">
        <v>2021</v>
      </c>
      <c r="B1844" s="3" t="s">
        <v>219</v>
      </c>
      <c r="C1844" s="3" t="s">
        <v>688</v>
      </c>
      <c r="D1844" s="3" t="s">
        <v>688</v>
      </c>
      <c r="E1844" s="8">
        <v>205865573</v>
      </c>
      <c r="F1844" s="2">
        <v>1.6448999999999999E-3</v>
      </c>
      <c r="G1844" s="17">
        <f>F1844 * VLOOKUP('GASB Data'!A1844,Check!$A$2:$F$11,6,FALSE)</f>
        <v>3903762.2147999997</v>
      </c>
    </row>
    <row r="1845" spans="1:7" x14ac:dyDescent="0.2">
      <c r="A1845">
        <v>2021</v>
      </c>
      <c r="B1845" s="3" t="s">
        <v>274</v>
      </c>
      <c r="C1845" s="3" t="s">
        <v>689</v>
      </c>
      <c r="D1845" s="3" t="s">
        <v>689</v>
      </c>
      <c r="E1845" s="8">
        <v>278763425</v>
      </c>
      <c r="F1845" s="2">
        <v>2.2274E-3</v>
      </c>
      <c r="G1845" s="17">
        <f>F1845 * VLOOKUP('GASB Data'!A1845,Check!$A$2:$F$11,6,FALSE)</f>
        <v>5286181.5048000002</v>
      </c>
    </row>
    <row r="1846" spans="1:7" x14ac:dyDescent="0.2">
      <c r="A1846">
        <v>2021</v>
      </c>
      <c r="B1846" s="3" t="s">
        <v>275</v>
      </c>
      <c r="C1846" s="3" t="s">
        <v>690</v>
      </c>
      <c r="D1846" s="3" t="s">
        <v>690</v>
      </c>
      <c r="E1846" s="8">
        <v>747126572</v>
      </c>
      <c r="F1846" s="2">
        <v>5.9697999999999999E-3</v>
      </c>
      <c r="G1846" s="17">
        <f>F1846 * VLOOKUP('GASB Data'!A1846,Check!$A$2:$F$11,6,FALSE)</f>
        <v>14167839.7896</v>
      </c>
    </row>
    <row r="1847" spans="1:7" x14ac:dyDescent="0.2">
      <c r="A1847">
        <v>2021</v>
      </c>
      <c r="B1847" s="3" t="s">
        <v>276</v>
      </c>
      <c r="C1847" s="3" t="s">
        <v>691</v>
      </c>
      <c r="D1847" s="3" t="s">
        <v>691</v>
      </c>
      <c r="E1847" s="8">
        <v>15191637</v>
      </c>
      <c r="F1847" s="2">
        <v>1.214E-4</v>
      </c>
      <c r="G1847" s="17">
        <f>F1847 * VLOOKUP('GASB Data'!A1847,Check!$A$2:$F$11,6,FALSE)</f>
        <v>288112.7928</v>
      </c>
    </row>
    <row r="1848" spans="1:7" x14ac:dyDescent="0.2">
      <c r="A1848">
        <v>2021</v>
      </c>
      <c r="B1848" s="3" t="s">
        <v>935</v>
      </c>
      <c r="C1848" s="3" t="s">
        <v>934</v>
      </c>
      <c r="D1848" s="3" t="s">
        <v>934</v>
      </c>
      <c r="E1848" s="8">
        <v>4531707</v>
      </c>
      <c r="F1848" s="2">
        <v>3.6199999999999999E-5</v>
      </c>
      <c r="G1848" s="17">
        <f>F1848 * VLOOKUP('GASB Data'!A1848,Check!$A$2:$F$11,6,FALSE)</f>
        <v>85911.722399999999</v>
      </c>
    </row>
    <row r="1849" spans="1:7" x14ac:dyDescent="0.2">
      <c r="A1849">
        <v>2021</v>
      </c>
      <c r="B1849" s="3" t="s">
        <v>277</v>
      </c>
      <c r="C1849" s="3" t="s">
        <v>692</v>
      </c>
      <c r="D1849" s="3" t="s">
        <v>692</v>
      </c>
      <c r="E1849" s="8">
        <v>108714570</v>
      </c>
      <c r="F1849" s="2">
        <v>8.6870000000000003E-4</v>
      </c>
      <c r="G1849" s="17">
        <f>F1849 * VLOOKUP('GASB Data'!A1849,Check!$A$2:$F$11,6,FALSE)</f>
        <v>2061644.0124000001</v>
      </c>
    </row>
    <row r="1850" spans="1:7" x14ac:dyDescent="0.2">
      <c r="A1850">
        <v>2021</v>
      </c>
      <c r="B1850" s="3" t="s">
        <v>278</v>
      </c>
      <c r="C1850" s="3" t="s">
        <v>693</v>
      </c>
      <c r="D1850" s="3" t="s">
        <v>693</v>
      </c>
      <c r="E1850" s="8">
        <v>143098446</v>
      </c>
      <c r="F1850" s="2">
        <v>1.1433999999999999E-3</v>
      </c>
      <c r="G1850" s="17">
        <f>F1850 * VLOOKUP('GASB Data'!A1850,Check!$A$2:$F$11,6,FALSE)</f>
        <v>2713576.3367999997</v>
      </c>
    </row>
    <row r="1851" spans="1:7" x14ac:dyDescent="0.2">
      <c r="A1851">
        <v>2021</v>
      </c>
      <c r="B1851" s="3" t="s">
        <v>937</v>
      </c>
      <c r="C1851" s="3" t="s">
        <v>936</v>
      </c>
      <c r="D1851" s="3" t="s">
        <v>936</v>
      </c>
      <c r="E1851" s="8">
        <v>9297883</v>
      </c>
      <c r="F1851" s="2">
        <v>7.4300000000000004E-5</v>
      </c>
      <c r="G1851" s="17">
        <f>F1851 * VLOOKUP('GASB Data'!A1851,Check!$A$2:$F$11,6,FALSE)</f>
        <v>176332.62360000002</v>
      </c>
    </row>
    <row r="1852" spans="1:7" x14ac:dyDescent="0.2">
      <c r="A1852">
        <v>2021</v>
      </c>
      <c r="B1852" s="3" t="s">
        <v>279</v>
      </c>
      <c r="C1852" s="3" t="s">
        <v>694</v>
      </c>
      <c r="D1852" s="3" t="s">
        <v>694</v>
      </c>
      <c r="E1852" s="8">
        <v>125325815</v>
      </c>
      <c r="F1852" s="2">
        <v>1.0013999999999999E-3</v>
      </c>
      <c r="G1852" s="17">
        <f>F1852 * VLOOKUP('GASB Data'!A1852,Check!$A$2:$F$11,6,FALSE)</f>
        <v>2376574.5527999997</v>
      </c>
    </row>
    <row r="1853" spans="1:7" x14ac:dyDescent="0.2">
      <c r="A1853">
        <v>2021</v>
      </c>
      <c r="B1853" s="3" t="s">
        <v>280</v>
      </c>
      <c r="C1853" s="3" t="s">
        <v>695</v>
      </c>
      <c r="D1853" s="3" t="s">
        <v>695</v>
      </c>
      <c r="E1853" s="8">
        <v>274856328</v>
      </c>
      <c r="F1853" s="2">
        <v>2.1962000000000001E-3</v>
      </c>
      <c r="G1853" s="17">
        <f>F1853 * VLOOKUP('GASB Data'!A1853,Check!$A$2:$F$11,6,FALSE)</f>
        <v>5212136.0424000006</v>
      </c>
    </row>
    <row r="1854" spans="1:7" x14ac:dyDescent="0.2">
      <c r="A1854">
        <v>2021</v>
      </c>
      <c r="B1854" s="3" t="s">
        <v>281</v>
      </c>
      <c r="C1854" s="3" t="s">
        <v>904</v>
      </c>
      <c r="D1854" s="3" t="s">
        <v>904</v>
      </c>
      <c r="E1854" s="8">
        <v>6450400</v>
      </c>
      <c r="F1854" s="2">
        <v>5.1499999999999998E-5</v>
      </c>
      <c r="G1854" s="17">
        <f>F1854 * VLOOKUP('GASB Data'!A1854,Check!$A$2:$F$11,6,FALSE)</f>
        <v>122222.478</v>
      </c>
    </row>
    <row r="1855" spans="1:7" x14ac:dyDescent="0.2">
      <c r="A1855">
        <v>2021</v>
      </c>
      <c r="B1855" s="3" t="s">
        <v>282</v>
      </c>
      <c r="C1855" s="3" t="s">
        <v>697</v>
      </c>
      <c r="D1855" s="3" t="s">
        <v>697</v>
      </c>
      <c r="E1855" s="8">
        <v>44727258</v>
      </c>
      <c r="F1855" s="2">
        <v>3.5740000000000001E-4</v>
      </c>
      <c r="G1855" s="17">
        <f>F1855 * VLOOKUP('GASB Data'!A1855,Check!$A$2:$F$11,6,FALSE)</f>
        <v>848200.2648</v>
      </c>
    </row>
    <row r="1856" spans="1:7" x14ac:dyDescent="0.2">
      <c r="A1856">
        <v>2021</v>
      </c>
      <c r="B1856" s="3" t="s">
        <v>283</v>
      </c>
      <c r="C1856" s="3" t="s">
        <v>698</v>
      </c>
      <c r="D1856" s="3" t="s">
        <v>698</v>
      </c>
      <c r="E1856" s="8">
        <v>401749721</v>
      </c>
      <c r="F1856" s="2">
        <v>3.2101E-3</v>
      </c>
      <c r="G1856" s="17">
        <f>F1856 * VLOOKUP('GASB Data'!A1856,Check!$A$2:$F$11,6,FALSE)</f>
        <v>7618376.2451999998</v>
      </c>
    </row>
    <row r="1857" spans="1:7" x14ac:dyDescent="0.2">
      <c r="A1857">
        <v>2021</v>
      </c>
      <c r="B1857" s="3" t="s">
        <v>284</v>
      </c>
      <c r="C1857" s="3" t="s">
        <v>699</v>
      </c>
      <c r="D1857" s="3" t="s">
        <v>699</v>
      </c>
      <c r="E1857" s="8">
        <v>48665138</v>
      </c>
      <c r="F1857" s="2">
        <v>3.8890000000000002E-4</v>
      </c>
      <c r="G1857" s="17">
        <f>F1857 * VLOOKUP('GASB Data'!A1857,Check!$A$2:$F$11,6,FALSE)</f>
        <v>922957.70280000009</v>
      </c>
    </row>
    <row r="1858" spans="1:7" x14ac:dyDescent="0.2">
      <c r="A1858">
        <v>2021</v>
      </c>
      <c r="B1858" s="3" t="s">
        <v>285</v>
      </c>
      <c r="C1858" s="3" t="s">
        <v>700</v>
      </c>
      <c r="D1858" s="3" t="s">
        <v>700</v>
      </c>
      <c r="E1858" s="8">
        <v>1958240745</v>
      </c>
      <c r="F1858" s="2">
        <v>1.5647100000000001E-2</v>
      </c>
      <c r="G1858" s="17">
        <f>F1858 * VLOOKUP('GASB Data'!A1858,Check!$A$2:$F$11,6,FALSE)</f>
        <v>37134511.369199999</v>
      </c>
    </row>
    <row r="1859" spans="1:7" x14ac:dyDescent="0.2">
      <c r="A1859">
        <v>2021</v>
      </c>
      <c r="B1859" s="3" t="s">
        <v>286</v>
      </c>
      <c r="C1859" s="3" t="s">
        <v>905</v>
      </c>
      <c r="D1859" s="3" t="s">
        <v>905</v>
      </c>
      <c r="E1859" s="8">
        <v>35024609</v>
      </c>
      <c r="F1859" s="2">
        <v>2.7989999999999997E-4</v>
      </c>
      <c r="G1859" s="17">
        <f>F1859 * VLOOKUP('GASB Data'!A1859,Check!$A$2:$F$11,6,FALSE)</f>
        <v>664273.23479999998</v>
      </c>
    </row>
    <row r="1860" spans="1:7" x14ac:dyDescent="0.2">
      <c r="A1860">
        <v>2021</v>
      </c>
      <c r="B1860" s="3" t="s">
        <v>287</v>
      </c>
      <c r="C1860" s="3" t="s">
        <v>702</v>
      </c>
      <c r="D1860" s="3" t="s">
        <v>702</v>
      </c>
      <c r="E1860" s="8">
        <v>23017551</v>
      </c>
      <c r="F1860" s="2">
        <v>1.839E-4</v>
      </c>
      <c r="G1860" s="17">
        <f>F1860 * VLOOKUP('GASB Data'!A1860,Check!$A$2:$F$11,6,FALSE)</f>
        <v>436441.0428</v>
      </c>
    </row>
    <row r="1861" spans="1:7" x14ac:dyDescent="0.2">
      <c r="A1861">
        <v>2021</v>
      </c>
      <c r="B1861" s="3" t="s">
        <v>288</v>
      </c>
      <c r="C1861" s="3" t="s">
        <v>703</v>
      </c>
      <c r="D1861" s="3" t="s">
        <v>703</v>
      </c>
      <c r="E1861" s="8">
        <v>56940343</v>
      </c>
      <c r="F1861" s="2">
        <v>4.55E-4</v>
      </c>
      <c r="G1861" s="17">
        <f>F1861 * VLOOKUP('GASB Data'!A1861,Check!$A$2:$F$11,6,FALSE)</f>
        <v>1079829.6599999999</v>
      </c>
    </row>
    <row r="1862" spans="1:7" x14ac:dyDescent="0.2">
      <c r="A1862">
        <v>2021</v>
      </c>
      <c r="B1862" s="3" t="s">
        <v>289</v>
      </c>
      <c r="C1862" s="3" t="s">
        <v>704</v>
      </c>
      <c r="D1862" s="3" t="s">
        <v>704</v>
      </c>
      <c r="E1862" s="8">
        <v>157997708</v>
      </c>
      <c r="F1862" s="2">
        <v>1.2625E-3</v>
      </c>
      <c r="G1862" s="17">
        <f>F1862 * VLOOKUP('GASB Data'!A1862,Check!$A$2:$F$11,6,FALSE)</f>
        <v>2996230.65</v>
      </c>
    </row>
    <row r="1863" spans="1:7" x14ac:dyDescent="0.2">
      <c r="A1863">
        <v>2021</v>
      </c>
      <c r="B1863" s="3" t="s">
        <v>290</v>
      </c>
      <c r="C1863" s="3" t="s">
        <v>705</v>
      </c>
      <c r="D1863" s="3" t="s">
        <v>705</v>
      </c>
      <c r="E1863" s="8">
        <v>15278054</v>
      </c>
      <c r="F1863" s="2">
        <v>1.2210000000000001E-4</v>
      </c>
      <c r="G1863" s="17">
        <f>F1863 * VLOOKUP('GASB Data'!A1863,Check!$A$2:$F$11,6,FALSE)</f>
        <v>289774.06920000003</v>
      </c>
    </row>
    <row r="1864" spans="1:7" x14ac:dyDescent="0.2">
      <c r="A1864">
        <v>2021</v>
      </c>
      <c r="B1864" s="3" t="s">
        <v>291</v>
      </c>
      <c r="C1864" s="3" t="s">
        <v>706</v>
      </c>
      <c r="D1864" s="3" t="s">
        <v>706</v>
      </c>
      <c r="E1864" s="8">
        <v>66918499</v>
      </c>
      <c r="F1864" s="2">
        <v>5.3470000000000004E-4</v>
      </c>
      <c r="G1864" s="17">
        <f>F1864 * VLOOKUP('GASB Data'!A1864,Check!$A$2:$F$11,6,FALSE)</f>
        <v>1268977.8444000001</v>
      </c>
    </row>
    <row r="1865" spans="1:7" x14ac:dyDescent="0.2">
      <c r="A1865">
        <v>2021</v>
      </c>
      <c r="B1865" s="3" t="s">
        <v>294</v>
      </c>
      <c r="C1865" s="3" t="s">
        <v>709</v>
      </c>
      <c r="D1865" s="3" t="s">
        <v>709</v>
      </c>
      <c r="E1865" s="8">
        <v>265966922</v>
      </c>
      <c r="F1865" s="2">
        <v>2.1251999999999998E-3</v>
      </c>
      <c r="G1865" s="17">
        <f>F1865 * VLOOKUP('GASB Data'!A1865,Check!$A$2:$F$11,6,FALSE)</f>
        <v>5043635.1503999997</v>
      </c>
    </row>
    <row r="1866" spans="1:7" x14ac:dyDescent="0.2">
      <c r="A1866">
        <v>2021</v>
      </c>
      <c r="B1866" s="3" t="s">
        <v>295</v>
      </c>
      <c r="C1866" s="3" t="s">
        <v>710</v>
      </c>
      <c r="D1866" s="3" t="s">
        <v>710</v>
      </c>
      <c r="E1866" s="8">
        <v>55119741</v>
      </c>
      <c r="F1866" s="2">
        <v>4.4040000000000003E-4</v>
      </c>
      <c r="G1866" s="17">
        <f>F1866 * VLOOKUP('GASB Data'!A1866,Check!$A$2:$F$11,6,FALSE)</f>
        <v>1045180.1808000001</v>
      </c>
    </row>
    <row r="1867" spans="1:7" x14ac:dyDescent="0.2">
      <c r="A1867">
        <v>2021</v>
      </c>
      <c r="B1867" s="3" t="s">
        <v>296</v>
      </c>
      <c r="C1867" s="3" t="s">
        <v>711</v>
      </c>
      <c r="D1867" s="3" t="s">
        <v>711</v>
      </c>
      <c r="E1867" s="8">
        <v>2521040724</v>
      </c>
      <c r="F1867" s="2">
        <v>2.0144100000000002E-2</v>
      </c>
      <c r="G1867" s="17">
        <f>F1867 * VLOOKUP('GASB Data'!A1867,Check!$A$2:$F$11,6,FALSE)</f>
        <v>47807025.613200001</v>
      </c>
    </row>
    <row r="1868" spans="1:7" x14ac:dyDescent="0.2">
      <c r="A1868">
        <v>2021</v>
      </c>
      <c r="B1868" s="3" t="s">
        <v>297</v>
      </c>
      <c r="C1868" s="3" t="s">
        <v>712</v>
      </c>
      <c r="D1868" s="3" t="s">
        <v>712</v>
      </c>
      <c r="E1868" s="8">
        <v>22650158</v>
      </c>
      <c r="F1868" s="2">
        <v>1.8100000000000001E-4</v>
      </c>
      <c r="G1868" s="17">
        <f>F1868 * VLOOKUP('GASB Data'!A1868,Check!$A$2:$F$11,6,FALSE)</f>
        <v>429558.61200000002</v>
      </c>
    </row>
    <row r="1869" spans="1:7" x14ac:dyDescent="0.2">
      <c r="A1869">
        <v>2021</v>
      </c>
      <c r="B1869" s="3" t="s">
        <v>298</v>
      </c>
      <c r="C1869" s="3" t="s">
        <v>713</v>
      </c>
      <c r="D1869" s="3" t="s">
        <v>713</v>
      </c>
      <c r="E1869" s="8">
        <v>238102769</v>
      </c>
      <c r="F1869" s="2">
        <v>1.9024999999999999E-3</v>
      </c>
      <c r="G1869" s="17">
        <f>F1869 * VLOOKUP('GASB Data'!A1869,Check!$A$2:$F$11,6,FALSE)</f>
        <v>4515111.93</v>
      </c>
    </row>
    <row r="1870" spans="1:7" x14ac:dyDescent="0.2">
      <c r="A1870">
        <v>2021</v>
      </c>
      <c r="B1870" s="3" t="s">
        <v>299</v>
      </c>
      <c r="C1870" s="3" t="s">
        <v>714</v>
      </c>
      <c r="D1870" s="3" t="s">
        <v>714</v>
      </c>
      <c r="E1870" s="8">
        <v>373070845</v>
      </c>
      <c r="F1870" s="2">
        <v>2.9810000000000001E-3</v>
      </c>
      <c r="G1870" s="17">
        <f>F1870 * VLOOKUP('GASB Data'!A1870,Check!$A$2:$F$11,6,FALSE)</f>
        <v>7074664.2120000003</v>
      </c>
    </row>
    <row r="1871" spans="1:7" x14ac:dyDescent="0.2">
      <c r="A1871">
        <v>2021</v>
      </c>
      <c r="B1871" s="3" t="s">
        <v>300</v>
      </c>
      <c r="C1871" s="3" t="s">
        <v>715</v>
      </c>
      <c r="D1871" s="3" t="s">
        <v>715</v>
      </c>
      <c r="E1871" s="8">
        <v>12959770</v>
      </c>
      <c r="F1871" s="2">
        <v>1.036E-4</v>
      </c>
      <c r="G1871" s="17">
        <f>F1871 * VLOOKUP('GASB Data'!A1871,Check!$A$2:$F$11,6,FALSE)</f>
        <v>245868.90719999999</v>
      </c>
    </row>
    <row r="1872" spans="1:7" x14ac:dyDescent="0.2">
      <c r="A1872">
        <v>2021</v>
      </c>
      <c r="B1872" s="3" t="s">
        <v>301</v>
      </c>
      <c r="C1872" s="3" t="s">
        <v>716</v>
      </c>
      <c r="D1872" s="3" t="s">
        <v>716</v>
      </c>
      <c r="E1872" s="8">
        <v>1305098378</v>
      </c>
      <c r="F1872" s="2">
        <v>1.04283E-2</v>
      </c>
      <c r="G1872" s="17">
        <f>F1872 * VLOOKUP('GASB Data'!A1872,Check!$A$2:$F$11,6,FALSE)</f>
        <v>24748983.831599999</v>
      </c>
    </row>
    <row r="1873" spans="1:7" x14ac:dyDescent="0.2">
      <c r="A1873">
        <v>2021</v>
      </c>
      <c r="B1873" s="3" t="s">
        <v>302</v>
      </c>
      <c r="C1873" s="3" t="s">
        <v>717</v>
      </c>
      <c r="D1873" s="3" t="s">
        <v>717</v>
      </c>
      <c r="E1873" s="8">
        <v>157271309</v>
      </c>
      <c r="F1873" s="2">
        <v>1.2566999999999999E-3</v>
      </c>
      <c r="G1873" s="17">
        <f>F1873 * VLOOKUP('GASB Data'!A1873,Check!$A$2:$F$11,6,FALSE)</f>
        <v>2982465.7884</v>
      </c>
    </row>
    <row r="1874" spans="1:7" x14ac:dyDescent="0.2">
      <c r="A1874">
        <v>2021</v>
      </c>
      <c r="B1874" s="3" t="s">
        <v>303</v>
      </c>
      <c r="C1874" s="3" t="s">
        <v>718</v>
      </c>
      <c r="D1874" s="3" t="s">
        <v>718</v>
      </c>
      <c r="E1874" s="8">
        <v>91354560</v>
      </c>
      <c r="F1874" s="2">
        <v>7.2999999999999996E-4</v>
      </c>
      <c r="G1874" s="17">
        <f>F1874 * VLOOKUP('GASB Data'!A1874,Check!$A$2:$F$11,6,FALSE)</f>
        <v>1732473.96</v>
      </c>
    </row>
    <row r="1875" spans="1:7" x14ac:dyDescent="0.2">
      <c r="A1875">
        <v>2021</v>
      </c>
      <c r="B1875" s="3" t="s">
        <v>304</v>
      </c>
      <c r="C1875" s="3" t="s">
        <v>719</v>
      </c>
      <c r="D1875" s="3" t="s">
        <v>719</v>
      </c>
      <c r="E1875" s="8">
        <v>64506848</v>
      </c>
      <c r="F1875" s="2">
        <v>5.1539999999999995E-4</v>
      </c>
      <c r="G1875" s="17">
        <f>F1875 * VLOOKUP('GASB Data'!A1875,Check!$A$2:$F$11,6,FALSE)</f>
        <v>1223174.0807999999</v>
      </c>
    </row>
    <row r="1876" spans="1:7" x14ac:dyDescent="0.2">
      <c r="A1876">
        <v>2021</v>
      </c>
      <c r="B1876" s="3" t="s">
        <v>305</v>
      </c>
      <c r="C1876" s="3" t="s">
        <v>720</v>
      </c>
      <c r="D1876" s="3" t="s">
        <v>720</v>
      </c>
      <c r="E1876" s="8">
        <v>309254244</v>
      </c>
      <c r="F1876" s="2">
        <v>2.4710999999999999E-3</v>
      </c>
      <c r="G1876" s="17">
        <f>F1876 * VLOOKUP('GASB Data'!A1876,Check!$A$2:$F$11,6,FALSE)</f>
        <v>5864543.0171999997</v>
      </c>
    </row>
    <row r="1877" spans="1:7" x14ac:dyDescent="0.2">
      <c r="A1877">
        <v>2021</v>
      </c>
      <c r="B1877" s="3" t="s">
        <v>306</v>
      </c>
      <c r="C1877" s="3" t="s">
        <v>721</v>
      </c>
      <c r="D1877" s="3" t="s">
        <v>721</v>
      </c>
      <c r="E1877" s="8">
        <v>150546281</v>
      </c>
      <c r="F1877" s="2">
        <v>1.2029E-3</v>
      </c>
      <c r="G1877" s="17">
        <f>F1877 * VLOOKUP('GASB Data'!A1877,Check!$A$2:$F$11,6,FALSE)</f>
        <v>2854784.8308000001</v>
      </c>
    </row>
    <row r="1878" spans="1:7" x14ac:dyDescent="0.2">
      <c r="A1878">
        <v>2021</v>
      </c>
      <c r="B1878" s="3" t="s">
        <v>307</v>
      </c>
      <c r="C1878" s="3" t="s">
        <v>722</v>
      </c>
      <c r="D1878" s="3" t="s">
        <v>722</v>
      </c>
      <c r="E1878" s="8">
        <v>3499759026</v>
      </c>
      <c r="F1878" s="2">
        <v>2.79645E-2</v>
      </c>
      <c r="G1878" s="17">
        <f>F1878 * VLOOKUP('GASB Data'!A1878,Check!$A$2:$F$11,6,FALSE)</f>
        <v>66366805.553999998</v>
      </c>
    </row>
    <row r="1879" spans="1:7" x14ac:dyDescent="0.2">
      <c r="A1879">
        <v>2021</v>
      </c>
      <c r="B1879" s="3" t="s">
        <v>308</v>
      </c>
      <c r="C1879" s="3" t="s">
        <v>723</v>
      </c>
      <c r="D1879" s="3" t="s">
        <v>723</v>
      </c>
      <c r="E1879" s="8">
        <v>276859100</v>
      </c>
      <c r="F1879" s="2">
        <v>2.2122000000000001E-3</v>
      </c>
      <c r="G1879" s="17">
        <f>F1879 * VLOOKUP('GASB Data'!A1879,Check!$A$2:$F$11,6,FALSE)</f>
        <v>5250108.0744000003</v>
      </c>
    </row>
    <row r="1880" spans="1:7" x14ac:dyDescent="0.2">
      <c r="A1880">
        <v>2021</v>
      </c>
      <c r="B1880" s="3" t="s">
        <v>309</v>
      </c>
      <c r="C1880" s="3" t="s">
        <v>724</v>
      </c>
      <c r="D1880" s="3" t="s">
        <v>724</v>
      </c>
      <c r="E1880" s="8">
        <v>103187843</v>
      </c>
      <c r="F1880" s="2">
        <v>8.2450000000000004E-4</v>
      </c>
      <c r="G1880" s="17">
        <f>F1880 * VLOOKUP('GASB Data'!A1880,Check!$A$2:$F$11,6,FALSE)</f>
        <v>1956746.274</v>
      </c>
    </row>
    <row r="1881" spans="1:7" x14ac:dyDescent="0.2">
      <c r="A1881">
        <v>2021</v>
      </c>
      <c r="B1881" s="3" t="s">
        <v>310</v>
      </c>
      <c r="C1881" s="3" t="s">
        <v>725</v>
      </c>
      <c r="D1881" s="3" t="s">
        <v>725</v>
      </c>
      <c r="E1881" s="8">
        <v>51512695</v>
      </c>
      <c r="F1881" s="2">
        <v>4.1159999999999998E-4</v>
      </c>
      <c r="G1881" s="17">
        <f>F1881 * VLOOKUP('GASB Data'!A1881,Check!$A$2:$F$11,6,FALSE)</f>
        <v>976830.52319999994</v>
      </c>
    </row>
    <row r="1882" spans="1:7" x14ac:dyDescent="0.2">
      <c r="A1882">
        <v>2021</v>
      </c>
      <c r="B1882" s="3" t="s">
        <v>311</v>
      </c>
      <c r="C1882" s="3" t="s">
        <v>726</v>
      </c>
      <c r="D1882" s="3" t="s">
        <v>726</v>
      </c>
      <c r="E1882" s="8">
        <v>126593425</v>
      </c>
      <c r="F1882" s="2">
        <v>1.0115E-3</v>
      </c>
      <c r="G1882" s="17">
        <f>F1882 * VLOOKUP('GASB Data'!A1882,Check!$A$2:$F$11,6,FALSE)</f>
        <v>2400544.398</v>
      </c>
    </row>
    <row r="1883" spans="1:7" x14ac:dyDescent="0.2">
      <c r="A1883">
        <v>2021</v>
      </c>
      <c r="B1883" s="3" t="s">
        <v>312</v>
      </c>
      <c r="C1883" s="3" t="s">
        <v>727</v>
      </c>
      <c r="D1883" s="3" t="s">
        <v>727</v>
      </c>
      <c r="E1883" s="8">
        <v>41366533</v>
      </c>
      <c r="F1883" s="2">
        <v>3.3050000000000001E-4</v>
      </c>
      <c r="G1883" s="17">
        <f>F1883 * VLOOKUP('GASB Data'!A1883,Check!$A$2:$F$11,6,FALSE)</f>
        <v>784359.78600000008</v>
      </c>
    </row>
    <row r="1884" spans="1:7" x14ac:dyDescent="0.2">
      <c r="A1884">
        <v>2021</v>
      </c>
      <c r="B1884" s="3" t="s">
        <v>313</v>
      </c>
      <c r="C1884" s="3" t="s">
        <v>728</v>
      </c>
      <c r="D1884" s="3" t="s">
        <v>728</v>
      </c>
      <c r="E1884" s="8">
        <v>836753289</v>
      </c>
      <c r="F1884" s="2">
        <v>6.6860000000000001E-3</v>
      </c>
      <c r="G1884" s="17">
        <f>F1884 * VLOOKUP('GASB Data'!A1884,Check!$A$2:$F$11,6,FALSE)</f>
        <v>15867562.872</v>
      </c>
    </row>
    <row r="1885" spans="1:7" x14ac:dyDescent="0.2">
      <c r="A1885">
        <v>2021</v>
      </c>
      <c r="B1885" s="3" t="s">
        <v>314</v>
      </c>
      <c r="C1885" s="3" t="s">
        <v>729</v>
      </c>
      <c r="D1885" s="3" t="s">
        <v>729</v>
      </c>
      <c r="E1885" s="8">
        <v>348938992</v>
      </c>
      <c r="F1885" s="2">
        <v>2.7881999999999998E-3</v>
      </c>
      <c r="G1885" s="17">
        <f>F1885 * VLOOKUP('GASB Data'!A1885,Check!$A$2:$F$11,6,FALSE)</f>
        <v>6617101.2263999991</v>
      </c>
    </row>
    <row r="1886" spans="1:7" x14ac:dyDescent="0.2">
      <c r="A1886">
        <v>2021</v>
      </c>
      <c r="B1886" s="3" t="s">
        <v>315</v>
      </c>
      <c r="C1886" s="3" t="s">
        <v>730</v>
      </c>
      <c r="D1886" s="3" t="s">
        <v>730</v>
      </c>
      <c r="E1886" s="8">
        <v>61932697</v>
      </c>
      <c r="F1886" s="2">
        <v>4.9490000000000005E-4</v>
      </c>
      <c r="G1886" s="17">
        <f>F1886 * VLOOKUP('GASB Data'!A1886,Check!$A$2:$F$11,6,FALSE)</f>
        <v>1174522.4148000001</v>
      </c>
    </row>
    <row r="1887" spans="1:7" x14ac:dyDescent="0.2">
      <c r="A1887">
        <v>2021</v>
      </c>
      <c r="B1887" s="3" t="s">
        <v>316</v>
      </c>
      <c r="C1887" s="3" t="s">
        <v>731</v>
      </c>
      <c r="D1887" s="3" t="s">
        <v>731</v>
      </c>
      <c r="E1887" s="8">
        <v>621709079</v>
      </c>
      <c r="F1887" s="2">
        <v>4.9677000000000002E-3</v>
      </c>
      <c r="G1887" s="17">
        <f>F1887 * VLOOKUP('GASB Data'!A1887,Check!$A$2:$F$11,6,FALSE)</f>
        <v>11789603.9604</v>
      </c>
    </row>
    <row r="1888" spans="1:7" x14ac:dyDescent="0.2">
      <c r="A1888">
        <v>2021</v>
      </c>
      <c r="B1888" s="3" t="s">
        <v>317</v>
      </c>
      <c r="C1888" s="3" t="s">
        <v>732</v>
      </c>
      <c r="D1888" s="3" t="s">
        <v>732</v>
      </c>
      <c r="E1888" s="8">
        <v>7857535</v>
      </c>
      <c r="F1888" s="2">
        <v>6.2799999999999995E-5</v>
      </c>
      <c r="G1888" s="17">
        <f>F1888 * VLOOKUP('GASB Data'!A1888,Check!$A$2:$F$11,6,FALSE)</f>
        <v>149040.22559999998</v>
      </c>
    </row>
    <row r="1889" spans="1:7" x14ac:dyDescent="0.2">
      <c r="A1889">
        <v>2021</v>
      </c>
      <c r="B1889" s="3" t="s">
        <v>318</v>
      </c>
      <c r="C1889" s="3" t="s">
        <v>733</v>
      </c>
      <c r="D1889" s="3" t="s">
        <v>733</v>
      </c>
      <c r="E1889" s="8">
        <v>82140027</v>
      </c>
      <c r="F1889" s="2">
        <v>6.5629999999999996E-4</v>
      </c>
      <c r="G1889" s="17">
        <f>F1889 * VLOOKUP('GASB Data'!A1889,Check!$A$2:$F$11,6,FALSE)</f>
        <v>1557565.2875999999</v>
      </c>
    </row>
    <row r="1890" spans="1:7" x14ac:dyDescent="0.2">
      <c r="A1890">
        <v>2021</v>
      </c>
      <c r="B1890" s="3" t="s">
        <v>319</v>
      </c>
      <c r="C1890" s="3" t="s">
        <v>734</v>
      </c>
      <c r="D1890" s="3" t="s">
        <v>734</v>
      </c>
      <c r="E1890" s="8">
        <v>129319256</v>
      </c>
      <c r="F1890" s="2">
        <v>1.0333E-3</v>
      </c>
      <c r="G1890" s="17">
        <f>F1890 * VLOOKUP('GASB Data'!A1890,Check!$A$2:$F$11,6,FALSE)</f>
        <v>2452281.2916000001</v>
      </c>
    </row>
    <row r="1891" spans="1:7" x14ac:dyDescent="0.2">
      <c r="A1891">
        <v>2021</v>
      </c>
      <c r="B1891" s="3" t="s">
        <v>320</v>
      </c>
      <c r="C1891" s="3" t="s">
        <v>735</v>
      </c>
      <c r="D1891" s="3" t="s">
        <v>735</v>
      </c>
      <c r="E1891" s="8">
        <v>21091147</v>
      </c>
      <c r="F1891" s="2">
        <v>1.685E-4</v>
      </c>
      <c r="G1891" s="17">
        <f>F1891 * VLOOKUP('GASB Data'!A1891,Check!$A$2:$F$11,6,FALSE)</f>
        <v>399892.962</v>
      </c>
    </row>
    <row r="1892" spans="1:7" x14ac:dyDescent="0.2">
      <c r="A1892">
        <v>2021</v>
      </c>
      <c r="B1892" s="3" t="s">
        <v>321</v>
      </c>
      <c r="C1892" s="3" t="s">
        <v>736</v>
      </c>
      <c r="D1892" s="3" t="s">
        <v>736</v>
      </c>
      <c r="E1892" s="8">
        <v>412570745</v>
      </c>
      <c r="F1892" s="2">
        <v>3.2965999999999998E-3</v>
      </c>
      <c r="G1892" s="17">
        <f>F1892 * VLOOKUP('GASB Data'!A1892,Check!$A$2:$F$11,6,FALSE)</f>
        <v>7823662.5431999993</v>
      </c>
    </row>
    <row r="1893" spans="1:7" x14ac:dyDescent="0.2">
      <c r="A1893">
        <v>2021</v>
      </c>
      <c r="B1893" s="3" t="s">
        <v>322</v>
      </c>
      <c r="C1893" s="3" t="s">
        <v>737</v>
      </c>
      <c r="D1893" s="3" t="s">
        <v>737</v>
      </c>
      <c r="E1893" s="8">
        <v>41935256</v>
      </c>
      <c r="F1893" s="2">
        <v>3.3510000000000001E-4</v>
      </c>
      <c r="G1893" s="17">
        <f>F1893 * VLOOKUP('GASB Data'!A1893,Check!$A$2:$F$11,6,FALSE)</f>
        <v>795276.7452</v>
      </c>
    </row>
    <row r="1894" spans="1:7" x14ac:dyDescent="0.2">
      <c r="A1894">
        <v>2021</v>
      </c>
      <c r="B1894" s="3" t="s">
        <v>323</v>
      </c>
      <c r="C1894" s="3" t="s">
        <v>738</v>
      </c>
      <c r="D1894" s="3" t="s">
        <v>738</v>
      </c>
      <c r="E1894" s="8">
        <v>902775925</v>
      </c>
      <c r="F1894" s="2">
        <v>7.2135000000000003E-3</v>
      </c>
      <c r="G1894" s="17">
        <f>F1894 * VLOOKUP('GASB Data'!A1894,Check!$A$2:$F$11,6,FALSE)</f>
        <v>17119453.302000001</v>
      </c>
    </row>
    <row r="1895" spans="1:7" x14ac:dyDescent="0.2">
      <c r="A1895">
        <v>2021</v>
      </c>
      <c r="B1895" s="3" t="s">
        <v>324</v>
      </c>
      <c r="C1895" s="3" t="s">
        <v>907</v>
      </c>
      <c r="D1895" s="3" t="s">
        <v>907</v>
      </c>
      <c r="E1895" s="8">
        <v>24997512</v>
      </c>
      <c r="F1895" s="2">
        <v>1.997E-4</v>
      </c>
      <c r="G1895" s="17">
        <f>F1895 * VLOOKUP('GASB Data'!A1895,Check!$A$2:$F$11,6,FALSE)</f>
        <v>473938.42440000002</v>
      </c>
    </row>
    <row r="1896" spans="1:7" x14ac:dyDescent="0.2">
      <c r="A1896">
        <v>2021</v>
      </c>
      <c r="B1896" s="3" t="s">
        <v>325</v>
      </c>
      <c r="C1896" s="3" t="s">
        <v>740</v>
      </c>
      <c r="D1896" s="3" t="s">
        <v>740</v>
      </c>
      <c r="E1896" s="8">
        <v>1197860</v>
      </c>
      <c r="F1896" s="2">
        <v>9.5999999999999996E-6</v>
      </c>
      <c r="G1896" s="17">
        <f>F1896 * VLOOKUP('GASB Data'!A1896,Check!$A$2:$F$11,6,FALSE)</f>
        <v>22783.2192</v>
      </c>
    </row>
    <row r="1897" spans="1:7" x14ac:dyDescent="0.2">
      <c r="A1897">
        <v>2021</v>
      </c>
      <c r="B1897" s="3" t="s">
        <v>326</v>
      </c>
      <c r="C1897" s="3" t="s">
        <v>741</v>
      </c>
      <c r="D1897" s="3" t="s">
        <v>741</v>
      </c>
      <c r="E1897" s="8">
        <v>83779753</v>
      </c>
      <c r="F1897" s="2">
        <v>6.6940000000000001E-4</v>
      </c>
      <c r="G1897" s="17">
        <f>F1897 * VLOOKUP('GASB Data'!A1897,Check!$A$2:$F$11,6,FALSE)</f>
        <v>1588654.8888000001</v>
      </c>
    </row>
    <row r="1898" spans="1:7" x14ac:dyDescent="0.2">
      <c r="A1898">
        <v>2021</v>
      </c>
      <c r="B1898" s="3" t="s">
        <v>327</v>
      </c>
      <c r="C1898" s="3" t="s">
        <v>742</v>
      </c>
      <c r="D1898" s="3" t="s">
        <v>742</v>
      </c>
      <c r="E1898" s="8">
        <v>286554710</v>
      </c>
      <c r="F1898" s="2">
        <v>2.2897E-3</v>
      </c>
      <c r="G1898" s="17">
        <f>F1898 * VLOOKUP('GASB Data'!A1898,Check!$A$2:$F$11,6,FALSE)</f>
        <v>5434035.1043999996</v>
      </c>
    </row>
    <row r="1899" spans="1:7" x14ac:dyDescent="0.2">
      <c r="A1899">
        <v>2021</v>
      </c>
      <c r="B1899" s="3" t="s">
        <v>382</v>
      </c>
      <c r="C1899" s="3" t="s">
        <v>743</v>
      </c>
      <c r="D1899" s="3" t="s">
        <v>743</v>
      </c>
      <c r="E1899" s="8">
        <v>188928505</v>
      </c>
      <c r="F1899" s="2">
        <v>1.5096E-3</v>
      </c>
      <c r="G1899" s="17">
        <f>F1899 * VLOOKUP('GASB Data'!A1899,Check!$A$2:$F$11,6,FALSE)</f>
        <v>3582661.2192000002</v>
      </c>
    </row>
    <row r="1900" spans="1:7" x14ac:dyDescent="0.2">
      <c r="A1900">
        <v>2021</v>
      </c>
      <c r="B1900" s="3" t="s">
        <v>383</v>
      </c>
      <c r="C1900" s="3" t="s">
        <v>744</v>
      </c>
      <c r="D1900" s="3" t="s">
        <v>744</v>
      </c>
      <c r="E1900" s="8">
        <v>78826775</v>
      </c>
      <c r="F1900" s="2">
        <v>6.2989999999999997E-4</v>
      </c>
      <c r="G1900" s="17">
        <f>F1900 * VLOOKUP('GASB Data'!A1900,Check!$A$2:$F$11,6,FALSE)</f>
        <v>1494911.4347999999</v>
      </c>
    </row>
    <row r="1901" spans="1:7" x14ac:dyDescent="0.2">
      <c r="A1901">
        <v>2021</v>
      </c>
      <c r="B1901" s="3" t="s">
        <v>384</v>
      </c>
      <c r="C1901" s="3" t="s">
        <v>745</v>
      </c>
      <c r="D1901" s="3" t="s">
        <v>745</v>
      </c>
      <c r="E1901" s="8">
        <v>1662792359</v>
      </c>
      <c r="F1901" s="2">
        <v>1.32864E-2</v>
      </c>
      <c r="G1901" s="17">
        <f>F1901 * VLOOKUP('GASB Data'!A1901,Check!$A$2:$F$11,6,FALSE)</f>
        <v>31531975.3728</v>
      </c>
    </row>
    <row r="1902" spans="1:7" x14ac:dyDescent="0.2">
      <c r="A1902">
        <v>2021</v>
      </c>
      <c r="B1902" s="3" t="s">
        <v>385</v>
      </c>
      <c r="C1902" s="3" t="s">
        <v>746</v>
      </c>
      <c r="D1902" s="3" t="s">
        <v>746</v>
      </c>
      <c r="E1902" s="8">
        <v>146554849</v>
      </c>
      <c r="F1902" s="2">
        <v>1.1709999999999999E-3</v>
      </c>
      <c r="G1902" s="17">
        <f>F1902 * VLOOKUP('GASB Data'!A1902,Check!$A$2:$F$11,6,FALSE)</f>
        <v>2779078.0919999997</v>
      </c>
    </row>
    <row r="1903" spans="1:7" x14ac:dyDescent="0.2">
      <c r="A1903">
        <v>2021</v>
      </c>
      <c r="B1903" s="3" t="s">
        <v>386</v>
      </c>
      <c r="C1903" s="3" t="s">
        <v>747</v>
      </c>
      <c r="D1903" s="3" t="s">
        <v>747</v>
      </c>
      <c r="E1903" s="8">
        <v>34812918</v>
      </c>
      <c r="F1903" s="2">
        <v>2.7819999999999999E-4</v>
      </c>
      <c r="G1903" s="17">
        <f>F1903 * VLOOKUP('GASB Data'!A1903,Check!$A$2:$F$11,6,FALSE)</f>
        <v>660238.70640000002</v>
      </c>
    </row>
    <row r="1904" spans="1:7" x14ac:dyDescent="0.2">
      <c r="A1904">
        <v>2021</v>
      </c>
      <c r="B1904" s="3" t="s">
        <v>387</v>
      </c>
      <c r="C1904" s="3" t="s">
        <v>748</v>
      </c>
      <c r="D1904" s="3" t="s">
        <v>748</v>
      </c>
      <c r="E1904" s="8">
        <v>64118801</v>
      </c>
      <c r="F1904" s="2">
        <v>5.1230000000000004E-4</v>
      </c>
      <c r="G1904" s="17">
        <f>F1904 * VLOOKUP('GASB Data'!A1904,Check!$A$2:$F$11,6,FALSE)</f>
        <v>1215816.9996</v>
      </c>
    </row>
    <row r="1905" spans="1:7" x14ac:dyDescent="0.2">
      <c r="A1905">
        <v>2021</v>
      </c>
      <c r="B1905" s="3" t="s">
        <v>388</v>
      </c>
      <c r="C1905" s="3" t="s">
        <v>749</v>
      </c>
      <c r="D1905" s="3" t="s">
        <v>749</v>
      </c>
      <c r="E1905" s="8">
        <v>455519464</v>
      </c>
      <c r="F1905" s="2">
        <v>3.6397999999999999E-3</v>
      </c>
      <c r="G1905" s="17">
        <f>F1905 * VLOOKUP('GASB Data'!A1905,Check!$A$2:$F$11,6,FALSE)</f>
        <v>8638162.6295999996</v>
      </c>
    </row>
    <row r="1906" spans="1:7" x14ac:dyDescent="0.2">
      <c r="A1906">
        <v>2021</v>
      </c>
      <c r="B1906" s="3" t="s">
        <v>389</v>
      </c>
      <c r="C1906" s="3" t="s">
        <v>750</v>
      </c>
      <c r="D1906" s="3" t="s">
        <v>750</v>
      </c>
      <c r="E1906" s="8">
        <v>190200119</v>
      </c>
      <c r="F1906" s="2">
        <v>1.5198E-3</v>
      </c>
      <c r="G1906" s="17">
        <f>F1906 * VLOOKUP('GASB Data'!A1906,Check!$A$2:$F$11,6,FALSE)</f>
        <v>3606868.3895999999</v>
      </c>
    </row>
    <row r="1907" spans="1:7" x14ac:dyDescent="0.2">
      <c r="A1907">
        <v>2021</v>
      </c>
      <c r="B1907" s="3" t="s">
        <v>390</v>
      </c>
      <c r="C1907" s="3" t="s">
        <v>751</v>
      </c>
      <c r="D1907" s="3" t="s">
        <v>751</v>
      </c>
      <c r="E1907" s="8">
        <v>361806865</v>
      </c>
      <c r="F1907" s="2">
        <v>2.8909999999999999E-3</v>
      </c>
      <c r="G1907" s="17">
        <f>F1907 * VLOOKUP('GASB Data'!A1907,Check!$A$2:$F$11,6,FALSE)</f>
        <v>6861071.5319999997</v>
      </c>
    </row>
    <row r="1908" spans="1:7" x14ac:dyDescent="0.2">
      <c r="A1908">
        <v>2021</v>
      </c>
      <c r="B1908" s="3" t="s">
        <v>391</v>
      </c>
      <c r="C1908" s="3" t="s">
        <v>752</v>
      </c>
      <c r="D1908" s="3" t="s">
        <v>752</v>
      </c>
      <c r="E1908" s="8">
        <v>5942231</v>
      </c>
      <c r="F1908" s="2">
        <v>4.7500000000000003E-5</v>
      </c>
      <c r="G1908" s="17">
        <f>F1908 * VLOOKUP('GASB Data'!A1908,Check!$A$2:$F$11,6,FALSE)</f>
        <v>112729.47</v>
      </c>
    </row>
    <row r="1909" spans="1:7" x14ac:dyDescent="0.2">
      <c r="A1909">
        <v>2021</v>
      </c>
      <c r="B1909" s="3" t="s">
        <v>392</v>
      </c>
      <c r="C1909" s="3" t="s">
        <v>753</v>
      </c>
      <c r="D1909" s="3" t="s">
        <v>753</v>
      </c>
      <c r="E1909" s="8">
        <v>117128181</v>
      </c>
      <c r="F1909" s="2">
        <v>9.3590000000000003E-4</v>
      </c>
      <c r="G1909" s="17">
        <f>F1909 * VLOOKUP('GASB Data'!A1909,Check!$A$2:$F$11,6,FALSE)</f>
        <v>2221126.5468000001</v>
      </c>
    </row>
    <row r="1910" spans="1:7" x14ac:dyDescent="0.2">
      <c r="A1910">
        <v>2021</v>
      </c>
      <c r="B1910" s="3" t="s">
        <v>393</v>
      </c>
      <c r="C1910" s="3" t="s">
        <v>754</v>
      </c>
      <c r="D1910" s="3" t="s">
        <v>754</v>
      </c>
      <c r="E1910" s="8">
        <v>484480117</v>
      </c>
      <c r="F1910" s="2">
        <v>3.8712E-3</v>
      </c>
      <c r="G1910" s="17">
        <f>F1910 * VLOOKUP('GASB Data'!A1910,Check!$A$2:$F$11,6,FALSE)</f>
        <v>9187333.1424000002</v>
      </c>
    </row>
    <row r="1911" spans="1:7" x14ac:dyDescent="0.2">
      <c r="A1911">
        <v>2021</v>
      </c>
      <c r="B1911" s="3" t="s">
        <v>394</v>
      </c>
      <c r="C1911" s="3" t="s">
        <v>755</v>
      </c>
      <c r="D1911" s="3" t="s">
        <v>755</v>
      </c>
      <c r="E1911" s="8">
        <v>208819634</v>
      </c>
      <c r="F1911" s="2">
        <v>1.6685999999999999E-3</v>
      </c>
      <c r="G1911" s="17">
        <f>F1911 * VLOOKUP('GASB Data'!A1911,Check!$A$2:$F$11,6,FALSE)</f>
        <v>3960008.2871999997</v>
      </c>
    </row>
    <row r="1912" spans="1:7" x14ac:dyDescent="0.2">
      <c r="A1912">
        <v>2021</v>
      </c>
      <c r="B1912" s="3" t="s">
        <v>395</v>
      </c>
      <c r="C1912" s="3" t="s">
        <v>756</v>
      </c>
      <c r="D1912" s="3" t="s">
        <v>756</v>
      </c>
      <c r="E1912" s="8">
        <v>112380150</v>
      </c>
      <c r="F1912" s="2">
        <v>8.9800000000000004E-4</v>
      </c>
      <c r="G1912" s="17">
        <f>F1912 * VLOOKUP('GASB Data'!A1912,Check!$A$2:$F$11,6,FALSE)</f>
        <v>2131180.2960000001</v>
      </c>
    </row>
    <row r="1913" spans="1:7" x14ac:dyDescent="0.2">
      <c r="A1913">
        <v>2021</v>
      </c>
      <c r="B1913" s="3" t="s">
        <v>396</v>
      </c>
      <c r="C1913" s="3" t="s">
        <v>757</v>
      </c>
      <c r="D1913" s="3" t="s">
        <v>757</v>
      </c>
      <c r="E1913" s="8">
        <v>144082198</v>
      </c>
      <c r="F1913" s="2">
        <v>1.1513000000000001E-3</v>
      </c>
      <c r="G1913" s="17">
        <f>F1913 * VLOOKUP('GASB Data'!A1913,Check!$A$2:$F$11,6,FALSE)</f>
        <v>2732325.0276000001</v>
      </c>
    </row>
    <row r="1914" spans="1:7" x14ac:dyDescent="0.2">
      <c r="A1914">
        <v>2021</v>
      </c>
      <c r="B1914" s="3" t="s">
        <v>397</v>
      </c>
      <c r="C1914" s="3" t="s">
        <v>758</v>
      </c>
      <c r="D1914" s="3" t="s">
        <v>758</v>
      </c>
      <c r="E1914" s="8">
        <v>31644828</v>
      </c>
      <c r="F1914" s="2">
        <v>2.5290000000000002E-4</v>
      </c>
      <c r="G1914" s="17">
        <f>F1914 * VLOOKUP('GASB Data'!A1914,Check!$A$2:$F$11,6,FALSE)</f>
        <v>600195.43080000009</v>
      </c>
    </row>
    <row r="1915" spans="1:7" x14ac:dyDescent="0.2">
      <c r="A1915">
        <v>2021</v>
      </c>
      <c r="B1915" s="3" t="s">
        <v>398</v>
      </c>
      <c r="C1915" s="3" t="s">
        <v>759</v>
      </c>
      <c r="D1915" s="3" t="s">
        <v>759</v>
      </c>
      <c r="E1915" s="8">
        <v>286615385</v>
      </c>
      <c r="F1915" s="2">
        <v>2.2902E-3</v>
      </c>
      <c r="G1915" s="17">
        <f>F1915 * VLOOKUP('GASB Data'!A1915,Check!$A$2:$F$11,6,FALSE)</f>
        <v>5435221.7303999998</v>
      </c>
    </row>
    <row r="1916" spans="1:7" x14ac:dyDescent="0.2">
      <c r="A1916">
        <v>2021</v>
      </c>
      <c r="B1916" s="3" t="s">
        <v>399</v>
      </c>
      <c r="C1916" s="3" t="s">
        <v>760</v>
      </c>
      <c r="D1916" s="3" t="s">
        <v>760</v>
      </c>
      <c r="E1916" s="8">
        <v>33781599</v>
      </c>
      <c r="F1916" s="2">
        <v>2.699E-4</v>
      </c>
      <c r="G1916" s="17">
        <f>F1916 * VLOOKUP('GASB Data'!A1916,Check!$A$2:$F$11,6,FALSE)</f>
        <v>640540.71479999996</v>
      </c>
    </row>
    <row r="1917" spans="1:7" x14ac:dyDescent="0.2">
      <c r="A1917">
        <v>2021</v>
      </c>
      <c r="B1917" s="3" t="s">
        <v>400</v>
      </c>
      <c r="C1917" s="3" t="s">
        <v>761</v>
      </c>
      <c r="D1917" s="3" t="s">
        <v>761</v>
      </c>
      <c r="E1917" s="8">
        <v>7705989702</v>
      </c>
      <c r="F1917" s="2">
        <v>6.1573900000000001E-2</v>
      </c>
      <c r="G1917" s="17">
        <f>F1917 * VLOOKUP('GASB Data'!A1917,Check!$A$2:$F$11,6,FALSE)</f>
        <v>146130381.32280001</v>
      </c>
    </row>
    <row r="1918" spans="1:7" x14ac:dyDescent="0.2">
      <c r="A1918">
        <v>2021</v>
      </c>
      <c r="B1918" s="3" t="s">
        <v>403</v>
      </c>
      <c r="C1918" s="3" t="s">
        <v>764</v>
      </c>
      <c r="D1918" s="3" t="s">
        <v>764</v>
      </c>
      <c r="E1918" s="8">
        <v>48275323</v>
      </c>
      <c r="F1918" s="2">
        <v>3.857E-4</v>
      </c>
      <c r="G1918" s="17">
        <f>F1918 * VLOOKUP('GASB Data'!A1918,Check!$A$2:$F$11,6,FALSE)</f>
        <v>915363.29639999999</v>
      </c>
    </row>
    <row r="1919" spans="1:7" x14ac:dyDescent="0.2">
      <c r="A1919">
        <v>2021</v>
      </c>
      <c r="B1919" s="3" t="s">
        <v>404</v>
      </c>
      <c r="C1919" s="3" t="s">
        <v>765</v>
      </c>
      <c r="D1919" s="3" t="s">
        <v>765</v>
      </c>
      <c r="E1919" s="8">
        <v>42758247</v>
      </c>
      <c r="F1919" s="2">
        <v>3.4170000000000001E-4</v>
      </c>
      <c r="G1919" s="17">
        <f>F1919 * VLOOKUP('GASB Data'!A1919,Check!$A$2:$F$11,6,FALSE)</f>
        <v>810940.2084</v>
      </c>
    </row>
    <row r="1920" spans="1:7" x14ac:dyDescent="0.2">
      <c r="A1920">
        <v>2021</v>
      </c>
      <c r="B1920" s="3" t="s">
        <v>405</v>
      </c>
      <c r="C1920" s="3" t="s">
        <v>766</v>
      </c>
      <c r="D1920" s="3" t="s">
        <v>766</v>
      </c>
      <c r="E1920" s="8">
        <v>561461326</v>
      </c>
      <c r="F1920" s="2">
        <v>4.4863000000000004E-3</v>
      </c>
      <c r="G1920" s="17">
        <f>F1920 * VLOOKUP('GASB Data'!A1920,Check!$A$2:$F$11,6,FALSE)</f>
        <v>10647120.447600001</v>
      </c>
    </row>
    <row r="1921" spans="1:7" x14ac:dyDescent="0.2">
      <c r="A1921">
        <v>2021</v>
      </c>
      <c r="B1921" s="3" t="s">
        <v>406</v>
      </c>
      <c r="C1921" s="3" t="s">
        <v>767</v>
      </c>
      <c r="D1921" s="3" t="s">
        <v>767</v>
      </c>
      <c r="E1921" s="8">
        <v>89071891</v>
      </c>
      <c r="F1921" s="2">
        <v>7.1170000000000001E-4</v>
      </c>
      <c r="G1921" s="17">
        <f>F1921 * VLOOKUP('GASB Data'!A1921,Check!$A$2:$F$11,6,FALSE)</f>
        <v>1689043.4484000001</v>
      </c>
    </row>
    <row r="1922" spans="1:7" x14ac:dyDescent="0.2">
      <c r="A1922">
        <v>2021</v>
      </c>
      <c r="B1922" s="3" t="s">
        <v>407</v>
      </c>
      <c r="C1922" s="3" t="s">
        <v>768</v>
      </c>
      <c r="D1922" s="3" t="s">
        <v>768</v>
      </c>
      <c r="E1922" s="8">
        <v>27645603</v>
      </c>
      <c r="F1922" s="2">
        <v>2.209E-4</v>
      </c>
      <c r="G1922" s="17">
        <f>F1922 * VLOOKUP('GASB Data'!A1922,Check!$A$2:$F$11,6,FALSE)</f>
        <v>524251.36680000002</v>
      </c>
    </row>
    <row r="1923" spans="1:7" x14ac:dyDescent="0.2">
      <c r="A1923">
        <v>2021</v>
      </c>
      <c r="B1923" s="3" t="s">
        <v>408</v>
      </c>
      <c r="C1923" s="3" t="s">
        <v>769</v>
      </c>
      <c r="D1923" s="3" t="s">
        <v>769</v>
      </c>
      <c r="E1923" s="8">
        <v>78256522</v>
      </c>
      <c r="F1923" s="2">
        <v>6.2529999999999997E-4</v>
      </c>
      <c r="G1923" s="17">
        <f>F1923 * VLOOKUP('GASB Data'!A1923,Check!$A$2:$F$11,6,FALSE)</f>
        <v>1483994.4756</v>
      </c>
    </row>
    <row r="1924" spans="1:7" x14ac:dyDescent="0.2">
      <c r="A1924">
        <v>2021</v>
      </c>
      <c r="B1924" s="3" t="s">
        <v>409</v>
      </c>
      <c r="C1924" s="3" t="s">
        <v>770</v>
      </c>
      <c r="D1924" s="3" t="s">
        <v>770</v>
      </c>
      <c r="E1924" s="8">
        <v>9552359</v>
      </c>
      <c r="F1924" s="2">
        <v>7.6299999999999998E-5</v>
      </c>
      <c r="G1924" s="17">
        <f>F1924 * VLOOKUP('GASB Data'!A1924,Check!$A$2:$F$11,6,FALSE)</f>
        <v>181079.12760000001</v>
      </c>
    </row>
    <row r="1925" spans="1:7" x14ac:dyDescent="0.2">
      <c r="A1925">
        <v>2021</v>
      </c>
      <c r="B1925" s="3" t="s">
        <v>410</v>
      </c>
      <c r="C1925" s="3" t="s">
        <v>771</v>
      </c>
      <c r="D1925" s="3" t="s">
        <v>771</v>
      </c>
      <c r="E1925" s="8">
        <v>83620848</v>
      </c>
      <c r="F1925" s="2">
        <v>6.6819999999999998E-4</v>
      </c>
      <c r="G1925" s="17">
        <f>F1925 * VLOOKUP('GASB Data'!A1925,Check!$A$2:$F$11,6,FALSE)</f>
        <v>1585806.9864000001</v>
      </c>
    </row>
    <row r="1926" spans="1:7" x14ac:dyDescent="0.2">
      <c r="A1926">
        <v>2021</v>
      </c>
      <c r="B1926" s="3" t="s">
        <v>412</v>
      </c>
      <c r="C1926" s="3" t="s">
        <v>773</v>
      </c>
      <c r="D1926" s="3" t="s">
        <v>773</v>
      </c>
      <c r="E1926" s="8">
        <v>43408163</v>
      </c>
      <c r="F1926" s="2">
        <v>3.4680000000000003E-4</v>
      </c>
      <c r="G1926" s="17">
        <f>F1926 * VLOOKUP('GASB Data'!A1926,Check!$A$2:$F$11,6,FALSE)</f>
        <v>823043.79360000009</v>
      </c>
    </row>
    <row r="1927" spans="1:7" x14ac:dyDescent="0.2">
      <c r="A1927">
        <v>2021</v>
      </c>
      <c r="B1927" s="3" t="s">
        <v>413</v>
      </c>
      <c r="C1927" s="3" t="s">
        <v>774</v>
      </c>
      <c r="D1927" s="3" t="s">
        <v>774</v>
      </c>
      <c r="E1927" s="8">
        <v>163159000</v>
      </c>
      <c r="F1927" s="2">
        <v>1.3037000000000001E-3</v>
      </c>
      <c r="G1927" s="17">
        <f>F1927 * VLOOKUP('GASB Data'!A1927,Check!$A$2:$F$11,6,FALSE)</f>
        <v>3094008.6324</v>
      </c>
    </row>
    <row r="1928" spans="1:7" x14ac:dyDescent="0.2">
      <c r="A1928">
        <v>2021</v>
      </c>
      <c r="B1928" s="3" t="s">
        <v>414</v>
      </c>
      <c r="C1928" s="3" t="s">
        <v>775</v>
      </c>
      <c r="D1928" s="3" t="s">
        <v>775</v>
      </c>
      <c r="E1928" s="8">
        <v>36890730</v>
      </c>
      <c r="F1928" s="2">
        <v>2.9480000000000001E-4</v>
      </c>
      <c r="G1928" s="17">
        <f>F1928 * VLOOKUP('GASB Data'!A1928,Check!$A$2:$F$11,6,FALSE)</f>
        <v>699634.68960000004</v>
      </c>
    </row>
    <row r="1929" spans="1:7" x14ac:dyDescent="0.2">
      <c r="A1929">
        <v>2021</v>
      </c>
      <c r="B1929" s="3" t="s">
        <v>415</v>
      </c>
      <c r="C1929" s="3" t="s">
        <v>776</v>
      </c>
      <c r="D1929" s="3" t="s">
        <v>776</v>
      </c>
      <c r="E1929" s="8">
        <v>600297149</v>
      </c>
      <c r="F1929" s="2">
        <v>4.7965999999999998E-3</v>
      </c>
      <c r="G1929" s="17">
        <f>F1929 * VLOOKUP('GASB Data'!A1929,Check!$A$2:$F$11,6,FALSE)</f>
        <v>11383540.543199999</v>
      </c>
    </row>
    <row r="1930" spans="1:7" x14ac:dyDescent="0.2">
      <c r="A1930">
        <v>2021</v>
      </c>
      <c r="B1930" s="3" t="s">
        <v>416</v>
      </c>
      <c r="C1930" s="3" t="s">
        <v>777</v>
      </c>
      <c r="D1930" s="3" t="s">
        <v>777</v>
      </c>
      <c r="E1930" s="8">
        <v>16658466</v>
      </c>
      <c r="F1930" s="2">
        <v>1.3310000000000001E-4</v>
      </c>
      <c r="G1930" s="17">
        <f>F1930 * VLOOKUP('GASB Data'!A1930,Check!$A$2:$F$11,6,FALSE)</f>
        <v>315879.84120000002</v>
      </c>
    </row>
    <row r="1931" spans="1:7" x14ac:dyDescent="0.2">
      <c r="A1931">
        <v>2021</v>
      </c>
      <c r="B1931" s="3" t="s">
        <v>417</v>
      </c>
      <c r="C1931" s="3" t="s">
        <v>778</v>
      </c>
      <c r="D1931" s="3" t="s">
        <v>778</v>
      </c>
      <c r="E1931" s="8">
        <v>22946528</v>
      </c>
      <c r="F1931" s="2">
        <v>1.8340000000000001E-4</v>
      </c>
      <c r="G1931" s="17">
        <f>F1931 * VLOOKUP('GASB Data'!A1931,Check!$A$2:$F$11,6,FALSE)</f>
        <v>435254.41680000001</v>
      </c>
    </row>
    <row r="1932" spans="1:7" x14ac:dyDescent="0.2">
      <c r="A1932">
        <v>2021</v>
      </c>
      <c r="B1932" s="3" t="s">
        <v>927</v>
      </c>
      <c r="C1932" s="3" t="s">
        <v>926</v>
      </c>
      <c r="D1932" s="3" t="s">
        <v>926</v>
      </c>
      <c r="E1932" s="8">
        <v>30583729</v>
      </c>
      <c r="F1932" s="2">
        <v>2.4439999999999998E-4</v>
      </c>
      <c r="G1932" s="17">
        <f>F1932 * VLOOKUP('GASB Data'!A1932,Check!$A$2:$F$11,6,FALSE)</f>
        <v>580022.78879999998</v>
      </c>
    </row>
    <row r="1933" spans="1:7" x14ac:dyDescent="0.2">
      <c r="A1933">
        <v>2021</v>
      </c>
      <c r="B1933" s="3" t="s">
        <v>418</v>
      </c>
      <c r="C1933" s="3" t="s">
        <v>779</v>
      </c>
      <c r="D1933" s="3" t="s">
        <v>779</v>
      </c>
      <c r="E1933" s="8">
        <v>119593599</v>
      </c>
      <c r="F1933" s="2">
        <v>9.5560000000000003E-4</v>
      </c>
      <c r="G1933" s="17">
        <f>F1933 * VLOOKUP('GASB Data'!A1933,Check!$A$2:$F$11,6,FALSE)</f>
        <v>2267879.6112000002</v>
      </c>
    </row>
    <row r="1934" spans="1:7" x14ac:dyDescent="0.2">
      <c r="A1934">
        <v>2021</v>
      </c>
      <c r="B1934" s="3" t="s">
        <v>419</v>
      </c>
      <c r="C1934" s="3" t="s">
        <v>780</v>
      </c>
      <c r="D1934" s="3" t="s">
        <v>780</v>
      </c>
      <c r="E1934" s="8">
        <v>611670139</v>
      </c>
      <c r="F1934" s="2">
        <v>4.8875000000000004E-3</v>
      </c>
      <c r="G1934" s="17">
        <f>F1934 * VLOOKUP('GASB Data'!A1934,Check!$A$2:$F$11,6,FALSE)</f>
        <v>11599269.15</v>
      </c>
    </row>
    <row r="1935" spans="1:7" x14ac:dyDescent="0.2">
      <c r="A1935">
        <v>2021</v>
      </c>
      <c r="B1935" s="3" t="s">
        <v>420</v>
      </c>
      <c r="C1935" s="3" t="s">
        <v>931</v>
      </c>
      <c r="D1935" s="3" t="s">
        <v>931</v>
      </c>
      <c r="E1935" s="8">
        <v>98019352</v>
      </c>
      <c r="F1935" s="2">
        <v>7.8319999999999996E-4</v>
      </c>
      <c r="G1935" s="17">
        <f>F1935 * VLOOKUP('GASB Data'!A1935,Check!$A$2:$F$11,6,FALSE)</f>
        <v>1858730.9663999998</v>
      </c>
    </row>
    <row r="1936" spans="1:7" x14ac:dyDescent="0.2">
      <c r="A1936">
        <v>2021</v>
      </c>
      <c r="B1936" s="3" t="s">
        <v>421</v>
      </c>
      <c r="C1936" s="3" t="s">
        <v>782</v>
      </c>
      <c r="D1936" s="3" t="s">
        <v>782</v>
      </c>
      <c r="E1936" s="8">
        <v>1366185201</v>
      </c>
      <c r="F1936" s="2">
        <v>1.09164E-2</v>
      </c>
      <c r="G1936" s="17">
        <f>F1936 * VLOOKUP('GASB Data'!A1936,Check!$A$2:$F$11,6,FALSE)</f>
        <v>25907368.132799998</v>
      </c>
    </row>
    <row r="1937" spans="1:7" x14ac:dyDescent="0.2">
      <c r="A1937">
        <v>2021</v>
      </c>
      <c r="B1937" s="3" t="s">
        <v>422</v>
      </c>
      <c r="C1937" s="3" t="s">
        <v>910</v>
      </c>
      <c r="D1937" s="3" t="s">
        <v>910</v>
      </c>
      <c r="E1937" s="8">
        <v>18614789</v>
      </c>
      <c r="F1937" s="2">
        <v>1.4870000000000001E-4</v>
      </c>
      <c r="G1937" s="17">
        <f>F1937 * VLOOKUP('GASB Data'!A1937,Check!$A$2:$F$11,6,FALSE)</f>
        <v>352902.5724</v>
      </c>
    </row>
    <row r="1938" spans="1:7" x14ac:dyDescent="0.2">
      <c r="A1938">
        <v>2021</v>
      </c>
      <c r="B1938" s="3" t="s">
        <v>423</v>
      </c>
      <c r="C1938" s="3" t="s">
        <v>784</v>
      </c>
      <c r="D1938" s="3" t="s">
        <v>784</v>
      </c>
      <c r="E1938" s="8">
        <v>5116306</v>
      </c>
      <c r="F1938" s="2">
        <v>4.0899999999999998E-5</v>
      </c>
      <c r="G1938" s="17">
        <f>F1938 * VLOOKUP('GASB Data'!A1938,Check!$A$2:$F$11,6,FALSE)</f>
        <v>97066.006799999988</v>
      </c>
    </row>
    <row r="1939" spans="1:7" x14ac:dyDescent="0.2">
      <c r="A1939">
        <v>2021</v>
      </c>
      <c r="B1939" s="3" t="s">
        <v>424</v>
      </c>
      <c r="C1939" s="3" t="s">
        <v>785</v>
      </c>
      <c r="D1939" s="3" t="s">
        <v>785</v>
      </c>
      <c r="E1939" s="8">
        <v>245711946</v>
      </c>
      <c r="F1939" s="2">
        <v>1.9632999999999999E-3</v>
      </c>
      <c r="G1939" s="17">
        <f>F1939 * VLOOKUP('GASB Data'!A1939,Check!$A$2:$F$11,6,FALSE)</f>
        <v>4659405.6515999995</v>
      </c>
    </row>
    <row r="1940" spans="1:7" x14ac:dyDescent="0.2">
      <c r="A1940">
        <v>2021</v>
      </c>
      <c r="B1940" s="3" t="s">
        <v>425</v>
      </c>
      <c r="C1940" s="3" t="s">
        <v>786</v>
      </c>
      <c r="D1940" s="3" t="s">
        <v>786</v>
      </c>
      <c r="E1940" s="8">
        <v>77341404</v>
      </c>
      <c r="F1940" s="2">
        <v>6.1799999999999995E-4</v>
      </c>
      <c r="G1940" s="17">
        <f>F1940 * VLOOKUP('GASB Data'!A1940,Check!$A$2:$F$11,6,FALSE)</f>
        <v>1466669.7359999998</v>
      </c>
    </row>
    <row r="1941" spans="1:7" x14ac:dyDescent="0.2">
      <c r="A1941">
        <v>2021</v>
      </c>
      <c r="B1941" s="3" t="s">
        <v>426</v>
      </c>
      <c r="C1941" s="3" t="s">
        <v>787</v>
      </c>
      <c r="D1941" s="3" t="s">
        <v>787</v>
      </c>
      <c r="E1941" s="8">
        <v>43270842</v>
      </c>
      <c r="F1941" s="2">
        <v>3.458E-4</v>
      </c>
      <c r="G1941" s="17">
        <f>F1941 * VLOOKUP('GASB Data'!A1941,Check!$A$2:$F$11,6,FALSE)</f>
        <v>820670.5416</v>
      </c>
    </row>
    <row r="1942" spans="1:7" x14ac:dyDescent="0.2">
      <c r="A1942">
        <v>2021</v>
      </c>
      <c r="B1942" s="3" t="s">
        <v>427</v>
      </c>
      <c r="C1942" s="3" t="s">
        <v>788</v>
      </c>
      <c r="D1942" s="3" t="s">
        <v>788</v>
      </c>
      <c r="E1942" s="8">
        <v>1160294412</v>
      </c>
      <c r="F1942" s="2">
        <v>9.2712000000000003E-3</v>
      </c>
      <c r="G1942" s="17">
        <f>F1942 * VLOOKUP('GASB Data'!A1942,Check!$A$2:$F$11,6,FALSE)</f>
        <v>22002893.942400001</v>
      </c>
    </row>
    <row r="1943" spans="1:7" x14ac:dyDescent="0.2">
      <c r="A1943">
        <v>2021</v>
      </c>
      <c r="B1943" s="3" t="s">
        <v>428</v>
      </c>
      <c r="C1943" s="3" t="s">
        <v>789</v>
      </c>
      <c r="D1943" s="3" t="s">
        <v>789</v>
      </c>
      <c r="E1943" s="8">
        <v>5720298</v>
      </c>
      <c r="F1943" s="2">
        <v>4.57E-5</v>
      </c>
      <c r="G1943" s="17">
        <f>F1943 * VLOOKUP('GASB Data'!A1943,Check!$A$2:$F$11,6,FALSE)</f>
        <v>108457.6164</v>
      </c>
    </row>
    <row r="1944" spans="1:7" x14ac:dyDescent="0.2">
      <c r="A1944">
        <v>2021</v>
      </c>
      <c r="B1944" s="3" t="s">
        <v>429</v>
      </c>
      <c r="C1944" s="3" t="s">
        <v>790</v>
      </c>
      <c r="D1944" s="3" t="s">
        <v>790</v>
      </c>
      <c r="E1944" s="8">
        <v>123946255</v>
      </c>
      <c r="F1944" s="2">
        <v>9.904E-4</v>
      </c>
      <c r="G1944" s="17">
        <f>F1944 * VLOOKUP('GASB Data'!A1944,Check!$A$2:$F$11,6,FALSE)</f>
        <v>2350468.7807999998</v>
      </c>
    </row>
    <row r="1945" spans="1:7" x14ac:dyDescent="0.2">
      <c r="A1945">
        <v>2021</v>
      </c>
      <c r="B1945" s="3" t="s">
        <v>430</v>
      </c>
      <c r="C1945" s="3" t="s">
        <v>791</v>
      </c>
      <c r="D1945" s="3" t="s">
        <v>791</v>
      </c>
      <c r="E1945" s="8">
        <v>405841592</v>
      </c>
      <c r="F1945" s="2">
        <v>3.2428000000000001E-3</v>
      </c>
      <c r="G1945" s="17">
        <f>F1945 * VLOOKUP('GASB Data'!A1945,Check!$A$2:$F$11,6,FALSE)</f>
        <v>7695981.5855999999</v>
      </c>
    </row>
    <row r="1946" spans="1:7" x14ac:dyDescent="0.2">
      <c r="A1946">
        <v>2021</v>
      </c>
      <c r="B1946" s="3" t="s">
        <v>432</v>
      </c>
      <c r="C1946" s="3" t="s">
        <v>792</v>
      </c>
      <c r="D1946" s="3" t="s">
        <v>792</v>
      </c>
      <c r="E1946" s="8">
        <v>33760783</v>
      </c>
      <c r="F1946" s="2">
        <v>2.698E-4</v>
      </c>
      <c r="G1946" s="17">
        <f>F1946 * VLOOKUP('GASB Data'!A1946,Check!$A$2:$F$11,6,FALSE)</f>
        <v>640303.38959999999</v>
      </c>
    </row>
    <row r="1947" spans="1:7" x14ac:dyDescent="0.2">
      <c r="A1947">
        <v>2021</v>
      </c>
      <c r="B1947" s="3" t="s">
        <v>433</v>
      </c>
      <c r="C1947" s="3" t="s">
        <v>793</v>
      </c>
      <c r="D1947" s="3" t="s">
        <v>793</v>
      </c>
      <c r="E1947" s="8">
        <v>829478309</v>
      </c>
      <c r="F1947" s="2">
        <v>6.6278999999999999E-3</v>
      </c>
      <c r="G1947" s="17">
        <f>F1947 * VLOOKUP('GASB Data'!A1947,Check!$A$2:$F$11,6,FALSE)</f>
        <v>15729676.9308</v>
      </c>
    </row>
    <row r="1948" spans="1:7" x14ac:dyDescent="0.2">
      <c r="A1948">
        <v>2021</v>
      </c>
      <c r="B1948" s="3" t="s">
        <v>434</v>
      </c>
      <c r="C1948" s="3" t="s">
        <v>794</v>
      </c>
      <c r="D1948" s="3" t="s">
        <v>794</v>
      </c>
      <c r="E1948" s="8">
        <v>73688281</v>
      </c>
      <c r="F1948" s="2">
        <v>5.888E-4</v>
      </c>
      <c r="G1948" s="17">
        <f>F1948 * VLOOKUP('GASB Data'!A1948,Check!$A$2:$F$11,6,FALSE)</f>
        <v>1397370.7775999999</v>
      </c>
    </row>
    <row r="1949" spans="1:7" x14ac:dyDescent="0.2">
      <c r="A1949">
        <v>2021</v>
      </c>
      <c r="B1949" s="3" t="s">
        <v>435</v>
      </c>
      <c r="C1949" s="3" t="s">
        <v>795</v>
      </c>
      <c r="D1949" s="3" t="s">
        <v>795</v>
      </c>
      <c r="E1949" s="8">
        <v>26714403</v>
      </c>
      <c r="F1949" s="2">
        <v>2.1350000000000001E-4</v>
      </c>
      <c r="G1949" s="17">
        <f>F1949 * VLOOKUP('GASB Data'!A1949,Check!$A$2:$F$11,6,FALSE)</f>
        <v>506689.30200000003</v>
      </c>
    </row>
    <row r="1950" spans="1:7" x14ac:dyDescent="0.2">
      <c r="A1950">
        <v>2021</v>
      </c>
      <c r="B1950" s="3" t="s">
        <v>490</v>
      </c>
      <c r="C1950" s="3" t="s">
        <v>796</v>
      </c>
      <c r="D1950" s="3" t="s">
        <v>796</v>
      </c>
      <c r="E1950" s="8">
        <v>28698427</v>
      </c>
      <c r="F1950" s="2">
        <v>2.2929999999999999E-4</v>
      </c>
      <c r="G1950" s="17">
        <f>F1950 * VLOOKUP('GASB Data'!A1950,Check!$A$2:$F$11,6,FALSE)</f>
        <v>544186.68359999999</v>
      </c>
    </row>
    <row r="1951" spans="1:7" x14ac:dyDescent="0.2">
      <c r="A1951">
        <v>2021</v>
      </c>
      <c r="B1951" s="3" t="s">
        <v>491</v>
      </c>
      <c r="C1951" s="3" t="s">
        <v>797</v>
      </c>
      <c r="D1951" s="3" t="s">
        <v>797</v>
      </c>
      <c r="E1951" s="8">
        <v>237187455</v>
      </c>
      <c r="F1951" s="2">
        <v>1.8952000000000001E-3</v>
      </c>
      <c r="G1951" s="17">
        <f>F1951 * VLOOKUP('GASB Data'!A1951,Check!$A$2:$F$11,6,FALSE)</f>
        <v>4497787.1904000007</v>
      </c>
    </row>
    <row r="1952" spans="1:7" x14ac:dyDescent="0.2">
      <c r="A1952">
        <v>2021</v>
      </c>
      <c r="B1952" s="3" t="s">
        <v>850</v>
      </c>
      <c r="C1952" s="3" t="s">
        <v>913</v>
      </c>
      <c r="D1952" s="3" t="s">
        <v>913</v>
      </c>
      <c r="E1952" s="8">
        <v>24229588</v>
      </c>
      <c r="F1952" s="2">
        <v>1.9359999999999999E-4</v>
      </c>
      <c r="G1952" s="17">
        <f>F1952 * VLOOKUP('GASB Data'!A1952,Check!$A$2:$F$11,6,FALSE)</f>
        <v>459461.58719999995</v>
      </c>
    </row>
    <row r="1953" spans="1:7" x14ac:dyDescent="0.2">
      <c r="A1953">
        <v>2021</v>
      </c>
      <c r="B1953" s="3" t="s">
        <v>492</v>
      </c>
      <c r="C1953" s="3" t="s">
        <v>799</v>
      </c>
      <c r="D1953" s="3" t="s">
        <v>799</v>
      </c>
      <c r="E1953" s="8">
        <v>70284013</v>
      </c>
      <c r="F1953" s="2">
        <v>5.6159999999999999E-4</v>
      </c>
      <c r="G1953" s="17">
        <f>F1953 * VLOOKUP('GASB Data'!A1953,Check!$A$2:$F$11,6,FALSE)</f>
        <v>1332818.3232</v>
      </c>
    </row>
    <row r="1954" spans="1:7" x14ac:dyDescent="0.2">
      <c r="A1954">
        <v>2021</v>
      </c>
      <c r="B1954" s="3" t="s">
        <v>493</v>
      </c>
      <c r="C1954" s="3" t="s">
        <v>800</v>
      </c>
      <c r="D1954" s="3" t="s">
        <v>800</v>
      </c>
      <c r="E1954" s="8">
        <v>422865555</v>
      </c>
      <c r="F1954" s="2">
        <v>3.3788999999999998E-3</v>
      </c>
      <c r="G1954" s="17">
        <f>F1954 * VLOOKUP('GASB Data'!A1954,Check!$A$2:$F$11,6,FALSE)</f>
        <v>8018981.1827999996</v>
      </c>
    </row>
    <row r="1955" spans="1:7" x14ac:dyDescent="0.2">
      <c r="A1955">
        <v>2021</v>
      </c>
      <c r="B1955" s="3" t="s">
        <v>494</v>
      </c>
      <c r="C1955" s="3" t="s">
        <v>801</v>
      </c>
      <c r="D1955" s="3" t="s">
        <v>801</v>
      </c>
      <c r="E1955" s="8">
        <v>77898044</v>
      </c>
      <c r="F1955" s="2">
        <v>6.2239999999999995E-4</v>
      </c>
      <c r="G1955" s="17">
        <f>F1955 * VLOOKUP('GASB Data'!A1955,Check!$A$2:$F$11,6,FALSE)</f>
        <v>1477112.0447999998</v>
      </c>
    </row>
    <row r="1956" spans="1:7" x14ac:dyDescent="0.2">
      <c r="A1956">
        <v>2021</v>
      </c>
      <c r="B1956" s="3" t="s">
        <v>495</v>
      </c>
      <c r="C1956" s="3" t="s">
        <v>802</v>
      </c>
      <c r="D1956" s="3" t="s">
        <v>802</v>
      </c>
      <c r="E1956" s="8">
        <v>214214486</v>
      </c>
      <c r="F1956" s="2">
        <v>1.7117E-3</v>
      </c>
      <c r="G1956" s="17">
        <f>F1956 * VLOOKUP('GASB Data'!A1956,Check!$A$2:$F$11,6,FALSE)</f>
        <v>4062295.4484000001</v>
      </c>
    </row>
    <row r="1957" spans="1:7" x14ac:dyDescent="0.2">
      <c r="A1957">
        <v>2021</v>
      </c>
      <c r="B1957" s="3" t="s">
        <v>496</v>
      </c>
      <c r="C1957" s="3" t="s">
        <v>803</v>
      </c>
      <c r="D1957" s="3" t="s">
        <v>803</v>
      </c>
      <c r="E1957" s="8">
        <v>26006858</v>
      </c>
      <c r="F1957" s="2">
        <v>2.0780000000000001E-4</v>
      </c>
      <c r="G1957" s="17">
        <f>F1957 * VLOOKUP('GASB Data'!A1957,Check!$A$2:$F$11,6,FALSE)</f>
        <v>493161.76560000004</v>
      </c>
    </row>
    <row r="1958" spans="1:7" x14ac:dyDescent="0.2">
      <c r="A1958">
        <v>2021</v>
      </c>
      <c r="B1958" s="3" t="s">
        <v>497</v>
      </c>
      <c r="C1958" s="3" t="s">
        <v>804</v>
      </c>
      <c r="D1958" s="3" t="s">
        <v>804</v>
      </c>
      <c r="E1958" s="8">
        <v>53756433</v>
      </c>
      <c r="F1958" s="2">
        <v>4.2949999999999998E-4</v>
      </c>
      <c r="G1958" s="17">
        <f>F1958 * VLOOKUP('GASB Data'!A1958,Check!$A$2:$F$11,6,FALSE)</f>
        <v>1019311.7339999999</v>
      </c>
    </row>
    <row r="1959" spans="1:7" x14ac:dyDescent="0.2">
      <c r="A1959">
        <v>2021</v>
      </c>
      <c r="B1959" s="3" t="s">
        <v>498</v>
      </c>
      <c r="C1959" s="3" t="s">
        <v>805</v>
      </c>
      <c r="D1959" s="3" t="s">
        <v>805</v>
      </c>
      <c r="E1959" s="8">
        <v>1112180255</v>
      </c>
      <c r="F1959" s="2">
        <v>8.8868000000000003E-3</v>
      </c>
      <c r="G1959" s="17">
        <f>F1959 * VLOOKUP('GASB Data'!A1959,Check!$A$2:$F$11,6,FALSE)</f>
        <v>21090615.873600002</v>
      </c>
    </row>
    <row r="1960" spans="1:7" x14ac:dyDescent="0.2">
      <c r="A1960">
        <v>2021</v>
      </c>
      <c r="B1960" s="3" t="s">
        <v>499</v>
      </c>
      <c r="C1960" s="3" t="s">
        <v>806</v>
      </c>
      <c r="D1960" s="3" t="s">
        <v>806</v>
      </c>
      <c r="E1960" s="8">
        <v>230647997</v>
      </c>
      <c r="F1960" s="2">
        <v>1.843E-3</v>
      </c>
      <c r="G1960" s="17">
        <f>F1960 * VLOOKUP('GASB Data'!A1960,Check!$A$2:$F$11,6,FALSE)</f>
        <v>4373903.4359999998</v>
      </c>
    </row>
    <row r="1961" spans="1:7" x14ac:dyDescent="0.2">
      <c r="A1961">
        <v>2021</v>
      </c>
      <c r="B1961" s="3" t="s">
        <v>500</v>
      </c>
      <c r="C1961" s="3" t="s">
        <v>807</v>
      </c>
      <c r="D1961" s="3" t="s">
        <v>807</v>
      </c>
      <c r="E1961" s="8">
        <v>117653506</v>
      </c>
      <c r="F1961" s="2">
        <v>9.4010000000000003E-4</v>
      </c>
      <c r="G1961" s="17">
        <f>F1961 * VLOOKUP('GASB Data'!A1961,Check!$A$2:$F$11,6,FALSE)</f>
        <v>2231094.2052000002</v>
      </c>
    </row>
    <row r="1962" spans="1:7" x14ac:dyDescent="0.2">
      <c r="A1962">
        <v>2021</v>
      </c>
      <c r="B1962" s="3" t="s">
        <v>501</v>
      </c>
      <c r="C1962" s="3" t="s">
        <v>808</v>
      </c>
      <c r="D1962" s="3" t="s">
        <v>808</v>
      </c>
      <c r="E1962" s="8">
        <v>692386517</v>
      </c>
      <c r="F1962" s="2">
        <v>5.5323999999999998E-3</v>
      </c>
      <c r="G1962" s="17">
        <f>F1962 * VLOOKUP('GASB Data'!A1962,Check!$A$2:$F$11,6,FALSE)</f>
        <v>13129779.364799999</v>
      </c>
    </row>
    <row r="1963" spans="1:7" x14ac:dyDescent="0.2">
      <c r="A1963">
        <v>2021</v>
      </c>
      <c r="B1963" s="3" t="s">
        <v>502</v>
      </c>
      <c r="C1963" s="3" t="s">
        <v>809</v>
      </c>
      <c r="D1963" s="3" t="s">
        <v>809</v>
      </c>
      <c r="E1963" s="8">
        <v>67515696</v>
      </c>
      <c r="F1963" s="2">
        <v>5.3950000000000005E-4</v>
      </c>
      <c r="G1963" s="17">
        <f>F1963 * VLOOKUP('GASB Data'!A1963,Check!$A$2:$F$11,6,FALSE)</f>
        <v>1280369.4540000001</v>
      </c>
    </row>
    <row r="1964" spans="1:7" x14ac:dyDescent="0.2">
      <c r="A1964">
        <v>2021</v>
      </c>
      <c r="B1964" s="3" t="s">
        <v>503</v>
      </c>
      <c r="C1964" s="3" t="s">
        <v>810</v>
      </c>
      <c r="D1964" s="3" t="s">
        <v>810</v>
      </c>
      <c r="E1964" s="8">
        <v>90648284</v>
      </c>
      <c r="F1964" s="2">
        <v>7.2429999999999999E-4</v>
      </c>
      <c r="G1964" s="17">
        <f>F1964 * VLOOKUP('GASB Data'!A1964,Check!$A$2:$F$11,6,FALSE)</f>
        <v>1718946.4235999999</v>
      </c>
    </row>
    <row r="1965" spans="1:7" x14ac:dyDescent="0.2">
      <c r="A1965">
        <v>2021</v>
      </c>
      <c r="B1965" s="3" t="s">
        <v>504</v>
      </c>
      <c r="C1965" s="3" t="s">
        <v>811</v>
      </c>
      <c r="D1965" s="3" t="s">
        <v>811</v>
      </c>
      <c r="E1965" s="8">
        <v>221933848</v>
      </c>
      <c r="F1965" s="2">
        <v>1.7733E-3</v>
      </c>
      <c r="G1965" s="17">
        <f>F1965 * VLOOKUP('GASB Data'!A1965,Check!$A$2:$F$11,6,FALSE)</f>
        <v>4208487.7715999996</v>
      </c>
    </row>
    <row r="1966" spans="1:7" x14ac:dyDescent="0.2">
      <c r="A1966">
        <v>2021</v>
      </c>
      <c r="B1966" s="3" t="s">
        <v>505</v>
      </c>
      <c r="C1966" s="3" t="s">
        <v>812</v>
      </c>
      <c r="D1966" s="3" t="s">
        <v>812</v>
      </c>
      <c r="E1966" s="8">
        <v>300726090</v>
      </c>
      <c r="F1966" s="2">
        <v>2.4028999999999999E-3</v>
      </c>
      <c r="G1966" s="17">
        <f>F1966 * VLOOKUP('GASB Data'!A1966,Check!$A$2:$F$11,6,FALSE)</f>
        <v>5702687.2308</v>
      </c>
    </row>
    <row r="1967" spans="1:7" x14ac:dyDescent="0.2">
      <c r="A1967">
        <v>2021</v>
      </c>
      <c r="B1967" s="3" t="s">
        <v>506</v>
      </c>
      <c r="C1967" s="3" t="s">
        <v>813</v>
      </c>
      <c r="D1967" s="3" t="s">
        <v>813</v>
      </c>
      <c r="E1967" s="8">
        <v>94529307</v>
      </c>
      <c r="F1967" s="2">
        <v>7.5529999999999998E-4</v>
      </c>
      <c r="G1967" s="17">
        <f>F1967 * VLOOKUP('GASB Data'!A1967,Check!$A$2:$F$11,6,FALSE)</f>
        <v>1792517.2356</v>
      </c>
    </row>
    <row r="1968" spans="1:7" x14ac:dyDescent="0.2">
      <c r="A1968">
        <v>2021</v>
      </c>
      <c r="B1968" s="3" t="s">
        <v>507</v>
      </c>
      <c r="C1968" s="3" t="s">
        <v>814</v>
      </c>
      <c r="D1968" s="3" t="s">
        <v>814</v>
      </c>
      <c r="E1968" s="8">
        <v>902244641</v>
      </c>
      <c r="F1968" s="2">
        <v>7.2093000000000001E-3</v>
      </c>
      <c r="G1968" s="17">
        <f>F1968 * VLOOKUP('GASB Data'!A1968,Check!$A$2:$F$11,6,FALSE)</f>
        <v>17109485.643600002</v>
      </c>
    </row>
    <row r="1969" spans="1:7" x14ac:dyDescent="0.2">
      <c r="A1969">
        <v>2021</v>
      </c>
      <c r="B1969" s="3" t="s">
        <v>508</v>
      </c>
      <c r="C1969" s="3" t="s">
        <v>815</v>
      </c>
      <c r="D1969" s="3" t="s">
        <v>815</v>
      </c>
      <c r="E1969" s="8">
        <v>8784442</v>
      </c>
      <c r="F1969" s="2">
        <v>7.0199999999999999E-5</v>
      </c>
      <c r="G1969" s="17">
        <f>F1969 * VLOOKUP('GASB Data'!A1969,Check!$A$2:$F$11,6,FALSE)</f>
        <v>166602.2904</v>
      </c>
    </row>
    <row r="1970" spans="1:7" x14ac:dyDescent="0.2">
      <c r="A1970">
        <v>2021</v>
      </c>
      <c r="B1970" s="3" t="s">
        <v>509</v>
      </c>
      <c r="C1970" s="3" t="s">
        <v>816</v>
      </c>
      <c r="D1970" s="3" t="s">
        <v>816</v>
      </c>
      <c r="E1970" s="8">
        <v>74880859</v>
      </c>
      <c r="F1970" s="2">
        <v>5.9829999999999996E-4</v>
      </c>
      <c r="G1970" s="17">
        <f>F1970 * VLOOKUP('GASB Data'!A1970,Check!$A$2:$F$11,6,FALSE)</f>
        <v>1419916.6716</v>
      </c>
    </row>
    <row r="1971" spans="1:7" x14ac:dyDescent="0.2">
      <c r="A1971">
        <v>2021</v>
      </c>
      <c r="B1971" s="3" t="s">
        <v>510</v>
      </c>
      <c r="C1971" s="3" t="s">
        <v>817</v>
      </c>
      <c r="D1971" s="3" t="s">
        <v>817</v>
      </c>
      <c r="E1971" s="8">
        <v>511866876</v>
      </c>
      <c r="F1971" s="2">
        <v>4.0899999999999999E-3</v>
      </c>
      <c r="G1971" s="17">
        <f>F1971 * VLOOKUP('GASB Data'!A1971,Check!$A$2:$F$11,6,FALSE)</f>
        <v>9706600.6799999997</v>
      </c>
    </row>
    <row r="1972" spans="1:7" x14ac:dyDescent="0.2">
      <c r="A1972">
        <v>2021</v>
      </c>
      <c r="B1972" s="3" t="s">
        <v>511</v>
      </c>
      <c r="C1972" s="3" t="s">
        <v>818</v>
      </c>
      <c r="D1972" s="3" t="s">
        <v>818</v>
      </c>
      <c r="E1972" s="8">
        <v>14847035</v>
      </c>
      <c r="F1972" s="2">
        <v>1.186E-4</v>
      </c>
      <c r="G1972" s="17">
        <f>F1972 * VLOOKUP('GASB Data'!A1972,Check!$A$2:$F$11,6,FALSE)</f>
        <v>281467.68719999999</v>
      </c>
    </row>
    <row r="1973" spans="1:7" x14ac:dyDescent="0.2">
      <c r="A1973">
        <v>2021</v>
      </c>
      <c r="B1973" s="3" t="s">
        <v>512</v>
      </c>
      <c r="C1973" s="3" t="s">
        <v>819</v>
      </c>
      <c r="D1973" s="3" t="s">
        <v>819</v>
      </c>
      <c r="E1973" s="8">
        <v>58361371</v>
      </c>
      <c r="F1973" s="2">
        <v>4.663E-4</v>
      </c>
      <c r="G1973" s="17">
        <f>F1973 * VLOOKUP('GASB Data'!A1973,Check!$A$2:$F$11,6,FALSE)</f>
        <v>1106647.4076</v>
      </c>
    </row>
    <row r="1974" spans="1:7" x14ac:dyDescent="0.2">
      <c r="A1974">
        <v>2021</v>
      </c>
      <c r="B1974" s="3" t="s">
        <v>513</v>
      </c>
      <c r="C1974" s="3" t="s">
        <v>820</v>
      </c>
      <c r="D1974" s="3" t="s">
        <v>820</v>
      </c>
      <c r="E1974" s="8">
        <v>854119486</v>
      </c>
      <c r="F1974" s="2">
        <v>6.8247999999999998E-3</v>
      </c>
      <c r="G1974" s="17">
        <f>F1974 * VLOOKUP('GASB Data'!A1974,Check!$A$2:$F$11,6,FALSE)</f>
        <v>16196970.249599999</v>
      </c>
    </row>
    <row r="1975" spans="1:7" x14ac:dyDescent="0.2">
      <c r="A1975">
        <v>2021</v>
      </c>
      <c r="B1975" s="3" t="s">
        <v>514</v>
      </c>
      <c r="C1975" s="3" t="s">
        <v>821</v>
      </c>
      <c r="D1975" s="3" t="s">
        <v>821</v>
      </c>
      <c r="E1975" s="8">
        <v>177715491</v>
      </c>
      <c r="F1975" s="2">
        <v>1.42E-3</v>
      </c>
      <c r="G1975" s="17">
        <f>F1975 * VLOOKUP('GASB Data'!A1975,Check!$A$2:$F$11,6,FALSE)</f>
        <v>3370017.8400000003</v>
      </c>
    </row>
    <row r="1976" spans="1:7" x14ac:dyDescent="0.2">
      <c r="A1976">
        <v>2021</v>
      </c>
      <c r="B1976" s="3" t="s">
        <v>515</v>
      </c>
      <c r="C1976" s="3" t="s">
        <v>822</v>
      </c>
      <c r="D1976" s="3" t="s">
        <v>822</v>
      </c>
      <c r="E1976" s="8">
        <v>370793295</v>
      </c>
      <c r="F1976" s="2">
        <v>2.9627999999999998E-3</v>
      </c>
      <c r="G1976" s="17">
        <f>F1976 * VLOOKUP('GASB Data'!A1976,Check!$A$2:$F$11,6,FALSE)</f>
        <v>7031471.0255999994</v>
      </c>
    </row>
    <row r="1977" spans="1:7" x14ac:dyDescent="0.2">
      <c r="A1977">
        <v>2021</v>
      </c>
      <c r="B1977" s="3" t="s">
        <v>516</v>
      </c>
      <c r="C1977" s="3" t="s">
        <v>823</v>
      </c>
      <c r="D1977" s="3" t="s">
        <v>823</v>
      </c>
      <c r="E1977" s="8">
        <v>73656585</v>
      </c>
      <c r="F1977" s="2">
        <v>5.8850000000000005E-4</v>
      </c>
      <c r="G1977" s="17">
        <f>F1977 * VLOOKUP('GASB Data'!A1977,Check!$A$2:$F$11,6,FALSE)</f>
        <v>1396658.8020000001</v>
      </c>
    </row>
    <row r="1978" spans="1:7" x14ac:dyDescent="0.2">
      <c r="A1978">
        <v>2021</v>
      </c>
      <c r="B1978" s="3" t="s">
        <v>517</v>
      </c>
      <c r="C1978" s="3" t="s">
        <v>824</v>
      </c>
      <c r="D1978" s="3" t="s">
        <v>824</v>
      </c>
      <c r="E1978" s="8">
        <v>344968239</v>
      </c>
      <c r="F1978" s="2">
        <v>2.7564E-3</v>
      </c>
      <c r="G1978" s="17">
        <f>F1978 * VLOOKUP('GASB Data'!A1978,Check!$A$2:$F$11,6,FALSE)</f>
        <v>6541631.8128000004</v>
      </c>
    </row>
    <row r="1979" spans="1:7" x14ac:dyDescent="0.2">
      <c r="A1979">
        <v>2021</v>
      </c>
      <c r="B1979" s="3" t="s">
        <v>518</v>
      </c>
      <c r="C1979" s="3" t="s">
        <v>825</v>
      </c>
      <c r="D1979" s="3" t="s">
        <v>825</v>
      </c>
      <c r="E1979" s="8">
        <v>54552671</v>
      </c>
      <c r="F1979" s="2">
        <v>4.3590000000000002E-4</v>
      </c>
      <c r="G1979" s="17">
        <f>F1979 * VLOOKUP('GASB Data'!A1979,Check!$A$2:$F$11,6,FALSE)</f>
        <v>1034500.5468</v>
      </c>
    </row>
    <row r="1980" spans="1:7" x14ac:dyDescent="0.2">
      <c r="A1980">
        <v>2021</v>
      </c>
      <c r="B1980" s="3" t="s">
        <v>519</v>
      </c>
      <c r="C1980" s="3" t="s">
        <v>826</v>
      </c>
      <c r="D1980" s="3" t="s">
        <v>826</v>
      </c>
      <c r="E1980" s="8">
        <v>134325013</v>
      </c>
      <c r="F1980" s="2">
        <v>1.0732999999999999E-3</v>
      </c>
      <c r="G1980" s="17">
        <f>F1980 * VLOOKUP('GASB Data'!A1980,Check!$A$2:$F$11,6,FALSE)</f>
        <v>2547211.3715999997</v>
      </c>
    </row>
    <row r="1981" spans="1:7" x14ac:dyDescent="0.2">
      <c r="A1981">
        <v>2021</v>
      </c>
      <c r="B1981" s="3" t="s">
        <v>520</v>
      </c>
      <c r="C1981" s="3" t="s">
        <v>827</v>
      </c>
      <c r="D1981" s="3" t="s">
        <v>827</v>
      </c>
      <c r="E1981" s="8">
        <v>275922039</v>
      </c>
      <c r="F1981" s="2">
        <v>2.2047E-3</v>
      </c>
      <c r="G1981" s="17">
        <f>F1981 * VLOOKUP('GASB Data'!A1981,Check!$A$2:$F$11,6,FALSE)</f>
        <v>5232308.6843999997</v>
      </c>
    </row>
    <row r="1982" spans="1:7" x14ac:dyDescent="0.2">
      <c r="A1982">
        <v>2021</v>
      </c>
      <c r="B1982" s="3" t="s">
        <v>521</v>
      </c>
      <c r="C1982" s="3" t="s">
        <v>828</v>
      </c>
      <c r="D1982" s="3" t="s">
        <v>828</v>
      </c>
      <c r="E1982" s="8">
        <v>354649262</v>
      </c>
      <c r="F1982" s="2">
        <v>2.8338E-3</v>
      </c>
      <c r="G1982" s="17">
        <f>F1982 * VLOOKUP('GASB Data'!A1982,Check!$A$2:$F$11,6,FALSE)</f>
        <v>6725321.5175999999</v>
      </c>
    </row>
    <row r="1983" spans="1:7" x14ac:dyDescent="0.2">
      <c r="A1983">
        <v>2021</v>
      </c>
      <c r="B1983" s="3" t="s">
        <v>522</v>
      </c>
      <c r="C1983" s="3" t="s">
        <v>829</v>
      </c>
      <c r="D1983" s="3" t="s">
        <v>829</v>
      </c>
      <c r="E1983" s="8">
        <v>26595412</v>
      </c>
      <c r="F1983" s="2">
        <v>2.1249999999999999E-4</v>
      </c>
      <c r="G1983" s="17">
        <f>F1983 * VLOOKUP('GASB Data'!A1983,Check!$A$2:$F$11,6,FALSE)</f>
        <v>504316.05</v>
      </c>
    </row>
    <row r="1984" spans="1:7" x14ac:dyDescent="0.2">
      <c r="A1984">
        <v>2021</v>
      </c>
      <c r="B1984" s="3" t="s">
        <v>523</v>
      </c>
      <c r="C1984" s="3" t="s">
        <v>830</v>
      </c>
      <c r="D1984" s="3" t="s">
        <v>830</v>
      </c>
      <c r="E1984" s="8">
        <v>88126458</v>
      </c>
      <c r="F1984" s="2">
        <v>7.0419999999999999E-4</v>
      </c>
      <c r="G1984" s="17">
        <f>F1984 * VLOOKUP('GASB Data'!A1984,Check!$A$2:$F$11,6,FALSE)</f>
        <v>1671244.0584</v>
      </c>
    </row>
    <row r="1985" spans="1:7" x14ac:dyDescent="0.2">
      <c r="A1985">
        <v>2021</v>
      </c>
      <c r="B1985" s="3" t="s">
        <v>524</v>
      </c>
      <c r="C1985" s="3" t="s">
        <v>831</v>
      </c>
      <c r="D1985" s="3" t="s">
        <v>831</v>
      </c>
      <c r="E1985" s="8">
        <v>267988732</v>
      </c>
      <c r="F1985" s="2">
        <v>2.1413000000000001E-3</v>
      </c>
      <c r="G1985" s="17">
        <f>F1985 * VLOOKUP('GASB Data'!A1985,Check!$A$2:$F$11,6,FALSE)</f>
        <v>5081844.5076000001</v>
      </c>
    </row>
    <row r="1986" spans="1:7" x14ac:dyDescent="0.2">
      <c r="A1986">
        <v>2021</v>
      </c>
      <c r="B1986" s="3" t="s">
        <v>525</v>
      </c>
      <c r="C1986" s="3" t="s">
        <v>832</v>
      </c>
      <c r="D1986" s="3" t="s">
        <v>832</v>
      </c>
      <c r="E1986" s="8">
        <v>332462926</v>
      </c>
      <c r="F1986" s="2">
        <v>2.6565E-3</v>
      </c>
      <c r="G1986" s="17">
        <f>F1986 * VLOOKUP('GASB Data'!A1986,Check!$A$2:$F$11,6,FALSE)</f>
        <v>6304543.9380000001</v>
      </c>
    </row>
    <row r="1987" spans="1:7" x14ac:dyDescent="0.2">
      <c r="A1987">
        <v>2021</v>
      </c>
      <c r="B1987" s="3" t="s">
        <v>526</v>
      </c>
      <c r="C1987" s="3" t="s">
        <v>833</v>
      </c>
      <c r="D1987" s="3" t="s">
        <v>833</v>
      </c>
      <c r="E1987" s="8">
        <v>4928319</v>
      </c>
      <c r="F1987" s="2">
        <v>3.9400000000000002E-5</v>
      </c>
      <c r="G1987" s="17">
        <f>F1987 * VLOOKUP('GASB Data'!A1987,Check!$A$2:$F$11,6,FALSE)</f>
        <v>93506.128800000006</v>
      </c>
    </row>
    <row r="1988" spans="1:7" x14ac:dyDescent="0.2">
      <c r="A1988">
        <v>2021</v>
      </c>
      <c r="B1988" s="3" t="s">
        <v>527</v>
      </c>
      <c r="C1988" s="3" t="s">
        <v>834</v>
      </c>
      <c r="D1988" s="3" t="s">
        <v>834</v>
      </c>
      <c r="E1988" s="8">
        <v>30587224</v>
      </c>
      <c r="F1988" s="2">
        <v>2.4439999999999998E-4</v>
      </c>
      <c r="G1988" s="17">
        <f>F1988 * VLOOKUP('GASB Data'!A1988,Check!$A$2:$F$11,6,FALSE)</f>
        <v>580022.78879999998</v>
      </c>
    </row>
    <row r="1989" spans="1:7" x14ac:dyDescent="0.2">
      <c r="A1989">
        <v>2021</v>
      </c>
      <c r="B1989" s="3" t="s">
        <v>528</v>
      </c>
      <c r="C1989" s="3" t="s">
        <v>835</v>
      </c>
      <c r="D1989" s="3" t="s">
        <v>835</v>
      </c>
      <c r="E1989" s="8">
        <v>93267012</v>
      </c>
      <c r="F1989" s="2">
        <v>7.4520000000000001E-4</v>
      </c>
      <c r="G1989" s="17">
        <f>F1989 * VLOOKUP('GASB Data'!A1989,Check!$A$2:$F$11,6,FALSE)</f>
        <v>1768547.3903999999</v>
      </c>
    </row>
    <row r="1990" spans="1:7" x14ac:dyDescent="0.2">
      <c r="A1990">
        <v>2021</v>
      </c>
      <c r="B1990" s="3" t="s">
        <v>529</v>
      </c>
      <c r="C1990" s="3" t="s">
        <v>836</v>
      </c>
      <c r="D1990" s="3" t="s">
        <v>836</v>
      </c>
      <c r="E1990" s="8">
        <v>82017171</v>
      </c>
      <c r="F1990" s="2">
        <v>6.5530000000000004E-4</v>
      </c>
      <c r="G1990" s="17">
        <f>F1990 * VLOOKUP('GASB Data'!A1990,Check!$A$2:$F$11,6,FALSE)</f>
        <v>1555192.0356000001</v>
      </c>
    </row>
    <row r="1991" spans="1:7" x14ac:dyDescent="0.2">
      <c r="A1991">
        <v>2021</v>
      </c>
      <c r="B1991" s="3" t="s">
        <v>530</v>
      </c>
      <c r="C1991" s="3" t="s">
        <v>837</v>
      </c>
      <c r="D1991" s="3" t="s">
        <v>837</v>
      </c>
      <c r="E1991" s="8">
        <v>56776415</v>
      </c>
      <c r="F1991" s="2">
        <v>4.5370000000000002E-4</v>
      </c>
      <c r="G1991" s="17">
        <f>F1991 * VLOOKUP('GASB Data'!A1991,Check!$A$2:$F$11,6,FALSE)</f>
        <v>1076744.4324</v>
      </c>
    </row>
    <row r="1992" spans="1:7" x14ac:dyDescent="0.2">
      <c r="A1992">
        <v>2021</v>
      </c>
      <c r="B1992" s="3" t="s">
        <v>531</v>
      </c>
      <c r="C1992" s="3" t="s">
        <v>838</v>
      </c>
      <c r="D1992" s="3" t="s">
        <v>838</v>
      </c>
      <c r="E1992" s="8">
        <v>105067747</v>
      </c>
      <c r="F1992" s="2">
        <v>8.3949999999999997E-4</v>
      </c>
      <c r="G1992" s="17">
        <f>F1992 * VLOOKUP('GASB Data'!A1992,Check!$A$2:$F$11,6,FALSE)</f>
        <v>1992345.054</v>
      </c>
    </row>
    <row r="1993" spans="1:7" x14ac:dyDescent="0.2">
      <c r="A1993">
        <v>2021</v>
      </c>
      <c r="B1993" s="3" t="s">
        <v>532</v>
      </c>
      <c r="C1993" s="3" t="s">
        <v>914</v>
      </c>
      <c r="D1993" s="3" t="s">
        <v>914</v>
      </c>
      <c r="E1993" s="8">
        <v>8088561</v>
      </c>
      <c r="F1993" s="2">
        <v>6.4599999999999998E-5</v>
      </c>
      <c r="G1993" s="17">
        <f>F1993 * VLOOKUP('GASB Data'!A1993,Check!$A$2:$F$11,6,FALSE)</f>
        <v>153312.07920000001</v>
      </c>
    </row>
    <row r="1994" spans="1:7" x14ac:dyDescent="0.2">
      <c r="A1994">
        <v>2021</v>
      </c>
      <c r="B1994" s="3" t="s">
        <v>533</v>
      </c>
      <c r="C1994" s="3" t="s">
        <v>840</v>
      </c>
      <c r="D1994" s="3" t="s">
        <v>840</v>
      </c>
      <c r="E1994" s="8">
        <v>182374740</v>
      </c>
      <c r="F1994" s="2">
        <v>1.4572000000000001E-3</v>
      </c>
      <c r="G1994" s="17">
        <f>F1994 * VLOOKUP('GASB Data'!A1994,Check!$A$2:$F$11,6,FALSE)</f>
        <v>3458302.8144</v>
      </c>
    </row>
    <row r="1995" spans="1:7" x14ac:dyDescent="0.2">
      <c r="A1995">
        <v>2021</v>
      </c>
      <c r="B1995" s="3" t="s">
        <v>534</v>
      </c>
      <c r="C1995" s="3" t="s">
        <v>841</v>
      </c>
      <c r="D1995" s="3" t="s">
        <v>841</v>
      </c>
      <c r="E1995" s="8">
        <v>16643393</v>
      </c>
      <c r="F1995" s="2">
        <v>1.3300000000000001E-4</v>
      </c>
      <c r="G1995" s="17">
        <f>F1995 * VLOOKUP('GASB Data'!A1995,Check!$A$2:$F$11,6,FALSE)</f>
        <v>315642.516</v>
      </c>
    </row>
    <row r="1996" spans="1:7" x14ac:dyDescent="0.2">
      <c r="A1996">
        <v>2021</v>
      </c>
      <c r="B1996" s="3" t="s">
        <v>535</v>
      </c>
      <c r="C1996" s="3" t="s">
        <v>842</v>
      </c>
      <c r="D1996" s="3" t="s">
        <v>842</v>
      </c>
      <c r="E1996" s="8">
        <v>42686069</v>
      </c>
      <c r="F1996" s="2">
        <v>3.411E-4</v>
      </c>
      <c r="G1996" s="17">
        <f>F1996 * VLOOKUP('GASB Data'!A1996,Check!$A$2:$F$11,6,FALSE)</f>
        <v>809516.25719999999</v>
      </c>
    </row>
    <row r="1997" spans="1:7" x14ac:dyDescent="0.2">
      <c r="A1997">
        <v>2021</v>
      </c>
      <c r="B1997" s="3" t="s">
        <v>536</v>
      </c>
      <c r="C1997" s="3" t="s">
        <v>843</v>
      </c>
      <c r="D1997" s="3" t="s">
        <v>843</v>
      </c>
      <c r="E1997" s="8">
        <v>1834227004</v>
      </c>
      <c r="F1997" s="2">
        <v>1.4656199999999999E-2</v>
      </c>
      <c r="G1997" s="17">
        <f>F1997 * VLOOKUP('GASB Data'!A1997,Check!$A$2:$F$11,6,FALSE)</f>
        <v>34782855.962399997</v>
      </c>
    </row>
    <row r="1998" spans="1:7" x14ac:dyDescent="0.2">
      <c r="A1998">
        <v>2021</v>
      </c>
      <c r="B1998" s="3" t="s">
        <v>537</v>
      </c>
      <c r="C1998" s="3" t="s">
        <v>844</v>
      </c>
      <c r="D1998" s="3" t="s">
        <v>844</v>
      </c>
      <c r="E1998" s="8">
        <v>216251279</v>
      </c>
      <c r="F1998" s="2">
        <v>1.7279000000000001E-3</v>
      </c>
      <c r="G1998" s="17">
        <f>F1998 * VLOOKUP('GASB Data'!A1998,Check!$A$2:$F$11,6,FALSE)</f>
        <v>4100742.1308000004</v>
      </c>
    </row>
    <row r="1999" spans="1:7" x14ac:dyDescent="0.2">
      <c r="A1999">
        <v>2021</v>
      </c>
      <c r="B1999" s="3" t="s">
        <v>538</v>
      </c>
      <c r="C1999" s="3" t="s">
        <v>845</v>
      </c>
      <c r="D1999" s="3" t="s">
        <v>845</v>
      </c>
      <c r="E1999" s="8">
        <v>35671629</v>
      </c>
      <c r="F1999" s="2">
        <v>2.8499999999999999E-4</v>
      </c>
      <c r="G1999" s="17">
        <f>F1999 * VLOOKUP('GASB Data'!A1999,Check!$A$2:$F$11,6,FALSE)</f>
        <v>676376.82</v>
      </c>
    </row>
    <row r="2000" spans="1:7" x14ac:dyDescent="0.2">
      <c r="A2000">
        <v>2021</v>
      </c>
      <c r="B2000" s="3" t="s">
        <v>539</v>
      </c>
      <c r="C2000" s="3" t="s">
        <v>846</v>
      </c>
      <c r="D2000" s="3" t="s">
        <v>846</v>
      </c>
      <c r="E2000" s="8">
        <v>90639170</v>
      </c>
      <c r="F2000" s="2">
        <v>7.2420000000000004E-4</v>
      </c>
      <c r="G2000" s="17">
        <f>F2000 * VLOOKUP('GASB Data'!A2000,Check!$A$2:$F$11,6,FALSE)</f>
        <v>1718709.0984</v>
      </c>
    </row>
    <row r="2001" spans="1:7" x14ac:dyDescent="0.2">
      <c r="A2001">
        <v>2021</v>
      </c>
      <c r="B2001" s="3" t="s">
        <v>540</v>
      </c>
      <c r="C2001" s="3" t="s">
        <v>847</v>
      </c>
      <c r="D2001" s="3" t="s">
        <v>847</v>
      </c>
      <c r="E2001" s="8">
        <v>8348332175</v>
      </c>
      <c r="F2001" s="2">
        <v>6.6706500000000002E-2</v>
      </c>
      <c r="G2001" s="17">
        <f>F2001 * VLOOKUP('GASB Data'!A2001,Check!$A$2:$F$11,6,FALSE)</f>
        <v>158311334.53800002</v>
      </c>
    </row>
    <row r="2002" spans="1:7" x14ac:dyDescent="0.2">
      <c r="A2002">
        <v>2021</v>
      </c>
      <c r="B2002" s="3" t="s">
        <v>541</v>
      </c>
      <c r="C2002" s="3" t="s">
        <v>848</v>
      </c>
      <c r="D2002" s="3" t="s">
        <v>848</v>
      </c>
      <c r="E2002" s="8">
        <v>23546006</v>
      </c>
      <c r="F2002" s="2">
        <v>1.8809999999999999E-4</v>
      </c>
      <c r="G2002" s="17">
        <f>F2002 * VLOOKUP('GASB Data'!A2002,Check!$A$2:$F$11,6,FALSE)</f>
        <v>446408.70119999995</v>
      </c>
    </row>
    <row r="2003" spans="1:7" x14ac:dyDescent="0.2">
      <c r="A2003">
        <v>2021</v>
      </c>
      <c r="B2003" s="3" t="s">
        <v>542</v>
      </c>
      <c r="C2003" s="3" t="s">
        <v>849</v>
      </c>
      <c r="D2003" s="3" t="s">
        <v>849</v>
      </c>
      <c r="E2003" s="8">
        <v>31563025</v>
      </c>
      <c r="F2003" s="2">
        <v>2.522E-4</v>
      </c>
      <c r="G2003" s="17">
        <f>F2003 * VLOOKUP('GASB Data'!A2003,Check!$A$2:$F$11,6,FALSE)</f>
        <v>598534.1544</v>
      </c>
    </row>
    <row r="2004" spans="1:7" x14ac:dyDescent="0.2">
      <c r="A2004">
        <v>2021</v>
      </c>
      <c r="B2004" s="3" t="s">
        <v>543</v>
      </c>
      <c r="C2004" s="3" t="s">
        <v>851</v>
      </c>
      <c r="D2004" s="3" t="s">
        <v>851</v>
      </c>
      <c r="E2004" s="8">
        <v>714259346</v>
      </c>
      <c r="F2004" s="2">
        <v>5.7071999999999999E-3</v>
      </c>
      <c r="G2004" s="17">
        <f>F2004 * VLOOKUP('GASB Data'!A2004,Check!$A$2:$F$11,6,FALSE)</f>
        <v>13544623.8144</v>
      </c>
    </row>
    <row r="2005" spans="1:7" x14ac:dyDescent="0.2">
      <c r="A2005">
        <v>2021</v>
      </c>
      <c r="B2005" s="3" t="s">
        <v>561</v>
      </c>
      <c r="C2005" s="3" t="s">
        <v>852</v>
      </c>
      <c r="D2005" s="3" t="s">
        <v>852</v>
      </c>
      <c r="E2005" s="8">
        <v>49046092</v>
      </c>
      <c r="F2005" s="2">
        <v>3.9189999999999998E-4</v>
      </c>
      <c r="G2005" s="17">
        <f>F2005 * VLOOKUP('GASB Data'!A2005,Check!$A$2:$F$11,6,FALSE)</f>
        <v>930077.45880000002</v>
      </c>
    </row>
    <row r="2006" spans="1:7" x14ac:dyDescent="0.2">
      <c r="A2006">
        <v>2021</v>
      </c>
      <c r="B2006" s="3" t="s">
        <v>562</v>
      </c>
      <c r="C2006" s="3" t="s">
        <v>853</v>
      </c>
      <c r="D2006" s="3" t="s">
        <v>853</v>
      </c>
      <c r="E2006" s="8">
        <v>24308922</v>
      </c>
      <c r="F2006" s="2">
        <v>1.942E-4</v>
      </c>
      <c r="G2006" s="17">
        <f>F2006 * VLOOKUP('GASB Data'!A2006,Check!$A$2:$F$11,6,FALSE)</f>
        <v>460885.53840000002</v>
      </c>
    </row>
    <row r="2007" spans="1:7" x14ac:dyDescent="0.2">
      <c r="A2007">
        <v>2021</v>
      </c>
      <c r="B2007" s="3" t="s">
        <v>933</v>
      </c>
      <c r="C2007" s="3" t="s">
        <v>932</v>
      </c>
      <c r="D2007" s="3" t="s">
        <v>932</v>
      </c>
      <c r="E2007" s="8">
        <v>8248834</v>
      </c>
      <c r="F2007" s="2">
        <v>6.5900000000000003E-5</v>
      </c>
      <c r="G2007" s="17">
        <f>F2007 * VLOOKUP('GASB Data'!A2007,Check!$A$2:$F$11,6,FALSE)</f>
        <v>156397.30680000002</v>
      </c>
    </row>
    <row r="2008" spans="1:7" x14ac:dyDescent="0.2">
      <c r="A2008">
        <v>2021</v>
      </c>
      <c r="B2008" s="3" t="s">
        <v>563</v>
      </c>
      <c r="C2008" s="3" t="s">
        <v>854</v>
      </c>
      <c r="D2008" s="3" t="s">
        <v>854</v>
      </c>
      <c r="E2008" s="8">
        <v>81572103</v>
      </c>
      <c r="F2008" s="2">
        <v>6.5180000000000001E-4</v>
      </c>
      <c r="G2008" s="17">
        <f>F2008 * VLOOKUP('GASB Data'!A2008,Check!$A$2:$F$11,6,FALSE)</f>
        <v>1546885.6536000001</v>
      </c>
    </row>
    <row r="2009" spans="1:7" x14ac:dyDescent="0.2">
      <c r="A2009">
        <v>2021</v>
      </c>
      <c r="B2009" s="3" t="s">
        <v>564</v>
      </c>
      <c r="C2009" s="3" t="s">
        <v>855</v>
      </c>
      <c r="D2009" s="3" t="s">
        <v>855</v>
      </c>
      <c r="E2009" s="8">
        <v>4784031</v>
      </c>
      <c r="F2009" s="2">
        <v>3.82E-5</v>
      </c>
      <c r="G2009" s="17">
        <f>F2009 * VLOOKUP('GASB Data'!A2009,Check!$A$2:$F$11,6,FALSE)</f>
        <v>90658.2264</v>
      </c>
    </row>
    <row r="2010" spans="1:7" x14ac:dyDescent="0.2">
      <c r="A2010">
        <v>2021</v>
      </c>
      <c r="B2010" s="3" t="s">
        <v>565</v>
      </c>
      <c r="C2010" s="3" t="s">
        <v>856</v>
      </c>
      <c r="D2010" s="3" t="s">
        <v>856</v>
      </c>
      <c r="E2010" s="8">
        <v>57438094</v>
      </c>
      <c r="F2010" s="2">
        <v>4.5899999999999999E-4</v>
      </c>
      <c r="G2010" s="17">
        <f>F2010 * VLOOKUP('GASB Data'!A2010,Check!$A$2:$F$11,6,FALSE)</f>
        <v>1089322.6680000001</v>
      </c>
    </row>
    <row r="2011" spans="1:7" x14ac:dyDescent="0.2">
      <c r="A2011">
        <v>2021</v>
      </c>
      <c r="B2011" s="3" t="s">
        <v>566</v>
      </c>
      <c r="C2011" s="3" t="s">
        <v>857</v>
      </c>
      <c r="D2011" s="3" t="s">
        <v>857</v>
      </c>
      <c r="E2011" s="8">
        <v>63112183</v>
      </c>
      <c r="F2011" s="2">
        <v>5.0429999999999995E-4</v>
      </c>
      <c r="G2011" s="17">
        <f>F2011 * VLOOKUP('GASB Data'!A2011,Check!$A$2:$F$11,6,FALSE)</f>
        <v>1196830.9835999999</v>
      </c>
    </row>
    <row r="2012" spans="1:7" x14ac:dyDescent="0.2">
      <c r="A2012">
        <v>2021</v>
      </c>
      <c r="B2012" s="3" t="s">
        <v>567</v>
      </c>
      <c r="C2012" s="3" t="s">
        <v>858</v>
      </c>
      <c r="D2012" s="3" t="s">
        <v>858</v>
      </c>
      <c r="E2012" s="8">
        <v>253844203</v>
      </c>
      <c r="F2012" s="2">
        <v>2.0282999999999998E-3</v>
      </c>
      <c r="G2012" s="17">
        <f>F2012 * VLOOKUP('GASB Data'!A2012,Check!$A$2:$F$11,6,FALSE)</f>
        <v>4813667.0315999994</v>
      </c>
    </row>
    <row r="2013" spans="1:7" x14ac:dyDescent="0.2">
      <c r="A2013">
        <v>2021</v>
      </c>
      <c r="B2013" s="3" t="s">
        <v>568</v>
      </c>
      <c r="C2013" s="3" t="s">
        <v>917</v>
      </c>
      <c r="D2013" s="3" t="s">
        <v>917</v>
      </c>
      <c r="E2013" s="8">
        <v>7271787</v>
      </c>
      <c r="F2013" s="2">
        <v>5.8100000000000003E-5</v>
      </c>
      <c r="G2013" s="17">
        <f>F2013 * VLOOKUP('GASB Data'!A2013,Check!$A$2:$F$11,6,FALSE)</f>
        <v>137885.9412</v>
      </c>
    </row>
    <row r="2014" spans="1:7" x14ac:dyDescent="0.2">
      <c r="A2014">
        <v>2021</v>
      </c>
      <c r="B2014" s="3" t="s">
        <v>569</v>
      </c>
      <c r="C2014" s="3" t="s">
        <v>860</v>
      </c>
      <c r="D2014" s="3" t="s">
        <v>860</v>
      </c>
      <c r="E2014" s="8">
        <v>731889678</v>
      </c>
      <c r="F2014" s="2">
        <v>5.8481000000000002E-3</v>
      </c>
      <c r="G2014" s="17">
        <f>F2014 * VLOOKUP('GASB Data'!A2014,Check!$A$2:$F$11,6,FALSE)</f>
        <v>13879015.021200001</v>
      </c>
    </row>
    <row r="2015" spans="1:7" x14ac:dyDescent="0.2">
      <c r="A2015">
        <v>2021</v>
      </c>
      <c r="B2015" s="3" t="s">
        <v>570</v>
      </c>
      <c r="C2015" s="3" t="s">
        <v>861</v>
      </c>
      <c r="D2015" s="3" t="s">
        <v>861</v>
      </c>
      <c r="E2015" s="8">
        <v>120057568</v>
      </c>
      <c r="F2015" s="2">
        <v>9.5929999999999995E-4</v>
      </c>
      <c r="G2015" s="17">
        <f>F2015 * VLOOKUP('GASB Data'!A2015,Check!$A$2:$F$11,6,FALSE)</f>
        <v>2276660.6436000001</v>
      </c>
    </row>
    <row r="2016" spans="1:7" x14ac:dyDescent="0.2">
      <c r="A2016">
        <v>2021</v>
      </c>
      <c r="B2016" s="3" t="s">
        <v>571</v>
      </c>
      <c r="C2016" s="3" t="s">
        <v>862</v>
      </c>
      <c r="D2016" s="3" t="s">
        <v>862</v>
      </c>
      <c r="E2016" s="8">
        <v>422697854</v>
      </c>
      <c r="F2016" s="2">
        <v>3.3774999999999999E-3</v>
      </c>
      <c r="G2016" s="17">
        <f>F2016 * VLOOKUP('GASB Data'!A2016,Check!$A$2:$F$11,6,FALSE)</f>
        <v>8015658.6299999999</v>
      </c>
    </row>
    <row r="2017" spans="1:7" x14ac:dyDescent="0.2">
      <c r="A2017">
        <v>2021</v>
      </c>
      <c r="B2017" s="3" t="s">
        <v>572</v>
      </c>
      <c r="C2017" s="3" t="s">
        <v>863</v>
      </c>
      <c r="D2017" s="3" t="s">
        <v>863</v>
      </c>
      <c r="E2017" s="8">
        <v>31441959</v>
      </c>
      <c r="F2017" s="2">
        <v>2.5119999999999998E-4</v>
      </c>
      <c r="G2017" s="17">
        <f>F2017 * VLOOKUP('GASB Data'!A2017,Check!$A$2:$F$11,6,FALSE)</f>
        <v>596160.9023999999</v>
      </c>
    </row>
    <row r="2018" spans="1:7" x14ac:dyDescent="0.2">
      <c r="A2018">
        <v>2021</v>
      </c>
      <c r="B2018" s="3" t="s">
        <v>573</v>
      </c>
      <c r="C2018" s="3" t="s">
        <v>864</v>
      </c>
      <c r="D2018" s="3" t="s">
        <v>864</v>
      </c>
      <c r="E2018" s="8">
        <v>108637980</v>
      </c>
      <c r="F2018" s="2">
        <v>8.6810000000000001E-4</v>
      </c>
      <c r="G2018" s="17">
        <f>F2018 * VLOOKUP('GASB Data'!A2018,Check!$A$2:$F$11,6,FALSE)</f>
        <v>2060220.0612000001</v>
      </c>
    </row>
    <row r="2019" spans="1:7" x14ac:dyDescent="0.2">
      <c r="A2019">
        <v>2021</v>
      </c>
      <c r="B2019" s="3" t="s">
        <v>574</v>
      </c>
      <c r="C2019" s="3" t="s">
        <v>865</v>
      </c>
      <c r="D2019" s="3" t="s">
        <v>865</v>
      </c>
      <c r="E2019" s="8">
        <v>467462837</v>
      </c>
      <c r="F2019" s="2">
        <v>3.7352000000000002E-3</v>
      </c>
      <c r="G2019" s="17">
        <f>F2019 * VLOOKUP('GASB Data'!A2019,Check!$A$2:$F$11,6,FALSE)</f>
        <v>8864570.8704000004</v>
      </c>
    </row>
    <row r="2020" spans="1:7" x14ac:dyDescent="0.2">
      <c r="A2020">
        <v>2021</v>
      </c>
      <c r="B2020" s="3" t="s">
        <v>575</v>
      </c>
      <c r="C2020" s="3" t="s">
        <v>866</v>
      </c>
      <c r="D2020" s="3" t="s">
        <v>866</v>
      </c>
      <c r="E2020" s="8">
        <v>56304892</v>
      </c>
      <c r="F2020" s="2">
        <v>4.4989999999999999E-4</v>
      </c>
      <c r="G2020" s="17">
        <f>F2020 * VLOOKUP('GASB Data'!A2020,Check!$A$2:$F$11,6,FALSE)</f>
        <v>1067726.0748000001</v>
      </c>
    </row>
    <row r="2021" spans="1:7" x14ac:dyDescent="0.2">
      <c r="A2021">
        <v>2021</v>
      </c>
      <c r="B2021" s="3" t="s">
        <v>576</v>
      </c>
      <c r="C2021" s="3" t="s">
        <v>867</v>
      </c>
      <c r="D2021" s="3" t="s">
        <v>867</v>
      </c>
      <c r="E2021" s="8">
        <v>231678242</v>
      </c>
      <c r="F2021" s="2">
        <v>1.8511999999999999E-3</v>
      </c>
      <c r="G2021" s="17">
        <f>F2021 * VLOOKUP('GASB Data'!A2021,Check!$A$2:$F$11,6,FALSE)</f>
        <v>4393364.1024000002</v>
      </c>
    </row>
    <row r="2022" spans="1:7" x14ac:dyDescent="0.2">
      <c r="A2022">
        <v>2021</v>
      </c>
      <c r="B2022" s="3" t="s">
        <v>577</v>
      </c>
      <c r="C2022" s="3" t="s">
        <v>868</v>
      </c>
      <c r="D2022" s="3" t="s">
        <v>868</v>
      </c>
      <c r="E2022" s="8">
        <v>3600486386</v>
      </c>
      <c r="F2022" s="2">
        <v>2.8769300000000001E-2</v>
      </c>
      <c r="G2022" s="17">
        <f>F2022 * VLOOKUP('GASB Data'!A2022,Check!$A$2:$F$11,6,FALSE)</f>
        <v>68276798.763600007</v>
      </c>
    </row>
    <row r="2023" spans="1:7" x14ac:dyDescent="0.2">
      <c r="A2023">
        <v>2021</v>
      </c>
      <c r="B2023" s="3" t="s">
        <v>871</v>
      </c>
      <c r="C2023" s="3" t="s">
        <v>869</v>
      </c>
      <c r="D2023" s="3" t="s">
        <v>869</v>
      </c>
      <c r="E2023" s="8">
        <v>4118650</v>
      </c>
      <c r="F2023" s="2">
        <v>3.29E-5</v>
      </c>
      <c r="G2023" s="17">
        <f>F2023 * VLOOKUP('GASB Data'!A2023,Check!$A$2:$F$11,6,FALSE)</f>
        <v>78079.9908</v>
      </c>
    </row>
    <row r="2024" spans="1:7" x14ac:dyDescent="0.2">
      <c r="A2024">
        <v>2021</v>
      </c>
      <c r="B2024" s="3" t="s">
        <v>872</v>
      </c>
      <c r="C2024" s="3" t="s">
        <v>870</v>
      </c>
      <c r="D2024" s="3" t="s">
        <v>870</v>
      </c>
      <c r="E2024" s="8">
        <v>106565148</v>
      </c>
      <c r="F2024" s="2">
        <v>8.5150000000000004E-4</v>
      </c>
      <c r="G2024" s="17">
        <f>F2024 * VLOOKUP('GASB Data'!A2024,Check!$A$2:$F$11,6,FALSE)</f>
        <v>2020824.0780000002</v>
      </c>
    </row>
    <row r="2025" spans="1:7" x14ac:dyDescent="0.2">
      <c r="A2025">
        <v>2022</v>
      </c>
      <c r="B2025" s="3" t="s">
        <v>58</v>
      </c>
      <c r="C2025" s="3" t="s">
        <v>578</v>
      </c>
      <c r="D2025" s="3" t="s">
        <v>578</v>
      </c>
      <c r="E2025" s="8">
        <v>158719318</v>
      </c>
      <c r="F2025" s="2">
        <v>1.2585000000000001E-3</v>
      </c>
      <c r="G2025" s="17">
        <f>F2025 * VLOOKUP('GASB Data'!A2025,Check!$A$2:$F$11,6,FALSE)</f>
        <v>3475909.0410000002</v>
      </c>
    </row>
    <row r="2026" spans="1:7" x14ac:dyDescent="0.2">
      <c r="A2026">
        <v>2022</v>
      </c>
      <c r="B2026" s="3" t="s">
        <v>59</v>
      </c>
      <c r="C2026" s="3" t="s">
        <v>579</v>
      </c>
      <c r="D2026" s="3" t="s">
        <v>579</v>
      </c>
      <c r="E2026" s="8">
        <v>420829874</v>
      </c>
      <c r="F2026" s="2">
        <v>3.3367000000000002E-3</v>
      </c>
      <c r="G2026" s="17">
        <f>F2026 * VLOOKUP('GASB Data'!A2026,Check!$A$2:$F$11,6,FALSE)</f>
        <v>9215785.2182</v>
      </c>
    </row>
    <row r="2027" spans="1:7" x14ac:dyDescent="0.2">
      <c r="A2027">
        <v>2022</v>
      </c>
      <c r="B2027" s="3" t="s">
        <v>60</v>
      </c>
      <c r="C2027" s="3" t="s">
        <v>874</v>
      </c>
      <c r="D2027" s="3" t="s">
        <v>874</v>
      </c>
      <c r="E2027" s="8">
        <v>104936024</v>
      </c>
      <c r="F2027" s="2">
        <v>8.3199999999999995E-4</v>
      </c>
      <c r="G2027" s="17">
        <f>F2027 * VLOOKUP('GASB Data'!A2027,Check!$A$2:$F$11,6,FALSE)</f>
        <v>2297939.0719999997</v>
      </c>
    </row>
    <row r="2028" spans="1:7" x14ac:dyDescent="0.2">
      <c r="A2028">
        <v>2022</v>
      </c>
      <c r="B2028" s="3" t="s">
        <v>61</v>
      </c>
      <c r="C2028" s="3" t="s">
        <v>581</v>
      </c>
      <c r="D2028" s="3" t="s">
        <v>581</v>
      </c>
      <c r="E2028" s="8">
        <v>645399130</v>
      </c>
      <c r="F2028" s="2">
        <v>5.1174000000000002E-3</v>
      </c>
      <c r="G2028" s="17">
        <f>F2028 * VLOOKUP('GASB Data'!A2028,Check!$A$2:$F$11,6,FALSE)</f>
        <v>14133982.4604</v>
      </c>
    </row>
    <row r="2029" spans="1:7" x14ac:dyDescent="0.2">
      <c r="A2029">
        <v>2022</v>
      </c>
      <c r="B2029" s="3" t="s">
        <v>62</v>
      </c>
      <c r="C2029" s="3" t="s">
        <v>582</v>
      </c>
      <c r="D2029" s="3" t="s">
        <v>582</v>
      </c>
      <c r="E2029" s="8">
        <v>2640686448</v>
      </c>
      <c r="F2029" s="2">
        <v>2.0937899999999999E-2</v>
      </c>
      <c r="G2029" s="17">
        <f>F2029 * VLOOKUP('GASB Data'!A2029,Check!$A$2:$F$11,6,FALSE)</f>
        <v>57829349.153399996</v>
      </c>
    </row>
    <row r="2030" spans="1:7" x14ac:dyDescent="0.2">
      <c r="A2030">
        <v>2022</v>
      </c>
      <c r="B2030" s="3" t="s">
        <v>63</v>
      </c>
      <c r="C2030" s="3" t="s">
        <v>583</v>
      </c>
      <c r="D2030" s="3" t="s">
        <v>583</v>
      </c>
      <c r="E2030" s="8">
        <v>19491434</v>
      </c>
      <c r="F2030" s="2">
        <v>1.5449999999999999E-4</v>
      </c>
      <c r="G2030" s="17">
        <f>F2030 * VLOOKUP('GASB Data'!A2030,Check!$A$2:$F$11,6,FALSE)</f>
        <v>426720.65699999995</v>
      </c>
    </row>
    <row r="2031" spans="1:7" x14ac:dyDescent="0.2">
      <c r="A2031">
        <v>2022</v>
      </c>
      <c r="B2031" s="3" t="s">
        <v>64</v>
      </c>
      <c r="C2031" s="3" t="s">
        <v>584</v>
      </c>
      <c r="D2031" s="3" t="s">
        <v>584</v>
      </c>
      <c r="E2031" s="8">
        <v>220692704</v>
      </c>
      <c r="F2031" s="2">
        <v>1.7499E-3</v>
      </c>
      <c r="G2031" s="17">
        <f>F2031 * VLOOKUP('GASB Data'!A2031,Check!$A$2:$F$11,6,FALSE)</f>
        <v>4833129.3054</v>
      </c>
    </row>
    <row r="2032" spans="1:7" x14ac:dyDescent="0.2">
      <c r="A2032">
        <v>2022</v>
      </c>
      <c r="B2032" s="3" t="s">
        <v>65</v>
      </c>
      <c r="C2032" s="3" t="s">
        <v>876</v>
      </c>
      <c r="D2032" s="3" t="s">
        <v>876</v>
      </c>
      <c r="E2032" s="8">
        <v>67197199</v>
      </c>
      <c r="F2032" s="2">
        <v>5.3280000000000005E-4</v>
      </c>
      <c r="G2032" s="17">
        <f>F2032 * VLOOKUP('GASB Data'!A2032,Check!$A$2:$F$11,6,FALSE)</f>
        <v>1471564.8288000003</v>
      </c>
    </row>
    <row r="2033" spans="1:7" x14ac:dyDescent="0.2">
      <c r="A2033">
        <v>2022</v>
      </c>
      <c r="B2033" s="3" t="s">
        <v>66</v>
      </c>
      <c r="C2033" s="3" t="s">
        <v>586</v>
      </c>
      <c r="D2033" s="3" t="s">
        <v>586</v>
      </c>
      <c r="E2033" s="8">
        <v>701998475</v>
      </c>
      <c r="F2033" s="2">
        <v>5.5661E-3</v>
      </c>
      <c r="G2033" s="17">
        <f>F2033 * VLOOKUP('GASB Data'!A2033,Check!$A$2:$F$11,6,FALSE)</f>
        <v>15373267.6306</v>
      </c>
    </row>
    <row r="2034" spans="1:7" x14ac:dyDescent="0.2">
      <c r="A2034">
        <v>2022</v>
      </c>
      <c r="B2034" s="3" t="s">
        <v>67</v>
      </c>
      <c r="C2034" s="3" t="s">
        <v>587</v>
      </c>
      <c r="D2034" s="3" t="s">
        <v>587</v>
      </c>
      <c r="E2034" s="8">
        <v>94571901</v>
      </c>
      <c r="F2034" s="2">
        <v>7.4989999999999996E-4</v>
      </c>
      <c r="G2034" s="17">
        <f>F2034 * VLOOKUP('GASB Data'!A2034,Check!$A$2:$F$11,6,FALSE)</f>
        <v>2071183.3054</v>
      </c>
    </row>
    <row r="2035" spans="1:7" x14ac:dyDescent="0.2">
      <c r="A2035">
        <v>2022</v>
      </c>
      <c r="B2035" s="3" t="s">
        <v>68</v>
      </c>
      <c r="C2035" s="3" t="s">
        <v>878</v>
      </c>
      <c r="D2035" s="3" t="s">
        <v>878</v>
      </c>
      <c r="E2035" s="8">
        <v>92686911</v>
      </c>
      <c r="F2035" s="2">
        <v>7.3490000000000003E-4</v>
      </c>
      <c r="G2035" s="17">
        <f>F2035 * VLOOKUP('GASB Data'!A2035,Check!$A$2:$F$11,6,FALSE)</f>
        <v>2029754.1154</v>
      </c>
    </row>
    <row r="2036" spans="1:7" x14ac:dyDescent="0.2">
      <c r="A2036">
        <v>2022</v>
      </c>
      <c r="B2036" s="3" t="s">
        <v>924</v>
      </c>
      <c r="C2036" s="3" t="s">
        <v>921</v>
      </c>
      <c r="D2036" s="3" t="s">
        <v>921</v>
      </c>
      <c r="E2036" s="8">
        <v>31966247</v>
      </c>
      <c r="F2036" s="2">
        <v>2.5349999999999998E-4</v>
      </c>
      <c r="G2036" s="17">
        <f>F2036 * VLOOKUP('GASB Data'!A2036,Check!$A$2:$F$11,6,FALSE)</f>
        <v>700153.31099999999</v>
      </c>
    </row>
    <row r="2037" spans="1:7" x14ac:dyDescent="0.2">
      <c r="A2037">
        <v>2022</v>
      </c>
      <c r="B2037" s="3" t="s">
        <v>69</v>
      </c>
      <c r="C2037" s="3" t="s">
        <v>879</v>
      </c>
      <c r="D2037" s="3" t="s">
        <v>879</v>
      </c>
      <c r="E2037" s="8">
        <v>617732579</v>
      </c>
      <c r="F2037" s="2">
        <v>4.8979999999999996E-3</v>
      </c>
      <c r="G2037" s="17">
        <f>F2037 * VLOOKUP('GASB Data'!A2037,Check!$A$2:$F$11,6,FALSE)</f>
        <v>13528011.507999999</v>
      </c>
    </row>
    <row r="2038" spans="1:7" x14ac:dyDescent="0.2">
      <c r="A2038">
        <v>2022</v>
      </c>
      <c r="B2038" s="3" t="s">
        <v>70</v>
      </c>
      <c r="C2038" s="3" t="s">
        <v>880</v>
      </c>
      <c r="D2038" s="3" t="s">
        <v>880</v>
      </c>
      <c r="E2038" s="8">
        <v>72761651</v>
      </c>
      <c r="F2038" s="2">
        <v>5.7689999999999998E-4</v>
      </c>
      <c r="G2038" s="17">
        <f>F2038 * VLOOKUP('GASB Data'!A2038,Check!$A$2:$F$11,6,FALSE)</f>
        <v>1593366.6473999999</v>
      </c>
    </row>
    <row r="2039" spans="1:7" x14ac:dyDescent="0.2">
      <c r="A2039">
        <v>2022</v>
      </c>
      <c r="B2039" s="3" t="s">
        <v>71</v>
      </c>
      <c r="C2039" s="3" t="s">
        <v>591</v>
      </c>
      <c r="D2039" s="3" t="s">
        <v>591</v>
      </c>
      <c r="E2039" s="8">
        <v>307691704</v>
      </c>
      <c r="F2039" s="2">
        <v>2.4396999999999999E-3</v>
      </c>
      <c r="G2039" s="17">
        <f>F2039 * VLOOKUP('GASB Data'!A2039,Check!$A$2:$F$11,6,FALSE)</f>
        <v>6738319.6562000001</v>
      </c>
    </row>
    <row r="2040" spans="1:7" x14ac:dyDescent="0.2">
      <c r="A2040">
        <v>2022</v>
      </c>
      <c r="B2040" s="3" t="s">
        <v>72</v>
      </c>
      <c r="C2040" s="3" t="s">
        <v>592</v>
      </c>
      <c r="D2040" s="3" t="s">
        <v>592</v>
      </c>
      <c r="E2040" s="8">
        <v>56717087</v>
      </c>
      <c r="F2040" s="2">
        <v>4.4969999999999998E-4</v>
      </c>
      <c r="G2040" s="17">
        <f>F2040 * VLOOKUP('GASB Data'!A2040,Check!$A$2:$F$11,6,FALSE)</f>
        <v>1242047.1162</v>
      </c>
    </row>
    <row r="2041" spans="1:7" x14ac:dyDescent="0.2">
      <c r="A2041">
        <v>2022</v>
      </c>
      <c r="B2041" s="3" t="s">
        <v>73</v>
      </c>
      <c r="C2041" s="3" t="s">
        <v>881</v>
      </c>
      <c r="D2041" s="3" t="s">
        <v>881</v>
      </c>
      <c r="E2041" s="8">
        <v>37426995</v>
      </c>
      <c r="F2041" s="2">
        <v>2.968E-4</v>
      </c>
      <c r="G2041" s="17">
        <f>F2041 * VLOOKUP('GASB Data'!A2041,Check!$A$2:$F$11,6,FALSE)</f>
        <v>819745.57279999997</v>
      </c>
    </row>
    <row r="2042" spans="1:7" x14ac:dyDescent="0.2">
      <c r="A2042">
        <v>2022</v>
      </c>
      <c r="B2042" s="3" t="s">
        <v>74</v>
      </c>
      <c r="C2042" s="3" t="s">
        <v>882</v>
      </c>
      <c r="D2042" s="3" t="s">
        <v>882</v>
      </c>
      <c r="E2042" s="8">
        <v>5212713</v>
      </c>
      <c r="F2042" s="2">
        <v>4.1300000000000001E-5</v>
      </c>
      <c r="G2042" s="17">
        <f>F2042 * VLOOKUP('GASB Data'!A2042,Check!$A$2:$F$11,6,FALSE)</f>
        <v>114068.3698</v>
      </c>
    </row>
    <row r="2043" spans="1:7" x14ac:dyDescent="0.2">
      <c r="A2043">
        <v>2022</v>
      </c>
      <c r="B2043" s="3" t="s">
        <v>75</v>
      </c>
      <c r="C2043" s="3" t="s">
        <v>595</v>
      </c>
      <c r="D2043" s="3" t="s">
        <v>595</v>
      </c>
      <c r="E2043" s="8">
        <v>257828068</v>
      </c>
      <c r="F2043" s="2">
        <v>2.0443000000000002E-3</v>
      </c>
      <c r="G2043" s="17">
        <f>F2043 * VLOOKUP('GASB Data'!A2043,Check!$A$2:$F$11,6,FALSE)</f>
        <v>5646246.2078000009</v>
      </c>
    </row>
    <row r="2044" spans="1:7" x14ac:dyDescent="0.2">
      <c r="A2044">
        <v>2022</v>
      </c>
      <c r="B2044" s="3" t="s">
        <v>76</v>
      </c>
      <c r="C2044" s="3" t="s">
        <v>883</v>
      </c>
      <c r="D2044" s="3" t="s">
        <v>883</v>
      </c>
      <c r="E2044" s="8">
        <v>6134783644</v>
      </c>
      <c r="F2044" s="2">
        <v>4.8642499999999998E-2</v>
      </c>
      <c r="G2044" s="17">
        <f>F2044 * VLOOKUP('GASB Data'!A2044,Check!$A$2:$F$11,6,FALSE)</f>
        <v>134347958.30500001</v>
      </c>
    </row>
    <row r="2045" spans="1:7" x14ac:dyDescent="0.2">
      <c r="A2045">
        <v>2022</v>
      </c>
      <c r="B2045" s="3" t="s">
        <v>77</v>
      </c>
      <c r="C2045" s="3" t="s">
        <v>597</v>
      </c>
      <c r="D2045" s="3" t="s">
        <v>597</v>
      </c>
      <c r="E2045" s="8">
        <v>659079621</v>
      </c>
      <c r="F2045" s="2">
        <v>5.2258000000000001E-3</v>
      </c>
      <c r="G2045" s="17">
        <f>F2045 * VLOOKUP('GASB Data'!A2045,Check!$A$2:$F$11,6,FALSE)</f>
        <v>14433377.4068</v>
      </c>
    </row>
    <row r="2046" spans="1:7" x14ac:dyDescent="0.2">
      <c r="A2046">
        <v>2022</v>
      </c>
      <c r="B2046" s="3" t="s">
        <v>78</v>
      </c>
      <c r="C2046" s="3" t="s">
        <v>884</v>
      </c>
      <c r="D2046" s="3" t="s">
        <v>884</v>
      </c>
      <c r="E2046" s="8">
        <v>248972763</v>
      </c>
      <c r="F2046" s="2">
        <v>1.9740999999999999E-3</v>
      </c>
      <c r="G2046" s="17">
        <f>F2046 * VLOOKUP('GASB Data'!A2046,Check!$A$2:$F$11,6,FALSE)</f>
        <v>5452357.5986000001</v>
      </c>
    </row>
    <row r="2047" spans="1:7" x14ac:dyDescent="0.2">
      <c r="A2047">
        <v>2022</v>
      </c>
      <c r="B2047" s="3" t="s">
        <v>79</v>
      </c>
      <c r="C2047" s="3" t="s">
        <v>885</v>
      </c>
      <c r="D2047" s="3" t="s">
        <v>885</v>
      </c>
      <c r="E2047" s="8">
        <v>140671809</v>
      </c>
      <c r="F2047" s="2">
        <v>1.1153999999999999E-3</v>
      </c>
      <c r="G2047" s="17">
        <f>F2047 * VLOOKUP('GASB Data'!A2047,Check!$A$2:$F$11,6,FALSE)</f>
        <v>3080674.5683999998</v>
      </c>
    </row>
    <row r="2048" spans="1:7" x14ac:dyDescent="0.2">
      <c r="A2048">
        <v>2022</v>
      </c>
      <c r="B2048" s="3" t="s">
        <v>80</v>
      </c>
      <c r="C2048" s="3" t="s">
        <v>886</v>
      </c>
      <c r="D2048" s="3" t="s">
        <v>886</v>
      </c>
      <c r="E2048" s="8">
        <v>564233409</v>
      </c>
      <c r="F2048" s="2">
        <v>4.4738E-3</v>
      </c>
      <c r="G2048" s="17">
        <f>F2048 * VLOOKUP('GASB Data'!A2048,Check!$A$2:$F$11,6,FALSE)</f>
        <v>12356394.014799999</v>
      </c>
    </row>
    <row r="2049" spans="1:7" x14ac:dyDescent="0.2">
      <c r="A2049">
        <v>2022</v>
      </c>
      <c r="B2049" s="3" t="s">
        <v>81</v>
      </c>
      <c r="C2049" s="3" t="s">
        <v>887</v>
      </c>
      <c r="D2049" s="3" t="s">
        <v>887</v>
      </c>
      <c r="E2049" s="8">
        <v>59054226</v>
      </c>
      <c r="F2049" s="2">
        <v>4.682E-4</v>
      </c>
      <c r="G2049" s="17">
        <f>F2049 * VLOOKUP('GASB Data'!A2049,Check!$A$2:$F$11,6,FALSE)</f>
        <v>1293143.1172</v>
      </c>
    </row>
    <row r="2050" spans="1:7" x14ac:dyDescent="0.2">
      <c r="A2050">
        <v>2022</v>
      </c>
      <c r="B2050" s="3" t="s">
        <v>82</v>
      </c>
      <c r="C2050" s="3" t="s">
        <v>888</v>
      </c>
      <c r="D2050" s="3" t="s">
        <v>888</v>
      </c>
      <c r="E2050" s="8">
        <v>198160979</v>
      </c>
      <c r="F2050" s="2">
        <v>1.5712E-3</v>
      </c>
      <c r="G2050" s="17">
        <f>F2050 * VLOOKUP('GASB Data'!A2050,Check!$A$2:$F$11,6,FALSE)</f>
        <v>4339569.5552000003</v>
      </c>
    </row>
    <row r="2051" spans="1:7" x14ac:dyDescent="0.2">
      <c r="A2051">
        <v>2022</v>
      </c>
      <c r="B2051" s="3" t="s">
        <v>632</v>
      </c>
      <c r="C2051" s="3" t="s">
        <v>889</v>
      </c>
      <c r="D2051" s="3" t="s">
        <v>889</v>
      </c>
      <c r="E2051" s="8">
        <v>27345717</v>
      </c>
      <c r="F2051" s="2">
        <v>2.1680000000000001E-4</v>
      </c>
      <c r="G2051" s="17">
        <f>F2051 * VLOOKUP('GASB Data'!A2051,Check!$A$2:$F$11,6,FALSE)</f>
        <v>598789.89280000003</v>
      </c>
    </row>
    <row r="2052" spans="1:7" x14ac:dyDescent="0.2">
      <c r="A2052">
        <v>2022</v>
      </c>
      <c r="B2052" s="3" t="s">
        <v>83</v>
      </c>
      <c r="C2052" s="3" t="s">
        <v>890</v>
      </c>
      <c r="D2052" s="3" t="s">
        <v>890</v>
      </c>
      <c r="E2052" s="8">
        <v>685543472</v>
      </c>
      <c r="F2052" s="2">
        <v>5.4356999999999999E-3</v>
      </c>
      <c r="G2052" s="17">
        <f>F2052 * VLOOKUP('GASB Data'!A2052,Check!$A$2:$F$11,6,FALSE)</f>
        <v>15013109.872199999</v>
      </c>
    </row>
    <row r="2053" spans="1:7" x14ac:dyDescent="0.2">
      <c r="A2053">
        <v>2022</v>
      </c>
      <c r="B2053" s="3" t="s">
        <v>84</v>
      </c>
      <c r="C2053" s="3" t="s">
        <v>891</v>
      </c>
      <c r="D2053" s="3" t="s">
        <v>891</v>
      </c>
      <c r="E2053" s="8">
        <v>2158270</v>
      </c>
      <c r="F2053" s="2">
        <v>1.7099999999999999E-5</v>
      </c>
      <c r="G2053" s="17">
        <f>F2053 * VLOOKUP('GASB Data'!A2053,Check!$A$2:$F$11,6,FALSE)</f>
        <v>47229.276599999997</v>
      </c>
    </row>
    <row r="2054" spans="1:7" x14ac:dyDescent="0.2">
      <c r="A2054">
        <v>2022</v>
      </c>
      <c r="B2054" s="3" t="s">
        <v>925</v>
      </c>
      <c r="C2054" s="3" t="s">
        <v>928</v>
      </c>
      <c r="D2054" s="3" t="s">
        <v>928</v>
      </c>
      <c r="E2054" s="8">
        <v>296139</v>
      </c>
      <c r="F2054" s="2">
        <v>2.3E-6</v>
      </c>
      <c r="G2054" s="17">
        <f>F2054 * VLOOKUP('GASB Data'!A2054,Check!$A$2:$F$11,6,FALSE)</f>
        <v>6352.4758000000002</v>
      </c>
    </row>
    <row r="2055" spans="1:7" x14ac:dyDescent="0.2">
      <c r="A2055">
        <v>2022</v>
      </c>
      <c r="B2055" s="3" t="s">
        <v>86</v>
      </c>
      <c r="C2055" s="3" t="s">
        <v>892</v>
      </c>
      <c r="D2055" s="3" t="s">
        <v>892</v>
      </c>
      <c r="E2055" s="8">
        <v>865708</v>
      </c>
      <c r="F2055" s="2">
        <v>6.9E-6</v>
      </c>
      <c r="G2055" s="17">
        <f>F2055 * VLOOKUP('GASB Data'!A2055,Check!$A$2:$F$11,6,FALSE)</f>
        <v>19057.4274</v>
      </c>
    </row>
    <row r="2056" spans="1:7" x14ac:dyDescent="0.2">
      <c r="A2056">
        <v>2022</v>
      </c>
      <c r="B2056" s="3" t="s">
        <v>87</v>
      </c>
      <c r="C2056" s="3" t="s">
        <v>929</v>
      </c>
      <c r="D2056" s="3" t="s">
        <v>929</v>
      </c>
      <c r="E2056" s="8">
        <v>3158574</v>
      </c>
      <c r="F2056" s="2">
        <v>2.5000000000000001E-5</v>
      </c>
      <c r="G2056" s="17">
        <f>F2056 * VLOOKUP('GASB Data'!A2056,Check!$A$2:$F$11,6,FALSE)</f>
        <v>69048.650000000009</v>
      </c>
    </row>
    <row r="2057" spans="1:7" x14ac:dyDescent="0.2">
      <c r="A2057">
        <v>2022</v>
      </c>
      <c r="B2057" s="3" t="s">
        <v>88</v>
      </c>
      <c r="C2057" s="3" t="s">
        <v>894</v>
      </c>
      <c r="D2057" s="3" t="s">
        <v>894</v>
      </c>
      <c r="E2057" s="8">
        <v>101226215</v>
      </c>
      <c r="F2057" s="2">
        <v>8.0259999999999999E-4</v>
      </c>
      <c r="G2057" s="17">
        <f>F2057 * VLOOKUP('GASB Data'!A2057,Check!$A$2:$F$11,6,FALSE)</f>
        <v>2216737.8596000001</v>
      </c>
    </row>
    <row r="2058" spans="1:7" x14ac:dyDescent="0.2">
      <c r="A2058">
        <v>2022</v>
      </c>
      <c r="B2058" s="3" t="s">
        <v>89</v>
      </c>
      <c r="C2058" s="3" t="s">
        <v>610</v>
      </c>
      <c r="D2058" s="3" t="s">
        <v>610</v>
      </c>
      <c r="E2058" s="8">
        <v>8912320766</v>
      </c>
      <c r="F2058" s="2">
        <v>7.0665500000000006E-2</v>
      </c>
      <c r="G2058" s="17">
        <f>F2058 * VLOOKUP('GASB Data'!A2058,Check!$A$2:$F$11,6,FALSE)</f>
        <v>195174295.06300002</v>
      </c>
    </row>
    <row r="2059" spans="1:7" x14ac:dyDescent="0.2">
      <c r="A2059">
        <v>2022</v>
      </c>
      <c r="B2059" s="3" t="s">
        <v>90</v>
      </c>
      <c r="C2059" s="3" t="s">
        <v>611</v>
      </c>
      <c r="D2059" s="3" t="s">
        <v>611</v>
      </c>
      <c r="E2059" s="8">
        <v>846699762</v>
      </c>
      <c r="F2059" s="2">
        <v>6.7134999999999998E-3</v>
      </c>
      <c r="G2059" s="17">
        <f>F2059 * VLOOKUP('GASB Data'!A2059,Check!$A$2:$F$11,6,FALSE)</f>
        <v>18542324.471000001</v>
      </c>
    </row>
    <row r="2060" spans="1:7" x14ac:dyDescent="0.2">
      <c r="A2060">
        <v>2022</v>
      </c>
      <c r="B2060" s="3" t="s">
        <v>91</v>
      </c>
      <c r="C2060" s="3" t="s">
        <v>895</v>
      </c>
      <c r="D2060" s="3" t="s">
        <v>895</v>
      </c>
      <c r="E2060" s="8">
        <v>120740791</v>
      </c>
      <c r="F2060" s="2">
        <v>9.5739999999999996E-4</v>
      </c>
      <c r="G2060" s="17">
        <f>F2060 * VLOOKUP('GASB Data'!A2060,Check!$A$2:$F$11,6,FALSE)</f>
        <v>2644287.1003999999</v>
      </c>
    </row>
    <row r="2061" spans="1:7" x14ac:dyDescent="0.2">
      <c r="A2061">
        <v>2022</v>
      </c>
      <c r="B2061" s="3" t="s">
        <v>92</v>
      </c>
      <c r="C2061" s="3" t="s">
        <v>613</v>
      </c>
      <c r="D2061" s="3" t="s">
        <v>613</v>
      </c>
      <c r="E2061" s="8">
        <v>1567575744</v>
      </c>
      <c r="F2061" s="2">
        <v>1.2429300000000001E-2</v>
      </c>
      <c r="G2061" s="17">
        <f>F2061 * VLOOKUP('GASB Data'!A2061,Check!$A$2:$F$11,6,FALSE)</f>
        <v>34329055.417800002</v>
      </c>
    </row>
    <row r="2062" spans="1:7" x14ac:dyDescent="0.2">
      <c r="A2062">
        <v>2022</v>
      </c>
      <c r="B2062" s="3" t="s">
        <v>93</v>
      </c>
      <c r="C2062" s="3" t="s">
        <v>614</v>
      </c>
      <c r="D2062" s="3" t="s">
        <v>614</v>
      </c>
      <c r="E2062" s="8">
        <v>131287559</v>
      </c>
      <c r="F2062" s="2">
        <v>1.041E-3</v>
      </c>
      <c r="G2062" s="17">
        <f>F2062 * VLOOKUP('GASB Data'!A2062,Check!$A$2:$F$11,6,FALSE)</f>
        <v>2875185.7860000003</v>
      </c>
    </row>
    <row r="2063" spans="1:7" x14ac:dyDescent="0.2">
      <c r="A2063">
        <v>2022</v>
      </c>
      <c r="B2063" s="3" t="s">
        <v>94</v>
      </c>
      <c r="C2063" s="3" t="s">
        <v>615</v>
      </c>
      <c r="D2063" s="3" t="s">
        <v>615</v>
      </c>
      <c r="E2063" s="8">
        <v>238835290</v>
      </c>
      <c r="F2063" s="2">
        <v>1.8936999999999999E-3</v>
      </c>
      <c r="G2063" s="17">
        <f>F2063 * VLOOKUP('GASB Data'!A2063,Check!$A$2:$F$11,6,FALSE)</f>
        <v>5230297.1401999993</v>
      </c>
    </row>
    <row r="2064" spans="1:7" x14ac:dyDescent="0.2">
      <c r="A2064">
        <v>2022</v>
      </c>
      <c r="B2064" s="3" t="s">
        <v>95</v>
      </c>
      <c r="C2064" s="3" t="s">
        <v>896</v>
      </c>
      <c r="D2064" s="3" t="s">
        <v>896</v>
      </c>
      <c r="E2064" s="8">
        <v>514575340</v>
      </c>
      <c r="F2064" s="2">
        <v>4.0800999999999997E-3</v>
      </c>
      <c r="G2064" s="17">
        <f>F2064 * VLOOKUP('GASB Data'!A2064,Check!$A$2:$F$11,6,FALSE)</f>
        <v>11269015.874599999</v>
      </c>
    </row>
    <row r="2065" spans="1:7" x14ac:dyDescent="0.2">
      <c r="A2065">
        <v>2022</v>
      </c>
      <c r="B2065" s="3" t="s">
        <v>96</v>
      </c>
      <c r="C2065" s="3" t="s">
        <v>897</v>
      </c>
      <c r="D2065" s="3" t="s">
        <v>897</v>
      </c>
      <c r="E2065" s="8">
        <v>420145254</v>
      </c>
      <c r="F2065" s="2">
        <v>3.3313000000000001E-3</v>
      </c>
      <c r="G2065" s="17">
        <f>F2065 * VLOOKUP('GASB Data'!A2065,Check!$A$2:$F$11,6,FALSE)</f>
        <v>9200870.7098000012</v>
      </c>
    </row>
    <row r="2066" spans="1:7" x14ac:dyDescent="0.2">
      <c r="A2066">
        <v>2022</v>
      </c>
      <c r="B2066" s="3" t="s">
        <v>97</v>
      </c>
      <c r="C2066" s="3" t="s">
        <v>618</v>
      </c>
      <c r="D2066" s="3" t="s">
        <v>618</v>
      </c>
      <c r="E2066" s="8">
        <v>660874448</v>
      </c>
      <c r="F2066" s="2">
        <v>5.2401000000000001E-3</v>
      </c>
      <c r="G2066" s="17">
        <f>F2066 * VLOOKUP('GASB Data'!A2066,Check!$A$2:$F$11,6,FALSE)</f>
        <v>14472873.2346</v>
      </c>
    </row>
    <row r="2067" spans="1:7" x14ac:dyDescent="0.2">
      <c r="A2067">
        <v>2022</v>
      </c>
      <c r="B2067" s="3" t="s">
        <v>98</v>
      </c>
      <c r="C2067" s="3" t="s">
        <v>898</v>
      </c>
      <c r="D2067" s="3" t="s">
        <v>898</v>
      </c>
      <c r="E2067" s="8">
        <v>240262672</v>
      </c>
      <c r="F2067" s="2">
        <v>1.905E-3</v>
      </c>
      <c r="G2067" s="17">
        <f>F2067 * VLOOKUP('GASB Data'!A2067,Check!$A$2:$F$11,6,FALSE)</f>
        <v>5261507.13</v>
      </c>
    </row>
    <row r="2068" spans="1:7" x14ac:dyDescent="0.2">
      <c r="A2068">
        <v>2022</v>
      </c>
      <c r="B2068" s="3" t="s">
        <v>99</v>
      </c>
      <c r="C2068" s="3" t="s">
        <v>899</v>
      </c>
      <c r="D2068" s="3" t="s">
        <v>899</v>
      </c>
      <c r="E2068" s="8">
        <v>2634787202</v>
      </c>
      <c r="F2068" s="2">
        <v>2.0891199999999999E-2</v>
      </c>
      <c r="G2068" s="17">
        <f>F2068 * VLOOKUP('GASB Data'!A2068,Check!$A$2:$F$11,6,FALSE)</f>
        <v>57700366.275199994</v>
      </c>
    </row>
    <row r="2069" spans="1:7" x14ac:dyDescent="0.2">
      <c r="A2069">
        <v>2022</v>
      </c>
      <c r="B2069" s="3" t="s">
        <v>100</v>
      </c>
      <c r="C2069" s="3" t="s">
        <v>621</v>
      </c>
      <c r="D2069" s="3" t="s">
        <v>621</v>
      </c>
      <c r="E2069" s="8">
        <v>3951424659</v>
      </c>
      <c r="F2069" s="2">
        <v>3.1330700000000003E-2</v>
      </c>
      <c r="G2069" s="17">
        <f>F2069 * VLOOKUP('GASB Data'!A2069,Check!$A$2:$F$11,6,FALSE)</f>
        <v>86533701.542200014</v>
      </c>
    </row>
    <row r="2070" spans="1:7" x14ac:dyDescent="0.2">
      <c r="A2070">
        <v>2022</v>
      </c>
      <c r="B2070" s="3" t="s">
        <v>101</v>
      </c>
      <c r="C2070" s="3" t="s">
        <v>622</v>
      </c>
      <c r="D2070" s="3" t="s">
        <v>622</v>
      </c>
      <c r="E2070" s="8">
        <v>159962110</v>
      </c>
      <c r="F2070" s="2">
        <v>1.2683E-3</v>
      </c>
      <c r="G2070" s="17">
        <f>F2070 * VLOOKUP('GASB Data'!A2070,Check!$A$2:$F$11,6,FALSE)</f>
        <v>3502976.1118000001</v>
      </c>
    </row>
    <row r="2071" spans="1:7" x14ac:dyDescent="0.2">
      <c r="A2071">
        <v>2022</v>
      </c>
      <c r="B2071" s="3" t="s">
        <v>633</v>
      </c>
      <c r="C2071" s="3" t="s">
        <v>623</v>
      </c>
      <c r="D2071" s="3" t="s">
        <v>623</v>
      </c>
      <c r="E2071" s="8">
        <v>20006691</v>
      </c>
      <c r="F2071" s="2">
        <v>1.5860000000000001E-4</v>
      </c>
      <c r="G2071" s="17">
        <f>F2071 * VLOOKUP('GASB Data'!A2071,Check!$A$2:$F$11,6,FALSE)</f>
        <v>438044.63560000004</v>
      </c>
    </row>
    <row r="2072" spans="1:7" x14ac:dyDescent="0.2">
      <c r="A2072">
        <v>2022</v>
      </c>
      <c r="B2072" s="3" t="s">
        <v>102</v>
      </c>
      <c r="C2072" s="3" t="s">
        <v>624</v>
      </c>
      <c r="D2072" s="3" t="s">
        <v>624</v>
      </c>
      <c r="E2072" s="8">
        <v>5004284782</v>
      </c>
      <c r="F2072" s="2">
        <v>3.96788E-2</v>
      </c>
      <c r="G2072" s="17">
        <f>F2072 * VLOOKUP('GASB Data'!A2072,Check!$A$2:$F$11,6,FALSE)</f>
        <v>109590702.9448</v>
      </c>
    </row>
    <row r="2073" spans="1:7" x14ac:dyDescent="0.2">
      <c r="A2073">
        <v>2022</v>
      </c>
      <c r="B2073" s="3" t="s">
        <v>103</v>
      </c>
      <c r="C2073" s="3" t="s">
        <v>625</v>
      </c>
      <c r="D2073" s="3" t="s">
        <v>625</v>
      </c>
      <c r="E2073" s="8">
        <v>22805655</v>
      </c>
      <c r="F2073" s="2">
        <v>1.808E-4</v>
      </c>
      <c r="G2073" s="17">
        <f>F2073 * VLOOKUP('GASB Data'!A2073,Check!$A$2:$F$11,6,FALSE)</f>
        <v>499359.83679999999</v>
      </c>
    </row>
    <row r="2074" spans="1:7" x14ac:dyDescent="0.2">
      <c r="A2074">
        <v>2022</v>
      </c>
      <c r="B2074" s="3" t="s">
        <v>104</v>
      </c>
      <c r="C2074" s="3" t="s">
        <v>626</v>
      </c>
      <c r="D2074" s="3" t="s">
        <v>626</v>
      </c>
      <c r="E2074" s="8">
        <v>425895399</v>
      </c>
      <c r="F2074" s="2">
        <v>3.3769E-3</v>
      </c>
      <c r="G2074" s="17">
        <f>F2074 * VLOOKUP('GASB Data'!A2074,Check!$A$2:$F$11,6,FALSE)</f>
        <v>9326815.4473999999</v>
      </c>
    </row>
    <row r="2075" spans="1:7" x14ac:dyDescent="0.2">
      <c r="A2075">
        <v>2022</v>
      </c>
      <c r="B2075" s="3" t="s">
        <v>105</v>
      </c>
      <c r="C2075" s="3" t="s">
        <v>627</v>
      </c>
      <c r="D2075" s="3" t="s">
        <v>627</v>
      </c>
      <c r="E2075" s="8">
        <v>218022790</v>
      </c>
      <c r="F2075" s="2">
        <v>1.7286999999999999E-3</v>
      </c>
      <c r="G2075" s="17">
        <f>F2075 * VLOOKUP('GASB Data'!A2075,Check!$A$2:$F$11,6,FALSE)</f>
        <v>4774576.0501999995</v>
      </c>
    </row>
    <row r="2076" spans="1:7" x14ac:dyDescent="0.2">
      <c r="A2076">
        <v>2022</v>
      </c>
      <c r="B2076" s="3" t="s">
        <v>106</v>
      </c>
      <c r="C2076" s="3" t="s">
        <v>628</v>
      </c>
      <c r="D2076" s="3" t="s">
        <v>628</v>
      </c>
      <c r="E2076" s="8">
        <v>474297095</v>
      </c>
      <c r="F2076" s="2">
        <v>3.7607000000000001E-3</v>
      </c>
      <c r="G2076" s="17">
        <f>F2076 * VLOOKUP('GASB Data'!A2076,Check!$A$2:$F$11,6,FALSE)</f>
        <v>10386850.3222</v>
      </c>
    </row>
    <row r="2077" spans="1:7" x14ac:dyDescent="0.2">
      <c r="A2077">
        <v>2022</v>
      </c>
      <c r="B2077" s="3" t="s">
        <v>107</v>
      </c>
      <c r="C2077" s="3" t="s">
        <v>629</v>
      </c>
      <c r="D2077" s="3" t="s">
        <v>629</v>
      </c>
      <c r="E2077" s="8">
        <v>132376805</v>
      </c>
      <c r="F2077" s="2">
        <v>1.0495999999999999E-3</v>
      </c>
      <c r="G2077" s="17">
        <f>F2077 * VLOOKUP('GASB Data'!A2077,Check!$A$2:$F$11,6,FALSE)</f>
        <v>2898938.5215999996</v>
      </c>
    </row>
    <row r="2078" spans="1:7" x14ac:dyDescent="0.2">
      <c r="A2078">
        <v>2022</v>
      </c>
      <c r="B2078" s="3" t="s">
        <v>108</v>
      </c>
      <c r="C2078" s="3" t="s">
        <v>630</v>
      </c>
      <c r="D2078" s="3" t="s">
        <v>630</v>
      </c>
      <c r="E2078" s="8">
        <v>884203343</v>
      </c>
      <c r="F2078" s="2">
        <v>7.0108000000000002E-3</v>
      </c>
      <c r="G2078" s="17">
        <f>F2078 * VLOOKUP('GASB Data'!A2078,Check!$A$2:$F$11,6,FALSE)</f>
        <v>19363451.016800001</v>
      </c>
    </row>
    <row r="2079" spans="1:7" x14ac:dyDescent="0.2">
      <c r="A2079">
        <v>2022</v>
      </c>
      <c r="B2079" s="3" t="s">
        <v>109</v>
      </c>
      <c r="C2079" s="3" t="s">
        <v>631</v>
      </c>
      <c r="D2079" s="3" t="s">
        <v>631</v>
      </c>
      <c r="E2079" s="8">
        <v>557239923</v>
      </c>
      <c r="F2079" s="2">
        <v>4.4183E-3</v>
      </c>
      <c r="G2079" s="17">
        <f>F2079 * VLOOKUP('GASB Data'!A2079,Check!$A$2:$F$11,6,FALSE)</f>
        <v>12203106.0118</v>
      </c>
    </row>
    <row r="2080" spans="1:7" x14ac:dyDescent="0.2">
      <c r="A2080">
        <v>2022</v>
      </c>
      <c r="B2080" s="3" t="s">
        <v>110</v>
      </c>
      <c r="C2080" s="3" t="s">
        <v>634</v>
      </c>
      <c r="D2080" s="3" t="s">
        <v>634</v>
      </c>
      <c r="E2080" s="8">
        <v>102764221</v>
      </c>
      <c r="F2080" s="2">
        <v>8.1479999999999996E-4</v>
      </c>
      <c r="G2080" s="17">
        <f>F2080 * VLOOKUP('GASB Data'!A2080,Check!$A$2:$F$11,6,FALSE)</f>
        <v>2250433.6008000001</v>
      </c>
    </row>
    <row r="2081" spans="1:7" x14ac:dyDescent="0.2">
      <c r="A2081">
        <v>2022</v>
      </c>
      <c r="B2081" s="3" t="s">
        <v>111</v>
      </c>
      <c r="C2081" s="3" t="s">
        <v>635</v>
      </c>
      <c r="D2081" s="3" t="s">
        <v>635</v>
      </c>
      <c r="E2081" s="8">
        <v>1108368055</v>
      </c>
      <c r="F2081" s="2">
        <v>8.7881999999999995E-3</v>
      </c>
      <c r="G2081" s="17">
        <f>F2081 * VLOOKUP('GASB Data'!A2081,Check!$A$2:$F$11,6,FALSE)</f>
        <v>24272533.837199997</v>
      </c>
    </row>
    <row r="2082" spans="1:7" x14ac:dyDescent="0.2">
      <c r="A2082">
        <v>2022</v>
      </c>
      <c r="B2082" s="3" t="s">
        <v>166</v>
      </c>
      <c r="C2082" s="3" t="s">
        <v>636</v>
      </c>
      <c r="D2082" s="3" t="s">
        <v>636</v>
      </c>
      <c r="E2082" s="8">
        <v>23870982</v>
      </c>
      <c r="F2082" s="2">
        <v>1.8929999999999999E-4</v>
      </c>
      <c r="G2082" s="17">
        <f>F2082 * VLOOKUP('GASB Data'!A2082,Check!$A$2:$F$11,6,FALSE)</f>
        <v>522836.37779999996</v>
      </c>
    </row>
    <row r="2083" spans="1:7" x14ac:dyDescent="0.2">
      <c r="A2083">
        <v>2022</v>
      </c>
      <c r="B2083" s="3" t="s">
        <v>167</v>
      </c>
      <c r="C2083" s="3" t="s">
        <v>637</v>
      </c>
      <c r="D2083" s="3" t="s">
        <v>637</v>
      </c>
      <c r="E2083" s="8">
        <v>28927647</v>
      </c>
      <c r="F2083" s="2">
        <v>2.2939999999999999E-4</v>
      </c>
      <c r="G2083" s="17">
        <f>F2083 * VLOOKUP('GASB Data'!A2083,Check!$A$2:$F$11,6,FALSE)</f>
        <v>633590.41240000003</v>
      </c>
    </row>
    <row r="2084" spans="1:7" x14ac:dyDescent="0.2">
      <c r="A2084">
        <v>2022</v>
      </c>
      <c r="B2084" s="3" t="s">
        <v>168</v>
      </c>
      <c r="C2084" s="3" t="s">
        <v>638</v>
      </c>
      <c r="D2084" s="3" t="s">
        <v>638</v>
      </c>
      <c r="E2084" s="8">
        <v>23353789</v>
      </c>
      <c r="F2084" s="2">
        <v>1.852E-4</v>
      </c>
      <c r="G2084" s="17">
        <f>F2084 * VLOOKUP('GASB Data'!A2084,Check!$A$2:$F$11,6,FALSE)</f>
        <v>511512.39919999999</v>
      </c>
    </row>
    <row r="2085" spans="1:7" x14ac:dyDescent="0.2">
      <c r="A2085">
        <v>2022</v>
      </c>
      <c r="B2085" s="3" t="s">
        <v>169</v>
      </c>
      <c r="C2085" s="3" t="s">
        <v>639</v>
      </c>
      <c r="D2085" s="3" t="s">
        <v>639</v>
      </c>
      <c r="E2085" s="8">
        <v>104152176</v>
      </c>
      <c r="F2085" s="2">
        <v>8.2580000000000001E-4</v>
      </c>
      <c r="G2085" s="17">
        <f>F2085 * VLOOKUP('GASB Data'!A2085,Check!$A$2:$F$11,6,FALSE)</f>
        <v>2280815.0068000001</v>
      </c>
    </row>
    <row r="2086" spans="1:7" x14ac:dyDescent="0.2">
      <c r="A2086">
        <v>2022</v>
      </c>
      <c r="B2086" s="3" t="s">
        <v>170</v>
      </c>
      <c r="C2086" s="3" t="s">
        <v>640</v>
      </c>
      <c r="D2086" s="3" t="s">
        <v>640</v>
      </c>
      <c r="E2086" s="8">
        <v>246437361</v>
      </c>
      <c r="F2086" s="2">
        <v>1.954E-3</v>
      </c>
      <c r="G2086" s="17">
        <f>F2086 * VLOOKUP('GASB Data'!A2086,Check!$A$2:$F$11,6,FALSE)</f>
        <v>5396842.4840000002</v>
      </c>
    </row>
    <row r="2087" spans="1:7" x14ac:dyDescent="0.2">
      <c r="A2087">
        <v>2022</v>
      </c>
      <c r="B2087" s="3" t="s">
        <v>171</v>
      </c>
      <c r="C2087" s="3" t="s">
        <v>641</v>
      </c>
      <c r="D2087" s="3" t="s">
        <v>641</v>
      </c>
      <c r="E2087" s="8">
        <v>76684486</v>
      </c>
      <c r="F2087" s="2">
        <v>6.0800000000000003E-4</v>
      </c>
      <c r="G2087" s="17">
        <f>F2087 * VLOOKUP('GASB Data'!A2087,Check!$A$2:$F$11,6,FALSE)</f>
        <v>1679263.1680000001</v>
      </c>
    </row>
    <row r="2088" spans="1:7" x14ac:dyDescent="0.2">
      <c r="A2088">
        <v>2022</v>
      </c>
      <c r="B2088" s="3" t="s">
        <v>172</v>
      </c>
      <c r="C2088" s="3" t="s">
        <v>642</v>
      </c>
      <c r="D2088" s="3" t="s">
        <v>642</v>
      </c>
      <c r="E2088" s="8">
        <v>145831903</v>
      </c>
      <c r="F2088" s="2">
        <v>1.1563000000000001E-3</v>
      </c>
      <c r="G2088" s="17">
        <f>F2088 * VLOOKUP('GASB Data'!A2088,Check!$A$2:$F$11,6,FALSE)</f>
        <v>3193638.1598</v>
      </c>
    </row>
    <row r="2089" spans="1:7" x14ac:dyDescent="0.2">
      <c r="A2089">
        <v>2022</v>
      </c>
      <c r="B2089" s="3" t="s">
        <v>173</v>
      </c>
      <c r="C2089" s="3" t="s">
        <v>643</v>
      </c>
      <c r="D2089" s="3" t="s">
        <v>643</v>
      </c>
      <c r="E2089" s="8">
        <v>93329972</v>
      </c>
      <c r="F2089" s="2">
        <v>7.3999999999999999E-4</v>
      </c>
      <c r="G2089" s="17">
        <f>F2089 * VLOOKUP('GASB Data'!A2089,Check!$A$2:$F$11,6,FALSE)</f>
        <v>2043840.04</v>
      </c>
    </row>
    <row r="2090" spans="1:7" x14ac:dyDescent="0.2">
      <c r="A2090">
        <v>2022</v>
      </c>
      <c r="B2090" s="3" t="s">
        <v>174</v>
      </c>
      <c r="C2090" s="3" t="s">
        <v>644</v>
      </c>
      <c r="D2090" s="3" t="s">
        <v>644</v>
      </c>
      <c r="E2090" s="8">
        <v>143473447</v>
      </c>
      <c r="F2090" s="2">
        <v>1.1375999999999999E-3</v>
      </c>
      <c r="G2090" s="17">
        <f>F2090 * VLOOKUP('GASB Data'!A2090,Check!$A$2:$F$11,6,FALSE)</f>
        <v>3141989.7695999998</v>
      </c>
    </row>
    <row r="2091" spans="1:7" x14ac:dyDescent="0.2">
      <c r="A2091">
        <v>2022</v>
      </c>
      <c r="B2091" s="3" t="s">
        <v>175</v>
      </c>
      <c r="C2091" s="3" t="s">
        <v>645</v>
      </c>
      <c r="D2091" s="3" t="s">
        <v>645</v>
      </c>
      <c r="E2091" s="8">
        <v>116069684</v>
      </c>
      <c r="F2091" s="2">
        <v>9.2029999999999998E-4</v>
      </c>
      <c r="G2091" s="17">
        <f>F2091 * VLOOKUP('GASB Data'!A2091,Check!$A$2:$F$11,6,FALSE)</f>
        <v>2541818.9038</v>
      </c>
    </row>
    <row r="2092" spans="1:7" x14ac:dyDescent="0.2">
      <c r="A2092">
        <v>2022</v>
      </c>
      <c r="B2092" s="3" t="s">
        <v>177</v>
      </c>
      <c r="C2092" s="3" t="s">
        <v>647</v>
      </c>
      <c r="D2092" s="3" t="s">
        <v>647</v>
      </c>
      <c r="E2092" s="8">
        <v>334253287</v>
      </c>
      <c r="F2092" s="2">
        <v>2.6503E-3</v>
      </c>
      <c r="G2092" s="17">
        <f>F2092 * VLOOKUP('GASB Data'!A2092,Check!$A$2:$F$11,6,FALSE)</f>
        <v>7319985.4837999996</v>
      </c>
    </row>
    <row r="2093" spans="1:7" x14ac:dyDescent="0.2">
      <c r="A2093">
        <v>2022</v>
      </c>
      <c r="B2093" s="3" t="s">
        <v>178</v>
      </c>
      <c r="C2093" s="3" t="s">
        <v>648</v>
      </c>
      <c r="D2093" s="3" t="s">
        <v>648</v>
      </c>
      <c r="E2093" s="8">
        <v>61431463</v>
      </c>
      <c r="F2093" s="2">
        <v>4.8710000000000002E-4</v>
      </c>
      <c r="G2093" s="17">
        <f>F2093 * VLOOKUP('GASB Data'!A2093,Check!$A$2:$F$11,6,FALSE)</f>
        <v>1345343.8966000001</v>
      </c>
    </row>
    <row r="2094" spans="1:7" x14ac:dyDescent="0.2">
      <c r="A2094">
        <v>2022</v>
      </c>
      <c r="B2094" s="3" t="s">
        <v>179</v>
      </c>
      <c r="C2094" s="3" t="s">
        <v>649</v>
      </c>
      <c r="D2094" s="3" t="s">
        <v>649</v>
      </c>
      <c r="E2094" s="8">
        <v>90114964</v>
      </c>
      <c r="F2094" s="2">
        <v>7.1449999999999997E-4</v>
      </c>
      <c r="G2094" s="17">
        <f>F2094 * VLOOKUP('GASB Data'!A2094,Check!$A$2:$F$11,6,FALSE)</f>
        <v>1973410.4169999999</v>
      </c>
    </row>
    <row r="2095" spans="1:7" x14ac:dyDescent="0.2">
      <c r="A2095">
        <v>2022</v>
      </c>
      <c r="B2095" s="3" t="s">
        <v>180</v>
      </c>
      <c r="C2095" s="3" t="s">
        <v>650</v>
      </c>
      <c r="D2095" s="3" t="s">
        <v>650</v>
      </c>
      <c r="E2095" s="8">
        <v>184972376</v>
      </c>
      <c r="F2095" s="2">
        <v>1.4666E-3</v>
      </c>
      <c r="G2095" s="17">
        <f>F2095 * VLOOKUP('GASB Data'!A2095,Check!$A$2:$F$11,6,FALSE)</f>
        <v>4050670.0035999999</v>
      </c>
    </row>
    <row r="2096" spans="1:7" x14ac:dyDescent="0.2">
      <c r="A2096">
        <v>2022</v>
      </c>
      <c r="B2096" s="3" t="s">
        <v>181</v>
      </c>
      <c r="C2096" s="3" t="s">
        <v>651</v>
      </c>
      <c r="D2096" s="3" t="s">
        <v>651</v>
      </c>
      <c r="E2096" s="8">
        <v>36783598</v>
      </c>
      <c r="F2096" s="2">
        <v>2.9169999999999999E-4</v>
      </c>
      <c r="G2096" s="17">
        <f>F2096 * VLOOKUP('GASB Data'!A2096,Check!$A$2:$F$11,6,FALSE)</f>
        <v>805659.64819999994</v>
      </c>
    </row>
    <row r="2097" spans="1:7" x14ac:dyDescent="0.2">
      <c r="A2097">
        <v>2022</v>
      </c>
      <c r="B2097" s="3" t="s">
        <v>182</v>
      </c>
      <c r="C2097" s="3" t="s">
        <v>652</v>
      </c>
      <c r="D2097" s="3" t="s">
        <v>652</v>
      </c>
      <c r="E2097" s="8">
        <v>619607995</v>
      </c>
      <c r="F2097" s="2">
        <v>4.9129000000000004E-3</v>
      </c>
      <c r="G2097" s="17">
        <f>F2097 * VLOOKUP('GASB Data'!A2097,Check!$A$2:$F$11,6,FALSE)</f>
        <v>13569164.503400002</v>
      </c>
    </row>
    <row r="2098" spans="1:7" x14ac:dyDescent="0.2">
      <c r="A2098">
        <v>2022</v>
      </c>
      <c r="B2098" s="3" t="s">
        <v>183</v>
      </c>
      <c r="C2098" s="3" t="s">
        <v>653</v>
      </c>
      <c r="D2098" s="3" t="s">
        <v>653</v>
      </c>
      <c r="E2098" s="8">
        <v>58009831</v>
      </c>
      <c r="F2098" s="2">
        <v>4.6000000000000001E-4</v>
      </c>
      <c r="G2098" s="17">
        <f>F2098 * VLOOKUP('GASB Data'!A2098,Check!$A$2:$F$11,6,FALSE)</f>
        <v>1270495.1600000001</v>
      </c>
    </row>
    <row r="2099" spans="1:7" x14ac:dyDescent="0.2">
      <c r="A2099">
        <v>2022</v>
      </c>
      <c r="B2099" s="3" t="s">
        <v>184</v>
      </c>
      <c r="C2099" s="3" t="s">
        <v>654</v>
      </c>
      <c r="D2099" s="3" t="s">
        <v>654</v>
      </c>
      <c r="E2099" s="8">
        <v>1217343267</v>
      </c>
      <c r="F2099" s="2">
        <v>9.6523000000000008E-3</v>
      </c>
      <c r="G2099" s="17">
        <f>F2099 * VLOOKUP('GASB Data'!A2099,Check!$A$2:$F$11,6,FALSE)</f>
        <v>26659131.375800002</v>
      </c>
    </row>
    <row r="2100" spans="1:7" x14ac:dyDescent="0.2">
      <c r="A2100">
        <v>2022</v>
      </c>
      <c r="B2100" s="3" t="s">
        <v>185</v>
      </c>
      <c r="C2100" s="3" t="s">
        <v>900</v>
      </c>
      <c r="D2100" s="3" t="s">
        <v>900</v>
      </c>
      <c r="E2100" s="8">
        <v>7488419</v>
      </c>
      <c r="F2100" s="2">
        <v>5.94E-5</v>
      </c>
      <c r="G2100" s="17">
        <f>F2100 * VLOOKUP('GASB Data'!A2100,Check!$A$2:$F$11,6,FALSE)</f>
        <v>164059.59239999999</v>
      </c>
    </row>
    <row r="2101" spans="1:7" x14ac:dyDescent="0.2">
      <c r="A2101">
        <v>2022</v>
      </c>
      <c r="B2101" s="3" t="s">
        <v>186</v>
      </c>
      <c r="C2101" s="3" t="s">
        <v>656</v>
      </c>
      <c r="D2101" s="3" t="s">
        <v>656</v>
      </c>
      <c r="E2101" s="8">
        <v>22610630</v>
      </c>
      <c r="F2101" s="2">
        <v>1.7929999999999999E-4</v>
      </c>
      <c r="G2101" s="17">
        <f>F2101 * VLOOKUP('GASB Data'!A2101,Check!$A$2:$F$11,6,FALSE)</f>
        <v>495216.9178</v>
      </c>
    </row>
    <row r="2102" spans="1:7" x14ac:dyDescent="0.2">
      <c r="A2102">
        <v>2022</v>
      </c>
      <c r="B2102" s="3" t="s">
        <v>187</v>
      </c>
      <c r="C2102" s="3" t="s">
        <v>657</v>
      </c>
      <c r="D2102" s="3" t="s">
        <v>657</v>
      </c>
      <c r="E2102" s="8">
        <v>187774620</v>
      </c>
      <c r="F2102" s="2">
        <v>1.4889E-3</v>
      </c>
      <c r="G2102" s="17">
        <f>F2102 * VLOOKUP('GASB Data'!A2102,Check!$A$2:$F$11,6,FALSE)</f>
        <v>4112261.3994</v>
      </c>
    </row>
    <row r="2103" spans="1:7" x14ac:dyDescent="0.2">
      <c r="A2103">
        <v>2022</v>
      </c>
      <c r="B2103" s="3" t="s">
        <v>188</v>
      </c>
      <c r="C2103" s="3" t="s">
        <v>658</v>
      </c>
      <c r="D2103" s="3" t="s">
        <v>658</v>
      </c>
      <c r="E2103" s="8">
        <v>284728963</v>
      </c>
      <c r="F2103" s="2">
        <v>2.2575999999999998E-3</v>
      </c>
      <c r="G2103" s="17">
        <f>F2103 * VLOOKUP('GASB Data'!A2103,Check!$A$2:$F$11,6,FALSE)</f>
        <v>6235369.2895999998</v>
      </c>
    </row>
    <row r="2104" spans="1:7" x14ac:dyDescent="0.2">
      <c r="A2104">
        <v>2022</v>
      </c>
      <c r="B2104" s="3" t="s">
        <v>189</v>
      </c>
      <c r="C2104" s="3" t="s">
        <v>659</v>
      </c>
      <c r="D2104" s="3" t="s">
        <v>659</v>
      </c>
      <c r="E2104" s="8">
        <v>531422516</v>
      </c>
      <c r="F2104" s="2">
        <v>4.2135999999999996E-3</v>
      </c>
      <c r="G2104" s="17">
        <f>F2104 * VLOOKUP('GASB Data'!A2104,Check!$A$2:$F$11,6,FALSE)</f>
        <v>11637735.665599998</v>
      </c>
    </row>
    <row r="2105" spans="1:7" x14ac:dyDescent="0.2">
      <c r="A2105">
        <v>2022</v>
      </c>
      <c r="B2105" s="3" t="s">
        <v>190</v>
      </c>
      <c r="C2105" s="3" t="s">
        <v>901</v>
      </c>
      <c r="D2105" s="3" t="s">
        <v>901</v>
      </c>
      <c r="E2105" s="8">
        <v>59745059</v>
      </c>
      <c r="F2105" s="2">
        <v>4.7370000000000002E-4</v>
      </c>
      <c r="G2105" s="17">
        <f>F2105 * VLOOKUP('GASB Data'!A2105,Check!$A$2:$F$11,6,FALSE)</f>
        <v>1308333.8202</v>
      </c>
    </row>
    <row r="2106" spans="1:7" x14ac:dyDescent="0.2">
      <c r="A2106">
        <v>2022</v>
      </c>
      <c r="B2106" s="3" t="s">
        <v>191</v>
      </c>
      <c r="C2106" s="3" t="s">
        <v>661</v>
      </c>
      <c r="D2106" s="3" t="s">
        <v>661</v>
      </c>
      <c r="E2106" s="8">
        <v>1603459624</v>
      </c>
      <c r="F2106" s="2">
        <v>1.2713800000000001E-2</v>
      </c>
      <c r="G2106" s="17">
        <f>F2106 * VLOOKUP('GASB Data'!A2106,Check!$A$2:$F$11,6,FALSE)</f>
        <v>35114829.054800004</v>
      </c>
    </row>
    <row r="2107" spans="1:7" x14ac:dyDescent="0.2">
      <c r="A2107">
        <v>2022</v>
      </c>
      <c r="B2107" s="3" t="s">
        <v>192</v>
      </c>
      <c r="C2107" s="3" t="s">
        <v>662</v>
      </c>
      <c r="D2107" s="3" t="s">
        <v>662</v>
      </c>
      <c r="E2107" s="8">
        <v>28626755</v>
      </c>
      <c r="F2107" s="2">
        <v>2.2699999999999999E-4</v>
      </c>
      <c r="G2107" s="17">
        <f>F2107 * VLOOKUP('GASB Data'!A2107,Check!$A$2:$F$11,6,FALSE)</f>
        <v>626961.74199999997</v>
      </c>
    </row>
    <row r="2108" spans="1:7" x14ac:dyDescent="0.2">
      <c r="A2108">
        <v>2022</v>
      </c>
      <c r="B2108" s="3" t="s">
        <v>193</v>
      </c>
      <c r="C2108" s="3" t="s">
        <v>663</v>
      </c>
      <c r="D2108" s="3" t="s">
        <v>663</v>
      </c>
      <c r="E2108" s="8">
        <v>259567515</v>
      </c>
      <c r="F2108" s="2">
        <v>2.0581000000000002E-3</v>
      </c>
      <c r="G2108" s="17">
        <f>F2108 * VLOOKUP('GASB Data'!A2108,Check!$A$2:$F$11,6,FALSE)</f>
        <v>5684361.0626000008</v>
      </c>
    </row>
    <row r="2109" spans="1:7" x14ac:dyDescent="0.2">
      <c r="A2109">
        <v>2022</v>
      </c>
      <c r="B2109" s="3" t="s">
        <v>194</v>
      </c>
      <c r="C2109" s="3" t="s">
        <v>664</v>
      </c>
      <c r="D2109" s="3" t="s">
        <v>664</v>
      </c>
      <c r="E2109" s="8">
        <v>512824039</v>
      </c>
      <c r="F2109" s="2">
        <v>4.0661999999999998E-3</v>
      </c>
      <c r="G2109" s="17">
        <f>F2109 * VLOOKUP('GASB Data'!A2109,Check!$A$2:$F$11,6,FALSE)</f>
        <v>11230624.825199999</v>
      </c>
    </row>
    <row r="2110" spans="1:7" x14ac:dyDescent="0.2">
      <c r="A2110">
        <v>2022</v>
      </c>
      <c r="B2110" s="3" t="s">
        <v>195</v>
      </c>
      <c r="C2110" s="3" t="s">
        <v>665</v>
      </c>
      <c r="D2110" s="3" t="s">
        <v>665</v>
      </c>
      <c r="E2110" s="8">
        <v>114316589</v>
      </c>
      <c r="F2110" s="2">
        <v>9.0640000000000002E-4</v>
      </c>
      <c r="G2110" s="17">
        <f>F2110 * VLOOKUP('GASB Data'!A2110,Check!$A$2:$F$11,6,FALSE)</f>
        <v>2503427.8544000001</v>
      </c>
    </row>
    <row r="2111" spans="1:7" x14ac:dyDescent="0.2">
      <c r="A2111">
        <v>2022</v>
      </c>
      <c r="B2111" s="3" t="s">
        <v>196</v>
      </c>
      <c r="C2111" s="3" t="s">
        <v>666</v>
      </c>
      <c r="D2111" s="3" t="s">
        <v>666</v>
      </c>
      <c r="E2111" s="8">
        <v>97372771</v>
      </c>
      <c r="F2111" s="2">
        <v>7.7209999999999996E-4</v>
      </c>
      <c r="G2111" s="17">
        <f>F2111 * VLOOKUP('GASB Data'!A2111,Check!$A$2:$F$11,6,FALSE)</f>
        <v>2132498.5066</v>
      </c>
    </row>
    <row r="2112" spans="1:7" x14ac:dyDescent="0.2">
      <c r="A2112">
        <v>2022</v>
      </c>
      <c r="B2112" s="3" t="s">
        <v>197</v>
      </c>
      <c r="C2112" s="3" t="s">
        <v>667</v>
      </c>
      <c r="D2112" s="3" t="s">
        <v>667</v>
      </c>
      <c r="E2112" s="8">
        <v>431021929</v>
      </c>
      <c r="F2112" s="2">
        <v>3.4175999999999998E-3</v>
      </c>
      <c r="G2112" s="17">
        <f>F2112 * VLOOKUP('GASB Data'!A2112,Check!$A$2:$F$11,6,FALSE)</f>
        <v>9439226.6495999992</v>
      </c>
    </row>
    <row r="2113" spans="1:7" x14ac:dyDescent="0.2">
      <c r="A2113">
        <v>2022</v>
      </c>
      <c r="B2113" s="3" t="s">
        <v>198</v>
      </c>
      <c r="C2113" s="3" t="s">
        <v>668</v>
      </c>
      <c r="D2113" s="3" t="s">
        <v>668</v>
      </c>
      <c r="E2113" s="8">
        <v>62863407</v>
      </c>
      <c r="F2113" s="2">
        <v>4.9839999999999997E-4</v>
      </c>
      <c r="G2113" s="17">
        <f>F2113 * VLOOKUP('GASB Data'!A2113,Check!$A$2:$F$11,6,FALSE)</f>
        <v>1376553.8864</v>
      </c>
    </row>
    <row r="2114" spans="1:7" x14ac:dyDescent="0.2">
      <c r="A2114">
        <v>2022</v>
      </c>
      <c r="B2114" s="3" t="s">
        <v>199</v>
      </c>
      <c r="C2114" s="3" t="s">
        <v>669</v>
      </c>
      <c r="D2114" s="3" t="s">
        <v>669</v>
      </c>
      <c r="E2114" s="8">
        <v>107100740</v>
      </c>
      <c r="F2114" s="2">
        <v>8.4920000000000004E-4</v>
      </c>
      <c r="G2114" s="17">
        <f>F2114 * VLOOKUP('GASB Data'!A2114,Check!$A$2:$F$11,6,FALSE)</f>
        <v>2345444.5432000002</v>
      </c>
    </row>
    <row r="2115" spans="1:7" x14ac:dyDescent="0.2">
      <c r="A2115">
        <v>2022</v>
      </c>
      <c r="B2115" s="3" t="s">
        <v>200</v>
      </c>
      <c r="C2115" s="3" t="s">
        <v>670</v>
      </c>
      <c r="D2115" s="3" t="s">
        <v>670</v>
      </c>
      <c r="E2115" s="8">
        <v>723613594</v>
      </c>
      <c r="F2115" s="2">
        <v>5.7375000000000004E-3</v>
      </c>
      <c r="G2115" s="17">
        <f>F2115 * VLOOKUP('GASB Data'!A2115,Check!$A$2:$F$11,6,FALSE)</f>
        <v>15846665.175000001</v>
      </c>
    </row>
    <row r="2116" spans="1:7" x14ac:dyDescent="0.2">
      <c r="A2116">
        <v>2022</v>
      </c>
      <c r="B2116" s="3" t="s">
        <v>201</v>
      </c>
      <c r="C2116" s="3" t="s">
        <v>671</v>
      </c>
      <c r="D2116" s="3" t="s">
        <v>671</v>
      </c>
      <c r="E2116" s="8">
        <v>158224659</v>
      </c>
      <c r="F2116" s="2">
        <v>1.2546E-3</v>
      </c>
      <c r="G2116" s="17">
        <f>F2116 * VLOOKUP('GASB Data'!A2116,Check!$A$2:$F$11,6,FALSE)</f>
        <v>3465137.4516000003</v>
      </c>
    </row>
    <row r="2117" spans="1:7" x14ac:dyDescent="0.2">
      <c r="A2117">
        <v>2022</v>
      </c>
      <c r="B2117" s="3" t="s">
        <v>202</v>
      </c>
      <c r="C2117" s="3" t="s">
        <v>672</v>
      </c>
      <c r="D2117" s="3" t="s">
        <v>672</v>
      </c>
      <c r="E2117" s="8">
        <v>177254749</v>
      </c>
      <c r="F2117" s="2">
        <v>1.4054E-3</v>
      </c>
      <c r="G2117" s="17">
        <f>F2117 * VLOOKUP('GASB Data'!A2117,Check!$A$2:$F$11,6,FALSE)</f>
        <v>3881638.9084000001</v>
      </c>
    </row>
    <row r="2118" spans="1:7" x14ac:dyDescent="0.2">
      <c r="A2118">
        <v>2022</v>
      </c>
      <c r="B2118" s="3" t="s">
        <v>203</v>
      </c>
      <c r="C2118" s="3" t="s">
        <v>673</v>
      </c>
      <c r="D2118" s="3" t="s">
        <v>673</v>
      </c>
      <c r="E2118" s="8">
        <v>148933893</v>
      </c>
      <c r="F2118" s="2">
        <v>1.1808999999999999E-3</v>
      </c>
      <c r="G2118" s="17">
        <f>F2118 * VLOOKUP('GASB Data'!A2118,Check!$A$2:$F$11,6,FALSE)</f>
        <v>3261582.0313999997</v>
      </c>
    </row>
    <row r="2119" spans="1:7" x14ac:dyDescent="0.2">
      <c r="A2119">
        <v>2022</v>
      </c>
      <c r="B2119" s="3" t="s">
        <v>204</v>
      </c>
      <c r="C2119" s="3" t="s">
        <v>674</v>
      </c>
      <c r="D2119" s="3" t="s">
        <v>674</v>
      </c>
      <c r="E2119" s="8">
        <v>476093079</v>
      </c>
      <c r="F2119" s="2">
        <v>3.7748999999999999E-3</v>
      </c>
      <c r="G2119" s="17">
        <f>F2119 * VLOOKUP('GASB Data'!A2119,Check!$A$2:$F$11,6,FALSE)</f>
        <v>10426069.955399999</v>
      </c>
    </row>
    <row r="2120" spans="1:7" x14ac:dyDescent="0.2">
      <c r="A2120">
        <v>2022</v>
      </c>
      <c r="B2120" s="3" t="s">
        <v>205</v>
      </c>
      <c r="C2120" s="3" t="s">
        <v>675</v>
      </c>
      <c r="D2120" s="3" t="s">
        <v>675</v>
      </c>
      <c r="E2120" s="8">
        <v>175382583</v>
      </c>
      <c r="F2120" s="2">
        <v>1.3906000000000001E-3</v>
      </c>
      <c r="G2120" s="17">
        <f>F2120 * VLOOKUP('GASB Data'!A2120,Check!$A$2:$F$11,6,FALSE)</f>
        <v>3840762.1076000002</v>
      </c>
    </row>
    <row r="2121" spans="1:7" x14ac:dyDescent="0.2">
      <c r="A2121">
        <v>2022</v>
      </c>
      <c r="B2121" s="3" t="s">
        <v>206</v>
      </c>
      <c r="C2121" s="3" t="s">
        <v>676</v>
      </c>
      <c r="D2121" s="3" t="s">
        <v>676</v>
      </c>
      <c r="E2121" s="8">
        <v>45339116</v>
      </c>
      <c r="F2121" s="2">
        <v>3.5950000000000001E-4</v>
      </c>
      <c r="G2121" s="17">
        <f>F2121 * VLOOKUP('GASB Data'!A2121,Check!$A$2:$F$11,6,FALSE)</f>
        <v>992919.58700000006</v>
      </c>
    </row>
    <row r="2122" spans="1:7" x14ac:dyDescent="0.2">
      <c r="A2122">
        <v>2022</v>
      </c>
      <c r="B2122" s="3" t="s">
        <v>207</v>
      </c>
      <c r="C2122" s="3" t="s">
        <v>677</v>
      </c>
      <c r="D2122" s="3" t="s">
        <v>677</v>
      </c>
      <c r="E2122" s="8">
        <v>98350154</v>
      </c>
      <c r="F2122" s="2">
        <v>7.7979999999999998E-4</v>
      </c>
      <c r="G2122" s="17">
        <f>F2122 * VLOOKUP('GASB Data'!A2122,Check!$A$2:$F$11,6,FALSE)</f>
        <v>2153765.4907999998</v>
      </c>
    </row>
    <row r="2123" spans="1:7" x14ac:dyDescent="0.2">
      <c r="A2123">
        <v>2022</v>
      </c>
      <c r="B2123" s="3" t="s">
        <v>208</v>
      </c>
      <c r="C2123" s="3" t="s">
        <v>678</v>
      </c>
      <c r="D2123" s="3" t="s">
        <v>678</v>
      </c>
      <c r="E2123" s="8">
        <v>71863480</v>
      </c>
      <c r="F2123" s="2">
        <v>5.6979999999999997E-4</v>
      </c>
      <c r="G2123" s="17">
        <f>F2123 * VLOOKUP('GASB Data'!A2123,Check!$A$2:$F$11,6,FALSE)</f>
        <v>1573756.8307999999</v>
      </c>
    </row>
    <row r="2124" spans="1:7" x14ac:dyDescent="0.2">
      <c r="A2124">
        <v>2022</v>
      </c>
      <c r="B2124" s="3" t="s">
        <v>209</v>
      </c>
      <c r="C2124" s="3" t="s">
        <v>679</v>
      </c>
      <c r="D2124" s="3" t="s">
        <v>679</v>
      </c>
      <c r="E2124" s="8">
        <v>708377681</v>
      </c>
      <c r="F2124" s="2">
        <v>5.6166999999999996E-3</v>
      </c>
      <c r="G2124" s="17">
        <f>F2124 * VLOOKUP('GASB Data'!A2124,Check!$A$2:$F$11,6,FALSE)</f>
        <v>15513022.098199999</v>
      </c>
    </row>
    <row r="2125" spans="1:7" x14ac:dyDescent="0.2">
      <c r="A2125">
        <v>2022</v>
      </c>
      <c r="B2125" s="3" t="s">
        <v>210</v>
      </c>
      <c r="C2125" s="3" t="s">
        <v>930</v>
      </c>
      <c r="D2125" s="3" t="s">
        <v>930</v>
      </c>
      <c r="E2125" s="8">
        <v>78054289</v>
      </c>
      <c r="F2125" s="2">
        <v>6.1890000000000003E-4</v>
      </c>
      <c r="G2125" s="17">
        <f>F2125 * VLOOKUP('GASB Data'!A2125,Check!$A$2:$F$11,6,FALSE)</f>
        <v>1709368.3794</v>
      </c>
    </row>
    <row r="2126" spans="1:7" x14ac:dyDescent="0.2">
      <c r="A2126">
        <v>2022</v>
      </c>
      <c r="B2126" s="3" t="s">
        <v>211</v>
      </c>
      <c r="C2126" s="3" t="s">
        <v>681</v>
      </c>
      <c r="D2126" s="3" t="s">
        <v>681</v>
      </c>
      <c r="E2126" s="8">
        <v>252577124</v>
      </c>
      <c r="F2126" s="2">
        <v>2.0027000000000001E-3</v>
      </c>
      <c r="G2126" s="17">
        <f>F2126 * VLOOKUP('GASB Data'!A2126,Check!$A$2:$F$11,6,FALSE)</f>
        <v>5531349.2542000003</v>
      </c>
    </row>
    <row r="2127" spans="1:7" x14ac:dyDescent="0.2">
      <c r="A2127">
        <v>2022</v>
      </c>
      <c r="B2127" s="3" t="s">
        <v>212</v>
      </c>
      <c r="C2127" s="3" t="s">
        <v>682</v>
      </c>
      <c r="D2127" s="3" t="s">
        <v>682</v>
      </c>
      <c r="E2127" s="8">
        <v>63067021</v>
      </c>
      <c r="F2127" s="2">
        <v>5.0009999999999996E-4</v>
      </c>
      <c r="G2127" s="17">
        <f>F2127 * VLOOKUP('GASB Data'!A2127,Check!$A$2:$F$11,6,FALSE)</f>
        <v>1381249.1945999998</v>
      </c>
    </row>
    <row r="2128" spans="1:7" x14ac:dyDescent="0.2">
      <c r="A2128">
        <v>2022</v>
      </c>
      <c r="B2128" s="3" t="s">
        <v>213</v>
      </c>
      <c r="C2128" s="3" t="s">
        <v>683</v>
      </c>
      <c r="D2128" s="3" t="s">
        <v>683</v>
      </c>
      <c r="E2128" s="8">
        <v>119052764</v>
      </c>
      <c r="F2128" s="2">
        <v>9.4399999999999996E-4</v>
      </c>
      <c r="G2128" s="17">
        <f>F2128 * VLOOKUP('GASB Data'!A2128,Check!$A$2:$F$11,6,FALSE)</f>
        <v>2607277.0239999997</v>
      </c>
    </row>
    <row r="2129" spans="1:7" x14ac:dyDescent="0.2">
      <c r="A2129">
        <v>2022</v>
      </c>
      <c r="B2129" s="3" t="s">
        <v>215</v>
      </c>
      <c r="C2129" s="3" t="s">
        <v>684</v>
      </c>
      <c r="D2129" s="3" t="s">
        <v>684</v>
      </c>
      <c r="E2129" s="8">
        <v>603300015</v>
      </c>
      <c r="F2129" s="2">
        <v>4.7835999999999998E-3</v>
      </c>
      <c r="G2129" s="17">
        <f>F2129 * VLOOKUP('GASB Data'!A2129,Check!$A$2:$F$11,6,FALSE)</f>
        <v>13212044.885599999</v>
      </c>
    </row>
    <row r="2130" spans="1:7" x14ac:dyDescent="0.2">
      <c r="A2130">
        <v>2022</v>
      </c>
      <c r="B2130" s="3" t="s">
        <v>216</v>
      </c>
      <c r="C2130" s="3" t="s">
        <v>685</v>
      </c>
      <c r="D2130" s="3" t="s">
        <v>685</v>
      </c>
      <c r="E2130" s="8">
        <v>95381268</v>
      </c>
      <c r="F2130" s="2">
        <v>7.5630000000000001E-4</v>
      </c>
      <c r="G2130" s="17">
        <f>F2130 * VLOOKUP('GASB Data'!A2130,Check!$A$2:$F$11,6,FALSE)</f>
        <v>2088859.7598000001</v>
      </c>
    </row>
    <row r="2131" spans="1:7" x14ac:dyDescent="0.2">
      <c r="A2131">
        <v>2022</v>
      </c>
      <c r="B2131" s="3" t="s">
        <v>217</v>
      </c>
      <c r="C2131" s="3" t="s">
        <v>686</v>
      </c>
      <c r="D2131" s="3" t="s">
        <v>686</v>
      </c>
      <c r="E2131" s="8">
        <v>2336620411</v>
      </c>
      <c r="F2131" s="2">
        <v>1.8526999999999998E-2</v>
      </c>
      <c r="G2131" s="17">
        <f>F2131 * VLOOKUP('GASB Data'!A2131,Check!$A$2:$F$11,6,FALSE)</f>
        <v>51170573.541999996</v>
      </c>
    </row>
    <row r="2132" spans="1:7" x14ac:dyDescent="0.2">
      <c r="A2132">
        <v>2022</v>
      </c>
      <c r="B2132" s="3" t="s">
        <v>218</v>
      </c>
      <c r="C2132" s="3" t="s">
        <v>687</v>
      </c>
      <c r="D2132" s="3" t="s">
        <v>687</v>
      </c>
      <c r="E2132" s="8">
        <v>353495835</v>
      </c>
      <c r="F2132" s="2">
        <v>2.8029000000000001E-3</v>
      </c>
      <c r="G2132" s="17">
        <f>F2132 * VLOOKUP('GASB Data'!A2132,Check!$A$2:$F$11,6,FALSE)</f>
        <v>7741458.4434000002</v>
      </c>
    </row>
    <row r="2133" spans="1:7" x14ac:dyDescent="0.2">
      <c r="A2133">
        <v>2022</v>
      </c>
      <c r="B2133" s="3" t="s">
        <v>219</v>
      </c>
      <c r="C2133" s="3" t="s">
        <v>688</v>
      </c>
      <c r="D2133" s="3" t="s">
        <v>688</v>
      </c>
      <c r="E2133" s="8">
        <v>221125435</v>
      </c>
      <c r="F2133" s="2">
        <v>1.7533E-3</v>
      </c>
      <c r="G2133" s="17">
        <f>F2133 * VLOOKUP('GASB Data'!A2133,Check!$A$2:$F$11,6,FALSE)</f>
        <v>4842519.9217999997</v>
      </c>
    </row>
    <row r="2134" spans="1:7" x14ac:dyDescent="0.2">
      <c r="A2134">
        <v>2022</v>
      </c>
      <c r="B2134" s="3" t="s">
        <v>274</v>
      </c>
      <c r="C2134" s="3" t="s">
        <v>689</v>
      </c>
      <c r="D2134" s="3" t="s">
        <v>689</v>
      </c>
      <c r="E2134" s="8">
        <v>300899537</v>
      </c>
      <c r="F2134" s="2">
        <v>2.3858E-3</v>
      </c>
      <c r="G2134" s="17">
        <f>F2134 * VLOOKUP('GASB Data'!A2134,Check!$A$2:$F$11,6,FALSE)</f>
        <v>6589450.7668000003</v>
      </c>
    </row>
    <row r="2135" spans="1:7" x14ac:dyDescent="0.2">
      <c r="A2135">
        <v>2022</v>
      </c>
      <c r="B2135" s="3" t="s">
        <v>275</v>
      </c>
      <c r="C2135" s="3" t="s">
        <v>690</v>
      </c>
      <c r="D2135" s="3" t="s">
        <v>690</v>
      </c>
      <c r="E2135" s="8">
        <v>778122663</v>
      </c>
      <c r="F2135" s="2">
        <v>6.1697000000000002E-3</v>
      </c>
      <c r="G2135" s="17">
        <f>F2135 * VLOOKUP('GASB Data'!A2135,Check!$A$2:$F$11,6,FALSE)</f>
        <v>17040378.236200001</v>
      </c>
    </row>
    <row r="2136" spans="1:7" x14ac:dyDescent="0.2">
      <c r="A2136">
        <v>2022</v>
      </c>
      <c r="B2136" s="3" t="s">
        <v>276</v>
      </c>
      <c r="C2136" s="3" t="s">
        <v>691</v>
      </c>
      <c r="D2136" s="3" t="s">
        <v>691</v>
      </c>
      <c r="E2136" s="8">
        <v>18453127</v>
      </c>
      <c r="F2136" s="2">
        <v>1.4630000000000001E-4</v>
      </c>
      <c r="G2136" s="17">
        <f>F2136 * VLOOKUP('GASB Data'!A2136,Check!$A$2:$F$11,6,FALSE)</f>
        <v>404072.6998</v>
      </c>
    </row>
    <row r="2137" spans="1:7" x14ac:dyDescent="0.2">
      <c r="A2137">
        <v>2022</v>
      </c>
      <c r="B2137" s="3" t="s">
        <v>935</v>
      </c>
      <c r="C2137" s="3" t="s">
        <v>934</v>
      </c>
      <c r="D2137" s="3" t="s">
        <v>934</v>
      </c>
      <c r="E2137" s="8">
        <v>8789406</v>
      </c>
      <c r="F2137" s="2">
        <v>6.97E-5</v>
      </c>
      <c r="G2137" s="17">
        <f>F2137 * VLOOKUP('GASB Data'!A2137,Check!$A$2:$F$11,6,FALSE)</f>
        <v>192507.63620000001</v>
      </c>
    </row>
    <row r="2138" spans="1:7" x14ac:dyDescent="0.2">
      <c r="A2138">
        <v>2022</v>
      </c>
      <c r="B2138" s="3" t="s">
        <v>277</v>
      </c>
      <c r="C2138" s="3" t="s">
        <v>692</v>
      </c>
      <c r="D2138" s="3" t="s">
        <v>692</v>
      </c>
      <c r="E2138" s="8">
        <v>109876508</v>
      </c>
      <c r="F2138" s="2">
        <v>8.7120000000000003E-4</v>
      </c>
      <c r="G2138" s="17">
        <f>F2138 * VLOOKUP('GASB Data'!A2138,Check!$A$2:$F$11,6,FALSE)</f>
        <v>2406207.3552000001</v>
      </c>
    </row>
    <row r="2139" spans="1:7" x14ac:dyDescent="0.2">
      <c r="A2139">
        <v>2022</v>
      </c>
      <c r="B2139" s="3" t="s">
        <v>278</v>
      </c>
      <c r="C2139" s="3" t="s">
        <v>693</v>
      </c>
      <c r="D2139" s="3" t="s">
        <v>693</v>
      </c>
      <c r="E2139" s="8">
        <v>152639498</v>
      </c>
      <c r="F2139" s="2">
        <v>1.2103000000000001E-3</v>
      </c>
      <c r="G2139" s="17">
        <f>F2139 * VLOOKUP('GASB Data'!A2139,Check!$A$2:$F$11,6,FALSE)</f>
        <v>3342783.2438000003</v>
      </c>
    </row>
    <row r="2140" spans="1:7" x14ac:dyDescent="0.2">
      <c r="A2140">
        <v>2022</v>
      </c>
      <c r="B2140" s="3" t="s">
        <v>937</v>
      </c>
      <c r="C2140" s="3" t="s">
        <v>936</v>
      </c>
      <c r="D2140" s="3" t="s">
        <v>936</v>
      </c>
      <c r="E2140" s="8">
        <v>13825774</v>
      </c>
      <c r="F2140" s="2">
        <v>1.0959999999999999E-4</v>
      </c>
      <c r="G2140" s="17">
        <f>F2140 * VLOOKUP('GASB Data'!A2140,Check!$A$2:$F$11,6,FALSE)</f>
        <v>302709.28159999999</v>
      </c>
    </row>
    <row r="2141" spans="1:7" x14ac:dyDescent="0.2">
      <c r="A2141">
        <v>2022</v>
      </c>
      <c r="B2141" s="3" t="s">
        <v>279</v>
      </c>
      <c r="C2141" s="3" t="s">
        <v>694</v>
      </c>
      <c r="D2141" s="3" t="s">
        <v>694</v>
      </c>
      <c r="E2141" s="8">
        <v>121864739</v>
      </c>
      <c r="F2141" s="2">
        <v>9.6630000000000001E-4</v>
      </c>
      <c r="G2141" s="17">
        <f>F2141 * VLOOKUP('GASB Data'!A2141,Check!$A$2:$F$11,6,FALSE)</f>
        <v>2668868.4198000003</v>
      </c>
    </row>
    <row r="2142" spans="1:7" x14ac:dyDescent="0.2">
      <c r="A2142">
        <v>2022</v>
      </c>
      <c r="B2142" s="3" t="s">
        <v>280</v>
      </c>
      <c r="C2142" s="3" t="s">
        <v>695</v>
      </c>
      <c r="D2142" s="3" t="s">
        <v>695</v>
      </c>
      <c r="E2142" s="8">
        <v>286188736</v>
      </c>
      <c r="F2142" s="2">
        <v>2.2691999999999999E-3</v>
      </c>
      <c r="G2142" s="17">
        <f>F2142 * VLOOKUP('GASB Data'!A2142,Check!$A$2:$F$11,6,FALSE)</f>
        <v>6267407.8631999996</v>
      </c>
    </row>
    <row r="2143" spans="1:7" x14ac:dyDescent="0.2">
      <c r="A2143">
        <v>2022</v>
      </c>
      <c r="B2143" s="3" t="s">
        <v>281</v>
      </c>
      <c r="C2143" s="3" t="s">
        <v>904</v>
      </c>
      <c r="D2143" s="3" t="s">
        <v>904</v>
      </c>
      <c r="E2143" s="8">
        <v>6527112</v>
      </c>
      <c r="F2143" s="2">
        <v>5.1799999999999999E-5</v>
      </c>
      <c r="G2143" s="17">
        <f>F2143 * VLOOKUP('GASB Data'!A2143,Check!$A$2:$F$11,6,FALSE)</f>
        <v>143068.8028</v>
      </c>
    </row>
    <row r="2144" spans="1:7" x14ac:dyDescent="0.2">
      <c r="A2144">
        <v>2022</v>
      </c>
      <c r="B2144" s="3" t="s">
        <v>282</v>
      </c>
      <c r="C2144" s="3" t="s">
        <v>697</v>
      </c>
      <c r="D2144" s="3" t="s">
        <v>697</v>
      </c>
      <c r="E2144" s="8">
        <v>47558975</v>
      </c>
      <c r="F2144" s="2">
        <v>3.771E-4</v>
      </c>
      <c r="G2144" s="17">
        <f>F2144 * VLOOKUP('GASB Data'!A2144,Check!$A$2:$F$11,6,FALSE)</f>
        <v>1041529.8366</v>
      </c>
    </row>
    <row r="2145" spans="1:7" x14ac:dyDescent="0.2">
      <c r="A2145">
        <v>2022</v>
      </c>
      <c r="B2145" s="3" t="s">
        <v>283</v>
      </c>
      <c r="C2145" s="3" t="s">
        <v>698</v>
      </c>
      <c r="D2145" s="3" t="s">
        <v>698</v>
      </c>
      <c r="E2145" s="8">
        <v>407737048</v>
      </c>
      <c r="F2145" s="2">
        <v>3.2328999999999999E-3</v>
      </c>
      <c r="G2145" s="17">
        <f>F2145 * VLOOKUP('GASB Data'!A2145,Check!$A$2:$F$11,6,FALSE)</f>
        <v>8929095.2234000005</v>
      </c>
    </row>
    <row r="2146" spans="1:7" x14ac:dyDescent="0.2">
      <c r="A2146">
        <v>2022</v>
      </c>
      <c r="B2146" s="3" t="s">
        <v>284</v>
      </c>
      <c r="C2146" s="3" t="s">
        <v>699</v>
      </c>
      <c r="D2146" s="3" t="s">
        <v>699</v>
      </c>
      <c r="E2146" s="8">
        <v>51278380</v>
      </c>
      <c r="F2146" s="2">
        <v>4.0660000000000002E-4</v>
      </c>
      <c r="G2146" s="17">
        <f>F2146 * VLOOKUP('GASB Data'!A2146,Check!$A$2:$F$11,6,FALSE)</f>
        <v>1123007.2436000002</v>
      </c>
    </row>
    <row r="2147" spans="1:7" x14ac:dyDescent="0.2">
      <c r="A2147">
        <v>2022</v>
      </c>
      <c r="B2147" s="3" t="s">
        <v>285</v>
      </c>
      <c r="C2147" s="3" t="s">
        <v>700</v>
      </c>
      <c r="D2147" s="3" t="s">
        <v>700</v>
      </c>
      <c r="E2147" s="8">
        <v>2037253879</v>
      </c>
      <c r="F2147" s="2">
        <v>1.6153299999999999E-2</v>
      </c>
      <c r="G2147" s="17">
        <f>F2147 * VLOOKUP('GASB Data'!A2147,Check!$A$2:$F$11,6,FALSE)</f>
        <v>44614542.321799994</v>
      </c>
    </row>
    <row r="2148" spans="1:7" x14ac:dyDescent="0.2">
      <c r="A2148">
        <v>2022</v>
      </c>
      <c r="B2148" s="3" t="s">
        <v>286</v>
      </c>
      <c r="C2148" s="3" t="s">
        <v>905</v>
      </c>
      <c r="D2148" s="3" t="s">
        <v>905</v>
      </c>
      <c r="E2148" s="8">
        <v>43152303</v>
      </c>
      <c r="F2148" s="2">
        <v>3.4220000000000002E-4</v>
      </c>
      <c r="G2148" s="17">
        <f>F2148 * VLOOKUP('GASB Data'!A2148,Check!$A$2:$F$11,6,FALSE)</f>
        <v>945137.9212000001</v>
      </c>
    </row>
    <row r="2149" spans="1:7" x14ac:dyDescent="0.2">
      <c r="A2149">
        <v>2022</v>
      </c>
      <c r="B2149" s="3" t="s">
        <v>287</v>
      </c>
      <c r="C2149" s="3" t="s">
        <v>702</v>
      </c>
      <c r="D2149" s="3" t="s">
        <v>702</v>
      </c>
      <c r="E2149" s="8">
        <v>28779506</v>
      </c>
      <c r="F2149" s="2">
        <v>2.2819999999999999E-4</v>
      </c>
      <c r="G2149" s="17">
        <f>F2149 * VLOOKUP('GASB Data'!A2149,Check!$A$2:$F$11,6,FALSE)</f>
        <v>630276.07719999994</v>
      </c>
    </row>
    <row r="2150" spans="1:7" x14ac:dyDescent="0.2">
      <c r="A2150">
        <v>2022</v>
      </c>
      <c r="B2150" s="3" t="s">
        <v>288</v>
      </c>
      <c r="C2150" s="3" t="s">
        <v>703</v>
      </c>
      <c r="D2150" s="3" t="s">
        <v>703</v>
      </c>
      <c r="E2150" s="8">
        <v>58479723</v>
      </c>
      <c r="F2150" s="2">
        <v>4.637E-4</v>
      </c>
      <c r="G2150" s="17">
        <f>F2150 * VLOOKUP('GASB Data'!A2150,Check!$A$2:$F$11,6,FALSE)</f>
        <v>1280714.3602</v>
      </c>
    </row>
    <row r="2151" spans="1:7" x14ac:dyDescent="0.2">
      <c r="A2151">
        <v>2022</v>
      </c>
      <c r="B2151" s="3" t="s">
        <v>289</v>
      </c>
      <c r="C2151" s="3" t="s">
        <v>704</v>
      </c>
      <c r="D2151" s="3" t="s">
        <v>704</v>
      </c>
      <c r="E2151" s="8">
        <v>160222517</v>
      </c>
      <c r="F2151" s="2">
        <v>1.2704000000000001E-3</v>
      </c>
      <c r="G2151" s="17">
        <f>F2151 * VLOOKUP('GASB Data'!A2151,Check!$A$2:$F$11,6,FALSE)</f>
        <v>3508776.1984000001</v>
      </c>
    </row>
    <row r="2152" spans="1:7" x14ac:dyDescent="0.2">
      <c r="A2152">
        <v>2022</v>
      </c>
      <c r="B2152" s="3" t="s">
        <v>290</v>
      </c>
      <c r="C2152" s="3" t="s">
        <v>705</v>
      </c>
      <c r="D2152" s="3" t="s">
        <v>705</v>
      </c>
      <c r="E2152" s="8">
        <v>16430020</v>
      </c>
      <c r="F2152" s="2">
        <v>1.303E-4</v>
      </c>
      <c r="G2152" s="17">
        <f>F2152 * VLOOKUP('GASB Data'!A2152,Check!$A$2:$F$11,6,FALSE)</f>
        <v>359881.5638</v>
      </c>
    </row>
    <row r="2153" spans="1:7" x14ac:dyDescent="0.2">
      <c r="A2153">
        <v>2022</v>
      </c>
      <c r="B2153" s="3" t="s">
        <v>291</v>
      </c>
      <c r="C2153" s="3" t="s">
        <v>706</v>
      </c>
      <c r="D2153" s="3" t="s">
        <v>706</v>
      </c>
      <c r="E2153" s="8">
        <v>71080871</v>
      </c>
      <c r="F2153" s="2">
        <v>5.6360000000000004E-4</v>
      </c>
      <c r="G2153" s="17">
        <f>F2153 * VLOOKUP('GASB Data'!A2153,Check!$A$2:$F$11,6,FALSE)</f>
        <v>1556632.7656</v>
      </c>
    </row>
    <row r="2154" spans="1:7" x14ac:dyDescent="0.2">
      <c r="A2154">
        <v>2022</v>
      </c>
      <c r="B2154" s="3" t="s">
        <v>294</v>
      </c>
      <c r="C2154" s="3" t="s">
        <v>709</v>
      </c>
      <c r="D2154" s="3" t="s">
        <v>709</v>
      </c>
      <c r="E2154" s="8">
        <v>282877869</v>
      </c>
      <c r="F2154" s="2">
        <v>2.2428999999999999E-3</v>
      </c>
      <c r="G2154" s="17">
        <f>F2154 * VLOOKUP('GASB Data'!A2154,Check!$A$2:$F$11,6,FALSE)</f>
        <v>6194768.6833999995</v>
      </c>
    </row>
    <row r="2155" spans="1:7" x14ac:dyDescent="0.2">
      <c r="A2155">
        <v>2022</v>
      </c>
      <c r="B2155" s="3" t="s">
        <v>295</v>
      </c>
      <c r="C2155" s="3" t="s">
        <v>710</v>
      </c>
      <c r="D2155" s="3" t="s">
        <v>710</v>
      </c>
      <c r="E2155" s="8">
        <v>54238027</v>
      </c>
      <c r="F2155" s="2">
        <v>4.3009999999999999E-4</v>
      </c>
      <c r="G2155" s="17">
        <f>F2155 * VLOOKUP('GASB Data'!A2155,Check!$A$2:$F$11,6,FALSE)</f>
        <v>1187912.9746000001</v>
      </c>
    </row>
    <row r="2156" spans="1:7" x14ac:dyDescent="0.2">
      <c r="A2156">
        <v>2022</v>
      </c>
      <c r="B2156" s="3" t="s">
        <v>296</v>
      </c>
      <c r="C2156" s="3" t="s">
        <v>711</v>
      </c>
      <c r="D2156" s="3" t="s">
        <v>711</v>
      </c>
      <c r="E2156" s="8">
        <v>2630491600</v>
      </c>
      <c r="F2156" s="2">
        <v>2.08571E-2</v>
      </c>
      <c r="G2156" s="17">
        <f>F2156 * VLOOKUP('GASB Data'!A2156,Check!$A$2:$F$11,6,FALSE)</f>
        <v>57606183.916599996</v>
      </c>
    </row>
    <row r="2157" spans="1:7" x14ac:dyDescent="0.2">
      <c r="A2157">
        <v>2022</v>
      </c>
      <c r="B2157" s="3" t="s">
        <v>297</v>
      </c>
      <c r="C2157" s="3" t="s">
        <v>712</v>
      </c>
      <c r="D2157" s="3" t="s">
        <v>712</v>
      </c>
      <c r="E2157" s="8">
        <v>24483798</v>
      </c>
      <c r="F2157" s="2">
        <v>1.941E-4</v>
      </c>
      <c r="G2157" s="17">
        <f>F2157 * VLOOKUP('GASB Data'!A2157,Check!$A$2:$F$11,6,FALSE)</f>
        <v>536093.71860000002</v>
      </c>
    </row>
    <row r="2158" spans="1:7" x14ac:dyDescent="0.2">
      <c r="A2158">
        <v>2022</v>
      </c>
      <c r="B2158" s="3" t="s">
        <v>298</v>
      </c>
      <c r="C2158" s="3" t="s">
        <v>713</v>
      </c>
      <c r="D2158" s="3" t="s">
        <v>713</v>
      </c>
      <c r="E2158" s="8">
        <v>235289533</v>
      </c>
      <c r="F2158" s="2">
        <v>1.8656E-3</v>
      </c>
      <c r="G2158" s="17">
        <f>F2158 * VLOOKUP('GASB Data'!A2158,Check!$A$2:$F$11,6,FALSE)</f>
        <v>5152686.4576000003</v>
      </c>
    </row>
    <row r="2159" spans="1:7" x14ac:dyDescent="0.2">
      <c r="A2159">
        <v>2022</v>
      </c>
      <c r="B2159" s="3" t="s">
        <v>299</v>
      </c>
      <c r="C2159" s="3" t="s">
        <v>714</v>
      </c>
      <c r="D2159" s="3" t="s">
        <v>714</v>
      </c>
      <c r="E2159" s="8">
        <v>386977133</v>
      </c>
      <c r="F2159" s="2">
        <v>3.0682999999999999E-3</v>
      </c>
      <c r="G2159" s="17">
        <f>F2159 * VLOOKUP('GASB Data'!A2159,Check!$A$2:$F$11,6,FALSE)</f>
        <v>8474478.911799999</v>
      </c>
    </row>
    <row r="2160" spans="1:7" x14ac:dyDescent="0.2">
      <c r="A2160">
        <v>2022</v>
      </c>
      <c r="B2160" s="3" t="s">
        <v>300</v>
      </c>
      <c r="C2160" s="3" t="s">
        <v>715</v>
      </c>
      <c r="D2160" s="3" t="s">
        <v>715</v>
      </c>
      <c r="E2160" s="8">
        <v>15033574</v>
      </c>
      <c r="F2160" s="2">
        <v>1.192E-4</v>
      </c>
      <c r="G2160" s="17">
        <f>F2160 * VLOOKUP('GASB Data'!A2160,Check!$A$2:$F$11,6,FALSE)</f>
        <v>329223.9632</v>
      </c>
    </row>
    <row r="2161" spans="1:7" x14ac:dyDescent="0.2">
      <c r="A2161">
        <v>2022</v>
      </c>
      <c r="B2161" s="3" t="s">
        <v>301</v>
      </c>
      <c r="C2161" s="3" t="s">
        <v>716</v>
      </c>
      <c r="D2161" s="3" t="s">
        <v>716</v>
      </c>
      <c r="E2161" s="8">
        <v>1417248725</v>
      </c>
      <c r="F2161" s="2">
        <v>1.12373E-2</v>
      </c>
      <c r="G2161" s="17">
        <f>F2161 * VLOOKUP('GASB Data'!A2161,Check!$A$2:$F$11,6,FALSE)</f>
        <v>31036815.785800003</v>
      </c>
    </row>
    <row r="2162" spans="1:7" x14ac:dyDescent="0.2">
      <c r="A2162">
        <v>2022</v>
      </c>
      <c r="B2162" s="3" t="s">
        <v>302</v>
      </c>
      <c r="C2162" s="3" t="s">
        <v>717</v>
      </c>
      <c r="D2162" s="3" t="s">
        <v>717</v>
      </c>
      <c r="E2162" s="8">
        <v>156842511</v>
      </c>
      <c r="F2162" s="2">
        <v>1.2436000000000001E-3</v>
      </c>
      <c r="G2162" s="17">
        <f>F2162 * VLOOKUP('GASB Data'!A2162,Check!$A$2:$F$11,6,FALSE)</f>
        <v>3434756.0456000003</v>
      </c>
    </row>
    <row r="2163" spans="1:7" x14ac:dyDescent="0.2">
      <c r="A2163">
        <v>2022</v>
      </c>
      <c r="B2163" s="3" t="s">
        <v>303</v>
      </c>
      <c r="C2163" s="3" t="s">
        <v>718</v>
      </c>
      <c r="D2163" s="3" t="s">
        <v>718</v>
      </c>
      <c r="E2163" s="8">
        <v>98318954</v>
      </c>
      <c r="F2163" s="2">
        <v>7.7959999999999998E-4</v>
      </c>
      <c r="G2163" s="17">
        <f>F2163 * VLOOKUP('GASB Data'!A2163,Check!$A$2:$F$11,6,FALSE)</f>
        <v>2153213.1015999997</v>
      </c>
    </row>
    <row r="2164" spans="1:7" x14ac:dyDescent="0.2">
      <c r="A2164">
        <v>2022</v>
      </c>
      <c r="B2164" s="3" t="s">
        <v>304</v>
      </c>
      <c r="C2164" s="3" t="s">
        <v>719</v>
      </c>
      <c r="D2164" s="3" t="s">
        <v>719</v>
      </c>
      <c r="E2164" s="8">
        <v>71620774</v>
      </c>
      <c r="F2164" s="2">
        <v>5.6789999999999998E-4</v>
      </c>
      <c r="G2164" s="17">
        <f>F2164 * VLOOKUP('GASB Data'!A2164,Check!$A$2:$F$11,6,FALSE)</f>
        <v>1568509.1333999999</v>
      </c>
    </row>
    <row r="2165" spans="1:7" x14ac:dyDescent="0.2">
      <c r="A2165">
        <v>2022</v>
      </c>
      <c r="B2165" s="3" t="s">
        <v>305</v>
      </c>
      <c r="C2165" s="3" t="s">
        <v>938</v>
      </c>
      <c r="D2165" s="3" t="s">
        <v>938</v>
      </c>
      <c r="E2165" s="8">
        <v>305923661</v>
      </c>
      <c r="F2165" s="2">
        <v>2.4256999999999998E-3</v>
      </c>
      <c r="G2165" s="17">
        <f>F2165 * VLOOKUP('GASB Data'!A2165,Check!$A$2:$F$11,6,FALSE)</f>
        <v>6699652.4121999992</v>
      </c>
    </row>
    <row r="2166" spans="1:7" x14ac:dyDescent="0.2">
      <c r="A2166">
        <v>2022</v>
      </c>
      <c r="B2166" s="3" t="s">
        <v>306</v>
      </c>
      <c r="C2166" s="3" t="s">
        <v>721</v>
      </c>
      <c r="D2166" s="3" t="s">
        <v>721</v>
      </c>
      <c r="E2166" s="8">
        <v>155409612</v>
      </c>
      <c r="F2166" s="2">
        <v>1.2321999999999999E-3</v>
      </c>
      <c r="G2166" s="17">
        <f>F2166 * VLOOKUP('GASB Data'!A2166,Check!$A$2:$F$11,6,FALSE)</f>
        <v>3403269.8611999997</v>
      </c>
    </row>
    <row r="2167" spans="1:7" x14ac:dyDescent="0.2">
      <c r="A2167">
        <v>2022</v>
      </c>
      <c r="B2167" s="3" t="s">
        <v>307</v>
      </c>
      <c r="C2167" s="3" t="s">
        <v>722</v>
      </c>
      <c r="D2167" s="3" t="s">
        <v>722</v>
      </c>
      <c r="E2167" s="8">
        <v>3533402735</v>
      </c>
      <c r="F2167" s="2">
        <v>2.8016300000000001E-2</v>
      </c>
      <c r="G2167" s="17">
        <f>F2167 * VLOOKUP('GASB Data'!A2167,Check!$A$2:$F$11,6,FALSE)</f>
        <v>77379507.719799995</v>
      </c>
    </row>
    <row r="2168" spans="1:7" x14ac:dyDescent="0.2">
      <c r="A2168">
        <v>2022</v>
      </c>
      <c r="B2168" s="3" t="s">
        <v>308</v>
      </c>
      <c r="C2168" s="3" t="s">
        <v>723</v>
      </c>
      <c r="D2168" s="3" t="s">
        <v>723</v>
      </c>
      <c r="E2168" s="8">
        <v>267008697</v>
      </c>
      <c r="F2168" s="2">
        <v>2.1170999999999998E-3</v>
      </c>
      <c r="G2168" s="17">
        <f>F2168 * VLOOKUP('GASB Data'!A2168,Check!$A$2:$F$11,6,FALSE)</f>
        <v>5847315.8765999991</v>
      </c>
    </row>
    <row r="2169" spans="1:7" x14ac:dyDescent="0.2">
      <c r="A2169">
        <v>2022</v>
      </c>
      <c r="B2169" s="3" t="s">
        <v>309</v>
      </c>
      <c r="C2169" s="3" t="s">
        <v>724</v>
      </c>
      <c r="D2169" s="3" t="s">
        <v>724</v>
      </c>
      <c r="E2169" s="8">
        <v>112892675</v>
      </c>
      <c r="F2169" s="2">
        <v>8.9510000000000002E-4</v>
      </c>
      <c r="G2169" s="17">
        <f>F2169 * VLOOKUP('GASB Data'!A2169,Check!$A$2:$F$11,6,FALSE)</f>
        <v>2472217.8646</v>
      </c>
    </row>
    <row r="2170" spans="1:7" x14ac:dyDescent="0.2">
      <c r="A2170">
        <v>2022</v>
      </c>
      <c r="B2170" s="3" t="s">
        <v>310</v>
      </c>
      <c r="C2170" s="3" t="s">
        <v>725</v>
      </c>
      <c r="D2170" s="3" t="s">
        <v>725</v>
      </c>
      <c r="E2170" s="8">
        <v>47157509</v>
      </c>
      <c r="F2170" s="2">
        <v>3.7389999999999998E-4</v>
      </c>
      <c r="G2170" s="17">
        <f>F2170 * VLOOKUP('GASB Data'!A2170,Check!$A$2:$F$11,6,FALSE)</f>
        <v>1032691.6094</v>
      </c>
    </row>
    <row r="2171" spans="1:7" x14ac:dyDescent="0.2">
      <c r="A2171">
        <v>2022</v>
      </c>
      <c r="B2171" s="3" t="s">
        <v>311</v>
      </c>
      <c r="C2171" s="3" t="s">
        <v>726</v>
      </c>
      <c r="D2171" s="3" t="s">
        <v>726</v>
      </c>
      <c r="E2171" s="8">
        <v>130133681</v>
      </c>
      <c r="F2171" s="2">
        <v>1.0318E-3</v>
      </c>
      <c r="G2171" s="17">
        <f>F2171 * VLOOKUP('GASB Data'!A2171,Check!$A$2:$F$11,6,FALSE)</f>
        <v>2849775.8828000003</v>
      </c>
    </row>
    <row r="2172" spans="1:7" x14ac:dyDescent="0.2">
      <c r="A2172">
        <v>2022</v>
      </c>
      <c r="B2172" s="3" t="s">
        <v>312</v>
      </c>
      <c r="C2172" s="3" t="s">
        <v>727</v>
      </c>
      <c r="D2172" s="3" t="s">
        <v>727</v>
      </c>
      <c r="E2172" s="8">
        <v>39462991</v>
      </c>
      <c r="F2172" s="2">
        <v>3.1290000000000002E-4</v>
      </c>
      <c r="G2172" s="17">
        <f>F2172 * VLOOKUP('GASB Data'!A2172,Check!$A$2:$F$11,6,FALSE)</f>
        <v>864212.90340000007</v>
      </c>
    </row>
    <row r="2173" spans="1:7" x14ac:dyDescent="0.2">
      <c r="A2173">
        <v>2022</v>
      </c>
      <c r="B2173" s="3" t="s">
        <v>313</v>
      </c>
      <c r="C2173" s="3" t="s">
        <v>728</v>
      </c>
      <c r="D2173" s="3" t="s">
        <v>728</v>
      </c>
      <c r="E2173" s="8">
        <v>860309816</v>
      </c>
      <c r="F2173" s="2">
        <v>6.8214E-3</v>
      </c>
      <c r="G2173" s="17">
        <f>F2173 * VLOOKUP('GASB Data'!A2173,Check!$A$2:$F$11,6,FALSE)</f>
        <v>18840338.444400001</v>
      </c>
    </row>
    <row r="2174" spans="1:7" x14ac:dyDescent="0.2">
      <c r="A2174">
        <v>2022</v>
      </c>
      <c r="B2174" s="3" t="s">
        <v>314</v>
      </c>
      <c r="C2174" s="3" t="s">
        <v>729</v>
      </c>
      <c r="D2174" s="3" t="s">
        <v>729</v>
      </c>
      <c r="E2174" s="8">
        <v>357556347</v>
      </c>
      <c r="F2174" s="2">
        <v>2.8351000000000001E-3</v>
      </c>
      <c r="G2174" s="17">
        <f>F2174 * VLOOKUP('GASB Data'!A2174,Check!$A$2:$F$11,6,FALSE)</f>
        <v>7830393.1046000002</v>
      </c>
    </row>
    <row r="2175" spans="1:7" x14ac:dyDescent="0.2">
      <c r="A2175">
        <v>2022</v>
      </c>
      <c r="B2175" s="3" t="s">
        <v>315</v>
      </c>
      <c r="C2175" s="3" t="s">
        <v>730</v>
      </c>
      <c r="D2175" s="3" t="s">
        <v>730</v>
      </c>
      <c r="E2175" s="8">
        <v>64580165</v>
      </c>
      <c r="F2175" s="2">
        <v>5.1210000000000003E-4</v>
      </c>
      <c r="G2175" s="17">
        <f>F2175 * VLOOKUP('GASB Data'!A2175,Check!$A$2:$F$11,6,FALSE)</f>
        <v>1414392.5466</v>
      </c>
    </row>
    <row r="2176" spans="1:7" x14ac:dyDescent="0.2">
      <c r="A2176">
        <v>2022</v>
      </c>
      <c r="B2176" s="3" t="s">
        <v>316</v>
      </c>
      <c r="C2176" s="3" t="s">
        <v>731</v>
      </c>
      <c r="D2176" s="3" t="s">
        <v>731</v>
      </c>
      <c r="E2176" s="8">
        <v>653206771</v>
      </c>
      <c r="F2176" s="2">
        <v>5.1793000000000004E-3</v>
      </c>
      <c r="G2176" s="17">
        <f>F2176 * VLOOKUP('GASB Data'!A2176,Check!$A$2:$F$11,6,FALSE)</f>
        <v>14304946.917800002</v>
      </c>
    </row>
    <row r="2177" spans="1:7" x14ac:dyDescent="0.2">
      <c r="A2177">
        <v>2022</v>
      </c>
      <c r="B2177" s="3" t="s">
        <v>317</v>
      </c>
      <c r="C2177" s="3" t="s">
        <v>732</v>
      </c>
      <c r="D2177" s="3" t="s">
        <v>732</v>
      </c>
      <c r="E2177" s="8">
        <v>8910128</v>
      </c>
      <c r="F2177" s="2">
        <v>7.0599999999999995E-5</v>
      </c>
      <c r="G2177" s="17">
        <f>F2177 * VLOOKUP('GASB Data'!A2177,Check!$A$2:$F$11,6,FALSE)</f>
        <v>194993.38759999999</v>
      </c>
    </row>
    <row r="2178" spans="1:7" x14ac:dyDescent="0.2">
      <c r="A2178">
        <v>2022</v>
      </c>
      <c r="B2178" s="3" t="s">
        <v>318</v>
      </c>
      <c r="C2178" s="3" t="s">
        <v>733</v>
      </c>
      <c r="D2178" s="3" t="s">
        <v>733</v>
      </c>
      <c r="E2178" s="8">
        <v>91100983</v>
      </c>
      <c r="F2178" s="2">
        <v>7.2230000000000005E-4</v>
      </c>
      <c r="G2178" s="17">
        <f>F2178 * VLOOKUP('GASB Data'!A2178,Check!$A$2:$F$11,6,FALSE)</f>
        <v>1994953.5958000002</v>
      </c>
    </row>
    <row r="2179" spans="1:7" x14ac:dyDescent="0.2">
      <c r="A2179">
        <v>2022</v>
      </c>
      <c r="B2179" s="3" t="s">
        <v>319</v>
      </c>
      <c r="C2179" s="3" t="s">
        <v>734</v>
      </c>
      <c r="D2179" s="3" t="s">
        <v>734</v>
      </c>
      <c r="E2179" s="8">
        <v>132959989</v>
      </c>
      <c r="F2179" s="2">
        <v>1.0541999999999999E-3</v>
      </c>
      <c r="G2179" s="17">
        <f>F2179 * VLOOKUP('GASB Data'!A2179,Check!$A$2:$F$11,6,FALSE)</f>
        <v>2911643.4731999999</v>
      </c>
    </row>
    <row r="2180" spans="1:7" x14ac:dyDescent="0.2">
      <c r="A2180">
        <v>2022</v>
      </c>
      <c r="B2180" s="3" t="s">
        <v>320</v>
      </c>
      <c r="C2180" s="3" t="s">
        <v>735</v>
      </c>
      <c r="D2180" s="3" t="s">
        <v>735</v>
      </c>
      <c r="E2180" s="8">
        <v>22977858</v>
      </c>
      <c r="F2180" s="2">
        <v>1.8220000000000001E-4</v>
      </c>
      <c r="G2180" s="17">
        <f>F2180 * VLOOKUP('GASB Data'!A2180,Check!$A$2:$F$11,6,FALSE)</f>
        <v>503226.56120000005</v>
      </c>
    </row>
    <row r="2181" spans="1:7" x14ac:dyDescent="0.2">
      <c r="A2181">
        <v>2022</v>
      </c>
      <c r="B2181" s="3" t="s">
        <v>321</v>
      </c>
      <c r="C2181" s="3" t="s">
        <v>736</v>
      </c>
      <c r="D2181" s="3" t="s">
        <v>736</v>
      </c>
      <c r="E2181" s="8">
        <v>441938240</v>
      </c>
      <c r="F2181" s="2">
        <v>3.5041E-3</v>
      </c>
      <c r="G2181" s="17">
        <f>F2181 * VLOOKUP('GASB Data'!A2181,Check!$A$2:$F$11,6,FALSE)</f>
        <v>9678134.9785999991</v>
      </c>
    </row>
    <row r="2182" spans="1:7" x14ac:dyDescent="0.2">
      <c r="A2182">
        <v>2022</v>
      </c>
      <c r="B2182" s="3" t="s">
        <v>322</v>
      </c>
      <c r="C2182" s="3" t="s">
        <v>737</v>
      </c>
      <c r="D2182" s="3" t="s">
        <v>737</v>
      </c>
      <c r="E2182" s="8">
        <v>43403294</v>
      </c>
      <c r="F2182" s="2">
        <v>3.4410000000000002E-4</v>
      </c>
      <c r="G2182" s="17">
        <f>F2182 * VLOOKUP('GASB Data'!A2182,Check!$A$2:$F$11,6,FALSE)</f>
        <v>950385.61860000005</v>
      </c>
    </row>
    <row r="2183" spans="1:7" x14ac:dyDescent="0.2">
      <c r="A2183">
        <v>2022</v>
      </c>
      <c r="B2183" s="3" t="s">
        <v>323</v>
      </c>
      <c r="C2183" s="3" t="s">
        <v>738</v>
      </c>
      <c r="D2183" s="3" t="s">
        <v>738</v>
      </c>
      <c r="E2183" s="8">
        <v>925366344</v>
      </c>
      <c r="F2183" s="2">
        <v>7.3372000000000003E-3</v>
      </c>
      <c r="G2183" s="17">
        <f>F2183 * VLOOKUP('GASB Data'!A2183,Check!$A$2:$F$11,6,FALSE)</f>
        <v>20264950.191199999</v>
      </c>
    </row>
    <row r="2184" spans="1:7" x14ac:dyDescent="0.2">
      <c r="A2184">
        <v>2022</v>
      </c>
      <c r="B2184" s="3" t="s">
        <v>324</v>
      </c>
      <c r="C2184" s="3" t="s">
        <v>907</v>
      </c>
      <c r="D2184" s="3" t="s">
        <v>907</v>
      </c>
      <c r="E2184" s="8">
        <v>28179236</v>
      </c>
      <c r="F2184" s="2">
        <v>2.2340000000000001E-4</v>
      </c>
      <c r="G2184" s="17">
        <f>F2184 * VLOOKUP('GASB Data'!A2184,Check!$A$2:$F$11,6,FALSE)</f>
        <v>617018.73640000005</v>
      </c>
    </row>
    <row r="2185" spans="1:7" x14ac:dyDescent="0.2">
      <c r="A2185">
        <v>2022</v>
      </c>
      <c r="B2185" s="3" t="s">
        <v>325</v>
      </c>
      <c r="C2185" s="3" t="s">
        <v>740</v>
      </c>
      <c r="D2185" s="3" t="s">
        <v>740</v>
      </c>
      <c r="E2185" s="8">
        <v>2805449</v>
      </c>
      <c r="F2185" s="2">
        <v>2.2200000000000001E-5</v>
      </c>
      <c r="G2185" s="17">
        <f>F2185 * VLOOKUP('GASB Data'!A2185,Check!$A$2:$F$11,6,FALSE)</f>
        <v>61315.201200000003</v>
      </c>
    </row>
    <row r="2186" spans="1:7" x14ac:dyDescent="0.2">
      <c r="A2186">
        <v>2022</v>
      </c>
      <c r="B2186" s="3" t="s">
        <v>326</v>
      </c>
      <c r="C2186" s="3" t="s">
        <v>741</v>
      </c>
      <c r="D2186" s="3" t="s">
        <v>741</v>
      </c>
      <c r="E2186" s="8">
        <v>80033461</v>
      </c>
      <c r="F2186" s="2">
        <v>6.3460000000000003E-4</v>
      </c>
      <c r="G2186" s="17">
        <f>F2186 * VLOOKUP('GASB Data'!A2186,Check!$A$2:$F$11,6,FALSE)</f>
        <v>1752730.9316</v>
      </c>
    </row>
    <row r="2187" spans="1:7" x14ac:dyDescent="0.2">
      <c r="A2187">
        <v>2022</v>
      </c>
      <c r="B2187" s="3" t="s">
        <v>327</v>
      </c>
      <c r="C2187" s="3" t="s">
        <v>742</v>
      </c>
      <c r="D2187" s="3" t="s">
        <v>742</v>
      </c>
      <c r="E2187" s="8">
        <v>289783912</v>
      </c>
      <c r="F2187" s="2">
        <v>2.2977000000000002E-3</v>
      </c>
      <c r="G2187" s="17">
        <f>F2187 * VLOOKUP('GASB Data'!A2187,Check!$A$2:$F$11,6,FALSE)</f>
        <v>6346123.3242000006</v>
      </c>
    </row>
    <row r="2188" spans="1:7" x14ac:dyDescent="0.2">
      <c r="A2188">
        <v>2022</v>
      </c>
      <c r="B2188" s="3" t="s">
        <v>382</v>
      </c>
      <c r="C2188" s="3" t="s">
        <v>743</v>
      </c>
      <c r="D2188" s="3" t="s">
        <v>743</v>
      </c>
      <c r="E2188" s="8">
        <v>190388878</v>
      </c>
      <c r="F2188" s="2">
        <v>1.5096E-3</v>
      </c>
      <c r="G2188" s="17">
        <f>F2188 * VLOOKUP('GASB Data'!A2188,Check!$A$2:$F$11,6,FALSE)</f>
        <v>4169433.6816000002</v>
      </c>
    </row>
    <row r="2189" spans="1:7" x14ac:dyDescent="0.2">
      <c r="A2189">
        <v>2022</v>
      </c>
      <c r="B2189" s="3" t="s">
        <v>383</v>
      </c>
      <c r="C2189" s="3" t="s">
        <v>744</v>
      </c>
      <c r="D2189" s="3" t="s">
        <v>744</v>
      </c>
      <c r="E2189" s="8">
        <v>78910875</v>
      </c>
      <c r="F2189" s="2">
        <v>6.2569999999999998E-4</v>
      </c>
      <c r="G2189" s="17">
        <f>F2189 * VLOOKUP('GASB Data'!A2189,Check!$A$2:$F$11,6,FALSE)</f>
        <v>1728149.6121999999</v>
      </c>
    </row>
    <row r="2190" spans="1:7" x14ac:dyDescent="0.2">
      <c r="A2190">
        <v>2022</v>
      </c>
      <c r="B2190" s="3" t="s">
        <v>384</v>
      </c>
      <c r="C2190" s="3" t="s">
        <v>745</v>
      </c>
      <c r="D2190" s="3" t="s">
        <v>745</v>
      </c>
      <c r="E2190" s="8">
        <v>1711213237</v>
      </c>
      <c r="F2190" s="2">
        <v>1.3568200000000001E-2</v>
      </c>
      <c r="G2190" s="17">
        <f>F2190 * VLOOKUP('GASB Data'!A2190,Check!$A$2:$F$11,6,FALSE)</f>
        <v>37474635.717200004</v>
      </c>
    </row>
    <row r="2191" spans="1:7" x14ac:dyDescent="0.2">
      <c r="A2191">
        <v>2022</v>
      </c>
      <c r="B2191" s="3" t="s">
        <v>385</v>
      </c>
      <c r="C2191" s="3" t="s">
        <v>746</v>
      </c>
      <c r="D2191" s="3" t="s">
        <v>746</v>
      </c>
      <c r="E2191" s="8">
        <v>139389387</v>
      </c>
      <c r="F2191" s="2">
        <v>1.1052E-3</v>
      </c>
      <c r="G2191" s="17">
        <f>F2191 * VLOOKUP('GASB Data'!A2191,Check!$A$2:$F$11,6,FALSE)</f>
        <v>3052502.7191999997</v>
      </c>
    </row>
    <row r="2192" spans="1:7" x14ac:dyDescent="0.2">
      <c r="A2192">
        <v>2022</v>
      </c>
      <c r="B2192" s="3" t="s">
        <v>386</v>
      </c>
      <c r="C2192" s="3" t="s">
        <v>747</v>
      </c>
      <c r="D2192" s="3" t="s">
        <v>747</v>
      </c>
      <c r="E2192" s="8">
        <v>34668738</v>
      </c>
      <c r="F2192" s="2">
        <v>2.7490000000000001E-4</v>
      </c>
      <c r="G2192" s="17">
        <f>F2192 * VLOOKUP('GASB Data'!A2192,Check!$A$2:$F$11,6,FALSE)</f>
        <v>759258.95540000009</v>
      </c>
    </row>
    <row r="2193" spans="1:7" x14ac:dyDescent="0.2">
      <c r="A2193">
        <v>2022</v>
      </c>
      <c r="B2193" s="3" t="s">
        <v>387</v>
      </c>
      <c r="C2193" s="3" t="s">
        <v>748</v>
      </c>
      <c r="D2193" s="3" t="s">
        <v>748</v>
      </c>
      <c r="E2193" s="8">
        <v>67005696</v>
      </c>
      <c r="F2193" s="2">
        <v>5.3129999999999996E-4</v>
      </c>
      <c r="G2193" s="17">
        <f>F2193 * VLOOKUP('GASB Data'!A2193,Check!$A$2:$F$11,6,FALSE)</f>
        <v>1467421.9097999998</v>
      </c>
    </row>
    <row r="2194" spans="1:7" x14ac:dyDescent="0.2">
      <c r="A2194">
        <v>2022</v>
      </c>
      <c r="B2194" s="3" t="s">
        <v>388</v>
      </c>
      <c r="C2194" s="3" t="s">
        <v>749</v>
      </c>
      <c r="D2194" s="3" t="s">
        <v>749</v>
      </c>
      <c r="E2194" s="8">
        <v>513787869</v>
      </c>
      <c r="F2194" s="2">
        <v>4.0737999999999998E-3</v>
      </c>
      <c r="G2194" s="17">
        <f>F2194 * VLOOKUP('GASB Data'!A2194,Check!$A$2:$F$11,6,FALSE)</f>
        <v>11251615.614799999</v>
      </c>
    </row>
    <row r="2195" spans="1:7" x14ac:dyDescent="0.2">
      <c r="A2195">
        <v>2022</v>
      </c>
      <c r="B2195" s="3" t="s">
        <v>389</v>
      </c>
      <c r="C2195" s="3" t="s">
        <v>750</v>
      </c>
      <c r="D2195" s="3" t="s">
        <v>750</v>
      </c>
      <c r="E2195" s="8">
        <v>188511989</v>
      </c>
      <c r="F2195" s="2">
        <v>1.4947000000000001E-3</v>
      </c>
      <c r="G2195" s="17">
        <f>F2195 * VLOOKUP('GASB Data'!A2195,Check!$A$2:$F$11,6,FALSE)</f>
        <v>4128280.6862000003</v>
      </c>
    </row>
    <row r="2196" spans="1:7" x14ac:dyDescent="0.2">
      <c r="A2196">
        <v>2022</v>
      </c>
      <c r="B2196" s="3" t="s">
        <v>390</v>
      </c>
      <c r="C2196" s="3" t="s">
        <v>751</v>
      </c>
      <c r="D2196" s="3" t="s">
        <v>751</v>
      </c>
      <c r="E2196" s="8">
        <v>385901393</v>
      </c>
      <c r="F2196" s="2">
        <v>3.0598000000000001E-3</v>
      </c>
      <c r="G2196" s="17">
        <f>F2196 * VLOOKUP('GASB Data'!A2196,Check!$A$2:$F$11,6,FALSE)</f>
        <v>8451002.3707999997</v>
      </c>
    </row>
    <row r="2197" spans="1:7" x14ac:dyDescent="0.2">
      <c r="A2197">
        <v>2022</v>
      </c>
      <c r="B2197" s="3" t="s">
        <v>391</v>
      </c>
      <c r="C2197" s="3" t="s">
        <v>752</v>
      </c>
      <c r="D2197" s="3" t="s">
        <v>752</v>
      </c>
      <c r="E2197" s="8">
        <v>5452328</v>
      </c>
      <c r="F2197" s="2">
        <v>4.32E-5</v>
      </c>
      <c r="G2197" s="17">
        <f>F2197 * VLOOKUP('GASB Data'!A2197,Check!$A$2:$F$11,6,FALSE)</f>
        <v>119316.0672</v>
      </c>
    </row>
    <row r="2198" spans="1:7" x14ac:dyDescent="0.2">
      <c r="A2198">
        <v>2022</v>
      </c>
      <c r="B2198" s="3" t="s">
        <v>392</v>
      </c>
      <c r="C2198" s="3" t="s">
        <v>753</v>
      </c>
      <c r="D2198" s="3" t="s">
        <v>753</v>
      </c>
      <c r="E2198" s="8">
        <v>109033387</v>
      </c>
      <c r="F2198" s="2">
        <v>8.6450000000000003E-4</v>
      </c>
      <c r="G2198" s="17">
        <f>F2198 * VLOOKUP('GASB Data'!A2198,Check!$A$2:$F$11,6,FALSE)</f>
        <v>2387702.3170000003</v>
      </c>
    </row>
    <row r="2199" spans="1:7" x14ac:dyDescent="0.2">
      <c r="A2199">
        <v>2022</v>
      </c>
      <c r="B2199" s="3" t="s">
        <v>393</v>
      </c>
      <c r="C2199" s="3" t="s">
        <v>754</v>
      </c>
      <c r="D2199" s="3" t="s">
        <v>754</v>
      </c>
      <c r="E2199" s="8">
        <v>521796071</v>
      </c>
      <c r="F2199" s="2">
        <v>4.1373E-3</v>
      </c>
      <c r="G2199" s="17">
        <f>F2199 * VLOOKUP('GASB Data'!A2199,Check!$A$2:$F$11,6,FALSE)</f>
        <v>11426999.185799999</v>
      </c>
    </row>
    <row r="2200" spans="1:7" x14ac:dyDescent="0.2">
      <c r="A2200">
        <v>2022</v>
      </c>
      <c r="B2200" s="3" t="s">
        <v>394</v>
      </c>
      <c r="C2200" s="3" t="s">
        <v>755</v>
      </c>
      <c r="D2200" s="3" t="s">
        <v>755</v>
      </c>
      <c r="E2200" s="8">
        <v>237440774</v>
      </c>
      <c r="F2200" s="2">
        <v>1.8827E-3</v>
      </c>
      <c r="G2200" s="17">
        <f>F2200 * VLOOKUP('GASB Data'!A2200,Check!$A$2:$F$11,6,FALSE)</f>
        <v>5199915.7341999998</v>
      </c>
    </row>
    <row r="2201" spans="1:7" x14ac:dyDescent="0.2">
      <c r="A2201">
        <v>2022</v>
      </c>
      <c r="B2201" s="3" t="s">
        <v>395</v>
      </c>
      <c r="C2201" s="3" t="s">
        <v>756</v>
      </c>
      <c r="D2201" s="3" t="s">
        <v>756</v>
      </c>
      <c r="E2201" s="8">
        <v>119403141</v>
      </c>
      <c r="F2201" s="2">
        <v>9.4669999999999997E-4</v>
      </c>
      <c r="G2201" s="17">
        <f>F2201 * VLOOKUP('GASB Data'!A2201,Check!$A$2:$F$11,6,FALSE)</f>
        <v>2614734.2782000001</v>
      </c>
    </row>
    <row r="2202" spans="1:7" x14ac:dyDescent="0.2">
      <c r="A2202">
        <v>2022</v>
      </c>
      <c r="B2202" s="3" t="s">
        <v>396</v>
      </c>
      <c r="C2202" s="3" t="s">
        <v>757</v>
      </c>
      <c r="D2202" s="3" t="s">
        <v>757</v>
      </c>
      <c r="E2202" s="8">
        <v>147032340</v>
      </c>
      <c r="F2202" s="2">
        <v>1.1658E-3</v>
      </c>
      <c r="G2202" s="17">
        <f>F2202 * VLOOKUP('GASB Data'!A2202,Check!$A$2:$F$11,6,FALSE)</f>
        <v>3219876.6468000002</v>
      </c>
    </row>
    <row r="2203" spans="1:7" x14ac:dyDescent="0.2">
      <c r="A2203">
        <v>2022</v>
      </c>
      <c r="B2203" s="3" t="s">
        <v>397</v>
      </c>
      <c r="C2203" s="3" t="s">
        <v>758</v>
      </c>
      <c r="D2203" s="3" t="s">
        <v>758</v>
      </c>
      <c r="E2203" s="8">
        <v>30251147</v>
      </c>
      <c r="F2203" s="2">
        <v>2.399E-4</v>
      </c>
      <c r="G2203" s="17">
        <f>F2203 * VLOOKUP('GASB Data'!A2203,Check!$A$2:$F$11,6,FALSE)</f>
        <v>662590.84539999999</v>
      </c>
    </row>
    <row r="2204" spans="1:7" x14ac:dyDescent="0.2">
      <c r="A2204">
        <v>2022</v>
      </c>
      <c r="B2204" s="3" t="s">
        <v>398</v>
      </c>
      <c r="C2204" s="3" t="s">
        <v>759</v>
      </c>
      <c r="D2204" s="3" t="s">
        <v>759</v>
      </c>
      <c r="E2204" s="8">
        <v>293031701</v>
      </c>
      <c r="F2204" s="2">
        <v>2.3234000000000002E-3</v>
      </c>
      <c r="G2204" s="17">
        <f>F2204 * VLOOKUP('GASB Data'!A2204,Check!$A$2:$F$11,6,FALSE)</f>
        <v>6417105.3364000004</v>
      </c>
    </row>
    <row r="2205" spans="1:7" x14ac:dyDescent="0.2">
      <c r="A2205">
        <v>2022</v>
      </c>
      <c r="B2205" s="3" t="s">
        <v>399</v>
      </c>
      <c r="C2205" s="3" t="s">
        <v>760</v>
      </c>
      <c r="D2205" s="3" t="s">
        <v>760</v>
      </c>
      <c r="E2205" s="8">
        <v>36041789</v>
      </c>
      <c r="F2205" s="2">
        <v>2.8580000000000001E-4</v>
      </c>
      <c r="G2205" s="17">
        <f>F2205 * VLOOKUP('GASB Data'!A2205,Check!$A$2:$F$11,6,FALSE)</f>
        <v>789364.16680000001</v>
      </c>
    </row>
    <row r="2206" spans="1:7" x14ac:dyDescent="0.2">
      <c r="A2206">
        <v>2022</v>
      </c>
      <c r="B2206" s="3" t="s">
        <v>400</v>
      </c>
      <c r="C2206" s="3" t="s">
        <v>761</v>
      </c>
      <c r="D2206" s="3" t="s">
        <v>761</v>
      </c>
      <c r="E2206" s="8">
        <v>7841693950</v>
      </c>
      <c r="F2206" s="2">
        <v>6.2176599999999999E-2</v>
      </c>
      <c r="G2206" s="17">
        <f>F2206 * VLOOKUP('GASB Data'!A2206,Check!$A$2:$F$11,6,FALSE)</f>
        <v>171728411.6636</v>
      </c>
    </row>
    <row r="2207" spans="1:7" x14ac:dyDescent="0.2">
      <c r="A2207">
        <v>2022</v>
      </c>
      <c r="B2207" s="3" t="s">
        <v>403</v>
      </c>
      <c r="C2207" s="3" t="s">
        <v>764</v>
      </c>
      <c r="D2207" s="3" t="s">
        <v>764</v>
      </c>
      <c r="E2207" s="8">
        <v>56642100</v>
      </c>
      <c r="F2207" s="2">
        <v>4.4910000000000002E-4</v>
      </c>
      <c r="G2207" s="17">
        <f>F2207 * VLOOKUP('GASB Data'!A2207,Check!$A$2:$F$11,6,FALSE)</f>
        <v>1240389.9486</v>
      </c>
    </row>
    <row r="2208" spans="1:7" x14ac:dyDescent="0.2">
      <c r="A2208">
        <v>2022</v>
      </c>
      <c r="B2208" s="3" t="s">
        <v>404</v>
      </c>
      <c r="C2208" s="3" t="s">
        <v>765</v>
      </c>
      <c r="D2208" s="3" t="s">
        <v>765</v>
      </c>
      <c r="E2208" s="8">
        <v>44542154</v>
      </c>
      <c r="F2208" s="2">
        <v>3.5320000000000002E-4</v>
      </c>
      <c r="G2208" s="17">
        <f>F2208 * VLOOKUP('GASB Data'!A2208,Check!$A$2:$F$11,6,FALSE)</f>
        <v>975519.32720000006</v>
      </c>
    </row>
    <row r="2209" spans="1:7" x14ac:dyDescent="0.2">
      <c r="A2209">
        <v>2022</v>
      </c>
      <c r="B2209" s="3" t="s">
        <v>405</v>
      </c>
      <c r="C2209" s="3" t="s">
        <v>766</v>
      </c>
      <c r="D2209" s="3" t="s">
        <v>766</v>
      </c>
      <c r="E2209" s="8">
        <v>529634934</v>
      </c>
      <c r="F2209" s="2">
        <v>4.1995000000000001E-3</v>
      </c>
      <c r="G2209" s="17">
        <f>F2209 * VLOOKUP('GASB Data'!A2209,Check!$A$2:$F$11,6,FALSE)</f>
        <v>11598792.227</v>
      </c>
    </row>
    <row r="2210" spans="1:7" x14ac:dyDescent="0.2">
      <c r="A2210">
        <v>2022</v>
      </c>
      <c r="B2210" s="3" t="s">
        <v>406</v>
      </c>
      <c r="C2210" s="3" t="s">
        <v>767</v>
      </c>
      <c r="D2210" s="3" t="s">
        <v>767</v>
      </c>
      <c r="E2210" s="8">
        <v>87650672</v>
      </c>
      <c r="F2210" s="2">
        <v>6.9499999999999998E-4</v>
      </c>
      <c r="G2210" s="17">
        <f>F2210 * VLOOKUP('GASB Data'!A2210,Check!$A$2:$F$11,6,FALSE)</f>
        <v>1919552.47</v>
      </c>
    </row>
    <row r="2211" spans="1:7" x14ac:dyDescent="0.2">
      <c r="A2211">
        <v>2022</v>
      </c>
      <c r="B2211" s="3" t="s">
        <v>407</v>
      </c>
      <c r="C2211" s="3" t="s">
        <v>768</v>
      </c>
      <c r="D2211" s="3" t="s">
        <v>768</v>
      </c>
      <c r="E2211" s="8">
        <v>35119240</v>
      </c>
      <c r="F2211" s="2">
        <v>2.7849999999999999E-4</v>
      </c>
      <c r="G2211" s="17">
        <f>F2211 * VLOOKUP('GASB Data'!A2211,Check!$A$2:$F$11,6,FALSE)</f>
        <v>769201.96100000001</v>
      </c>
    </row>
    <row r="2212" spans="1:7" x14ac:dyDescent="0.2">
      <c r="A2212">
        <v>2022</v>
      </c>
      <c r="B2212" s="3" t="s">
        <v>408</v>
      </c>
      <c r="C2212" s="3" t="s">
        <v>769</v>
      </c>
      <c r="D2212" s="3" t="s">
        <v>769</v>
      </c>
      <c r="E2212" s="8">
        <v>80969405</v>
      </c>
      <c r="F2212" s="2">
        <v>6.4199999999999999E-4</v>
      </c>
      <c r="G2212" s="17">
        <f>F2212 * VLOOKUP('GASB Data'!A2212,Check!$A$2:$F$11,6,FALSE)</f>
        <v>1773169.3319999999</v>
      </c>
    </row>
    <row r="2213" spans="1:7" x14ac:dyDescent="0.2">
      <c r="A2213">
        <v>2022</v>
      </c>
      <c r="B2213" s="3" t="s">
        <v>409</v>
      </c>
      <c r="C2213" s="3" t="s">
        <v>770</v>
      </c>
      <c r="D2213" s="3" t="s">
        <v>770</v>
      </c>
      <c r="E2213" s="8">
        <v>12101167</v>
      </c>
      <c r="F2213" s="2">
        <v>9.59E-5</v>
      </c>
      <c r="G2213" s="17">
        <f>F2213 * VLOOKUP('GASB Data'!A2213,Check!$A$2:$F$11,6,FALSE)</f>
        <v>264870.6214</v>
      </c>
    </row>
    <row r="2214" spans="1:7" x14ac:dyDescent="0.2">
      <c r="A2214">
        <v>2022</v>
      </c>
      <c r="B2214" s="3" t="s">
        <v>410</v>
      </c>
      <c r="C2214" s="3" t="s">
        <v>771</v>
      </c>
      <c r="D2214" s="3" t="s">
        <v>771</v>
      </c>
      <c r="E2214" s="8">
        <v>85916095</v>
      </c>
      <c r="F2214" s="2">
        <v>6.8119999999999997E-4</v>
      </c>
      <c r="G2214" s="17">
        <f>F2214 * VLOOKUP('GASB Data'!A2214,Check!$A$2:$F$11,6,FALSE)</f>
        <v>1881437.6151999999</v>
      </c>
    </row>
    <row r="2215" spans="1:7" x14ac:dyDescent="0.2">
      <c r="A2215">
        <v>2022</v>
      </c>
      <c r="B2215" s="3" t="s">
        <v>412</v>
      </c>
      <c r="C2215" s="3" t="s">
        <v>773</v>
      </c>
      <c r="D2215" s="3" t="s">
        <v>773</v>
      </c>
      <c r="E2215" s="8">
        <v>39954704</v>
      </c>
      <c r="F2215" s="2">
        <v>3.168E-4</v>
      </c>
      <c r="G2215" s="17">
        <f>F2215 * VLOOKUP('GASB Data'!A2215,Check!$A$2:$F$11,6,FALSE)</f>
        <v>874984.49280000001</v>
      </c>
    </row>
    <row r="2216" spans="1:7" x14ac:dyDescent="0.2">
      <c r="A2216">
        <v>2022</v>
      </c>
      <c r="B2216" s="3" t="s">
        <v>413</v>
      </c>
      <c r="C2216" s="3" t="s">
        <v>774</v>
      </c>
      <c r="D2216" s="3" t="s">
        <v>774</v>
      </c>
      <c r="E2216" s="8">
        <v>167451948</v>
      </c>
      <c r="F2216" s="2">
        <v>1.3277E-3</v>
      </c>
      <c r="G2216" s="17">
        <f>F2216 * VLOOKUP('GASB Data'!A2216,Check!$A$2:$F$11,6,FALSE)</f>
        <v>3667035.7042</v>
      </c>
    </row>
    <row r="2217" spans="1:7" x14ac:dyDescent="0.2">
      <c r="A2217">
        <v>2022</v>
      </c>
      <c r="B2217" s="3" t="s">
        <v>414</v>
      </c>
      <c r="C2217" s="3" t="s">
        <v>775</v>
      </c>
      <c r="D2217" s="3" t="s">
        <v>775</v>
      </c>
      <c r="E2217" s="8">
        <v>37307069</v>
      </c>
      <c r="F2217" s="2">
        <v>2.9579999999999998E-4</v>
      </c>
      <c r="G2217" s="17">
        <f>F2217 * VLOOKUP('GASB Data'!A2217,Check!$A$2:$F$11,6,FALSE)</f>
        <v>816983.62679999997</v>
      </c>
    </row>
    <row r="2218" spans="1:7" x14ac:dyDescent="0.2">
      <c r="A2218">
        <v>2022</v>
      </c>
      <c r="B2218" s="3" t="s">
        <v>415</v>
      </c>
      <c r="C2218" s="3" t="s">
        <v>776</v>
      </c>
      <c r="D2218" s="3" t="s">
        <v>776</v>
      </c>
      <c r="E2218" s="8">
        <v>604324181</v>
      </c>
      <c r="F2218" s="2">
        <v>4.7917000000000003E-3</v>
      </c>
      <c r="G2218" s="17">
        <f>F2218 * VLOOKUP('GASB Data'!A2218,Check!$A$2:$F$11,6,FALSE)</f>
        <v>13234416.648200002</v>
      </c>
    </row>
    <row r="2219" spans="1:7" x14ac:dyDescent="0.2">
      <c r="A2219">
        <v>2022</v>
      </c>
      <c r="B2219" s="3" t="s">
        <v>416</v>
      </c>
      <c r="C2219" s="3" t="s">
        <v>777</v>
      </c>
      <c r="D2219" s="3" t="s">
        <v>777</v>
      </c>
      <c r="E2219" s="8">
        <v>16204236</v>
      </c>
      <c r="F2219" s="2">
        <v>1.2850000000000001E-4</v>
      </c>
      <c r="G2219" s="17">
        <f>F2219 * VLOOKUP('GASB Data'!A2219,Check!$A$2:$F$11,6,FALSE)</f>
        <v>354910.06100000005</v>
      </c>
    </row>
    <row r="2220" spans="1:7" x14ac:dyDescent="0.2">
      <c r="A2220">
        <v>2022</v>
      </c>
      <c r="B2220" s="3" t="s">
        <v>417</v>
      </c>
      <c r="C2220" s="3" t="s">
        <v>778</v>
      </c>
      <c r="D2220" s="3" t="s">
        <v>778</v>
      </c>
      <c r="E2220" s="8">
        <v>25043521</v>
      </c>
      <c r="F2220" s="2">
        <v>1.986E-4</v>
      </c>
      <c r="G2220" s="17">
        <f>F2220 * VLOOKUP('GASB Data'!A2220,Check!$A$2:$F$11,6,FALSE)</f>
        <v>548522.47560000001</v>
      </c>
    </row>
    <row r="2221" spans="1:7" x14ac:dyDescent="0.2">
      <c r="A2221">
        <v>2022</v>
      </c>
      <c r="B2221" s="3" t="s">
        <v>927</v>
      </c>
      <c r="C2221" s="3" t="s">
        <v>926</v>
      </c>
      <c r="D2221" s="3" t="s">
        <v>926</v>
      </c>
      <c r="E2221" s="8">
        <v>33982202</v>
      </c>
      <c r="F2221" s="2">
        <v>2.6939999999999999E-4</v>
      </c>
      <c r="G2221" s="17">
        <f>F2221 * VLOOKUP('GASB Data'!A2221,Check!$A$2:$F$11,6,FALSE)</f>
        <v>744068.2524</v>
      </c>
    </row>
    <row r="2222" spans="1:7" x14ac:dyDescent="0.2">
      <c r="A2222">
        <v>2022</v>
      </c>
      <c r="B2222" s="3" t="s">
        <v>418</v>
      </c>
      <c r="C2222" s="3" t="s">
        <v>779</v>
      </c>
      <c r="D2222" s="3" t="s">
        <v>779</v>
      </c>
      <c r="E2222" s="8">
        <v>122857699</v>
      </c>
      <c r="F2222" s="2">
        <v>9.7409999999999999E-4</v>
      </c>
      <c r="G2222" s="17">
        <f>F2222 * VLOOKUP('GASB Data'!A2222,Check!$A$2:$F$11,6,FALSE)</f>
        <v>2690411.5986000001</v>
      </c>
    </row>
    <row r="2223" spans="1:7" x14ac:dyDescent="0.2">
      <c r="A2223">
        <v>2022</v>
      </c>
      <c r="B2223" s="3" t="s">
        <v>419</v>
      </c>
      <c r="C2223" s="3" t="s">
        <v>780</v>
      </c>
      <c r="D2223" s="3" t="s">
        <v>780</v>
      </c>
      <c r="E2223" s="8">
        <v>645623859</v>
      </c>
      <c r="F2223" s="2">
        <v>5.1190999999999997E-3</v>
      </c>
      <c r="G2223" s="17">
        <f>F2223 * VLOOKUP('GASB Data'!A2223,Check!$A$2:$F$11,6,FALSE)</f>
        <v>14138677.7686</v>
      </c>
    </row>
    <row r="2224" spans="1:7" x14ac:dyDescent="0.2">
      <c r="A2224">
        <v>2022</v>
      </c>
      <c r="B2224" s="3" t="s">
        <v>420</v>
      </c>
      <c r="C2224" s="3" t="s">
        <v>931</v>
      </c>
      <c r="D2224" s="3" t="s">
        <v>931</v>
      </c>
      <c r="E2224" s="8">
        <v>96554187</v>
      </c>
      <c r="F2224" s="2">
        <v>7.6559999999999996E-4</v>
      </c>
      <c r="G2224" s="17">
        <f>F2224 * VLOOKUP('GASB Data'!A2224,Check!$A$2:$F$11,6,FALSE)</f>
        <v>2114545.8575999998</v>
      </c>
    </row>
    <row r="2225" spans="1:7" x14ac:dyDescent="0.2">
      <c r="A2225">
        <v>2022</v>
      </c>
      <c r="B2225" s="3" t="s">
        <v>421</v>
      </c>
      <c r="C2225" s="3" t="s">
        <v>782</v>
      </c>
      <c r="D2225" s="3" t="s">
        <v>782</v>
      </c>
      <c r="E2225" s="8">
        <v>1401702507</v>
      </c>
      <c r="F2225" s="2">
        <v>1.11141E-2</v>
      </c>
      <c r="G2225" s="17">
        <f>F2225 * VLOOKUP('GASB Data'!A2225,Check!$A$2:$F$11,6,FALSE)</f>
        <v>30696544.038600001</v>
      </c>
    </row>
    <row r="2226" spans="1:7" x14ac:dyDescent="0.2">
      <c r="A2226">
        <v>2022</v>
      </c>
      <c r="B2226" s="3" t="s">
        <v>422</v>
      </c>
      <c r="C2226" s="3" t="s">
        <v>910</v>
      </c>
      <c r="D2226" s="3" t="s">
        <v>910</v>
      </c>
      <c r="E2226" s="8">
        <v>20388202</v>
      </c>
      <c r="F2226" s="2">
        <v>1.617E-4</v>
      </c>
      <c r="G2226" s="17">
        <f>F2226 * VLOOKUP('GASB Data'!A2226,Check!$A$2:$F$11,6,FALSE)</f>
        <v>446606.66820000001</v>
      </c>
    </row>
    <row r="2227" spans="1:7" x14ac:dyDescent="0.2">
      <c r="A2227">
        <v>2022</v>
      </c>
      <c r="B2227" s="3" t="s">
        <v>423</v>
      </c>
      <c r="C2227" s="3" t="s">
        <v>784</v>
      </c>
      <c r="D2227" s="3" t="s">
        <v>784</v>
      </c>
      <c r="E2227" s="8">
        <v>4193777</v>
      </c>
      <c r="F2227" s="2">
        <v>3.3300000000000003E-5</v>
      </c>
      <c r="G2227" s="17">
        <f>F2227 * VLOOKUP('GASB Data'!A2227,Check!$A$2:$F$11,6,FALSE)</f>
        <v>91972.801800000016</v>
      </c>
    </row>
    <row r="2228" spans="1:7" x14ac:dyDescent="0.2">
      <c r="A2228">
        <v>2022</v>
      </c>
      <c r="B2228" s="3" t="s">
        <v>424</v>
      </c>
      <c r="C2228" s="3" t="s">
        <v>785</v>
      </c>
      <c r="D2228" s="3" t="s">
        <v>785</v>
      </c>
      <c r="E2228" s="8">
        <v>256588671</v>
      </c>
      <c r="F2228" s="2">
        <v>2.0344999999999999E-3</v>
      </c>
      <c r="G2228" s="17">
        <f>F2228 * VLOOKUP('GASB Data'!A2228,Check!$A$2:$F$11,6,FALSE)</f>
        <v>5619179.1369999992</v>
      </c>
    </row>
    <row r="2229" spans="1:7" x14ac:dyDescent="0.2">
      <c r="A2229">
        <v>2022</v>
      </c>
      <c r="B2229" s="3" t="s">
        <v>425</v>
      </c>
      <c r="C2229" s="3" t="s">
        <v>786</v>
      </c>
      <c r="D2229" s="3" t="s">
        <v>786</v>
      </c>
      <c r="E2229" s="8">
        <v>77531503</v>
      </c>
      <c r="F2229" s="2">
        <v>6.1470000000000003E-4</v>
      </c>
      <c r="G2229" s="17">
        <f>F2229 * VLOOKUP('GASB Data'!A2229,Check!$A$2:$F$11,6,FALSE)</f>
        <v>1697768.2062000001</v>
      </c>
    </row>
    <row r="2230" spans="1:7" x14ac:dyDescent="0.2">
      <c r="A2230">
        <v>2022</v>
      </c>
      <c r="B2230" s="3" t="s">
        <v>427</v>
      </c>
      <c r="C2230" s="3" t="s">
        <v>788</v>
      </c>
      <c r="D2230" s="3" t="s">
        <v>788</v>
      </c>
      <c r="E2230" s="8">
        <v>1166860774</v>
      </c>
      <c r="F2230" s="2">
        <v>9.2519999999999998E-3</v>
      </c>
      <c r="G2230" s="17">
        <f>F2230 * VLOOKUP('GASB Data'!A2230,Check!$A$2:$F$11,6,FALSE)</f>
        <v>25553524.392000001</v>
      </c>
    </row>
    <row r="2231" spans="1:7" x14ac:dyDescent="0.2">
      <c r="A2231">
        <v>2022</v>
      </c>
      <c r="B2231" s="3" t="s">
        <v>428</v>
      </c>
      <c r="C2231" s="3" t="s">
        <v>789</v>
      </c>
      <c r="D2231" s="3" t="s">
        <v>789</v>
      </c>
      <c r="E2231" s="8">
        <v>4462060</v>
      </c>
      <c r="F2231" s="2">
        <v>3.54E-5</v>
      </c>
      <c r="G2231" s="17">
        <f>F2231 * VLOOKUP('GASB Data'!A2231,Check!$A$2:$F$11,6,FALSE)</f>
        <v>97772.888399999996</v>
      </c>
    </row>
    <row r="2232" spans="1:7" x14ac:dyDescent="0.2">
      <c r="A2232">
        <v>2022</v>
      </c>
      <c r="B2232" s="3" t="s">
        <v>429</v>
      </c>
      <c r="C2232" s="3" t="s">
        <v>790</v>
      </c>
      <c r="D2232" s="3" t="s">
        <v>790</v>
      </c>
      <c r="E2232" s="8">
        <v>138716747</v>
      </c>
      <c r="F2232" s="2">
        <v>1.0999E-3</v>
      </c>
      <c r="G2232" s="17">
        <f>F2232 * VLOOKUP('GASB Data'!A2232,Check!$A$2:$F$11,6,FALSE)</f>
        <v>3037864.4054</v>
      </c>
    </row>
    <row r="2233" spans="1:7" x14ac:dyDescent="0.2">
      <c r="A2233">
        <v>2022</v>
      </c>
      <c r="B2233" s="3" t="s">
        <v>430</v>
      </c>
      <c r="C2233" s="3" t="s">
        <v>791</v>
      </c>
      <c r="D2233" s="3" t="s">
        <v>791</v>
      </c>
      <c r="E2233" s="8">
        <v>422334591</v>
      </c>
      <c r="F2233" s="2">
        <v>3.3487E-3</v>
      </c>
      <c r="G2233" s="17">
        <f>F2233 * VLOOKUP('GASB Data'!A2233,Check!$A$2:$F$11,6,FALSE)</f>
        <v>9248928.5702</v>
      </c>
    </row>
    <row r="2234" spans="1:7" x14ac:dyDescent="0.2">
      <c r="A2234">
        <v>2022</v>
      </c>
      <c r="B2234" s="3" t="s">
        <v>432</v>
      </c>
      <c r="C2234" s="3" t="s">
        <v>792</v>
      </c>
      <c r="D2234" s="3" t="s">
        <v>792</v>
      </c>
      <c r="E2234" s="8">
        <v>34607482</v>
      </c>
      <c r="F2234" s="2">
        <v>2.744E-4</v>
      </c>
      <c r="G2234" s="17">
        <f>F2234 * VLOOKUP('GASB Data'!A2234,Check!$A$2:$F$11,6,FALSE)</f>
        <v>757877.98239999998</v>
      </c>
    </row>
    <row r="2235" spans="1:7" x14ac:dyDescent="0.2">
      <c r="A2235">
        <v>2022</v>
      </c>
      <c r="B2235" s="3" t="s">
        <v>433</v>
      </c>
      <c r="C2235" s="3" t="s">
        <v>793</v>
      </c>
      <c r="D2235" s="3" t="s">
        <v>793</v>
      </c>
      <c r="E2235" s="8">
        <v>853341953</v>
      </c>
      <c r="F2235" s="2">
        <v>6.7660999999999997E-3</v>
      </c>
      <c r="G2235" s="17">
        <f>F2235 * VLOOKUP('GASB Data'!A2235,Check!$A$2:$F$11,6,FALSE)</f>
        <v>18687602.830600001</v>
      </c>
    </row>
    <row r="2236" spans="1:7" x14ac:dyDescent="0.2">
      <c r="A2236">
        <v>2022</v>
      </c>
      <c r="B2236" s="3" t="s">
        <v>434</v>
      </c>
      <c r="C2236" s="3" t="s">
        <v>794</v>
      </c>
      <c r="D2236" s="3" t="s">
        <v>794</v>
      </c>
      <c r="E2236" s="8">
        <v>86413397</v>
      </c>
      <c r="F2236" s="2">
        <v>6.8519999999999996E-4</v>
      </c>
      <c r="G2236" s="17">
        <f>F2236 * VLOOKUP('GASB Data'!A2236,Check!$A$2:$F$11,6,FALSE)</f>
        <v>1892485.3991999999</v>
      </c>
    </row>
    <row r="2237" spans="1:7" x14ac:dyDescent="0.2">
      <c r="A2237">
        <v>2022</v>
      </c>
      <c r="B2237" s="3" t="s">
        <v>435</v>
      </c>
      <c r="C2237" s="3" t="s">
        <v>795</v>
      </c>
      <c r="D2237" s="3" t="s">
        <v>795</v>
      </c>
      <c r="E2237" s="8">
        <v>27776344</v>
      </c>
      <c r="F2237" s="2">
        <v>2.2020000000000001E-4</v>
      </c>
      <c r="G2237" s="17">
        <f>F2237 * VLOOKUP('GASB Data'!A2237,Check!$A$2:$F$11,6,FALSE)</f>
        <v>608180.50920000009</v>
      </c>
    </row>
    <row r="2238" spans="1:7" x14ac:dyDescent="0.2">
      <c r="A2238">
        <v>2022</v>
      </c>
      <c r="B2238" s="3" t="s">
        <v>490</v>
      </c>
      <c r="C2238" s="3" t="s">
        <v>796</v>
      </c>
      <c r="D2238" s="3" t="s">
        <v>796</v>
      </c>
      <c r="E2238" s="8">
        <v>26440522</v>
      </c>
      <c r="F2238" s="2">
        <v>2.096E-4</v>
      </c>
      <c r="G2238" s="17">
        <f>F2238 * VLOOKUP('GASB Data'!A2238,Check!$A$2:$F$11,6,FALSE)</f>
        <v>578903.88159999996</v>
      </c>
    </row>
    <row r="2239" spans="1:7" x14ac:dyDescent="0.2">
      <c r="A2239">
        <v>2022</v>
      </c>
      <c r="B2239" s="3" t="s">
        <v>491</v>
      </c>
      <c r="C2239" s="3" t="s">
        <v>797</v>
      </c>
      <c r="D2239" s="3" t="s">
        <v>797</v>
      </c>
      <c r="E2239" s="8">
        <v>239886300</v>
      </c>
      <c r="F2239" s="2">
        <v>1.9021000000000001E-3</v>
      </c>
      <c r="G2239" s="17">
        <f>F2239 * VLOOKUP('GASB Data'!A2239,Check!$A$2:$F$11,6,FALSE)</f>
        <v>5253497.4866000004</v>
      </c>
    </row>
    <row r="2240" spans="1:7" x14ac:dyDescent="0.2">
      <c r="A2240">
        <v>2022</v>
      </c>
      <c r="B2240" s="3" t="s">
        <v>850</v>
      </c>
      <c r="C2240" s="3" t="s">
        <v>913</v>
      </c>
      <c r="D2240" s="3" t="s">
        <v>913</v>
      </c>
      <c r="E2240" s="8">
        <v>27334583</v>
      </c>
      <c r="F2240" s="2">
        <v>2.1670000000000001E-4</v>
      </c>
      <c r="G2240" s="17">
        <f>F2240 * VLOOKUP('GASB Data'!A2240,Check!$A$2:$F$11,6,FALSE)</f>
        <v>598513.69819999998</v>
      </c>
    </row>
    <row r="2241" spans="1:7" x14ac:dyDescent="0.2">
      <c r="A2241">
        <v>2022</v>
      </c>
      <c r="B2241" s="3" t="s">
        <v>492</v>
      </c>
      <c r="C2241" s="3" t="s">
        <v>799</v>
      </c>
      <c r="D2241" s="3" t="s">
        <v>799</v>
      </c>
      <c r="E2241" s="8">
        <v>72949231</v>
      </c>
      <c r="F2241" s="2">
        <v>5.7839999999999996E-4</v>
      </c>
      <c r="G2241" s="17">
        <f>F2241 * VLOOKUP('GASB Data'!A2241,Check!$A$2:$F$11,6,FALSE)</f>
        <v>1597509.5663999999</v>
      </c>
    </row>
    <row r="2242" spans="1:7" x14ac:dyDescent="0.2">
      <c r="A2242">
        <v>2022</v>
      </c>
      <c r="B2242" s="3" t="s">
        <v>493</v>
      </c>
      <c r="C2242" s="3" t="s">
        <v>800</v>
      </c>
      <c r="D2242" s="3" t="s">
        <v>800</v>
      </c>
      <c r="E2242" s="8">
        <v>447600667</v>
      </c>
      <c r="F2242" s="2">
        <v>3.5490000000000001E-3</v>
      </c>
      <c r="G2242" s="17">
        <f>F2242 * VLOOKUP('GASB Data'!A2242,Check!$A$2:$F$11,6,FALSE)</f>
        <v>9802146.3540000003</v>
      </c>
    </row>
    <row r="2243" spans="1:7" x14ac:dyDescent="0.2">
      <c r="A2243">
        <v>2022</v>
      </c>
      <c r="B2243" s="3" t="s">
        <v>494</v>
      </c>
      <c r="C2243" s="3" t="s">
        <v>801</v>
      </c>
      <c r="D2243" s="3" t="s">
        <v>801</v>
      </c>
      <c r="E2243" s="8">
        <v>87700269</v>
      </c>
      <c r="F2243" s="2">
        <v>6.9539999999999999E-4</v>
      </c>
      <c r="G2243" s="17">
        <f>F2243 * VLOOKUP('GASB Data'!A2243,Check!$A$2:$F$11,6,FALSE)</f>
        <v>1920657.2483999999</v>
      </c>
    </row>
    <row r="2244" spans="1:7" x14ac:dyDescent="0.2">
      <c r="A2244">
        <v>2022</v>
      </c>
      <c r="B2244" s="3" t="s">
        <v>495</v>
      </c>
      <c r="C2244" s="3" t="s">
        <v>802</v>
      </c>
      <c r="D2244" s="3" t="s">
        <v>802</v>
      </c>
      <c r="E2244" s="8">
        <v>237998047</v>
      </c>
      <c r="F2244" s="2">
        <v>1.8871000000000001E-3</v>
      </c>
      <c r="G2244" s="17">
        <f>F2244 * VLOOKUP('GASB Data'!A2244,Check!$A$2:$F$11,6,FALSE)</f>
        <v>5212068.2966</v>
      </c>
    </row>
    <row r="2245" spans="1:7" x14ac:dyDescent="0.2">
      <c r="A2245">
        <v>2022</v>
      </c>
      <c r="B2245" s="3" t="s">
        <v>496</v>
      </c>
      <c r="C2245" s="3" t="s">
        <v>803</v>
      </c>
      <c r="D2245" s="3" t="s">
        <v>803</v>
      </c>
      <c r="E2245" s="8">
        <v>25731049</v>
      </c>
      <c r="F2245" s="2">
        <v>2.04E-4</v>
      </c>
      <c r="G2245" s="17">
        <f>F2245 * VLOOKUP('GASB Data'!A2245,Check!$A$2:$F$11,6,FALSE)</f>
        <v>563436.98399999994</v>
      </c>
    </row>
    <row r="2246" spans="1:7" x14ac:dyDescent="0.2">
      <c r="A2246">
        <v>2022</v>
      </c>
      <c r="B2246" s="3" t="s">
        <v>497</v>
      </c>
      <c r="C2246" s="3" t="s">
        <v>804</v>
      </c>
      <c r="D2246" s="3" t="s">
        <v>804</v>
      </c>
      <c r="E2246" s="8">
        <v>55896395</v>
      </c>
      <c r="F2246" s="2">
        <v>4.4319999999999999E-4</v>
      </c>
      <c r="G2246" s="17">
        <f>F2246 * VLOOKUP('GASB Data'!A2246,Check!$A$2:$F$11,6,FALSE)</f>
        <v>1224094.4672000001</v>
      </c>
    </row>
    <row r="2247" spans="1:7" x14ac:dyDescent="0.2">
      <c r="A2247">
        <v>2022</v>
      </c>
      <c r="B2247" s="3" t="s">
        <v>498</v>
      </c>
      <c r="C2247" s="3" t="s">
        <v>805</v>
      </c>
      <c r="D2247" s="3" t="s">
        <v>805</v>
      </c>
      <c r="E2247" s="8">
        <v>1202881017</v>
      </c>
      <c r="F2247" s="2">
        <v>9.5376000000000002E-3</v>
      </c>
      <c r="G2247" s="17">
        <f>F2247 * VLOOKUP('GASB Data'!A2247,Check!$A$2:$F$11,6,FALSE)</f>
        <v>26342336.169600002</v>
      </c>
    </row>
    <row r="2248" spans="1:7" x14ac:dyDescent="0.2">
      <c r="A2248">
        <v>2022</v>
      </c>
      <c r="B2248" s="3" t="s">
        <v>499</v>
      </c>
      <c r="C2248" s="3" t="s">
        <v>806</v>
      </c>
      <c r="D2248" s="3" t="s">
        <v>806</v>
      </c>
      <c r="E2248" s="8">
        <v>223337551</v>
      </c>
      <c r="F2248" s="2">
        <v>1.7708000000000001E-3</v>
      </c>
      <c r="G2248" s="17">
        <f>F2248 * VLOOKUP('GASB Data'!A2248,Check!$A$2:$F$11,6,FALSE)</f>
        <v>4890853.9768000003</v>
      </c>
    </row>
    <row r="2249" spans="1:7" x14ac:dyDescent="0.2">
      <c r="A2249">
        <v>2022</v>
      </c>
      <c r="B2249" s="3" t="s">
        <v>500</v>
      </c>
      <c r="C2249" s="3" t="s">
        <v>807</v>
      </c>
      <c r="D2249" s="3" t="s">
        <v>807</v>
      </c>
      <c r="E2249" s="8">
        <v>124411592</v>
      </c>
      <c r="F2249" s="2">
        <v>9.8649999999999996E-4</v>
      </c>
      <c r="G2249" s="17">
        <f>F2249 * VLOOKUP('GASB Data'!A2249,Check!$A$2:$F$11,6,FALSE)</f>
        <v>2724659.7289999998</v>
      </c>
    </row>
    <row r="2250" spans="1:7" x14ac:dyDescent="0.2">
      <c r="A2250">
        <v>2022</v>
      </c>
      <c r="B2250" s="3" t="s">
        <v>501</v>
      </c>
      <c r="C2250" s="3" t="s">
        <v>808</v>
      </c>
      <c r="D2250" s="3" t="s">
        <v>808</v>
      </c>
      <c r="E2250" s="8">
        <v>713053668</v>
      </c>
      <c r="F2250" s="2">
        <v>5.6537999999999996E-3</v>
      </c>
      <c r="G2250" s="17">
        <f>F2250 * VLOOKUP('GASB Data'!A2250,Check!$A$2:$F$11,6,FALSE)</f>
        <v>15615490.294799998</v>
      </c>
    </row>
    <row r="2251" spans="1:7" x14ac:dyDescent="0.2">
      <c r="A2251">
        <v>2022</v>
      </c>
      <c r="B2251" s="3" t="s">
        <v>502</v>
      </c>
      <c r="C2251" s="3" t="s">
        <v>939</v>
      </c>
      <c r="D2251" s="3" t="s">
        <v>939</v>
      </c>
      <c r="E2251" s="8">
        <v>75471850</v>
      </c>
      <c r="F2251" s="2">
        <v>5.9840000000000002E-4</v>
      </c>
      <c r="G2251" s="17">
        <f>F2251 * VLOOKUP('GASB Data'!A2251,Check!$A$2:$F$11,6,FALSE)</f>
        <v>1652748.4864000001</v>
      </c>
    </row>
    <row r="2252" spans="1:7" x14ac:dyDescent="0.2">
      <c r="A2252">
        <v>2022</v>
      </c>
      <c r="B2252" s="3" t="s">
        <v>503</v>
      </c>
      <c r="C2252" s="3" t="s">
        <v>810</v>
      </c>
      <c r="D2252" s="3" t="s">
        <v>810</v>
      </c>
      <c r="E2252" s="8">
        <v>87509841</v>
      </c>
      <c r="F2252" s="2">
        <v>6.9390000000000001E-4</v>
      </c>
      <c r="G2252" s="17">
        <f>F2252 * VLOOKUP('GASB Data'!A2252,Check!$A$2:$F$11,6,FALSE)</f>
        <v>1916514.3293999999</v>
      </c>
    </row>
    <row r="2253" spans="1:7" x14ac:dyDescent="0.2">
      <c r="A2253">
        <v>2022</v>
      </c>
      <c r="B2253" s="3" t="s">
        <v>504</v>
      </c>
      <c r="C2253" s="3" t="s">
        <v>811</v>
      </c>
      <c r="D2253" s="3" t="s">
        <v>811</v>
      </c>
      <c r="E2253" s="8">
        <v>223991817</v>
      </c>
      <c r="F2253" s="2">
        <v>1.776E-3</v>
      </c>
      <c r="G2253" s="17">
        <f>F2253 * VLOOKUP('GASB Data'!A2253,Check!$A$2:$F$11,6,FALSE)</f>
        <v>4905216.0959999999</v>
      </c>
    </row>
    <row r="2254" spans="1:7" x14ac:dyDescent="0.2">
      <c r="A2254">
        <v>2022</v>
      </c>
      <c r="B2254" s="3" t="s">
        <v>505</v>
      </c>
      <c r="C2254" s="3" t="s">
        <v>812</v>
      </c>
      <c r="D2254" s="3" t="s">
        <v>812</v>
      </c>
      <c r="E2254" s="8">
        <v>314702061</v>
      </c>
      <c r="F2254" s="2">
        <v>2.4953000000000002E-3</v>
      </c>
      <c r="G2254" s="17">
        <f>F2254 * VLOOKUP('GASB Data'!A2254,Check!$A$2:$F$11,6,FALSE)</f>
        <v>6891883.8538000006</v>
      </c>
    </row>
    <row r="2255" spans="1:7" x14ac:dyDescent="0.2">
      <c r="A2255">
        <v>2022</v>
      </c>
      <c r="B2255" s="3" t="s">
        <v>506</v>
      </c>
      <c r="C2255" s="3" t="s">
        <v>813</v>
      </c>
      <c r="D2255" s="3" t="s">
        <v>813</v>
      </c>
      <c r="E2255" s="8">
        <v>88847371</v>
      </c>
      <c r="F2255" s="2">
        <v>7.0450000000000005E-4</v>
      </c>
      <c r="G2255" s="17">
        <f>F2255 * VLOOKUP('GASB Data'!A2255,Check!$A$2:$F$11,6,FALSE)</f>
        <v>1945790.9570000002</v>
      </c>
    </row>
    <row r="2256" spans="1:7" x14ac:dyDescent="0.2">
      <c r="A2256">
        <v>2022</v>
      </c>
      <c r="B2256" s="3" t="s">
        <v>507</v>
      </c>
      <c r="C2256" s="3" t="s">
        <v>814</v>
      </c>
      <c r="D2256" s="3" t="s">
        <v>814</v>
      </c>
      <c r="E2256" s="8">
        <v>1006784944</v>
      </c>
      <c r="F2256" s="2">
        <v>7.9828E-3</v>
      </c>
      <c r="G2256" s="17">
        <f>F2256 * VLOOKUP('GASB Data'!A2256,Check!$A$2:$F$11,6,FALSE)</f>
        <v>22048062.5288</v>
      </c>
    </row>
    <row r="2257" spans="1:7" x14ac:dyDescent="0.2">
      <c r="A2257">
        <v>2022</v>
      </c>
      <c r="B2257" s="3" t="s">
        <v>508</v>
      </c>
      <c r="C2257" s="3" t="s">
        <v>815</v>
      </c>
      <c r="D2257" s="3" t="s">
        <v>815</v>
      </c>
      <c r="E2257" s="8">
        <v>8973690</v>
      </c>
      <c r="F2257" s="2">
        <v>7.1199999999999996E-5</v>
      </c>
      <c r="G2257" s="17">
        <f>F2257 * VLOOKUP('GASB Data'!A2257,Check!$A$2:$F$11,6,FALSE)</f>
        <v>196650.5552</v>
      </c>
    </row>
    <row r="2258" spans="1:7" x14ac:dyDescent="0.2">
      <c r="A2258">
        <v>2022</v>
      </c>
      <c r="B2258" s="3" t="s">
        <v>509</v>
      </c>
      <c r="C2258" s="3" t="s">
        <v>816</v>
      </c>
      <c r="D2258" s="3" t="s">
        <v>816</v>
      </c>
      <c r="E2258" s="8">
        <v>78635210</v>
      </c>
      <c r="F2258" s="2">
        <v>6.2350000000000003E-4</v>
      </c>
      <c r="G2258" s="17">
        <f>F2258 * VLOOKUP('GASB Data'!A2258,Check!$A$2:$F$11,6,FALSE)</f>
        <v>1722073.331</v>
      </c>
    </row>
    <row r="2259" spans="1:7" x14ac:dyDescent="0.2">
      <c r="A2259">
        <v>2022</v>
      </c>
      <c r="B2259" s="3" t="s">
        <v>510</v>
      </c>
      <c r="C2259" s="3" t="s">
        <v>817</v>
      </c>
      <c r="D2259" s="3" t="s">
        <v>817</v>
      </c>
      <c r="E2259" s="8">
        <v>516826693</v>
      </c>
      <c r="F2259" s="2">
        <v>4.0978999999999998E-3</v>
      </c>
      <c r="G2259" s="17">
        <f>F2259 * VLOOKUP('GASB Data'!A2259,Check!$A$2:$F$11,6,FALSE)</f>
        <v>11318178.5134</v>
      </c>
    </row>
    <row r="2260" spans="1:7" x14ac:dyDescent="0.2">
      <c r="A2260">
        <v>2022</v>
      </c>
      <c r="B2260" s="3" t="s">
        <v>511</v>
      </c>
      <c r="C2260" s="3" t="s">
        <v>818</v>
      </c>
      <c r="D2260" s="3" t="s">
        <v>818</v>
      </c>
      <c r="E2260" s="8">
        <v>16488026</v>
      </c>
      <c r="F2260" s="2">
        <v>1.3070000000000001E-4</v>
      </c>
      <c r="G2260" s="17">
        <f>F2260 * VLOOKUP('GASB Data'!A2260,Check!$A$2:$F$11,6,FALSE)</f>
        <v>360986.34220000001</v>
      </c>
    </row>
    <row r="2261" spans="1:7" x14ac:dyDescent="0.2">
      <c r="A2261">
        <v>2022</v>
      </c>
      <c r="B2261" s="3" t="s">
        <v>512</v>
      </c>
      <c r="C2261" s="3" t="s">
        <v>819</v>
      </c>
      <c r="D2261" s="3" t="s">
        <v>819</v>
      </c>
      <c r="E2261" s="8">
        <v>56783348</v>
      </c>
      <c r="F2261" s="2">
        <v>4.5019999999999999E-4</v>
      </c>
      <c r="G2261" s="17">
        <f>F2261 * VLOOKUP('GASB Data'!A2261,Check!$A$2:$F$11,6,FALSE)</f>
        <v>1243428.0892</v>
      </c>
    </row>
    <row r="2262" spans="1:7" x14ac:dyDescent="0.2">
      <c r="A2262">
        <v>2022</v>
      </c>
      <c r="B2262" s="3" t="s">
        <v>513</v>
      </c>
      <c r="C2262" s="3" t="s">
        <v>820</v>
      </c>
      <c r="D2262" s="3" t="s">
        <v>820</v>
      </c>
      <c r="E2262" s="8">
        <v>863676229</v>
      </c>
      <c r="F2262" s="2">
        <v>6.8481000000000002E-3</v>
      </c>
      <c r="G2262" s="17">
        <f>F2262 * VLOOKUP('GASB Data'!A2262,Check!$A$2:$F$11,6,FALSE)</f>
        <v>18914082.402600002</v>
      </c>
    </row>
    <row r="2263" spans="1:7" x14ac:dyDescent="0.2">
      <c r="A2263">
        <v>2022</v>
      </c>
      <c r="B2263" s="3" t="s">
        <v>514</v>
      </c>
      <c r="C2263" s="3" t="s">
        <v>821</v>
      </c>
      <c r="D2263" s="3" t="s">
        <v>821</v>
      </c>
      <c r="E2263" s="8">
        <v>181995442</v>
      </c>
      <c r="F2263" s="2">
        <v>1.4430000000000001E-3</v>
      </c>
      <c r="G2263" s="17">
        <f>F2263 * VLOOKUP('GASB Data'!A2263,Check!$A$2:$F$11,6,FALSE)</f>
        <v>3985488.0780000002</v>
      </c>
    </row>
    <row r="2264" spans="1:7" x14ac:dyDescent="0.2">
      <c r="A2264">
        <v>2022</v>
      </c>
      <c r="B2264" s="3" t="s">
        <v>515</v>
      </c>
      <c r="C2264" s="3" t="s">
        <v>822</v>
      </c>
      <c r="D2264" s="3" t="s">
        <v>822</v>
      </c>
      <c r="E2264" s="8">
        <v>397329060</v>
      </c>
      <c r="F2264" s="2">
        <v>3.1503999999999998E-3</v>
      </c>
      <c r="G2264" s="17">
        <f>F2264 * VLOOKUP('GASB Data'!A2264,Check!$A$2:$F$11,6,FALSE)</f>
        <v>8701234.6783999987</v>
      </c>
    </row>
    <row r="2265" spans="1:7" x14ac:dyDescent="0.2">
      <c r="A2265">
        <v>2022</v>
      </c>
      <c r="B2265" s="3" t="s">
        <v>516</v>
      </c>
      <c r="C2265" s="3" t="s">
        <v>823</v>
      </c>
      <c r="D2265" s="3" t="s">
        <v>823</v>
      </c>
      <c r="E2265" s="8">
        <v>72793403</v>
      </c>
      <c r="F2265" s="2">
        <v>5.7720000000000004E-4</v>
      </c>
      <c r="G2265" s="17">
        <f>F2265 * VLOOKUP('GASB Data'!A2265,Check!$A$2:$F$11,6,FALSE)</f>
        <v>1594195.2312</v>
      </c>
    </row>
    <row r="2266" spans="1:7" x14ac:dyDescent="0.2">
      <c r="A2266">
        <v>2022</v>
      </c>
      <c r="B2266" s="3" t="s">
        <v>517</v>
      </c>
      <c r="C2266" s="3" t="s">
        <v>824</v>
      </c>
      <c r="D2266" s="3" t="s">
        <v>824</v>
      </c>
      <c r="E2266" s="8">
        <v>376067013</v>
      </c>
      <c r="F2266" s="2">
        <v>2.9818000000000002E-3</v>
      </c>
      <c r="G2266" s="17">
        <f>F2266 * VLOOKUP('GASB Data'!A2266,Check!$A$2:$F$11,6,FALSE)</f>
        <v>8235570.5828000009</v>
      </c>
    </row>
    <row r="2267" spans="1:7" x14ac:dyDescent="0.2">
      <c r="A2267">
        <v>2022</v>
      </c>
      <c r="B2267" s="3" t="s">
        <v>518</v>
      </c>
      <c r="C2267" s="3" t="s">
        <v>825</v>
      </c>
      <c r="D2267" s="3" t="s">
        <v>825</v>
      </c>
      <c r="E2267" s="8">
        <v>53586528</v>
      </c>
      <c r="F2267" s="2">
        <v>4.2489999999999997E-4</v>
      </c>
      <c r="G2267" s="17">
        <f>F2267 * VLOOKUP('GASB Data'!A2267,Check!$A$2:$F$11,6,FALSE)</f>
        <v>1173550.8554</v>
      </c>
    </row>
    <row r="2268" spans="1:7" x14ac:dyDescent="0.2">
      <c r="A2268">
        <v>2022</v>
      </c>
      <c r="B2268" s="3" t="s">
        <v>519</v>
      </c>
      <c r="C2268" s="3" t="s">
        <v>826</v>
      </c>
      <c r="D2268" s="3" t="s">
        <v>826</v>
      </c>
      <c r="E2268" s="8">
        <v>147662071</v>
      </c>
      <c r="F2268" s="2">
        <v>1.1708000000000001E-3</v>
      </c>
      <c r="G2268" s="17">
        <f>F2268 * VLOOKUP('GASB Data'!A2268,Check!$A$2:$F$11,6,FALSE)</f>
        <v>3233686.3768000002</v>
      </c>
    </row>
    <row r="2269" spans="1:7" x14ac:dyDescent="0.2">
      <c r="A2269">
        <v>2022</v>
      </c>
      <c r="B2269" s="3" t="s">
        <v>520</v>
      </c>
      <c r="C2269" s="3" t="s">
        <v>827</v>
      </c>
      <c r="D2269" s="3" t="s">
        <v>827</v>
      </c>
      <c r="E2269" s="8">
        <v>303592835</v>
      </c>
      <c r="F2269" s="2">
        <v>2.4072E-3</v>
      </c>
      <c r="G2269" s="17">
        <f>F2269 * VLOOKUP('GASB Data'!A2269,Check!$A$2:$F$11,6,FALSE)</f>
        <v>6648556.4112</v>
      </c>
    </row>
    <row r="2270" spans="1:7" x14ac:dyDescent="0.2">
      <c r="A2270">
        <v>2022</v>
      </c>
      <c r="B2270" s="3" t="s">
        <v>521</v>
      </c>
      <c r="C2270" s="3" t="s">
        <v>828</v>
      </c>
      <c r="D2270" s="3" t="s">
        <v>828</v>
      </c>
      <c r="E2270" s="8">
        <v>361635009</v>
      </c>
      <c r="F2270" s="2">
        <v>2.8674E-3</v>
      </c>
      <c r="G2270" s="17">
        <f>F2270 * VLOOKUP('GASB Data'!A2270,Check!$A$2:$F$11,6,FALSE)</f>
        <v>7919603.9604000002</v>
      </c>
    </row>
    <row r="2271" spans="1:7" x14ac:dyDescent="0.2">
      <c r="A2271">
        <v>2022</v>
      </c>
      <c r="B2271" s="3" t="s">
        <v>522</v>
      </c>
      <c r="C2271" s="3" t="s">
        <v>829</v>
      </c>
      <c r="D2271" s="3" t="s">
        <v>829</v>
      </c>
      <c r="E2271" s="8">
        <v>25880454</v>
      </c>
      <c r="F2271" s="2">
        <v>2.052E-4</v>
      </c>
      <c r="G2271" s="17">
        <f>F2271 * VLOOKUP('GASB Data'!A2271,Check!$A$2:$F$11,6,FALSE)</f>
        <v>566751.31920000003</v>
      </c>
    </row>
    <row r="2272" spans="1:7" x14ac:dyDescent="0.2">
      <c r="A2272">
        <v>2022</v>
      </c>
      <c r="B2272" s="3" t="s">
        <v>523</v>
      </c>
      <c r="C2272" s="3" t="s">
        <v>830</v>
      </c>
      <c r="D2272" s="3" t="s">
        <v>830</v>
      </c>
      <c r="E2272" s="8">
        <v>89043321</v>
      </c>
      <c r="F2272" s="2">
        <v>7.0600000000000003E-4</v>
      </c>
      <c r="G2272" s="17">
        <f>F2272 * VLOOKUP('GASB Data'!A2272,Check!$A$2:$F$11,6,FALSE)</f>
        <v>1949933.8760000002</v>
      </c>
    </row>
    <row r="2273" spans="1:7" x14ac:dyDescent="0.2">
      <c r="A2273">
        <v>2022</v>
      </c>
      <c r="B2273" s="3" t="s">
        <v>524</v>
      </c>
      <c r="C2273" s="3" t="s">
        <v>831</v>
      </c>
      <c r="D2273" s="3" t="s">
        <v>831</v>
      </c>
      <c r="E2273" s="8">
        <v>287008281</v>
      </c>
      <c r="F2273" s="2">
        <v>2.2756999999999999E-3</v>
      </c>
      <c r="G2273" s="17">
        <f>F2273 * VLOOKUP('GASB Data'!A2273,Check!$A$2:$F$11,6,FALSE)</f>
        <v>6285360.5121999998</v>
      </c>
    </row>
    <row r="2274" spans="1:7" x14ac:dyDescent="0.2">
      <c r="A2274">
        <v>2022</v>
      </c>
      <c r="B2274" s="3" t="s">
        <v>525</v>
      </c>
      <c r="C2274" s="3" t="s">
        <v>832</v>
      </c>
      <c r="D2274" s="3" t="s">
        <v>832</v>
      </c>
      <c r="E2274" s="8">
        <v>365307550</v>
      </c>
      <c r="F2274" s="2">
        <v>2.8965000000000002E-3</v>
      </c>
      <c r="G2274" s="17">
        <f>F2274 * VLOOKUP('GASB Data'!A2274,Check!$A$2:$F$11,6,FALSE)</f>
        <v>7999976.5890000006</v>
      </c>
    </row>
    <row r="2275" spans="1:7" x14ac:dyDescent="0.2">
      <c r="A2275">
        <v>2022</v>
      </c>
      <c r="B2275" s="3" t="s">
        <v>527</v>
      </c>
      <c r="C2275" s="3" t="s">
        <v>834</v>
      </c>
      <c r="D2275" s="3" t="s">
        <v>834</v>
      </c>
      <c r="E2275" s="8">
        <v>29636679</v>
      </c>
      <c r="F2275" s="2">
        <v>2.3499999999999999E-4</v>
      </c>
      <c r="G2275" s="17">
        <f>F2275 * VLOOKUP('GASB Data'!A2275,Check!$A$2:$F$11,6,FALSE)</f>
        <v>649057.30999999994</v>
      </c>
    </row>
    <row r="2276" spans="1:7" x14ac:dyDescent="0.2">
      <c r="A2276">
        <v>2022</v>
      </c>
      <c r="B2276" s="3" t="s">
        <v>528</v>
      </c>
      <c r="C2276" s="3" t="s">
        <v>835</v>
      </c>
      <c r="D2276" s="3" t="s">
        <v>835</v>
      </c>
      <c r="E2276" s="8">
        <v>95493852</v>
      </c>
      <c r="F2276" s="2">
        <v>7.5719999999999997E-4</v>
      </c>
      <c r="G2276" s="17">
        <f>F2276 * VLOOKUP('GASB Data'!A2276,Check!$A$2:$F$11,6,FALSE)</f>
        <v>2091345.5111999998</v>
      </c>
    </row>
    <row r="2277" spans="1:7" x14ac:dyDescent="0.2">
      <c r="A2277">
        <v>2022</v>
      </c>
      <c r="B2277" s="3" t="s">
        <v>529</v>
      </c>
      <c r="C2277" s="3" t="s">
        <v>836</v>
      </c>
      <c r="D2277" s="3" t="s">
        <v>836</v>
      </c>
      <c r="E2277" s="8">
        <v>86353706</v>
      </c>
      <c r="F2277" s="2">
        <v>6.847E-4</v>
      </c>
      <c r="G2277" s="17">
        <f>F2277 * VLOOKUP('GASB Data'!A2277,Check!$A$2:$F$11,6,FALSE)</f>
        <v>1891104.4262000001</v>
      </c>
    </row>
    <row r="2278" spans="1:7" x14ac:dyDescent="0.2">
      <c r="A2278">
        <v>2022</v>
      </c>
      <c r="B2278" s="3" t="s">
        <v>530</v>
      </c>
      <c r="C2278" s="3" t="s">
        <v>837</v>
      </c>
      <c r="D2278" s="3" t="s">
        <v>837</v>
      </c>
      <c r="E2278" s="8">
        <v>64742965</v>
      </c>
      <c r="F2278" s="2">
        <v>5.1329999999999995E-4</v>
      </c>
      <c r="G2278" s="17">
        <f>F2278 * VLOOKUP('GASB Data'!A2278,Check!$A$2:$F$11,6,FALSE)</f>
        <v>1417706.8817999999</v>
      </c>
    </row>
    <row r="2279" spans="1:7" x14ac:dyDescent="0.2">
      <c r="A2279">
        <v>2022</v>
      </c>
      <c r="B2279" s="3" t="s">
        <v>531</v>
      </c>
      <c r="C2279" s="3" t="s">
        <v>838</v>
      </c>
      <c r="D2279" s="3" t="s">
        <v>838</v>
      </c>
      <c r="E2279" s="8">
        <v>110225434</v>
      </c>
      <c r="F2279" s="2">
        <v>8.7399999999999999E-4</v>
      </c>
      <c r="G2279" s="17">
        <f>F2279 * VLOOKUP('GASB Data'!A2279,Check!$A$2:$F$11,6,FALSE)</f>
        <v>2413940.804</v>
      </c>
    </row>
    <row r="2280" spans="1:7" x14ac:dyDescent="0.2">
      <c r="A2280">
        <v>2022</v>
      </c>
      <c r="B2280" s="3" t="s">
        <v>532</v>
      </c>
      <c r="C2280" s="3" t="s">
        <v>914</v>
      </c>
      <c r="D2280" s="3" t="s">
        <v>914</v>
      </c>
      <c r="E2280" s="8">
        <v>7562161</v>
      </c>
      <c r="F2280" s="2">
        <v>6.0000000000000002E-5</v>
      </c>
      <c r="G2280" s="17">
        <f>F2280 * VLOOKUP('GASB Data'!A2280,Check!$A$2:$F$11,6,FALSE)</f>
        <v>165716.76</v>
      </c>
    </row>
    <row r="2281" spans="1:7" x14ac:dyDescent="0.2">
      <c r="A2281">
        <v>2022</v>
      </c>
      <c r="B2281" s="3" t="s">
        <v>533</v>
      </c>
      <c r="C2281" s="3" t="s">
        <v>840</v>
      </c>
      <c r="D2281" s="3" t="s">
        <v>840</v>
      </c>
      <c r="E2281" s="8">
        <v>202170891</v>
      </c>
      <c r="F2281" s="2">
        <v>1.603E-3</v>
      </c>
      <c r="G2281" s="17">
        <f>F2281 * VLOOKUP('GASB Data'!A2281,Check!$A$2:$F$11,6,FALSE)</f>
        <v>4427399.4380000001</v>
      </c>
    </row>
    <row r="2282" spans="1:7" x14ac:dyDescent="0.2">
      <c r="A2282">
        <v>2022</v>
      </c>
      <c r="B2282" s="3" t="s">
        <v>534</v>
      </c>
      <c r="C2282" s="3" t="s">
        <v>841</v>
      </c>
      <c r="D2282" s="3" t="s">
        <v>841</v>
      </c>
      <c r="E2282" s="8">
        <v>22082883</v>
      </c>
      <c r="F2282" s="2">
        <v>1.751E-4</v>
      </c>
      <c r="G2282" s="17">
        <f>F2282 * VLOOKUP('GASB Data'!A2282,Check!$A$2:$F$11,6,FALSE)</f>
        <v>483616.74459999998</v>
      </c>
    </row>
    <row r="2283" spans="1:7" x14ac:dyDescent="0.2">
      <c r="A2283">
        <v>2022</v>
      </c>
      <c r="B2283" s="3" t="s">
        <v>535</v>
      </c>
      <c r="C2283" s="3" t="s">
        <v>842</v>
      </c>
      <c r="D2283" s="3" t="s">
        <v>842</v>
      </c>
      <c r="E2283" s="8">
        <v>44107305</v>
      </c>
      <c r="F2283" s="2">
        <v>3.4969999999999999E-4</v>
      </c>
      <c r="G2283" s="17">
        <f>F2283 * VLOOKUP('GASB Data'!A2283,Check!$A$2:$F$11,6,FALSE)</f>
        <v>965852.51619999995</v>
      </c>
    </row>
    <row r="2284" spans="1:7" x14ac:dyDescent="0.2">
      <c r="A2284">
        <v>2022</v>
      </c>
      <c r="B2284" s="3" t="s">
        <v>536</v>
      </c>
      <c r="C2284" s="3" t="s">
        <v>843</v>
      </c>
      <c r="D2284" s="3" t="s">
        <v>843</v>
      </c>
      <c r="E2284" s="8">
        <v>1931630676</v>
      </c>
      <c r="F2284" s="2">
        <v>1.53159E-2</v>
      </c>
      <c r="G2284" s="17">
        <f>F2284 * VLOOKUP('GASB Data'!A2284,Check!$A$2:$F$11,6,FALSE)</f>
        <v>42301688.741400003</v>
      </c>
    </row>
    <row r="2285" spans="1:7" x14ac:dyDescent="0.2">
      <c r="A2285">
        <v>2022</v>
      </c>
      <c r="B2285" s="3" t="s">
        <v>537</v>
      </c>
      <c r="C2285" s="3" t="s">
        <v>844</v>
      </c>
      <c r="D2285" s="3" t="s">
        <v>844</v>
      </c>
      <c r="E2285" s="8">
        <v>217113071</v>
      </c>
      <c r="F2285" s="2">
        <v>1.7214999999999999E-3</v>
      </c>
      <c r="G2285" s="17">
        <f>F2285 * VLOOKUP('GASB Data'!A2285,Check!$A$2:$F$11,6,FALSE)</f>
        <v>4754690.0389999999</v>
      </c>
    </row>
    <row r="2286" spans="1:7" x14ac:dyDescent="0.2">
      <c r="A2286">
        <v>2022</v>
      </c>
      <c r="B2286" s="3" t="s">
        <v>538</v>
      </c>
      <c r="C2286" s="3" t="s">
        <v>845</v>
      </c>
      <c r="D2286" s="3" t="s">
        <v>845</v>
      </c>
      <c r="E2286" s="8">
        <v>35373218</v>
      </c>
      <c r="F2286" s="2">
        <v>2.8049999999999999E-4</v>
      </c>
      <c r="G2286" s="17">
        <f>F2286 * VLOOKUP('GASB Data'!A2286,Check!$A$2:$F$11,6,FALSE)</f>
        <v>774725.853</v>
      </c>
    </row>
    <row r="2287" spans="1:7" x14ac:dyDescent="0.2">
      <c r="A2287">
        <v>2022</v>
      </c>
      <c r="B2287" s="3" t="s">
        <v>539</v>
      </c>
      <c r="C2287" s="3" t="s">
        <v>846</v>
      </c>
      <c r="D2287" s="3" t="s">
        <v>846</v>
      </c>
      <c r="E2287" s="8">
        <v>82149616</v>
      </c>
      <c r="F2287" s="2">
        <v>6.514E-4</v>
      </c>
      <c r="G2287" s="17">
        <f>F2287 * VLOOKUP('GASB Data'!A2287,Check!$A$2:$F$11,6,FALSE)</f>
        <v>1799131.6244000001</v>
      </c>
    </row>
    <row r="2288" spans="1:7" x14ac:dyDescent="0.2">
      <c r="A2288">
        <v>2022</v>
      </c>
      <c r="B2288" s="3" t="s">
        <v>540</v>
      </c>
      <c r="C2288" s="3" t="s">
        <v>847</v>
      </c>
      <c r="D2288" s="3" t="s">
        <v>847</v>
      </c>
      <c r="E2288" s="8">
        <v>8366018068</v>
      </c>
      <c r="F2288" s="2">
        <v>6.6333799999999998E-2</v>
      </c>
      <c r="G2288" s="17">
        <f>F2288 * VLOOKUP('GASB Data'!A2288,Check!$A$2:$F$11,6,FALSE)</f>
        <v>183210373.57479998</v>
      </c>
    </row>
    <row r="2289" spans="1:7" x14ac:dyDescent="0.2">
      <c r="A2289">
        <v>2022</v>
      </c>
      <c r="B2289" s="3" t="s">
        <v>541</v>
      </c>
      <c r="C2289" s="3" t="s">
        <v>848</v>
      </c>
      <c r="D2289" s="3" t="s">
        <v>848</v>
      </c>
      <c r="E2289" s="8">
        <v>33369235</v>
      </c>
      <c r="F2289" s="2">
        <v>2.6459999999999998E-4</v>
      </c>
      <c r="G2289" s="17">
        <f>F2289 * VLOOKUP('GASB Data'!A2289,Check!$A$2:$F$11,6,FALSE)</f>
        <v>730810.91159999999</v>
      </c>
    </row>
    <row r="2290" spans="1:7" x14ac:dyDescent="0.2">
      <c r="A2290">
        <v>2022</v>
      </c>
      <c r="B2290" s="3" t="s">
        <v>542</v>
      </c>
      <c r="C2290" s="3" t="s">
        <v>849</v>
      </c>
      <c r="D2290" s="3" t="s">
        <v>849</v>
      </c>
      <c r="E2290" s="8">
        <v>38959135</v>
      </c>
      <c r="F2290" s="2">
        <v>3.0889999999999997E-4</v>
      </c>
      <c r="G2290" s="17">
        <f>F2290 * VLOOKUP('GASB Data'!A2290,Check!$A$2:$F$11,6,FALSE)</f>
        <v>853165.11939999997</v>
      </c>
    </row>
    <row r="2291" spans="1:7" x14ac:dyDescent="0.2">
      <c r="A2291">
        <v>2022</v>
      </c>
      <c r="B2291" s="3" t="s">
        <v>543</v>
      </c>
      <c r="C2291" s="3" t="s">
        <v>851</v>
      </c>
      <c r="D2291" s="3" t="s">
        <v>851</v>
      </c>
      <c r="E2291" s="8">
        <v>705770664</v>
      </c>
      <c r="F2291" s="2">
        <v>5.5960000000000003E-3</v>
      </c>
      <c r="G2291" s="17">
        <f>F2291 * VLOOKUP('GASB Data'!A2291,Check!$A$2:$F$11,6,FALSE)</f>
        <v>15455849.816000002</v>
      </c>
    </row>
    <row r="2292" spans="1:7" x14ac:dyDescent="0.2">
      <c r="A2292">
        <v>2022</v>
      </c>
      <c r="B2292" s="3" t="s">
        <v>561</v>
      </c>
      <c r="C2292" s="3" t="s">
        <v>852</v>
      </c>
      <c r="D2292" s="3" t="s">
        <v>852</v>
      </c>
      <c r="E2292" s="8">
        <v>50778095</v>
      </c>
      <c r="F2292" s="2">
        <v>4.0259999999999997E-4</v>
      </c>
      <c r="G2292" s="17">
        <f>F2292 * VLOOKUP('GASB Data'!A2292,Check!$A$2:$F$11,6,FALSE)</f>
        <v>1111959.4595999999</v>
      </c>
    </row>
    <row r="2293" spans="1:7" x14ac:dyDescent="0.2">
      <c r="A2293">
        <v>2022</v>
      </c>
      <c r="B2293" s="3" t="s">
        <v>933</v>
      </c>
      <c r="C2293" s="3" t="s">
        <v>932</v>
      </c>
      <c r="D2293" s="3" t="s">
        <v>932</v>
      </c>
      <c r="E2293" s="8">
        <v>10126880</v>
      </c>
      <c r="F2293" s="2">
        <v>8.03E-5</v>
      </c>
      <c r="G2293" s="17">
        <f>F2293 * VLOOKUP('GASB Data'!A2293,Check!$A$2:$F$11,6,FALSE)</f>
        <v>221784.26380000002</v>
      </c>
    </row>
    <row r="2294" spans="1:7" x14ac:dyDescent="0.2">
      <c r="A2294">
        <v>2022</v>
      </c>
      <c r="B2294" s="3" t="s">
        <v>563</v>
      </c>
      <c r="C2294" s="3" t="s">
        <v>854</v>
      </c>
      <c r="D2294" s="3" t="s">
        <v>854</v>
      </c>
      <c r="E2294" s="8">
        <v>83555418</v>
      </c>
      <c r="F2294" s="2">
        <v>6.625E-4</v>
      </c>
      <c r="G2294" s="17">
        <f>F2294 * VLOOKUP('GASB Data'!A2294,Check!$A$2:$F$11,6,FALSE)</f>
        <v>1829789.2250000001</v>
      </c>
    </row>
    <row r="2295" spans="1:7" x14ac:dyDescent="0.2">
      <c r="A2295">
        <v>2022</v>
      </c>
      <c r="B2295" s="3" t="s">
        <v>564</v>
      </c>
      <c r="C2295" s="3" t="s">
        <v>855</v>
      </c>
      <c r="D2295" s="3" t="s">
        <v>855</v>
      </c>
      <c r="E2295" s="8">
        <v>5558670</v>
      </c>
      <c r="F2295" s="2">
        <v>4.4100000000000001E-5</v>
      </c>
      <c r="G2295" s="17">
        <f>F2295 * VLOOKUP('GASB Data'!A2295,Check!$A$2:$F$11,6,FALSE)</f>
        <v>121801.8186</v>
      </c>
    </row>
    <row r="2296" spans="1:7" x14ac:dyDescent="0.2">
      <c r="A2296">
        <v>2022</v>
      </c>
      <c r="B2296" s="3" t="s">
        <v>565</v>
      </c>
      <c r="C2296" s="3" t="s">
        <v>856</v>
      </c>
      <c r="D2296" s="3" t="s">
        <v>856</v>
      </c>
      <c r="E2296" s="8">
        <v>53905957</v>
      </c>
      <c r="F2296" s="2">
        <v>4.2739999999999998E-4</v>
      </c>
      <c r="G2296" s="17">
        <f>F2296 * VLOOKUP('GASB Data'!A2296,Check!$A$2:$F$11,6,FALSE)</f>
        <v>1180455.7204</v>
      </c>
    </row>
    <row r="2297" spans="1:7" x14ac:dyDescent="0.2">
      <c r="A2297">
        <v>2022</v>
      </c>
      <c r="B2297" s="3" t="s">
        <v>566</v>
      </c>
      <c r="C2297" s="3" t="s">
        <v>857</v>
      </c>
      <c r="D2297" s="3" t="s">
        <v>857</v>
      </c>
      <c r="E2297" s="8">
        <v>62747498</v>
      </c>
      <c r="F2297" s="2">
        <v>4.975E-4</v>
      </c>
      <c r="G2297" s="17">
        <f>F2297 * VLOOKUP('GASB Data'!A2297,Check!$A$2:$F$11,6,FALSE)</f>
        <v>1374068.135</v>
      </c>
    </row>
    <row r="2298" spans="1:7" x14ac:dyDescent="0.2">
      <c r="A2298">
        <v>2022</v>
      </c>
      <c r="B2298" s="3" t="s">
        <v>567</v>
      </c>
      <c r="C2298" s="3" t="s">
        <v>858</v>
      </c>
      <c r="D2298" s="3" t="s">
        <v>858</v>
      </c>
      <c r="E2298" s="8">
        <v>295654984</v>
      </c>
      <c r="F2298" s="2">
        <v>2.3441999999999998E-3</v>
      </c>
      <c r="G2298" s="17">
        <f>F2298 * VLOOKUP('GASB Data'!A2298,Check!$A$2:$F$11,6,FALSE)</f>
        <v>6474553.8131999997</v>
      </c>
    </row>
    <row r="2299" spans="1:7" x14ac:dyDescent="0.2">
      <c r="A2299">
        <v>2022</v>
      </c>
      <c r="B2299" s="3" t="s">
        <v>568</v>
      </c>
      <c r="C2299" s="3" t="s">
        <v>917</v>
      </c>
      <c r="D2299" s="3" t="s">
        <v>917</v>
      </c>
      <c r="E2299" s="8">
        <v>7446436</v>
      </c>
      <c r="F2299" s="2">
        <v>5.8999999999999998E-5</v>
      </c>
      <c r="G2299" s="17">
        <f>F2299 * VLOOKUP('GASB Data'!A2299,Check!$A$2:$F$11,6,FALSE)</f>
        <v>162954.81399999998</v>
      </c>
    </row>
    <row r="2300" spans="1:7" x14ac:dyDescent="0.2">
      <c r="A2300">
        <v>2022</v>
      </c>
      <c r="B2300" s="3" t="s">
        <v>569</v>
      </c>
      <c r="C2300" s="3" t="s">
        <v>860</v>
      </c>
      <c r="D2300" s="3" t="s">
        <v>860</v>
      </c>
      <c r="E2300" s="8">
        <v>736350239</v>
      </c>
      <c r="F2300" s="2">
        <v>5.8384999999999999E-3</v>
      </c>
      <c r="G2300" s="17">
        <f>F2300 * VLOOKUP('GASB Data'!A2300,Check!$A$2:$F$11,6,FALSE)</f>
        <v>16125621.720999999</v>
      </c>
    </row>
    <row r="2301" spans="1:7" x14ac:dyDescent="0.2">
      <c r="A2301">
        <v>2022</v>
      </c>
      <c r="B2301" s="3" t="s">
        <v>570</v>
      </c>
      <c r="C2301" s="3" t="s">
        <v>861</v>
      </c>
      <c r="D2301" s="3" t="s">
        <v>861</v>
      </c>
      <c r="E2301" s="8">
        <v>117005130</v>
      </c>
      <c r="F2301" s="2">
        <v>9.2770000000000005E-4</v>
      </c>
      <c r="G2301" s="17">
        <f>F2301 * VLOOKUP('GASB Data'!A2301,Check!$A$2:$F$11,6,FALSE)</f>
        <v>2562257.3042000001</v>
      </c>
    </row>
    <row r="2302" spans="1:7" x14ac:dyDescent="0.2">
      <c r="A2302">
        <v>2022</v>
      </c>
      <c r="B2302" s="3" t="s">
        <v>571</v>
      </c>
      <c r="C2302" s="3" t="s">
        <v>862</v>
      </c>
      <c r="D2302" s="3" t="s">
        <v>862</v>
      </c>
      <c r="E2302" s="8">
        <v>431933886</v>
      </c>
      <c r="F2302" s="2">
        <v>3.4248E-3</v>
      </c>
      <c r="G2302" s="17">
        <f>F2302 * VLOOKUP('GASB Data'!A2302,Check!$A$2:$F$11,6,FALSE)</f>
        <v>9459112.6608000007</v>
      </c>
    </row>
    <row r="2303" spans="1:7" x14ac:dyDescent="0.2">
      <c r="A2303">
        <v>2022</v>
      </c>
      <c r="B2303" s="3" t="s">
        <v>572</v>
      </c>
      <c r="C2303" s="3" t="s">
        <v>863</v>
      </c>
      <c r="D2303" s="3" t="s">
        <v>863</v>
      </c>
      <c r="E2303" s="8">
        <v>32439818</v>
      </c>
      <c r="F2303" s="2">
        <v>2.5720000000000002E-4</v>
      </c>
      <c r="G2303" s="17">
        <f>F2303 * VLOOKUP('GASB Data'!A2303,Check!$A$2:$F$11,6,FALSE)</f>
        <v>710372.51120000007</v>
      </c>
    </row>
    <row r="2304" spans="1:7" x14ac:dyDescent="0.2">
      <c r="A2304">
        <v>2022</v>
      </c>
      <c r="B2304" s="3" t="s">
        <v>573</v>
      </c>
      <c r="C2304" s="3" t="s">
        <v>864</v>
      </c>
      <c r="D2304" s="3" t="s">
        <v>864</v>
      </c>
      <c r="E2304" s="8">
        <v>112130104</v>
      </c>
      <c r="F2304" s="2">
        <v>8.8909999999999998E-4</v>
      </c>
      <c r="G2304" s="17">
        <f>F2304 * VLOOKUP('GASB Data'!A2304,Check!$A$2:$F$11,6,FALSE)</f>
        <v>2455646.1886</v>
      </c>
    </row>
    <row r="2305" spans="1:8" x14ac:dyDescent="0.2">
      <c r="A2305">
        <v>2022</v>
      </c>
      <c r="B2305" s="3" t="s">
        <v>574</v>
      </c>
      <c r="C2305" s="3" t="s">
        <v>865</v>
      </c>
      <c r="D2305" s="3" t="s">
        <v>865</v>
      </c>
      <c r="E2305" s="8">
        <v>469900913</v>
      </c>
      <c r="F2305" s="2">
        <v>3.7258E-3</v>
      </c>
      <c r="G2305" s="17">
        <f>F2305 * VLOOKUP('GASB Data'!A2305,Check!$A$2:$F$11,6,FALSE)</f>
        <v>10290458.4068</v>
      </c>
    </row>
    <row r="2306" spans="1:8" x14ac:dyDescent="0.2">
      <c r="A2306">
        <v>2022</v>
      </c>
      <c r="B2306" s="3" t="s">
        <v>575</v>
      </c>
      <c r="C2306" s="3" t="s">
        <v>866</v>
      </c>
      <c r="D2306" s="3" t="s">
        <v>866</v>
      </c>
      <c r="E2306" s="8">
        <v>56158766</v>
      </c>
      <c r="F2306" s="2">
        <v>4.4529999999999998E-4</v>
      </c>
      <c r="G2306" s="17">
        <f>F2306 * VLOOKUP('GASB Data'!A2306,Check!$A$2:$F$11,6,FALSE)</f>
        <v>1229894.5537999999</v>
      </c>
    </row>
    <row r="2307" spans="1:8" x14ac:dyDescent="0.2">
      <c r="A2307">
        <v>2022</v>
      </c>
      <c r="B2307" s="3" t="s">
        <v>576</v>
      </c>
      <c r="C2307" s="3" t="s">
        <v>867</v>
      </c>
      <c r="D2307" s="3" t="s">
        <v>867</v>
      </c>
      <c r="E2307" s="8">
        <v>257379044</v>
      </c>
      <c r="F2307" s="2">
        <v>2.0408000000000002E-3</v>
      </c>
      <c r="G2307" s="17">
        <f>F2307 * VLOOKUP('GASB Data'!A2307,Check!$A$2:$F$11,6,FALSE)</f>
        <v>5636579.3968000002</v>
      </c>
    </row>
    <row r="2308" spans="1:8" x14ac:dyDescent="0.2">
      <c r="A2308">
        <v>2022</v>
      </c>
      <c r="B2308" s="3" t="s">
        <v>577</v>
      </c>
      <c r="C2308" s="3" t="s">
        <v>940</v>
      </c>
      <c r="D2308" s="3" t="s">
        <v>940</v>
      </c>
      <c r="E2308" s="8">
        <v>3547919413</v>
      </c>
      <c r="F2308" s="2">
        <v>2.8131400000000001E-2</v>
      </c>
      <c r="G2308" s="17">
        <f>F2308 * VLOOKUP('GASB Data'!A2308,Check!$A$2:$F$11,6,FALSE)</f>
        <v>77697407.704400003</v>
      </c>
    </row>
    <row r="2309" spans="1:8" x14ac:dyDescent="0.2">
      <c r="A2309">
        <v>2022</v>
      </c>
      <c r="B2309" s="3" t="s">
        <v>871</v>
      </c>
      <c r="C2309" s="3" t="s">
        <v>869</v>
      </c>
      <c r="D2309" s="3" t="s">
        <v>869</v>
      </c>
      <c r="E2309" s="8">
        <v>5427899</v>
      </c>
      <c r="F2309" s="2">
        <v>4.3000000000000002E-5</v>
      </c>
      <c r="G2309" s="17">
        <f>F2309 * VLOOKUP('GASB Data'!A2309,Check!$A$2:$F$11,6,FALSE)</f>
        <v>118763.678</v>
      </c>
    </row>
    <row r="2310" spans="1:8" x14ac:dyDescent="0.2">
      <c r="A2310">
        <v>2022</v>
      </c>
      <c r="B2310" s="3" t="s">
        <v>872</v>
      </c>
      <c r="C2310" s="3" t="s">
        <v>941</v>
      </c>
      <c r="D2310" s="4" t="s">
        <v>941</v>
      </c>
      <c r="E2310" s="9">
        <v>118345442</v>
      </c>
      <c r="F2310" s="5">
        <v>9.3840000000000004E-4</v>
      </c>
      <c r="G2310" s="17">
        <f>F2310 * VLOOKUP('GASB Data'!A2310,Check!$A$2:$F$11,6,FALSE)</f>
        <v>2591810.1264</v>
      </c>
    </row>
    <row r="2311" spans="1:8" x14ac:dyDescent="0.2">
      <c r="A2311">
        <v>2023</v>
      </c>
      <c r="B2311" s="3" t="s">
        <v>58</v>
      </c>
      <c r="C2311" s="3" t="s">
        <v>578</v>
      </c>
      <c r="D2311" s="3" t="s">
        <v>578</v>
      </c>
      <c r="E2311" s="8">
        <v>161395663</v>
      </c>
      <c r="F2311" s="2">
        <v>1.2144E-3</v>
      </c>
      <c r="G2311" s="17">
        <f>F2311 * VLOOKUP('GASB Data'!A2311,Check!$A$2:$F$11,6,FALSE)</f>
        <v>3685578.9168000002</v>
      </c>
      <c r="H2311" s="12"/>
    </row>
    <row r="2312" spans="1:8" x14ac:dyDescent="0.2">
      <c r="A2312">
        <v>2023</v>
      </c>
      <c r="B2312" s="3" t="s">
        <v>59</v>
      </c>
      <c r="C2312" s="3" t="s">
        <v>579</v>
      </c>
      <c r="D2312" s="3" t="s">
        <v>579</v>
      </c>
      <c r="E2312" s="8">
        <v>444306187</v>
      </c>
      <c r="F2312" s="2">
        <v>3.3430999999999999E-3</v>
      </c>
      <c r="G2312" s="17">
        <f>F2312 * VLOOKUP('GASB Data'!A2312,Check!$A$2:$F$11,6,FALSE)</f>
        <v>10145964.160699999</v>
      </c>
      <c r="H2312" s="12"/>
    </row>
    <row r="2313" spans="1:8" x14ac:dyDescent="0.2">
      <c r="A2313">
        <v>2023</v>
      </c>
      <c r="B2313" s="3" t="s">
        <v>60</v>
      </c>
      <c r="C2313" s="3" t="s">
        <v>874</v>
      </c>
      <c r="D2313" s="3" t="s">
        <v>874</v>
      </c>
      <c r="E2313" s="8">
        <v>100596208</v>
      </c>
      <c r="F2313" s="2">
        <v>7.5690000000000002E-4</v>
      </c>
      <c r="G2313" s="17">
        <f>F2313 * VLOOKUP('GASB Data'!A2313,Check!$A$2:$F$11,6,FALSE)</f>
        <v>2297113.5393000003</v>
      </c>
      <c r="H2313" s="12"/>
    </row>
    <row r="2314" spans="1:8" x14ac:dyDescent="0.2">
      <c r="A2314">
        <v>2023</v>
      </c>
      <c r="B2314" s="3" t="s">
        <v>61</v>
      </c>
      <c r="C2314" s="3" t="s">
        <v>581</v>
      </c>
      <c r="D2314" s="3" t="s">
        <v>581</v>
      </c>
      <c r="E2314" s="8">
        <v>681915197</v>
      </c>
      <c r="F2314" s="2">
        <v>5.1308999999999999E-3</v>
      </c>
      <c r="G2314" s="17">
        <f>F2314 * VLOOKUP('GASB Data'!A2314,Check!$A$2:$F$11,6,FALSE)</f>
        <v>15571753.0173</v>
      </c>
      <c r="H2314" s="12"/>
    </row>
    <row r="2315" spans="1:8" x14ac:dyDescent="0.2">
      <c r="A2315">
        <v>2023</v>
      </c>
      <c r="B2315" s="3" t="s">
        <v>62</v>
      </c>
      <c r="C2315" s="3" t="s">
        <v>582</v>
      </c>
      <c r="D2315" s="3" t="s">
        <v>582</v>
      </c>
      <c r="E2315" s="8">
        <v>2939681960</v>
      </c>
      <c r="F2315" s="2">
        <v>2.21189E-2</v>
      </c>
      <c r="G2315" s="17">
        <f>F2315 * VLOOKUP('GASB Data'!A2315,Check!$A$2:$F$11,6,FALSE)</f>
        <v>67128583.253299996</v>
      </c>
      <c r="H2315" s="12"/>
    </row>
    <row r="2316" spans="1:8" x14ac:dyDescent="0.2">
      <c r="A2316">
        <v>2023</v>
      </c>
      <c r="B2316" s="3" t="s">
        <v>63</v>
      </c>
      <c r="C2316" s="3" t="s">
        <v>583</v>
      </c>
      <c r="D2316" s="3" t="s">
        <v>583</v>
      </c>
      <c r="E2316" s="8">
        <v>24248436</v>
      </c>
      <c r="F2316" s="2">
        <v>1.8249999999999999E-4</v>
      </c>
      <c r="G2316" s="17">
        <f>F2316 * VLOOKUP('GASB Data'!A2316,Check!$A$2:$F$11,6,FALSE)</f>
        <v>553868.70250000001</v>
      </c>
      <c r="H2316" s="12"/>
    </row>
    <row r="2317" spans="1:8" x14ac:dyDescent="0.2">
      <c r="A2317">
        <v>2023</v>
      </c>
      <c r="B2317" s="3" t="s">
        <v>64</v>
      </c>
      <c r="C2317" s="3" t="s">
        <v>584</v>
      </c>
      <c r="D2317" s="3" t="s">
        <v>584</v>
      </c>
      <c r="E2317" s="8">
        <v>234595076</v>
      </c>
      <c r="F2317" s="2">
        <v>1.7652E-3</v>
      </c>
      <c r="G2317" s="17">
        <f>F2317 * VLOOKUP('GASB Data'!A2317,Check!$A$2:$F$11,6,FALSE)</f>
        <v>5357200.1843999997</v>
      </c>
      <c r="H2317" s="12"/>
    </row>
    <row r="2318" spans="1:8" x14ac:dyDescent="0.2">
      <c r="A2318">
        <v>2023</v>
      </c>
      <c r="B2318" s="3" t="s">
        <v>65</v>
      </c>
      <c r="C2318" s="3" t="s">
        <v>876</v>
      </c>
      <c r="D2318" s="3" t="s">
        <v>876</v>
      </c>
      <c r="E2318" s="8">
        <v>81190767</v>
      </c>
      <c r="F2318" s="2">
        <v>6.1090000000000005E-4</v>
      </c>
      <c r="G2318" s="17">
        <f>F2318 * VLOOKUP('GASB Data'!A2318,Check!$A$2:$F$11,6,FALSE)</f>
        <v>1854018.5773000002</v>
      </c>
      <c r="H2318" s="12"/>
    </row>
    <row r="2319" spans="1:8" x14ac:dyDescent="0.2">
      <c r="A2319">
        <v>2023</v>
      </c>
      <c r="B2319" s="3" t="s">
        <v>66</v>
      </c>
      <c r="C2319" s="3" t="s">
        <v>586</v>
      </c>
      <c r="D2319" s="3" t="s">
        <v>586</v>
      </c>
      <c r="E2319" s="8">
        <v>771521732</v>
      </c>
      <c r="F2319" s="2">
        <v>5.8050999999999997E-3</v>
      </c>
      <c r="G2319" s="17">
        <f>F2319 * VLOOKUP('GASB Data'!A2319,Check!$A$2:$F$11,6,FALSE)</f>
        <v>17617880.574699998</v>
      </c>
      <c r="H2319" s="12"/>
    </row>
    <row r="2320" spans="1:8" x14ac:dyDescent="0.2">
      <c r="A2320">
        <v>2023</v>
      </c>
      <c r="B2320" s="3" t="s">
        <v>67</v>
      </c>
      <c r="C2320" s="3" t="s">
        <v>587</v>
      </c>
      <c r="D2320" s="3" t="s">
        <v>587</v>
      </c>
      <c r="E2320" s="8">
        <v>104668291</v>
      </c>
      <c r="F2320" s="2">
        <v>7.8759999999999995E-4</v>
      </c>
      <c r="G2320" s="17">
        <f>F2320 * VLOOKUP('GASB Data'!A2320,Check!$A$2:$F$11,6,FALSE)</f>
        <v>2390284.8772</v>
      </c>
      <c r="H2320" s="12"/>
    </row>
    <row r="2321" spans="1:8" x14ac:dyDescent="0.2">
      <c r="A2321">
        <v>2023</v>
      </c>
      <c r="B2321" s="3" t="s">
        <v>68</v>
      </c>
      <c r="C2321" s="3" t="s">
        <v>878</v>
      </c>
      <c r="D2321" s="3" t="s">
        <v>878</v>
      </c>
      <c r="E2321" s="8">
        <v>120908349</v>
      </c>
      <c r="F2321" s="2">
        <v>9.0970000000000005E-4</v>
      </c>
      <c r="G2321" s="17">
        <f>F2321 * VLOOKUP('GASB Data'!A2321,Check!$A$2:$F$11,6,FALSE)</f>
        <v>2760845.8009000001</v>
      </c>
      <c r="H2321" s="12"/>
    </row>
    <row r="2322" spans="1:8" x14ac:dyDescent="0.2">
      <c r="A2322">
        <v>2023</v>
      </c>
      <c r="B2322" s="3" t="s">
        <v>924</v>
      </c>
      <c r="C2322" s="3" t="s">
        <v>921</v>
      </c>
      <c r="D2322" s="3" t="s">
        <v>921</v>
      </c>
      <c r="E2322" s="8">
        <v>34125282</v>
      </c>
      <c r="F2322" s="2">
        <v>2.5680000000000001E-4</v>
      </c>
      <c r="G2322" s="17">
        <f>F2322 * VLOOKUP('GASB Data'!A2322,Check!$A$2:$F$11,6,FALSE)</f>
        <v>779361.54960000003</v>
      </c>
      <c r="H2322" s="12"/>
    </row>
    <row r="2323" spans="1:8" x14ac:dyDescent="0.2">
      <c r="A2323">
        <v>2023</v>
      </c>
      <c r="B2323" s="3" t="s">
        <v>69</v>
      </c>
      <c r="C2323" s="3" t="s">
        <v>879</v>
      </c>
      <c r="D2323" s="3" t="s">
        <v>879</v>
      </c>
      <c r="E2323" s="8">
        <v>632947816</v>
      </c>
      <c r="F2323" s="2">
        <v>4.7625000000000002E-3</v>
      </c>
      <c r="G2323" s="17">
        <f>F2323 * VLOOKUP('GASB Data'!A2323,Check!$A$2:$F$11,6,FALSE)</f>
        <v>14453696.9625</v>
      </c>
      <c r="H2323" s="12"/>
    </row>
    <row r="2324" spans="1:8" x14ac:dyDescent="0.2">
      <c r="A2324">
        <v>2023</v>
      </c>
      <c r="B2324" s="3" t="s">
        <v>70</v>
      </c>
      <c r="C2324" s="3" t="s">
        <v>880</v>
      </c>
      <c r="D2324" s="3" t="s">
        <v>880</v>
      </c>
      <c r="E2324" s="8">
        <v>77002554</v>
      </c>
      <c r="F2324" s="2">
        <v>5.7939999999999999E-4</v>
      </c>
      <c r="G2324" s="17">
        <f>F2324 * VLOOKUP('GASB Data'!A2324,Check!$A$2:$F$11,6,FALSE)</f>
        <v>1758419.3218</v>
      </c>
      <c r="H2324" s="12"/>
    </row>
    <row r="2325" spans="1:8" x14ac:dyDescent="0.2">
      <c r="A2325">
        <v>2023</v>
      </c>
      <c r="B2325" s="3" t="s">
        <v>71</v>
      </c>
      <c r="C2325" s="3" t="s">
        <v>591</v>
      </c>
      <c r="D2325" s="3" t="s">
        <v>591</v>
      </c>
      <c r="E2325" s="8">
        <v>328614559</v>
      </c>
      <c r="F2325" s="2">
        <v>2.4726000000000001E-3</v>
      </c>
      <c r="G2325" s="17">
        <f>F2325 * VLOOKUP('GASB Data'!A2325,Check!$A$2:$F$11,6,FALSE)</f>
        <v>7504086.3222000003</v>
      </c>
      <c r="H2325" s="12"/>
    </row>
    <row r="2326" spans="1:8" x14ac:dyDescent="0.2">
      <c r="A2326">
        <v>2023</v>
      </c>
      <c r="B2326" s="3" t="s">
        <v>72</v>
      </c>
      <c r="C2326" s="3" t="s">
        <v>592</v>
      </c>
      <c r="D2326" s="3" t="s">
        <v>592</v>
      </c>
      <c r="E2326" s="8">
        <v>47070799</v>
      </c>
      <c r="F2326" s="2">
        <v>3.5419999999999999E-4</v>
      </c>
      <c r="G2326" s="17">
        <f>F2326 * VLOOKUP('GASB Data'!A2326,Check!$A$2:$F$11,6,FALSE)</f>
        <v>1074960.5174</v>
      </c>
      <c r="H2326" s="12"/>
    </row>
    <row r="2327" spans="1:8" x14ac:dyDescent="0.2">
      <c r="A2327">
        <v>2023</v>
      </c>
      <c r="B2327" s="3" t="s">
        <v>73</v>
      </c>
      <c r="C2327" s="3" t="s">
        <v>881</v>
      </c>
      <c r="D2327" s="3" t="s">
        <v>881</v>
      </c>
      <c r="E2327" s="8">
        <v>43290193</v>
      </c>
      <c r="F2327" s="2">
        <v>3.257E-4</v>
      </c>
      <c r="G2327" s="17">
        <f>F2327 * VLOOKUP('GASB Data'!A2327,Check!$A$2:$F$11,6,FALSE)</f>
        <v>988465.95290000003</v>
      </c>
      <c r="H2327" s="12"/>
    </row>
    <row r="2328" spans="1:8" x14ac:dyDescent="0.2">
      <c r="A2328">
        <v>2023</v>
      </c>
      <c r="B2328" s="3" t="s">
        <v>74</v>
      </c>
      <c r="C2328" s="3" t="s">
        <v>882</v>
      </c>
      <c r="D2328" s="3" t="s">
        <v>882</v>
      </c>
      <c r="E2328" s="8">
        <v>6614218</v>
      </c>
      <c r="F2328" s="2">
        <v>4.9799999999999998E-5</v>
      </c>
      <c r="G2328" s="17">
        <f>F2328 * VLOOKUP('GASB Data'!A2328,Check!$A$2:$F$11,6,FALSE)</f>
        <v>151137.87059999999</v>
      </c>
      <c r="H2328" s="12"/>
    </row>
    <row r="2329" spans="1:8" x14ac:dyDescent="0.2">
      <c r="A2329">
        <v>2023</v>
      </c>
      <c r="B2329" s="3" t="s">
        <v>75</v>
      </c>
      <c r="C2329" s="3" t="s">
        <v>595</v>
      </c>
      <c r="D2329" s="3" t="s">
        <v>595</v>
      </c>
      <c r="E2329" s="8">
        <v>266588452</v>
      </c>
      <c r="F2329" s="2">
        <v>2.0059000000000001E-3</v>
      </c>
      <c r="G2329" s="17">
        <f>F2329 * VLOOKUP('GASB Data'!A2329,Check!$A$2:$F$11,6,FALSE)</f>
        <v>6087699.8923000004</v>
      </c>
      <c r="H2329" s="12"/>
    </row>
    <row r="2330" spans="1:8" x14ac:dyDescent="0.2">
      <c r="A2330">
        <v>2023</v>
      </c>
      <c r="B2330" s="3" t="s">
        <v>76</v>
      </c>
      <c r="C2330" s="3" t="s">
        <v>883</v>
      </c>
      <c r="D2330" s="3" t="s">
        <v>883</v>
      </c>
      <c r="E2330" s="8">
        <v>6010897568</v>
      </c>
      <c r="F2330" s="2">
        <v>4.5227400000000001E-2</v>
      </c>
      <c r="G2330" s="17">
        <f>F2330 * VLOOKUP('GASB Data'!A2330,Check!$A$2:$F$11,6,FALSE)</f>
        <v>137260500.57780001</v>
      </c>
      <c r="H2330" s="12"/>
    </row>
    <row r="2331" spans="1:8" x14ac:dyDescent="0.2">
      <c r="A2331">
        <v>2023</v>
      </c>
      <c r="B2331" s="3" t="s">
        <v>77</v>
      </c>
      <c r="C2331" s="3" t="s">
        <v>597</v>
      </c>
      <c r="D2331" s="3" t="s">
        <v>597</v>
      </c>
      <c r="E2331" s="8">
        <v>590130605</v>
      </c>
      <c r="F2331" s="2">
        <v>4.4403000000000003E-3</v>
      </c>
      <c r="G2331" s="17">
        <f>F2331 * VLOOKUP('GASB Data'!A2331,Check!$A$2:$F$11,6,FALSE)</f>
        <v>13475853.149100002</v>
      </c>
      <c r="H2331" s="12"/>
    </row>
    <row r="2332" spans="1:8" x14ac:dyDescent="0.2">
      <c r="A2332">
        <v>2023</v>
      </c>
      <c r="B2332" s="3" t="s">
        <v>78</v>
      </c>
      <c r="C2332" s="3" t="s">
        <v>884</v>
      </c>
      <c r="D2332" s="3" t="s">
        <v>884</v>
      </c>
      <c r="E2332" s="8">
        <v>258541335</v>
      </c>
      <c r="F2332" s="2">
        <v>1.9453000000000001E-3</v>
      </c>
      <c r="G2332" s="17">
        <f>F2332 * VLOOKUP('GASB Data'!A2332,Check!$A$2:$F$11,6,FALSE)</f>
        <v>5903785.1341000004</v>
      </c>
      <c r="H2332" s="12"/>
    </row>
    <row r="2333" spans="1:8" x14ac:dyDescent="0.2">
      <c r="A2333">
        <v>2023</v>
      </c>
      <c r="B2333" s="3" t="s">
        <v>79</v>
      </c>
      <c r="C2333" s="3" t="s">
        <v>885</v>
      </c>
      <c r="D2333" s="3" t="s">
        <v>885</v>
      </c>
      <c r="E2333" s="8">
        <v>150624522</v>
      </c>
      <c r="F2333" s="2">
        <v>1.1333000000000001E-3</v>
      </c>
      <c r="G2333" s="17">
        <f>F2333 * VLOOKUP('GASB Data'!A2333,Check!$A$2:$F$11,6,FALSE)</f>
        <v>3439448.7701000003</v>
      </c>
      <c r="H2333" s="12"/>
    </row>
    <row r="2334" spans="1:8" x14ac:dyDescent="0.2">
      <c r="A2334">
        <v>2023</v>
      </c>
      <c r="B2334" s="3" t="s">
        <v>80</v>
      </c>
      <c r="C2334" s="3" t="s">
        <v>886</v>
      </c>
      <c r="D2334" s="3" t="s">
        <v>886</v>
      </c>
      <c r="E2334" s="8">
        <v>585654338</v>
      </c>
      <c r="F2334" s="2">
        <v>4.4066000000000001E-3</v>
      </c>
      <c r="G2334" s="17">
        <f>F2334 * VLOOKUP('GASB Data'!A2334,Check!$A$2:$F$11,6,FALSE)</f>
        <v>13373577.120200001</v>
      </c>
      <c r="H2334" s="12"/>
    </row>
    <row r="2335" spans="1:8" x14ac:dyDescent="0.2">
      <c r="A2335">
        <v>2023</v>
      </c>
      <c r="B2335" s="3" t="s">
        <v>81</v>
      </c>
      <c r="C2335" s="3" t="s">
        <v>887</v>
      </c>
      <c r="D2335" s="3" t="s">
        <v>887</v>
      </c>
      <c r="E2335" s="8">
        <v>64098876</v>
      </c>
      <c r="F2335" s="2">
        <v>4.8230000000000001E-4</v>
      </c>
      <c r="G2335" s="17">
        <f>F2335 * VLOOKUP('GASB Data'!A2335,Check!$A$2:$F$11,6,FALSE)</f>
        <v>1463730.8231000002</v>
      </c>
      <c r="H2335" s="12"/>
    </row>
    <row r="2336" spans="1:8" x14ac:dyDescent="0.2">
      <c r="A2336">
        <v>2023</v>
      </c>
      <c r="B2336" s="3" t="s">
        <v>82</v>
      </c>
      <c r="C2336" s="3" t="s">
        <v>888</v>
      </c>
      <c r="D2336" s="3" t="s">
        <v>888</v>
      </c>
      <c r="E2336" s="8">
        <v>204154598</v>
      </c>
      <c r="F2336" s="2">
        <v>1.5361000000000001E-3</v>
      </c>
      <c r="G2336" s="17">
        <f>F2336 * VLOOKUP('GASB Data'!A2336,Check!$A$2:$F$11,6,FALSE)</f>
        <v>4661905.2817000002</v>
      </c>
      <c r="H2336" s="12"/>
    </row>
    <row r="2337" spans="1:8" x14ac:dyDescent="0.2">
      <c r="A2337">
        <v>2023</v>
      </c>
      <c r="B2337" s="3" t="s">
        <v>632</v>
      </c>
      <c r="C2337" s="3" t="s">
        <v>889</v>
      </c>
      <c r="D2337" s="3" t="s">
        <v>889</v>
      </c>
      <c r="E2337" s="8">
        <v>27316881</v>
      </c>
      <c r="F2337" s="2">
        <v>2.0550000000000001E-4</v>
      </c>
      <c r="G2337" s="17">
        <f>F2337 * VLOOKUP('GASB Data'!A2337,Check!$A$2:$F$11,6,FALSE)</f>
        <v>623671.33350000007</v>
      </c>
      <c r="H2337" s="12"/>
    </row>
    <row r="2338" spans="1:8" x14ac:dyDescent="0.2">
      <c r="A2338">
        <v>2023</v>
      </c>
      <c r="B2338" s="3" t="s">
        <v>83</v>
      </c>
      <c r="C2338" s="3" t="s">
        <v>890</v>
      </c>
      <c r="D2338" s="3" t="s">
        <v>890</v>
      </c>
      <c r="E2338" s="8">
        <v>702652578</v>
      </c>
      <c r="F2338" s="2">
        <v>5.2868999999999998E-3</v>
      </c>
      <c r="G2338" s="17">
        <f>F2338 * VLOOKUP('GASB Data'!A2338,Check!$A$2:$F$11,6,FALSE)</f>
        <v>16045196.949299999</v>
      </c>
      <c r="H2338" s="12"/>
    </row>
    <row r="2339" spans="1:8" x14ac:dyDescent="0.2">
      <c r="A2339">
        <v>2023</v>
      </c>
      <c r="B2339" s="3" t="s">
        <v>84</v>
      </c>
      <c r="C2339" s="3" t="s">
        <v>891</v>
      </c>
      <c r="D2339" s="3" t="s">
        <v>891</v>
      </c>
      <c r="E2339" s="8">
        <v>1769450</v>
      </c>
      <c r="F2339" s="2">
        <v>1.33E-5</v>
      </c>
      <c r="G2339" s="17">
        <f>F2339 * VLOOKUP('GASB Data'!A2339,Check!$A$2:$F$11,6,FALSE)</f>
        <v>40364.130100000002</v>
      </c>
      <c r="H2339" s="12"/>
    </row>
    <row r="2340" spans="1:8" x14ac:dyDescent="0.2">
      <c r="A2340">
        <v>2023</v>
      </c>
      <c r="B2340" s="3" t="s">
        <v>925</v>
      </c>
      <c r="C2340" s="3" t="s">
        <v>928</v>
      </c>
      <c r="D2340" s="3" t="s">
        <v>928</v>
      </c>
      <c r="E2340" s="8">
        <v>287540</v>
      </c>
      <c r="F2340" s="2">
        <v>2.2000000000000001E-6</v>
      </c>
      <c r="G2340" s="17">
        <f>F2340 * VLOOKUP('GASB Data'!A2340,Check!$A$2:$F$11,6,FALSE)</f>
        <v>6676.7734</v>
      </c>
      <c r="H2340" s="12"/>
    </row>
    <row r="2341" spans="1:8" x14ac:dyDescent="0.2">
      <c r="A2341">
        <v>2023</v>
      </c>
      <c r="B2341" s="3" t="s">
        <v>86</v>
      </c>
      <c r="C2341" s="3" t="s">
        <v>892</v>
      </c>
      <c r="D2341" s="3" t="s">
        <v>892</v>
      </c>
      <c r="E2341" s="8">
        <v>827286</v>
      </c>
      <c r="F2341" s="2">
        <v>6.1999999999999999E-6</v>
      </c>
      <c r="G2341" s="17">
        <f>F2341 * VLOOKUP('GASB Data'!A2341,Check!$A$2:$F$11,6,FALSE)</f>
        <v>18816.361400000002</v>
      </c>
      <c r="H2341" s="12"/>
    </row>
    <row r="2342" spans="1:8" x14ac:dyDescent="0.2">
      <c r="A2342">
        <v>2023</v>
      </c>
      <c r="B2342" s="3" t="s">
        <v>87</v>
      </c>
      <c r="C2342" s="3" t="s">
        <v>929</v>
      </c>
      <c r="D2342" s="3" t="s">
        <v>929</v>
      </c>
      <c r="E2342" s="8">
        <v>3708622</v>
      </c>
      <c r="F2342" s="2">
        <v>2.7900000000000001E-5</v>
      </c>
      <c r="G2342" s="17">
        <f>F2342 * VLOOKUP('GASB Data'!A2342,Check!$A$2:$F$11,6,FALSE)</f>
        <v>84673.626300000004</v>
      </c>
      <c r="H2342" s="12"/>
    </row>
    <row r="2343" spans="1:8" x14ac:dyDescent="0.2">
      <c r="A2343">
        <v>2023</v>
      </c>
      <c r="B2343" s="3" t="s">
        <v>88</v>
      </c>
      <c r="C2343" s="3" t="s">
        <v>894</v>
      </c>
      <c r="D2343" s="3" t="s">
        <v>894</v>
      </c>
      <c r="E2343" s="8">
        <v>120395742</v>
      </c>
      <c r="F2343" s="2">
        <v>9.0589999999999996E-4</v>
      </c>
      <c r="G2343" s="17">
        <f>F2343 * VLOOKUP('GASB Data'!A2343,Check!$A$2:$F$11,6,FALSE)</f>
        <v>2749313.1922999998</v>
      </c>
      <c r="H2343" s="12"/>
    </row>
    <row r="2344" spans="1:8" x14ac:dyDescent="0.2">
      <c r="A2344">
        <v>2023</v>
      </c>
      <c r="B2344" s="3" t="s">
        <v>89</v>
      </c>
      <c r="C2344" s="3" t="s">
        <v>610</v>
      </c>
      <c r="D2344" s="3" t="s">
        <v>610</v>
      </c>
      <c r="E2344" s="8">
        <v>2605161239</v>
      </c>
      <c r="F2344" s="2">
        <v>1.9601899999999998E-2</v>
      </c>
      <c r="G2344" s="17">
        <f>F2344 * VLOOKUP('GASB Data'!A2344,Check!$A$2:$F$11,6,FALSE)</f>
        <v>59489747.504299998</v>
      </c>
      <c r="H2344" s="12"/>
    </row>
    <row r="2345" spans="1:8" x14ac:dyDescent="0.2">
      <c r="A2345">
        <v>2023</v>
      </c>
      <c r="B2345" s="3" t="s">
        <v>943</v>
      </c>
      <c r="C2345" s="3" t="s">
        <v>942</v>
      </c>
      <c r="D2345" s="3" t="s">
        <v>942</v>
      </c>
      <c r="E2345" s="8">
        <v>6733667429</v>
      </c>
      <c r="F2345" s="2">
        <v>5.0665700000000001E-2</v>
      </c>
      <c r="G2345" s="17">
        <f>F2345 * VLOOKUP('GASB Data'!A2345,Check!$A$2:$F$11,6,FALSE)</f>
        <v>153765180.93290001</v>
      </c>
      <c r="H2345" s="12"/>
    </row>
    <row r="2346" spans="1:8" x14ac:dyDescent="0.2">
      <c r="A2346">
        <v>2023</v>
      </c>
      <c r="B2346" s="3" t="s">
        <v>90</v>
      </c>
      <c r="C2346" s="3" t="s">
        <v>611</v>
      </c>
      <c r="D2346" s="3" t="s">
        <v>611</v>
      </c>
      <c r="E2346" s="8">
        <v>980858598</v>
      </c>
      <c r="F2346" s="2">
        <v>7.3802E-3</v>
      </c>
      <c r="G2346" s="17">
        <f>F2346 * VLOOKUP('GASB Data'!A2346,Check!$A$2:$F$11,6,FALSE)</f>
        <v>22398146.839400001</v>
      </c>
      <c r="H2346" s="12"/>
    </row>
    <row r="2347" spans="1:8" x14ac:dyDescent="0.2">
      <c r="A2347">
        <v>2023</v>
      </c>
      <c r="B2347" s="3" t="s">
        <v>91</v>
      </c>
      <c r="C2347" s="3" t="s">
        <v>895</v>
      </c>
      <c r="D2347" s="3" t="s">
        <v>895</v>
      </c>
      <c r="E2347" s="8">
        <v>131277460</v>
      </c>
      <c r="F2347" s="2">
        <v>9.8780000000000005E-4</v>
      </c>
      <c r="G2347" s="17">
        <f>F2347 * VLOOKUP('GASB Data'!A2347,Check!$A$2:$F$11,6,FALSE)</f>
        <v>2997871.2566</v>
      </c>
      <c r="H2347" s="12"/>
    </row>
    <row r="2348" spans="1:8" x14ac:dyDescent="0.2">
      <c r="A2348">
        <v>2023</v>
      </c>
      <c r="B2348" s="3" t="s">
        <v>92</v>
      </c>
      <c r="C2348" s="3" t="s">
        <v>613</v>
      </c>
      <c r="D2348" s="3" t="s">
        <v>613</v>
      </c>
      <c r="E2348" s="8">
        <v>1757858857</v>
      </c>
      <c r="F2348" s="2">
        <v>1.32266E-2</v>
      </c>
      <c r="G2348" s="17">
        <f>F2348 * VLOOKUP('GASB Data'!A2348,Check!$A$2:$F$11,6,FALSE)</f>
        <v>40141368.6602</v>
      </c>
      <c r="H2348" s="12"/>
    </row>
    <row r="2349" spans="1:8" x14ac:dyDescent="0.2">
      <c r="A2349">
        <v>2023</v>
      </c>
      <c r="B2349" s="3" t="s">
        <v>93</v>
      </c>
      <c r="C2349" s="3" t="s">
        <v>614</v>
      </c>
      <c r="D2349" s="3" t="s">
        <v>614</v>
      </c>
      <c r="E2349" s="8">
        <v>145753810</v>
      </c>
      <c r="F2349" s="2">
        <v>1.0966999999999999E-3</v>
      </c>
      <c r="G2349" s="17">
        <f>F2349 * VLOOKUP('GASB Data'!A2349,Check!$A$2:$F$11,6,FALSE)</f>
        <v>3328371.5398999997</v>
      </c>
      <c r="H2349" s="12"/>
    </row>
    <row r="2350" spans="1:8" x14ac:dyDescent="0.2">
      <c r="A2350">
        <v>2023</v>
      </c>
      <c r="B2350" s="3" t="s">
        <v>94</v>
      </c>
      <c r="C2350" s="3" t="s">
        <v>615</v>
      </c>
      <c r="D2350" s="3" t="s">
        <v>615</v>
      </c>
      <c r="E2350" s="8">
        <v>291427124</v>
      </c>
      <c r="F2350" s="2">
        <v>2.1928E-3</v>
      </c>
      <c r="G2350" s="17">
        <f>F2350 * VLOOKUP('GASB Data'!A2350,Check!$A$2:$F$11,6,FALSE)</f>
        <v>6654922.1415999997</v>
      </c>
      <c r="H2350" s="12"/>
    </row>
    <row r="2351" spans="1:8" x14ac:dyDescent="0.2">
      <c r="A2351">
        <v>2023</v>
      </c>
      <c r="B2351" s="3" t="s">
        <v>95</v>
      </c>
      <c r="C2351" s="3" t="s">
        <v>896</v>
      </c>
      <c r="D2351" s="3" t="s">
        <v>896</v>
      </c>
      <c r="E2351" s="8">
        <v>540535149</v>
      </c>
      <c r="F2351" s="2">
        <v>4.0670999999999997E-3</v>
      </c>
      <c r="G2351" s="17">
        <f>F2351 * VLOOKUP('GASB Data'!A2351,Check!$A$2:$F$11,6,FALSE)</f>
        <v>12343229.588699998</v>
      </c>
      <c r="H2351" s="12"/>
    </row>
    <row r="2352" spans="1:8" x14ac:dyDescent="0.2">
      <c r="A2352">
        <v>2023</v>
      </c>
      <c r="B2352" s="3" t="s">
        <v>96</v>
      </c>
      <c r="C2352" s="3" t="s">
        <v>897</v>
      </c>
      <c r="D2352" s="3" t="s">
        <v>897</v>
      </c>
      <c r="E2352" s="8">
        <v>418820157</v>
      </c>
      <c r="F2352" s="2">
        <v>3.1513000000000001E-3</v>
      </c>
      <c r="G2352" s="17">
        <f>F2352 * VLOOKUP('GASB Data'!A2352,Check!$A$2:$F$11,6,FALSE)</f>
        <v>9563870.916100001</v>
      </c>
      <c r="H2352" s="12"/>
    </row>
    <row r="2353" spans="1:8" x14ac:dyDescent="0.2">
      <c r="A2353">
        <v>2023</v>
      </c>
      <c r="B2353" s="3" t="s">
        <v>97</v>
      </c>
      <c r="C2353" s="3" t="s">
        <v>618</v>
      </c>
      <c r="D2353" s="3" t="s">
        <v>618</v>
      </c>
      <c r="E2353" s="8">
        <v>673546763</v>
      </c>
      <c r="F2353" s="2">
        <v>5.0679000000000002E-3</v>
      </c>
      <c r="G2353" s="17">
        <f>F2353 * VLOOKUP('GASB Data'!A2353,Check!$A$2:$F$11,6,FALSE)</f>
        <v>15380554.5063</v>
      </c>
      <c r="H2353" s="12"/>
    </row>
    <row r="2354" spans="1:8" x14ac:dyDescent="0.2">
      <c r="A2354">
        <v>2023</v>
      </c>
      <c r="B2354" s="3" t="s">
        <v>98</v>
      </c>
      <c r="C2354" s="3" t="s">
        <v>898</v>
      </c>
      <c r="D2354" s="3" t="s">
        <v>898</v>
      </c>
      <c r="E2354" s="8">
        <v>269380891</v>
      </c>
      <c r="F2354" s="2">
        <v>2.0268999999999999E-3</v>
      </c>
      <c r="G2354" s="17">
        <f>F2354 * VLOOKUP('GASB Data'!A2354,Check!$A$2:$F$11,6,FALSE)</f>
        <v>6151432.7292999998</v>
      </c>
      <c r="H2354" s="12"/>
    </row>
    <row r="2355" spans="1:8" x14ac:dyDescent="0.2">
      <c r="A2355">
        <v>2023</v>
      </c>
      <c r="B2355" s="3" t="s">
        <v>99</v>
      </c>
      <c r="C2355" s="3" t="s">
        <v>899</v>
      </c>
      <c r="D2355" s="3" t="s">
        <v>899</v>
      </c>
      <c r="E2355" s="8">
        <v>2923265740</v>
      </c>
      <c r="F2355" s="2">
        <v>2.1995399999999998E-2</v>
      </c>
      <c r="G2355" s="17">
        <f>F2355 * VLOOKUP('GASB Data'!A2355,Check!$A$2:$F$11,6,FALSE)</f>
        <v>66753773.473799996</v>
      </c>
      <c r="H2355" s="12"/>
    </row>
    <row r="2356" spans="1:8" x14ac:dyDescent="0.2">
      <c r="A2356">
        <v>2023</v>
      </c>
      <c r="B2356" s="3" t="s">
        <v>100</v>
      </c>
      <c r="C2356" s="3" t="s">
        <v>621</v>
      </c>
      <c r="D2356" s="3" t="s">
        <v>621</v>
      </c>
      <c r="E2356" s="8">
        <v>4396466939</v>
      </c>
      <c r="F2356" s="2">
        <v>3.3080100000000001E-2</v>
      </c>
      <c r="G2356" s="17">
        <f>F2356 * VLOOKUP('GASB Data'!A2356,Check!$A$2:$F$11,6,FALSE)</f>
        <v>100394696.24970001</v>
      </c>
      <c r="H2356" s="12"/>
    </row>
    <row r="2357" spans="1:8" x14ac:dyDescent="0.2">
      <c r="A2357">
        <v>2023</v>
      </c>
      <c r="B2357" s="3" t="s">
        <v>101</v>
      </c>
      <c r="C2357" s="3" t="s">
        <v>622</v>
      </c>
      <c r="D2357" s="3" t="s">
        <v>622</v>
      </c>
      <c r="E2357" s="8">
        <v>154761694</v>
      </c>
      <c r="F2357" s="2">
        <v>1.1645E-3</v>
      </c>
      <c r="G2357" s="17">
        <f>F2357 * VLOOKUP('GASB Data'!A2357,Check!$A$2:$F$11,6,FALSE)</f>
        <v>3534137.5564999999</v>
      </c>
      <c r="H2357" s="12"/>
    </row>
    <row r="2358" spans="1:8" x14ac:dyDescent="0.2">
      <c r="A2358">
        <v>2023</v>
      </c>
      <c r="B2358" s="3" t="s">
        <v>633</v>
      </c>
      <c r="C2358" s="3" t="s">
        <v>623</v>
      </c>
      <c r="D2358" s="3" t="s">
        <v>623</v>
      </c>
      <c r="E2358" s="8">
        <v>22824435</v>
      </c>
      <c r="F2358" s="2">
        <v>1.717E-4</v>
      </c>
      <c r="G2358" s="17">
        <f>F2358 * VLOOKUP('GASB Data'!A2358,Check!$A$2:$F$11,6,FALSE)</f>
        <v>521091.8149</v>
      </c>
      <c r="H2358" s="12"/>
    </row>
    <row r="2359" spans="1:8" x14ac:dyDescent="0.2">
      <c r="A2359">
        <v>2023</v>
      </c>
      <c r="B2359" s="3" t="s">
        <v>102</v>
      </c>
      <c r="C2359" s="3" t="s">
        <v>624</v>
      </c>
      <c r="D2359" s="3" t="s">
        <v>624</v>
      </c>
      <c r="E2359" s="8">
        <v>5316320168</v>
      </c>
      <c r="F2359" s="2">
        <v>4.0001399999999999E-2</v>
      </c>
      <c r="G2359" s="17">
        <f>F2359 * VLOOKUP('GASB Data'!A2359,Check!$A$2:$F$11,6,FALSE)</f>
        <v>121400128.8558</v>
      </c>
      <c r="H2359" s="12"/>
    </row>
    <row r="2360" spans="1:8" x14ac:dyDescent="0.2">
      <c r="A2360">
        <v>2023</v>
      </c>
      <c r="B2360" s="3" t="s">
        <v>103</v>
      </c>
      <c r="C2360" s="3" t="s">
        <v>625</v>
      </c>
      <c r="D2360" s="3" t="s">
        <v>625</v>
      </c>
      <c r="E2360" s="8">
        <v>23830987</v>
      </c>
      <c r="F2360" s="2">
        <v>1.7929999999999999E-4</v>
      </c>
      <c r="G2360" s="17">
        <f>F2360 * VLOOKUP('GASB Data'!A2360,Check!$A$2:$F$11,6,FALSE)</f>
        <v>544157.03209999995</v>
      </c>
      <c r="H2360" s="12"/>
    </row>
    <row r="2361" spans="1:8" x14ac:dyDescent="0.2">
      <c r="A2361">
        <v>2023</v>
      </c>
      <c r="B2361" s="3" t="s">
        <v>104</v>
      </c>
      <c r="C2361" s="3" t="s">
        <v>626</v>
      </c>
      <c r="D2361" s="3" t="s">
        <v>626</v>
      </c>
      <c r="E2361" s="8">
        <v>474589876</v>
      </c>
      <c r="F2361" s="2">
        <v>3.5709000000000001E-3</v>
      </c>
      <c r="G2361" s="17">
        <f>F2361 * VLOOKUP('GASB Data'!A2361,Check!$A$2:$F$11,6,FALSE)</f>
        <v>10837313.6973</v>
      </c>
      <c r="H2361" s="12"/>
    </row>
    <row r="2362" spans="1:8" x14ac:dyDescent="0.2">
      <c r="A2362">
        <v>2023</v>
      </c>
      <c r="B2362" s="3" t="s">
        <v>105</v>
      </c>
      <c r="C2362" s="3" t="s">
        <v>627</v>
      </c>
      <c r="D2362" s="3" t="s">
        <v>627</v>
      </c>
      <c r="E2362" s="8">
        <v>233578618</v>
      </c>
      <c r="F2362" s="2">
        <v>1.7574999999999999E-3</v>
      </c>
      <c r="G2362" s="17">
        <f>F2362 * VLOOKUP('GASB Data'!A2362,Check!$A$2:$F$11,6,FALSE)</f>
        <v>5333831.4775</v>
      </c>
      <c r="H2362" s="12"/>
    </row>
    <row r="2363" spans="1:8" x14ac:dyDescent="0.2">
      <c r="A2363">
        <v>2023</v>
      </c>
      <c r="B2363" s="3" t="s">
        <v>106</v>
      </c>
      <c r="C2363" s="3" t="s">
        <v>628</v>
      </c>
      <c r="D2363" s="3" t="s">
        <v>628</v>
      </c>
      <c r="E2363" s="8">
        <v>514215055</v>
      </c>
      <c r="F2363" s="2">
        <v>3.8690999999999999E-3</v>
      </c>
      <c r="G2363" s="17">
        <f>F2363 * VLOOKUP('GASB Data'!A2363,Check!$A$2:$F$11,6,FALSE)</f>
        <v>11742319.9827</v>
      </c>
      <c r="H2363" s="12"/>
    </row>
    <row r="2364" spans="1:8" x14ac:dyDescent="0.2">
      <c r="A2364">
        <v>2023</v>
      </c>
      <c r="B2364" s="3" t="s">
        <v>107</v>
      </c>
      <c r="C2364" s="3" t="s">
        <v>629</v>
      </c>
      <c r="D2364" s="3" t="s">
        <v>629</v>
      </c>
      <c r="E2364" s="8">
        <v>148891563</v>
      </c>
      <c r="F2364" s="2">
        <v>1.1203000000000001E-3</v>
      </c>
      <c r="G2364" s="17">
        <f>F2364 * VLOOKUP('GASB Data'!A2364,Check!$A$2:$F$11,6,FALSE)</f>
        <v>3399995.1091</v>
      </c>
      <c r="H2364" s="12"/>
    </row>
    <row r="2365" spans="1:8" x14ac:dyDescent="0.2">
      <c r="A2365">
        <v>2023</v>
      </c>
      <c r="B2365" s="3" t="s">
        <v>108</v>
      </c>
      <c r="C2365" s="3" t="s">
        <v>630</v>
      </c>
      <c r="D2365" s="3" t="s">
        <v>630</v>
      </c>
      <c r="E2365" s="8">
        <v>985301127</v>
      </c>
      <c r="F2365" s="2">
        <v>7.4136999999999996E-3</v>
      </c>
      <c r="G2365" s="17">
        <f>F2365 * VLOOKUP('GASB Data'!A2365,Check!$A$2:$F$11,6,FALSE)</f>
        <v>22499815.888900001</v>
      </c>
      <c r="H2365" s="12"/>
    </row>
    <row r="2366" spans="1:8" x14ac:dyDescent="0.2">
      <c r="A2366">
        <v>2023</v>
      </c>
      <c r="B2366" s="3" t="s">
        <v>109</v>
      </c>
      <c r="C2366" s="3" t="s">
        <v>631</v>
      </c>
      <c r="D2366" s="3" t="s">
        <v>631</v>
      </c>
      <c r="E2366" s="8">
        <v>605892473</v>
      </c>
      <c r="F2366" s="2">
        <v>4.5589000000000003E-3</v>
      </c>
      <c r="G2366" s="17">
        <f>F2366 * VLOOKUP('GASB Data'!A2366,Check!$A$2:$F$11,6,FALSE)</f>
        <v>13835791.933300002</v>
      </c>
      <c r="H2366" s="12"/>
    </row>
    <row r="2367" spans="1:8" x14ac:dyDescent="0.2">
      <c r="A2367">
        <v>2023</v>
      </c>
      <c r="B2367" s="3" t="s">
        <v>110</v>
      </c>
      <c r="C2367" s="3" t="s">
        <v>634</v>
      </c>
      <c r="D2367" s="3" t="s">
        <v>634</v>
      </c>
      <c r="E2367" s="8">
        <v>108993421</v>
      </c>
      <c r="F2367" s="2">
        <v>8.2010000000000004E-4</v>
      </c>
      <c r="G2367" s="17">
        <f>F2367 * VLOOKUP('GASB Data'!A2367,Check!$A$2:$F$11,6,FALSE)</f>
        <v>2488919.0297000003</v>
      </c>
      <c r="H2367" s="12"/>
    </row>
    <row r="2368" spans="1:8" x14ac:dyDescent="0.2">
      <c r="A2368">
        <v>2023</v>
      </c>
      <c r="B2368" s="3" t="s">
        <v>111</v>
      </c>
      <c r="C2368" s="3" t="s">
        <v>635</v>
      </c>
      <c r="D2368" s="3" t="s">
        <v>635</v>
      </c>
      <c r="E2368" s="8">
        <v>1125144324</v>
      </c>
      <c r="F2368" s="2">
        <v>8.4659000000000002E-3</v>
      </c>
      <c r="G2368" s="17">
        <f>F2368 * VLOOKUP('GASB Data'!A2368,Check!$A$2:$F$11,6,FALSE)</f>
        <v>25693134.5123</v>
      </c>
      <c r="H2368" s="12"/>
    </row>
    <row r="2369" spans="1:8" x14ac:dyDescent="0.2">
      <c r="A2369">
        <v>2023</v>
      </c>
      <c r="B2369" s="3" t="s">
        <v>166</v>
      </c>
      <c r="C2369" s="3" t="s">
        <v>636</v>
      </c>
      <c r="D2369" s="3" t="s">
        <v>636</v>
      </c>
      <c r="E2369" s="8">
        <v>28524765</v>
      </c>
      <c r="F2369" s="2">
        <v>2.1460000000000001E-4</v>
      </c>
      <c r="G2369" s="17">
        <f>F2369 * VLOOKUP('GASB Data'!A2369,Check!$A$2:$F$11,6,FALSE)</f>
        <v>651288.89620000008</v>
      </c>
      <c r="H2369" s="12"/>
    </row>
    <row r="2370" spans="1:8" x14ac:dyDescent="0.2">
      <c r="A2370">
        <v>2023</v>
      </c>
      <c r="B2370" s="3" t="s">
        <v>167</v>
      </c>
      <c r="C2370" s="3" t="s">
        <v>637</v>
      </c>
      <c r="D2370" s="3" t="s">
        <v>637</v>
      </c>
      <c r="E2370" s="8">
        <v>30658371</v>
      </c>
      <c r="F2370" s="2">
        <v>2.307E-4</v>
      </c>
      <c r="G2370" s="17">
        <f>F2370 * VLOOKUP('GASB Data'!A2370,Check!$A$2:$F$11,6,FALSE)</f>
        <v>700150.73789999995</v>
      </c>
      <c r="H2370" s="12"/>
    </row>
    <row r="2371" spans="1:8" x14ac:dyDescent="0.2">
      <c r="A2371">
        <v>2023</v>
      </c>
      <c r="B2371" s="3" t="s">
        <v>168</v>
      </c>
      <c r="C2371" s="3" t="s">
        <v>638</v>
      </c>
      <c r="D2371" s="3" t="s">
        <v>638</v>
      </c>
      <c r="E2371" s="8">
        <v>24514084</v>
      </c>
      <c r="F2371" s="2">
        <v>1.8450000000000001E-4</v>
      </c>
      <c r="G2371" s="17">
        <f>F2371 * VLOOKUP('GASB Data'!A2371,Check!$A$2:$F$11,6,FALSE)</f>
        <v>559938.49650000001</v>
      </c>
      <c r="H2371" s="12"/>
    </row>
    <row r="2372" spans="1:8" x14ac:dyDescent="0.2">
      <c r="A2372">
        <v>2023</v>
      </c>
      <c r="B2372" s="3" t="s">
        <v>169</v>
      </c>
      <c r="C2372" s="3" t="s">
        <v>639</v>
      </c>
      <c r="D2372" s="3" t="s">
        <v>639</v>
      </c>
      <c r="E2372" s="8">
        <v>107055058</v>
      </c>
      <c r="F2372" s="2">
        <v>8.0550000000000001E-4</v>
      </c>
      <c r="G2372" s="17">
        <f>F2372 * VLOOKUP('GASB Data'!A2372,Check!$A$2:$F$11,6,FALSE)</f>
        <v>2444609.5334999999</v>
      </c>
      <c r="H2372" s="12"/>
    </row>
    <row r="2373" spans="1:8" x14ac:dyDescent="0.2">
      <c r="A2373">
        <v>2023</v>
      </c>
      <c r="B2373" s="3" t="s">
        <v>170</v>
      </c>
      <c r="C2373" s="3" t="s">
        <v>640</v>
      </c>
      <c r="D2373" s="3" t="s">
        <v>640</v>
      </c>
      <c r="E2373" s="8">
        <v>250424582</v>
      </c>
      <c r="F2373" s="2">
        <v>1.8843E-3</v>
      </c>
      <c r="G2373" s="17">
        <f>F2373 * VLOOKUP('GASB Data'!A2373,Check!$A$2:$F$11,6,FALSE)</f>
        <v>5718656.4171000002</v>
      </c>
      <c r="H2373" s="12"/>
    </row>
    <row r="2374" spans="1:8" x14ac:dyDescent="0.2">
      <c r="A2374">
        <v>2023</v>
      </c>
      <c r="B2374" s="3" t="s">
        <v>171</v>
      </c>
      <c r="C2374" s="3" t="s">
        <v>641</v>
      </c>
      <c r="D2374" s="3" t="s">
        <v>641</v>
      </c>
      <c r="E2374" s="8">
        <v>87793572</v>
      </c>
      <c r="F2374" s="2">
        <v>6.6060000000000001E-4</v>
      </c>
      <c r="G2374" s="17">
        <f>F2374 * VLOOKUP('GASB Data'!A2374,Check!$A$2:$F$11,6,FALSE)</f>
        <v>2004852.9582</v>
      </c>
      <c r="H2374" s="12"/>
    </row>
    <row r="2375" spans="1:8" x14ac:dyDescent="0.2">
      <c r="A2375">
        <v>2023</v>
      </c>
      <c r="B2375" s="3" t="s">
        <v>172</v>
      </c>
      <c r="C2375" s="3" t="s">
        <v>642</v>
      </c>
      <c r="D2375" s="3" t="s">
        <v>642</v>
      </c>
      <c r="E2375" s="8">
        <v>167734342</v>
      </c>
      <c r="F2375" s="2">
        <v>1.2620999999999999E-3</v>
      </c>
      <c r="G2375" s="17">
        <f>F2375 * VLOOKUP('GASB Data'!A2375,Check!$A$2:$F$11,6,FALSE)</f>
        <v>3830343.5036999998</v>
      </c>
      <c r="H2375" s="12"/>
    </row>
    <row r="2376" spans="1:8" x14ac:dyDescent="0.2">
      <c r="A2376">
        <v>2023</v>
      </c>
      <c r="B2376" s="3" t="s">
        <v>173</v>
      </c>
      <c r="C2376" s="3" t="s">
        <v>643</v>
      </c>
      <c r="D2376" s="3" t="s">
        <v>643</v>
      </c>
      <c r="E2376" s="8">
        <v>96422762</v>
      </c>
      <c r="F2376" s="2">
        <v>7.2550000000000002E-4</v>
      </c>
      <c r="G2376" s="17">
        <f>F2376 * VLOOKUP('GASB Data'!A2376,Check!$A$2:$F$11,6,FALSE)</f>
        <v>2201817.7735000001</v>
      </c>
      <c r="H2376" s="12"/>
    </row>
    <row r="2377" spans="1:8" x14ac:dyDescent="0.2">
      <c r="A2377">
        <v>2023</v>
      </c>
      <c r="B2377" s="3" t="s">
        <v>174</v>
      </c>
      <c r="C2377" s="3" t="s">
        <v>644</v>
      </c>
      <c r="D2377" s="3" t="s">
        <v>644</v>
      </c>
      <c r="E2377" s="8">
        <v>160760892</v>
      </c>
      <c r="F2377" s="2">
        <v>1.2095999999999999E-3</v>
      </c>
      <c r="G2377" s="17">
        <f>F2377 * VLOOKUP('GASB Data'!A2377,Check!$A$2:$F$11,6,FALSE)</f>
        <v>3671011.4111999995</v>
      </c>
      <c r="H2377" s="12"/>
    </row>
    <row r="2378" spans="1:8" x14ac:dyDescent="0.2">
      <c r="A2378">
        <v>2023</v>
      </c>
      <c r="B2378" s="3" t="s">
        <v>175</v>
      </c>
      <c r="C2378" s="3" t="s">
        <v>645</v>
      </c>
      <c r="D2378" s="3" t="s">
        <v>645</v>
      </c>
      <c r="E2378" s="8">
        <v>127839481</v>
      </c>
      <c r="F2378" s="2">
        <v>9.6190000000000002E-4</v>
      </c>
      <c r="G2378" s="17">
        <f>F2378 * VLOOKUP('GASB Data'!A2378,Check!$A$2:$F$11,6,FALSE)</f>
        <v>2919267.4243000001</v>
      </c>
      <c r="H2378" s="12"/>
    </row>
    <row r="2379" spans="1:8" x14ac:dyDescent="0.2">
      <c r="A2379">
        <v>2023</v>
      </c>
      <c r="B2379" s="3" t="s">
        <v>177</v>
      </c>
      <c r="C2379" s="3" t="s">
        <v>647</v>
      </c>
      <c r="D2379" s="3" t="s">
        <v>647</v>
      </c>
      <c r="E2379" s="8">
        <v>332084022</v>
      </c>
      <c r="F2379" s="2">
        <v>2.4987E-3</v>
      </c>
      <c r="G2379" s="17">
        <f>F2379 * VLOOKUP('GASB Data'!A2379,Check!$A$2:$F$11,6,FALSE)</f>
        <v>7583297.1338999998</v>
      </c>
      <c r="H2379" s="12"/>
    </row>
    <row r="2380" spans="1:8" x14ac:dyDescent="0.2">
      <c r="A2380">
        <v>2023</v>
      </c>
      <c r="B2380" s="3" t="s">
        <v>178</v>
      </c>
      <c r="C2380" s="3" t="s">
        <v>648</v>
      </c>
      <c r="D2380" s="3" t="s">
        <v>648</v>
      </c>
      <c r="E2380" s="8">
        <v>69000401</v>
      </c>
      <c r="F2380" s="2">
        <v>5.1920000000000004E-4</v>
      </c>
      <c r="G2380" s="17">
        <f>F2380 * VLOOKUP('GASB Data'!A2380,Check!$A$2:$F$11,6,FALSE)</f>
        <v>1575718.5224000001</v>
      </c>
      <c r="H2380" s="12"/>
    </row>
    <row r="2381" spans="1:8" x14ac:dyDescent="0.2">
      <c r="A2381">
        <v>2023</v>
      </c>
      <c r="B2381" s="3" t="s">
        <v>179</v>
      </c>
      <c r="C2381" s="3" t="s">
        <v>649</v>
      </c>
      <c r="D2381" s="3" t="s">
        <v>649</v>
      </c>
      <c r="E2381" s="8">
        <v>95039152</v>
      </c>
      <c r="F2381" s="2">
        <v>7.1509999999999998E-4</v>
      </c>
      <c r="G2381" s="17">
        <f>F2381 * VLOOKUP('GASB Data'!A2381,Check!$A$2:$F$11,6,FALSE)</f>
        <v>2170254.8446999998</v>
      </c>
      <c r="H2381" s="12"/>
    </row>
    <row r="2382" spans="1:8" x14ac:dyDescent="0.2">
      <c r="A2382">
        <v>2023</v>
      </c>
      <c r="B2382" s="3" t="s">
        <v>180</v>
      </c>
      <c r="C2382" s="3" t="s">
        <v>650</v>
      </c>
      <c r="D2382" s="3" t="s">
        <v>650</v>
      </c>
      <c r="E2382" s="8">
        <v>229193262</v>
      </c>
      <c r="F2382" s="2">
        <v>1.7244999999999999E-3</v>
      </c>
      <c r="G2382" s="17">
        <f>F2382 * VLOOKUP('GASB Data'!A2382,Check!$A$2:$F$11,6,FALSE)</f>
        <v>5233679.8764999993</v>
      </c>
      <c r="H2382" s="12"/>
    </row>
    <row r="2383" spans="1:8" x14ac:dyDescent="0.2">
      <c r="A2383">
        <v>2023</v>
      </c>
      <c r="B2383" s="3" t="s">
        <v>181</v>
      </c>
      <c r="C2383" s="3" t="s">
        <v>651</v>
      </c>
      <c r="D2383" s="3" t="s">
        <v>651</v>
      </c>
      <c r="E2383" s="8">
        <v>40592270</v>
      </c>
      <c r="F2383" s="2">
        <v>3.054E-4</v>
      </c>
      <c r="G2383" s="17">
        <f>F2383 * VLOOKUP('GASB Data'!A2383,Check!$A$2:$F$11,6,FALSE)</f>
        <v>926857.54379999998</v>
      </c>
      <c r="H2383" s="12"/>
    </row>
    <row r="2384" spans="1:8" x14ac:dyDescent="0.2">
      <c r="A2384">
        <v>2023</v>
      </c>
      <c r="B2384" s="3" t="s">
        <v>182</v>
      </c>
      <c r="C2384" s="3" t="s">
        <v>652</v>
      </c>
      <c r="D2384" s="3" t="s">
        <v>652</v>
      </c>
      <c r="E2384" s="8">
        <v>668896841</v>
      </c>
      <c r="F2384" s="2">
        <v>5.0330000000000001E-3</v>
      </c>
      <c r="G2384" s="17">
        <f>F2384 * VLOOKUP('GASB Data'!A2384,Check!$A$2:$F$11,6,FALSE)</f>
        <v>15274636.601</v>
      </c>
      <c r="H2384" s="12"/>
    </row>
    <row r="2385" spans="1:8" x14ac:dyDescent="0.2">
      <c r="A2385">
        <v>2023</v>
      </c>
      <c r="B2385" s="3" t="s">
        <v>183</v>
      </c>
      <c r="C2385" s="3" t="s">
        <v>653</v>
      </c>
      <c r="D2385" s="3" t="s">
        <v>653</v>
      </c>
      <c r="E2385" s="8">
        <v>64634685</v>
      </c>
      <c r="F2385" s="2">
        <v>4.863E-4</v>
      </c>
      <c r="G2385" s="17">
        <f>F2385 * VLOOKUP('GASB Data'!A2385,Check!$A$2:$F$11,6,FALSE)</f>
        <v>1475870.4110999999</v>
      </c>
      <c r="H2385" s="12"/>
    </row>
    <row r="2386" spans="1:8" x14ac:dyDescent="0.2">
      <c r="A2386">
        <v>2023</v>
      </c>
      <c r="B2386" s="3" t="s">
        <v>184</v>
      </c>
      <c r="C2386" s="3" t="s">
        <v>654</v>
      </c>
      <c r="D2386" s="3" t="s">
        <v>654</v>
      </c>
      <c r="E2386" s="8">
        <v>1301565271</v>
      </c>
      <c r="F2386" s="2">
        <v>9.7932999999999996E-3</v>
      </c>
      <c r="G2386" s="17">
        <f>F2386 * VLOOKUP('GASB Data'!A2386,Check!$A$2:$F$11,6,FALSE)</f>
        <v>29721656.790099997</v>
      </c>
      <c r="H2386" s="12"/>
    </row>
    <row r="2387" spans="1:8" x14ac:dyDescent="0.2">
      <c r="A2387">
        <v>2023</v>
      </c>
      <c r="B2387" s="3" t="s">
        <v>185</v>
      </c>
      <c r="C2387" s="3" t="s">
        <v>900</v>
      </c>
      <c r="D2387" s="3" t="s">
        <v>900</v>
      </c>
      <c r="E2387" s="8">
        <v>8638967</v>
      </c>
      <c r="F2387" s="2">
        <v>6.4999999999999994E-5</v>
      </c>
      <c r="G2387" s="17">
        <f>F2387 * VLOOKUP('GASB Data'!A2387,Check!$A$2:$F$11,6,FALSE)</f>
        <v>197268.30499999999</v>
      </c>
      <c r="H2387" s="12"/>
    </row>
    <row r="2388" spans="1:8" x14ac:dyDescent="0.2">
      <c r="A2388">
        <v>2023</v>
      </c>
      <c r="B2388" s="3" t="s">
        <v>186</v>
      </c>
      <c r="C2388" s="3" t="s">
        <v>656</v>
      </c>
      <c r="D2388" s="3" t="s">
        <v>656</v>
      </c>
      <c r="E2388" s="8">
        <v>23716033</v>
      </c>
      <c r="F2388" s="2">
        <v>1.784E-4</v>
      </c>
      <c r="G2388" s="17">
        <f>F2388 * VLOOKUP('GASB Data'!A2388,Check!$A$2:$F$11,6,FALSE)</f>
        <v>541425.62479999999</v>
      </c>
      <c r="H2388" s="12"/>
    </row>
    <row r="2389" spans="1:8" x14ac:dyDescent="0.2">
      <c r="A2389">
        <v>2023</v>
      </c>
      <c r="B2389" s="3" t="s">
        <v>187</v>
      </c>
      <c r="C2389" s="3" t="s">
        <v>657</v>
      </c>
      <c r="D2389" s="3" t="s">
        <v>657</v>
      </c>
      <c r="E2389" s="8">
        <v>199937690</v>
      </c>
      <c r="F2389" s="2">
        <v>1.5043999999999999E-3</v>
      </c>
      <c r="G2389" s="17">
        <f>F2389 * VLOOKUP('GASB Data'!A2389,Check!$A$2:$F$11,6,FALSE)</f>
        <v>4565699.0467999997</v>
      </c>
      <c r="H2389" s="12"/>
    </row>
    <row r="2390" spans="1:8" x14ac:dyDescent="0.2">
      <c r="A2390">
        <v>2023</v>
      </c>
      <c r="B2390" s="3" t="s">
        <v>188</v>
      </c>
      <c r="C2390" s="3" t="s">
        <v>658</v>
      </c>
      <c r="D2390" s="3" t="s">
        <v>658</v>
      </c>
      <c r="E2390" s="8">
        <v>298043871</v>
      </c>
      <c r="F2390" s="2">
        <v>2.2426E-3</v>
      </c>
      <c r="G2390" s="17">
        <f>F2390 * VLOOKUP('GASB Data'!A2390,Check!$A$2:$F$11,6,FALSE)</f>
        <v>6806060.0121999998</v>
      </c>
      <c r="H2390" s="12"/>
    </row>
    <row r="2391" spans="1:8" x14ac:dyDescent="0.2">
      <c r="A2391">
        <v>2023</v>
      </c>
      <c r="B2391" s="3" t="s">
        <v>189</v>
      </c>
      <c r="C2391" s="3" t="s">
        <v>659</v>
      </c>
      <c r="D2391" s="3" t="s">
        <v>659</v>
      </c>
      <c r="E2391" s="8">
        <v>559677576</v>
      </c>
      <c r="F2391" s="2">
        <v>4.2112E-3</v>
      </c>
      <c r="G2391" s="17">
        <f>F2391 * VLOOKUP('GASB Data'!A2391,Check!$A$2:$F$11,6,FALSE)</f>
        <v>12780558.246400001</v>
      </c>
      <c r="H2391" s="12"/>
    </row>
    <row r="2392" spans="1:8" x14ac:dyDescent="0.2">
      <c r="A2392">
        <v>2023</v>
      </c>
      <c r="B2392" s="3" t="s">
        <v>190</v>
      </c>
      <c r="C2392" s="3" t="s">
        <v>901</v>
      </c>
      <c r="D2392" s="3" t="s">
        <v>901</v>
      </c>
      <c r="E2392" s="8">
        <v>61178715</v>
      </c>
      <c r="F2392" s="2">
        <v>4.6030000000000002E-4</v>
      </c>
      <c r="G2392" s="17">
        <f>F2392 * VLOOKUP('GASB Data'!A2392,Check!$A$2:$F$11,6,FALSE)</f>
        <v>1396963.0891</v>
      </c>
      <c r="H2392" s="12"/>
    </row>
    <row r="2393" spans="1:8" x14ac:dyDescent="0.2">
      <c r="A2393">
        <v>2023</v>
      </c>
      <c r="B2393" s="3" t="s">
        <v>191</v>
      </c>
      <c r="C2393" s="3" t="s">
        <v>661</v>
      </c>
      <c r="D2393" s="3" t="s">
        <v>661</v>
      </c>
      <c r="E2393" s="8">
        <v>1702610795</v>
      </c>
      <c r="F2393" s="2">
        <v>1.28109E-2</v>
      </c>
      <c r="G2393" s="17">
        <f>F2393 * VLOOKUP('GASB Data'!A2393,Check!$A$2:$F$11,6,FALSE)</f>
        <v>38879761.977300003</v>
      </c>
      <c r="H2393" s="12"/>
    </row>
    <row r="2394" spans="1:8" x14ac:dyDescent="0.2">
      <c r="A2394">
        <v>2023</v>
      </c>
      <c r="B2394" s="3" t="s">
        <v>192</v>
      </c>
      <c r="C2394" s="3" t="s">
        <v>662</v>
      </c>
      <c r="D2394" s="3" t="s">
        <v>662</v>
      </c>
      <c r="E2394" s="8">
        <v>29802068</v>
      </c>
      <c r="F2394" s="2">
        <v>2.242E-4</v>
      </c>
      <c r="G2394" s="17">
        <f>F2394 * VLOOKUP('GASB Data'!A2394,Check!$A$2:$F$11,6,FALSE)</f>
        <v>680423.90740000003</v>
      </c>
      <c r="H2394" s="12"/>
    </row>
    <row r="2395" spans="1:8" x14ac:dyDescent="0.2">
      <c r="A2395">
        <v>2023</v>
      </c>
      <c r="B2395" s="3" t="s">
        <v>193</v>
      </c>
      <c r="C2395" s="3" t="s">
        <v>663</v>
      </c>
      <c r="D2395" s="3" t="s">
        <v>663</v>
      </c>
      <c r="E2395" s="8">
        <v>286495531</v>
      </c>
      <c r="F2395" s="2">
        <v>2.1557E-3</v>
      </c>
      <c r="G2395" s="17">
        <f>F2395 * VLOOKUP('GASB Data'!A2395,Check!$A$2:$F$11,6,FALSE)</f>
        <v>6542327.4628999997</v>
      </c>
      <c r="H2395" s="12"/>
    </row>
    <row r="2396" spans="1:8" x14ac:dyDescent="0.2">
      <c r="A2396">
        <v>2023</v>
      </c>
      <c r="B2396" s="3" t="s">
        <v>194</v>
      </c>
      <c r="C2396" s="3" t="s">
        <v>664</v>
      </c>
      <c r="D2396" s="3" t="s">
        <v>664</v>
      </c>
      <c r="E2396" s="8">
        <v>528768380</v>
      </c>
      <c r="F2396" s="2">
        <v>3.9785999999999997E-3</v>
      </c>
      <c r="G2396" s="17">
        <f>F2396 * VLOOKUP('GASB Data'!A2396,Check!$A$2:$F$11,6,FALSE)</f>
        <v>12074641.2042</v>
      </c>
      <c r="H2396" s="12"/>
    </row>
    <row r="2397" spans="1:8" x14ac:dyDescent="0.2">
      <c r="A2397">
        <v>2023</v>
      </c>
      <c r="B2397" s="3" t="s">
        <v>195</v>
      </c>
      <c r="C2397" s="3" t="s">
        <v>665</v>
      </c>
      <c r="D2397" s="3" t="s">
        <v>665</v>
      </c>
      <c r="E2397" s="8">
        <v>127325707</v>
      </c>
      <c r="F2397" s="2">
        <v>9.5799999999999998E-4</v>
      </c>
      <c r="G2397" s="17">
        <f>F2397 * VLOOKUP('GASB Data'!A2397,Check!$A$2:$F$11,6,FALSE)</f>
        <v>2907431.3259999999</v>
      </c>
      <c r="H2397" s="12"/>
    </row>
    <row r="2398" spans="1:8" x14ac:dyDescent="0.2">
      <c r="A2398">
        <v>2023</v>
      </c>
      <c r="B2398" s="3" t="s">
        <v>196</v>
      </c>
      <c r="C2398" s="3" t="s">
        <v>666</v>
      </c>
      <c r="D2398" s="3" t="s">
        <v>666</v>
      </c>
      <c r="E2398" s="8">
        <v>102703269</v>
      </c>
      <c r="F2398" s="2">
        <v>7.7280000000000003E-4</v>
      </c>
      <c r="G2398" s="17">
        <f>F2398 * VLOOKUP('GASB Data'!A2398,Check!$A$2:$F$11,6,FALSE)</f>
        <v>2345368.4016</v>
      </c>
      <c r="H2398" s="12"/>
    </row>
    <row r="2399" spans="1:8" x14ac:dyDescent="0.2">
      <c r="A2399">
        <v>2023</v>
      </c>
      <c r="B2399" s="3" t="s">
        <v>197</v>
      </c>
      <c r="C2399" s="3" t="s">
        <v>667</v>
      </c>
      <c r="D2399" s="3" t="s">
        <v>667</v>
      </c>
      <c r="E2399" s="8">
        <v>431203392</v>
      </c>
      <c r="F2399" s="2">
        <v>3.2445E-3</v>
      </c>
      <c r="G2399" s="17">
        <f>F2399 * VLOOKUP('GASB Data'!A2399,Check!$A$2:$F$11,6,FALSE)</f>
        <v>9846723.3165000007</v>
      </c>
      <c r="H2399" s="12"/>
    </row>
    <row r="2400" spans="1:8" x14ac:dyDescent="0.2">
      <c r="A2400">
        <v>2023</v>
      </c>
      <c r="B2400" s="3" t="s">
        <v>198</v>
      </c>
      <c r="C2400" s="3" t="s">
        <v>668</v>
      </c>
      <c r="D2400" s="3" t="s">
        <v>668</v>
      </c>
      <c r="E2400" s="8">
        <v>68852099</v>
      </c>
      <c r="F2400" s="2">
        <v>5.1809999999999996E-4</v>
      </c>
      <c r="G2400" s="17">
        <f>F2400 * VLOOKUP('GASB Data'!A2400,Check!$A$2:$F$11,6,FALSE)</f>
        <v>1572380.1357</v>
      </c>
      <c r="H2400" s="12"/>
    </row>
    <row r="2401" spans="1:8" x14ac:dyDescent="0.2">
      <c r="A2401">
        <v>2023</v>
      </c>
      <c r="B2401" s="3" t="s">
        <v>199</v>
      </c>
      <c r="C2401" s="3" t="s">
        <v>669</v>
      </c>
      <c r="D2401" s="3" t="s">
        <v>669</v>
      </c>
      <c r="E2401" s="8">
        <v>117738086</v>
      </c>
      <c r="F2401" s="2">
        <v>8.8590000000000001E-4</v>
      </c>
      <c r="G2401" s="17">
        <f>F2401 * VLOOKUP('GASB Data'!A2401,Check!$A$2:$F$11,6,FALSE)</f>
        <v>2688615.2522999998</v>
      </c>
      <c r="H2401" s="12"/>
    </row>
    <row r="2402" spans="1:8" x14ac:dyDescent="0.2">
      <c r="A2402">
        <v>2023</v>
      </c>
      <c r="B2402" s="3" t="s">
        <v>200</v>
      </c>
      <c r="C2402" s="3" t="s">
        <v>670</v>
      </c>
      <c r="D2402" s="3" t="s">
        <v>670</v>
      </c>
      <c r="E2402" s="8">
        <v>758629666</v>
      </c>
      <c r="F2402" s="2">
        <v>5.7080999999999998E-3</v>
      </c>
      <c r="G2402" s="17">
        <f>F2402 * VLOOKUP('GASB Data'!A2402,Check!$A$2:$F$11,6,FALSE)</f>
        <v>17323495.565699998</v>
      </c>
      <c r="H2402" s="12"/>
    </row>
    <row r="2403" spans="1:8" x14ac:dyDescent="0.2">
      <c r="A2403">
        <v>2023</v>
      </c>
      <c r="B2403" s="3" t="s">
        <v>201</v>
      </c>
      <c r="C2403" s="3" t="s">
        <v>671</v>
      </c>
      <c r="D2403" s="3" t="s">
        <v>671</v>
      </c>
      <c r="E2403" s="8">
        <v>169720917</v>
      </c>
      <c r="F2403" s="2">
        <v>1.2769999999999999E-3</v>
      </c>
      <c r="G2403" s="17">
        <f>F2403 * VLOOKUP('GASB Data'!A2403,Check!$A$2:$F$11,6,FALSE)</f>
        <v>3875563.4689999996</v>
      </c>
      <c r="H2403" s="12"/>
    </row>
    <row r="2404" spans="1:8" x14ac:dyDescent="0.2">
      <c r="A2404">
        <v>2023</v>
      </c>
      <c r="B2404" s="3" t="s">
        <v>202</v>
      </c>
      <c r="C2404" s="3" t="s">
        <v>672</v>
      </c>
      <c r="D2404" s="3" t="s">
        <v>672</v>
      </c>
      <c r="E2404" s="8">
        <v>178315794</v>
      </c>
      <c r="F2404" s="2">
        <v>1.3416999999999999E-3</v>
      </c>
      <c r="G2404" s="17">
        <f>F2404 * VLOOKUP('GASB Data'!A2404,Check!$A$2:$F$11,6,FALSE)</f>
        <v>4071921.3048999999</v>
      </c>
      <c r="H2404" s="12"/>
    </row>
    <row r="2405" spans="1:8" x14ac:dyDescent="0.2">
      <c r="A2405">
        <v>2023</v>
      </c>
      <c r="B2405" s="3" t="s">
        <v>203</v>
      </c>
      <c r="C2405" s="3" t="s">
        <v>673</v>
      </c>
      <c r="D2405" s="3" t="s">
        <v>673</v>
      </c>
      <c r="E2405" s="8">
        <v>150742684</v>
      </c>
      <c r="F2405" s="2">
        <v>1.1341999999999999E-3</v>
      </c>
      <c r="G2405" s="17">
        <f>F2405 * VLOOKUP('GASB Data'!A2405,Check!$A$2:$F$11,6,FALSE)</f>
        <v>3442180.1773999999</v>
      </c>
      <c r="H2405" s="12"/>
    </row>
    <row r="2406" spans="1:8" x14ac:dyDescent="0.2">
      <c r="A2406">
        <v>2023</v>
      </c>
      <c r="B2406" s="3" t="s">
        <v>204</v>
      </c>
      <c r="C2406" s="3" t="s">
        <v>674</v>
      </c>
      <c r="D2406" s="3" t="s">
        <v>674</v>
      </c>
      <c r="E2406" s="8">
        <v>499082768</v>
      </c>
      <c r="F2406" s="2">
        <v>3.7552000000000002E-3</v>
      </c>
      <c r="G2406" s="17">
        <f>F2406 * VLOOKUP('GASB Data'!A2406,Check!$A$2:$F$11,6,FALSE)</f>
        <v>11396645.214400001</v>
      </c>
      <c r="H2406" s="12"/>
    </row>
    <row r="2407" spans="1:8" x14ac:dyDescent="0.2">
      <c r="A2407">
        <v>2023</v>
      </c>
      <c r="B2407" s="3" t="s">
        <v>205</v>
      </c>
      <c r="C2407" s="3" t="s">
        <v>675</v>
      </c>
      <c r="D2407" s="3" t="s">
        <v>675</v>
      </c>
      <c r="E2407" s="8">
        <v>188625139</v>
      </c>
      <c r="F2407" s="2">
        <v>1.4193000000000001E-3</v>
      </c>
      <c r="G2407" s="17">
        <f>F2407 * VLOOKUP('GASB Data'!A2407,Check!$A$2:$F$11,6,FALSE)</f>
        <v>4307429.3121000007</v>
      </c>
      <c r="H2407" s="12"/>
    </row>
    <row r="2408" spans="1:8" x14ac:dyDescent="0.2">
      <c r="A2408">
        <v>2023</v>
      </c>
      <c r="B2408" s="3" t="s">
        <v>206</v>
      </c>
      <c r="C2408" s="3" t="s">
        <v>676</v>
      </c>
      <c r="D2408" s="3" t="s">
        <v>676</v>
      </c>
      <c r="E2408" s="8">
        <v>48234304</v>
      </c>
      <c r="F2408" s="2">
        <v>3.6289999999999998E-4</v>
      </c>
      <c r="G2408" s="17">
        <f>F2408 * VLOOKUP('GASB Data'!A2408,Check!$A$2:$F$11,6,FALSE)</f>
        <v>1101364.1213</v>
      </c>
      <c r="H2408" s="12"/>
    </row>
    <row r="2409" spans="1:8" x14ac:dyDescent="0.2">
      <c r="A2409">
        <v>2023</v>
      </c>
      <c r="B2409" s="3" t="s">
        <v>207</v>
      </c>
      <c r="C2409" s="3" t="s">
        <v>677</v>
      </c>
      <c r="D2409" s="3" t="s">
        <v>677</v>
      </c>
      <c r="E2409" s="8">
        <v>107439671</v>
      </c>
      <c r="F2409" s="2">
        <v>8.0840000000000003E-4</v>
      </c>
      <c r="G2409" s="17">
        <f>F2409 * VLOOKUP('GASB Data'!A2409,Check!$A$2:$F$11,6,FALSE)</f>
        <v>2453410.7348000002</v>
      </c>
      <c r="H2409" s="12"/>
    </row>
    <row r="2410" spans="1:8" x14ac:dyDescent="0.2">
      <c r="A2410">
        <v>2023</v>
      </c>
      <c r="B2410" s="3" t="s">
        <v>208</v>
      </c>
      <c r="C2410" s="3" t="s">
        <v>678</v>
      </c>
      <c r="D2410" s="3" t="s">
        <v>678</v>
      </c>
      <c r="E2410" s="8">
        <v>81779448</v>
      </c>
      <c r="F2410" s="2">
        <v>6.1530000000000005E-4</v>
      </c>
      <c r="G2410" s="17">
        <f>F2410 * VLOOKUP('GASB Data'!A2410,Check!$A$2:$F$11,6,FALSE)</f>
        <v>1867372.1241000001</v>
      </c>
      <c r="H2410" s="12"/>
    </row>
    <row r="2411" spans="1:8" x14ac:dyDescent="0.2">
      <c r="A2411">
        <v>2023</v>
      </c>
      <c r="B2411" s="3" t="s">
        <v>209</v>
      </c>
      <c r="C2411" s="3" t="s">
        <v>679</v>
      </c>
      <c r="D2411" s="3" t="s">
        <v>679</v>
      </c>
      <c r="E2411" s="8">
        <v>742429063</v>
      </c>
      <c r="F2411" s="2">
        <v>5.5862000000000004E-3</v>
      </c>
      <c r="G2411" s="17">
        <f>F2411 * VLOOKUP('GASB Data'!A2411,Check!$A$2:$F$11,6,FALSE)</f>
        <v>16953541.621400002</v>
      </c>
      <c r="H2411" s="12"/>
    </row>
    <row r="2412" spans="1:8" x14ac:dyDescent="0.2">
      <c r="A2412">
        <v>2023</v>
      </c>
      <c r="B2412" s="3" t="s">
        <v>210</v>
      </c>
      <c r="C2412" s="3" t="s">
        <v>930</v>
      </c>
      <c r="D2412" s="3" t="s">
        <v>930</v>
      </c>
      <c r="E2412" s="8">
        <v>91900728</v>
      </c>
      <c r="F2412" s="2">
        <v>6.9149999999999995E-4</v>
      </c>
      <c r="G2412" s="17">
        <f>F2412 * VLOOKUP('GASB Data'!A2412,Check!$A$2:$F$11,6,FALSE)</f>
        <v>2098631.2755</v>
      </c>
      <c r="H2412" s="12"/>
    </row>
    <row r="2413" spans="1:8" x14ac:dyDescent="0.2">
      <c r="A2413">
        <v>2023</v>
      </c>
      <c r="B2413" s="3" t="s">
        <v>211</v>
      </c>
      <c r="C2413" s="3" t="s">
        <v>681</v>
      </c>
      <c r="D2413" s="3" t="s">
        <v>681</v>
      </c>
      <c r="E2413" s="8">
        <v>269000572</v>
      </c>
      <c r="F2413" s="2">
        <v>2.0240000000000002E-3</v>
      </c>
      <c r="G2413" s="17">
        <f>F2413 * VLOOKUP('GASB Data'!A2413,Check!$A$2:$F$11,6,FALSE)</f>
        <v>6142631.5280000009</v>
      </c>
      <c r="H2413" s="12"/>
    </row>
    <row r="2414" spans="1:8" x14ac:dyDescent="0.2">
      <c r="A2414">
        <v>2023</v>
      </c>
      <c r="B2414" s="3" t="s">
        <v>212</v>
      </c>
      <c r="C2414" s="3" t="s">
        <v>682</v>
      </c>
      <c r="D2414" s="3" t="s">
        <v>682</v>
      </c>
      <c r="E2414" s="8">
        <v>65614080</v>
      </c>
      <c r="F2414" s="2">
        <v>4.9370000000000002E-4</v>
      </c>
      <c r="G2414" s="17">
        <f>F2414 * VLOOKUP('GASB Data'!A2414,Check!$A$2:$F$11,6,FALSE)</f>
        <v>1498328.6489000001</v>
      </c>
      <c r="H2414" s="12"/>
    </row>
    <row r="2415" spans="1:8" x14ac:dyDescent="0.2">
      <c r="A2415">
        <v>2023</v>
      </c>
      <c r="B2415" s="3" t="s">
        <v>213</v>
      </c>
      <c r="C2415" s="3" t="s">
        <v>683</v>
      </c>
      <c r="D2415" s="3" t="s">
        <v>683</v>
      </c>
      <c r="E2415" s="8">
        <v>121242702</v>
      </c>
      <c r="F2415" s="2">
        <v>9.123E-4</v>
      </c>
      <c r="G2415" s="17">
        <f>F2415 * VLOOKUP('GASB Data'!A2415,Check!$A$2:$F$11,6,FALSE)</f>
        <v>2768736.5331000001</v>
      </c>
      <c r="H2415" s="12"/>
    </row>
    <row r="2416" spans="1:8" x14ac:dyDescent="0.2">
      <c r="A2416">
        <v>2023</v>
      </c>
      <c r="B2416" s="3" t="s">
        <v>215</v>
      </c>
      <c r="C2416" s="3" t="s">
        <v>684</v>
      </c>
      <c r="D2416" s="3" t="s">
        <v>684</v>
      </c>
      <c r="E2416" s="8">
        <v>637737249</v>
      </c>
      <c r="F2416" s="2">
        <v>4.7984999999999998E-3</v>
      </c>
      <c r="G2416" s="17">
        <f>F2416 * VLOOKUP('GASB Data'!A2416,Check!$A$2:$F$11,6,FALSE)</f>
        <v>14562953.2545</v>
      </c>
      <c r="H2416" s="12"/>
    </row>
    <row r="2417" spans="1:8" x14ac:dyDescent="0.2">
      <c r="A2417">
        <v>2023</v>
      </c>
      <c r="B2417" s="3" t="s">
        <v>216</v>
      </c>
      <c r="C2417" s="3" t="s">
        <v>685</v>
      </c>
      <c r="D2417" s="3" t="s">
        <v>685</v>
      </c>
      <c r="E2417" s="8">
        <v>102354839</v>
      </c>
      <c r="F2417" s="2">
        <v>7.7010000000000002E-4</v>
      </c>
      <c r="G2417" s="17">
        <f>F2417 * VLOOKUP('GASB Data'!A2417,Check!$A$2:$F$11,6,FALSE)</f>
        <v>2337174.1797000002</v>
      </c>
      <c r="H2417" s="12"/>
    </row>
    <row r="2418" spans="1:8" x14ac:dyDescent="0.2">
      <c r="A2418">
        <v>2023</v>
      </c>
      <c r="B2418" s="3" t="s">
        <v>217</v>
      </c>
      <c r="C2418" s="3" t="s">
        <v>686</v>
      </c>
      <c r="D2418" s="3" t="s">
        <v>686</v>
      </c>
      <c r="E2418" s="8">
        <v>2324638201</v>
      </c>
      <c r="F2418" s="2">
        <v>1.7491199999999998E-2</v>
      </c>
      <c r="G2418" s="17">
        <f>F2418 * VLOOKUP('GASB Data'!A2418,Check!$A$2:$F$11,6,FALSE)</f>
        <v>53083990.406399995</v>
      </c>
      <c r="H2418" s="12"/>
    </row>
    <row r="2419" spans="1:8" x14ac:dyDescent="0.2">
      <c r="A2419">
        <v>2023</v>
      </c>
      <c r="B2419" s="3" t="s">
        <v>218</v>
      </c>
      <c r="C2419" s="3" t="s">
        <v>687</v>
      </c>
      <c r="D2419" s="3" t="s">
        <v>687</v>
      </c>
      <c r="E2419" s="8">
        <v>410397597</v>
      </c>
      <c r="F2419" s="2">
        <v>3.0879000000000002E-3</v>
      </c>
      <c r="G2419" s="17">
        <f>F2419 * VLOOKUP('GASB Data'!A2419,Check!$A$2:$F$11,6,FALSE)</f>
        <v>9371458.4463</v>
      </c>
      <c r="H2419" s="12"/>
    </row>
    <row r="2420" spans="1:8" x14ac:dyDescent="0.2">
      <c r="A2420">
        <v>2023</v>
      </c>
      <c r="B2420" s="3" t="s">
        <v>219</v>
      </c>
      <c r="C2420" s="3" t="s">
        <v>688</v>
      </c>
      <c r="D2420" s="3" t="s">
        <v>688</v>
      </c>
      <c r="E2420" s="8">
        <v>241630356</v>
      </c>
      <c r="F2420" s="2">
        <v>1.8181E-3</v>
      </c>
      <c r="G2420" s="17">
        <f>F2420 * VLOOKUP('GASB Data'!A2420,Check!$A$2:$F$11,6,FALSE)</f>
        <v>5517746.2357000001</v>
      </c>
      <c r="H2420" s="12"/>
    </row>
    <row r="2421" spans="1:8" x14ac:dyDescent="0.2">
      <c r="A2421">
        <v>2023</v>
      </c>
      <c r="B2421" s="3" t="s">
        <v>274</v>
      </c>
      <c r="C2421" s="3" t="s">
        <v>689</v>
      </c>
      <c r="D2421" s="3" t="s">
        <v>689</v>
      </c>
      <c r="E2421" s="8">
        <v>317701471</v>
      </c>
      <c r="F2421" s="2">
        <v>2.3904999999999998E-3</v>
      </c>
      <c r="G2421" s="17">
        <f>F2421 * VLOOKUP('GASB Data'!A2421,Check!$A$2:$F$11,6,FALSE)</f>
        <v>7254921.2784999991</v>
      </c>
      <c r="H2421" s="12"/>
    </row>
    <row r="2422" spans="1:8" x14ac:dyDescent="0.2">
      <c r="A2422">
        <v>2023</v>
      </c>
      <c r="B2422" s="3" t="s">
        <v>275</v>
      </c>
      <c r="C2422" s="3" t="s">
        <v>690</v>
      </c>
      <c r="D2422" s="3" t="s">
        <v>690</v>
      </c>
      <c r="E2422" s="8">
        <v>804832757</v>
      </c>
      <c r="F2422" s="2">
        <v>6.0558000000000001E-3</v>
      </c>
      <c r="G2422" s="17">
        <f>F2422 * VLOOKUP('GASB Data'!A2422,Check!$A$2:$F$11,6,FALSE)</f>
        <v>18378729.252599999</v>
      </c>
      <c r="H2422" s="12"/>
    </row>
    <row r="2423" spans="1:8" x14ac:dyDescent="0.2">
      <c r="A2423">
        <v>2023</v>
      </c>
      <c r="B2423" s="3" t="s">
        <v>276</v>
      </c>
      <c r="C2423" s="3" t="s">
        <v>691</v>
      </c>
      <c r="D2423" s="3" t="s">
        <v>691</v>
      </c>
      <c r="E2423" s="8">
        <v>12532588</v>
      </c>
      <c r="F2423" s="2">
        <v>9.4300000000000002E-5</v>
      </c>
      <c r="G2423" s="17">
        <f>F2423 * VLOOKUP('GASB Data'!A2423,Check!$A$2:$F$11,6,FALSE)</f>
        <v>286190.78710000002</v>
      </c>
      <c r="H2423" s="12"/>
    </row>
    <row r="2424" spans="1:8" x14ac:dyDescent="0.2">
      <c r="A2424">
        <v>2023</v>
      </c>
      <c r="B2424" s="3" t="s">
        <v>935</v>
      </c>
      <c r="C2424" s="3" t="s">
        <v>934</v>
      </c>
      <c r="D2424" s="3" t="s">
        <v>934</v>
      </c>
      <c r="E2424" s="8">
        <v>13387976</v>
      </c>
      <c r="F2424" s="2">
        <v>1.0069999999999999E-4</v>
      </c>
      <c r="G2424" s="17">
        <f>F2424 * VLOOKUP('GASB Data'!A2424,Check!$A$2:$F$11,6,FALSE)</f>
        <v>305614.12789999996</v>
      </c>
      <c r="H2424" s="12"/>
    </row>
    <row r="2425" spans="1:8" x14ac:dyDescent="0.2">
      <c r="A2425">
        <v>2023</v>
      </c>
      <c r="B2425" s="3" t="s">
        <v>277</v>
      </c>
      <c r="C2425" s="3" t="s">
        <v>692</v>
      </c>
      <c r="D2425" s="3" t="s">
        <v>692</v>
      </c>
      <c r="E2425" s="8">
        <v>115583604</v>
      </c>
      <c r="F2425" s="2">
        <v>8.6970000000000005E-4</v>
      </c>
      <c r="G2425" s="17">
        <f>F2425 * VLOOKUP('GASB Data'!A2425,Check!$A$2:$F$11,6,FALSE)</f>
        <v>2639449.9209000003</v>
      </c>
      <c r="H2425" s="12"/>
    </row>
    <row r="2426" spans="1:8" x14ac:dyDescent="0.2">
      <c r="A2426">
        <v>2023</v>
      </c>
      <c r="B2426" s="3" t="s">
        <v>278</v>
      </c>
      <c r="C2426" s="3" t="s">
        <v>693</v>
      </c>
      <c r="D2426" s="3" t="s">
        <v>693</v>
      </c>
      <c r="E2426" s="8">
        <v>156986212</v>
      </c>
      <c r="F2426" s="2">
        <v>1.1812000000000001E-3</v>
      </c>
      <c r="G2426" s="17">
        <f>F2426 * VLOOKUP('GASB Data'!A2426,Check!$A$2:$F$11,6,FALSE)</f>
        <v>3584820.3364000004</v>
      </c>
      <c r="H2426" s="12"/>
    </row>
    <row r="2427" spans="1:8" x14ac:dyDescent="0.2">
      <c r="A2427">
        <v>2023</v>
      </c>
      <c r="B2427" s="3" t="s">
        <v>937</v>
      </c>
      <c r="C2427" s="3" t="s">
        <v>936</v>
      </c>
      <c r="D2427" s="3" t="s">
        <v>936</v>
      </c>
      <c r="E2427" s="8">
        <v>18438922</v>
      </c>
      <c r="F2427" s="2">
        <v>1.3870000000000001E-4</v>
      </c>
      <c r="G2427" s="17">
        <f>F2427 * VLOOKUP('GASB Data'!A2427,Check!$A$2:$F$11,6,FALSE)</f>
        <v>420940.21390000003</v>
      </c>
      <c r="H2427" s="12"/>
    </row>
    <row r="2428" spans="1:8" x14ac:dyDescent="0.2">
      <c r="A2428">
        <v>2023</v>
      </c>
      <c r="B2428" s="3" t="s">
        <v>279</v>
      </c>
      <c r="C2428" s="3" t="s">
        <v>694</v>
      </c>
      <c r="D2428" s="3" t="s">
        <v>694</v>
      </c>
      <c r="E2428" s="8">
        <v>126173874</v>
      </c>
      <c r="F2428" s="2">
        <v>9.4939999999999998E-4</v>
      </c>
      <c r="G2428" s="17">
        <f>F2428 * VLOOKUP('GASB Data'!A2428,Check!$A$2:$F$11,6,FALSE)</f>
        <v>2881331.2118000002</v>
      </c>
      <c r="H2428" s="12"/>
    </row>
    <row r="2429" spans="1:8" x14ac:dyDescent="0.2">
      <c r="A2429">
        <v>2023</v>
      </c>
      <c r="B2429" s="3" t="s">
        <v>280</v>
      </c>
      <c r="C2429" s="3" t="s">
        <v>695</v>
      </c>
      <c r="D2429" s="3" t="s">
        <v>695</v>
      </c>
      <c r="E2429" s="8">
        <v>307463144</v>
      </c>
      <c r="F2429" s="2">
        <v>2.3134000000000002E-3</v>
      </c>
      <c r="G2429" s="17">
        <f>F2429 * VLOOKUP('GASB Data'!A2429,Check!$A$2:$F$11,6,FALSE)</f>
        <v>7020930.7198000001</v>
      </c>
      <c r="H2429" s="12"/>
    </row>
    <row r="2430" spans="1:8" x14ac:dyDescent="0.2">
      <c r="A2430">
        <v>2023</v>
      </c>
      <c r="B2430" s="3" t="s">
        <v>281</v>
      </c>
      <c r="C2430" s="3" t="s">
        <v>904</v>
      </c>
      <c r="D2430" s="3" t="s">
        <v>904</v>
      </c>
      <c r="E2430" s="8">
        <v>4922117</v>
      </c>
      <c r="F2430" s="2">
        <v>3.6999999999999998E-5</v>
      </c>
      <c r="G2430" s="17">
        <f>F2430 * VLOOKUP('GASB Data'!A2430,Check!$A$2:$F$11,6,FALSE)</f>
        <v>112291.189</v>
      </c>
      <c r="H2430" s="12"/>
    </row>
    <row r="2431" spans="1:8" x14ac:dyDescent="0.2">
      <c r="A2431">
        <v>2023</v>
      </c>
      <c r="B2431" s="3" t="s">
        <v>282</v>
      </c>
      <c r="C2431" s="3" t="s">
        <v>697</v>
      </c>
      <c r="D2431" s="3" t="s">
        <v>697</v>
      </c>
      <c r="E2431" s="8">
        <v>50983923</v>
      </c>
      <c r="F2431" s="2">
        <v>3.836E-4</v>
      </c>
      <c r="G2431" s="17">
        <f>F2431 * VLOOKUP('GASB Data'!A2431,Check!$A$2:$F$11,6,FALSE)</f>
        <v>1164186.4892</v>
      </c>
      <c r="H2431" s="12"/>
    </row>
    <row r="2432" spans="1:8" x14ac:dyDescent="0.2">
      <c r="A2432">
        <v>2023</v>
      </c>
      <c r="B2432" s="3" t="s">
        <v>283</v>
      </c>
      <c r="C2432" s="3" t="s">
        <v>698</v>
      </c>
      <c r="D2432" s="3" t="s">
        <v>698</v>
      </c>
      <c r="E2432" s="8">
        <v>440242253</v>
      </c>
      <c r="F2432" s="2">
        <v>3.3124999999999999E-3</v>
      </c>
      <c r="G2432" s="17">
        <f>F2432 * VLOOKUP('GASB Data'!A2432,Check!$A$2:$F$11,6,FALSE)</f>
        <v>10053096.3125</v>
      </c>
      <c r="H2432" s="12"/>
    </row>
    <row r="2433" spans="1:8" x14ac:dyDescent="0.2">
      <c r="A2433">
        <v>2023</v>
      </c>
      <c r="B2433" s="3" t="s">
        <v>284</v>
      </c>
      <c r="C2433" s="3" t="s">
        <v>699</v>
      </c>
      <c r="D2433" s="3" t="s">
        <v>699</v>
      </c>
      <c r="E2433" s="8">
        <v>58008058</v>
      </c>
      <c r="F2433" s="2">
        <v>4.3649999999999998E-4</v>
      </c>
      <c r="G2433" s="17">
        <f>F2433 * VLOOKUP('GASB Data'!A2433,Check!$A$2:$F$11,6,FALSE)</f>
        <v>1324732.5404999999</v>
      </c>
      <c r="H2433" s="12"/>
    </row>
    <row r="2434" spans="1:8" x14ac:dyDescent="0.2">
      <c r="A2434">
        <v>2023</v>
      </c>
      <c r="B2434" s="3" t="s">
        <v>285</v>
      </c>
      <c r="C2434" s="3" t="s">
        <v>700</v>
      </c>
      <c r="D2434" s="3" t="s">
        <v>700</v>
      </c>
      <c r="E2434" s="8">
        <v>2102979180</v>
      </c>
      <c r="F2434" s="2">
        <v>1.5823400000000001E-2</v>
      </c>
      <c r="G2434" s="17">
        <f>F2434 * VLOOKUP('GASB Data'!A2434,Check!$A$2:$F$11,6,FALSE)</f>
        <v>48022389.189800002</v>
      </c>
      <c r="H2434" s="12"/>
    </row>
    <row r="2435" spans="1:8" x14ac:dyDescent="0.2">
      <c r="A2435">
        <v>2023</v>
      </c>
      <c r="B2435" s="3" t="s">
        <v>286</v>
      </c>
      <c r="C2435" s="3" t="s">
        <v>905</v>
      </c>
      <c r="D2435" s="3" t="s">
        <v>905</v>
      </c>
      <c r="E2435" s="8">
        <v>37944310</v>
      </c>
      <c r="F2435" s="2">
        <v>2.855E-4</v>
      </c>
      <c r="G2435" s="17">
        <f>F2435 * VLOOKUP('GASB Data'!A2435,Check!$A$2:$F$11,6,FALSE)</f>
        <v>866463.09349999996</v>
      </c>
      <c r="H2435" s="12"/>
    </row>
    <row r="2436" spans="1:8" x14ac:dyDescent="0.2">
      <c r="A2436">
        <v>2023</v>
      </c>
      <c r="B2436" s="3" t="s">
        <v>287</v>
      </c>
      <c r="C2436" s="3" t="s">
        <v>702</v>
      </c>
      <c r="D2436" s="3" t="s">
        <v>702</v>
      </c>
      <c r="E2436" s="8">
        <v>36287019</v>
      </c>
      <c r="F2436" s="2">
        <v>2.7300000000000002E-4</v>
      </c>
      <c r="G2436" s="17">
        <f>F2436 * VLOOKUP('GASB Data'!A2436,Check!$A$2:$F$11,6,FALSE)</f>
        <v>828526.88100000005</v>
      </c>
      <c r="H2436" s="12"/>
    </row>
    <row r="2437" spans="1:8" x14ac:dyDescent="0.2">
      <c r="A2437">
        <v>2023</v>
      </c>
      <c r="B2437" s="3" t="s">
        <v>288</v>
      </c>
      <c r="C2437" s="3" t="s">
        <v>703</v>
      </c>
      <c r="D2437" s="3" t="s">
        <v>703</v>
      </c>
      <c r="E2437" s="8">
        <v>66019415</v>
      </c>
      <c r="F2437" s="2">
        <v>4.9669999999999998E-4</v>
      </c>
      <c r="G2437" s="17">
        <f>F2437 * VLOOKUP('GASB Data'!A2437,Check!$A$2:$F$11,6,FALSE)</f>
        <v>1507433.3399</v>
      </c>
      <c r="H2437" s="12"/>
    </row>
    <row r="2438" spans="1:8" x14ac:dyDescent="0.2">
      <c r="A2438">
        <v>2023</v>
      </c>
      <c r="B2438" s="3" t="s">
        <v>289</v>
      </c>
      <c r="C2438" s="3" t="s">
        <v>704</v>
      </c>
      <c r="D2438" s="3" t="s">
        <v>704</v>
      </c>
      <c r="E2438" s="8">
        <v>175641301</v>
      </c>
      <c r="F2438" s="2">
        <v>1.3216E-3</v>
      </c>
      <c r="G2438" s="17">
        <f>F2438 * VLOOKUP('GASB Data'!A2438,Check!$A$2:$F$11,6,FALSE)</f>
        <v>4010919.8752000001</v>
      </c>
      <c r="H2438" s="12"/>
    </row>
    <row r="2439" spans="1:8" x14ac:dyDescent="0.2">
      <c r="A2439">
        <v>2023</v>
      </c>
      <c r="B2439" s="3" t="s">
        <v>290</v>
      </c>
      <c r="C2439" s="3" t="s">
        <v>705</v>
      </c>
      <c r="D2439" s="3" t="s">
        <v>705</v>
      </c>
      <c r="E2439" s="8">
        <v>16451554</v>
      </c>
      <c r="F2439" s="2">
        <v>1.238E-4</v>
      </c>
      <c r="G2439" s="17">
        <f>F2439 * VLOOKUP('GASB Data'!A2439,Check!$A$2:$F$11,6,FALSE)</f>
        <v>375720.24859999999</v>
      </c>
      <c r="H2439" s="12"/>
    </row>
    <row r="2440" spans="1:8" x14ac:dyDescent="0.2">
      <c r="A2440">
        <v>2023</v>
      </c>
      <c r="B2440" s="3" t="s">
        <v>291</v>
      </c>
      <c r="C2440" s="3" t="s">
        <v>706</v>
      </c>
      <c r="D2440" s="3" t="s">
        <v>706</v>
      </c>
      <c r="E2440" s="8">
        <v>75572553</v>
      </c>
      <c r="F2440" s="2">
        <v>5.6860000000000005E-4</v>
      </c>
      <c r="G2440" s="17">
        <f>F2440 * VLOOKUP('GASB Data'!A2440,Check!$A$2:$F$11,6,FALSE)</f>
        <v>1725642.4342000003</v>
      </c>
      <c r="H2440" s="12"/>
    </row>
    <row r="2441" spans="1:8" x14ac:dyDescent="0.2">
      <c r="A2441">
        <v>2023</v>
      </c>
      <c r="B2441" s="3" t="s">
        <v>294</v>
      </c>
      <c r="C2441" s="3" t="s">
        <v>709</v>
      </c>
      <c r="D2441" s="3" t="s">
        <v>709</v>
      </c>
      <c r="E2441" s="8">
        <v>298721450</v>
      </c>
      <c r="F2441" s="2">
        <v>2.2477E-3</v>
      </c>
      <c r="G2441" s="17">
        <f>F2441 * VLOOKUP('GASB Data'!A2441,Check!$A$2:$F$11,6,FALSE)</f>
        <v>6821537.9868999999</v>
      </c>
      <c r="H2441" s="12"/>
    </row>
    <row r="2442" spans="1:8" x14ac:dyDescent="0.2">
      <c r="A2442">
        <v>2023</v>
      </c>
      <c r="B2442" s="3" t="s">
        <v>295</v>
      </c>
      <c r="C2442" s="3" t="s">
        <v>710</v>
      </c>
      <c r="D2442" s="3" t="s">
        <v>710</v>
      </c>
      <c r="E2442" s="8">
        <v>61942018</v>
      </c>
      <c r="F2442" s="2">
        <v>4.661E-4</v>
      </c>
      <c r="G2442" s="17">
        <f>F2442 * VLOOKUP('GASB Data'!A2442,Check!$A$2:$F$11,6,FALSE)</f>
        <v>1414565.4916999999</v>
      </c>
      <c r="H2442" s="12"/>
    </row>
    <row r="2443" spans="1:8" x14ac:dyDescent="0.2">
      <c r="A2443">
        <v>2023</v>
      </c>
      <c r="B2443" s="3" t="s">
        <v>296</v>
      </c>
      <c r="C2443" s="3" t="s">
        <v>711</v>
      </c>
      <c r="D2443" s="3" t="s">
        <v>711</v>
      </c>
      <c r="E2443" s="8">
        <v>2846475781</v>
      </c>
      <c r="F2443" s="2">
        <v>2.1417599999999998E-2</v>
      </c>
      <c r="G2443" s="17">
        <f>F2443 * VLOOKUP('GASB Data'!A2443,Check!$A$2:$F$11,6,FALSE)</f>
        <v>65000209.987199992</v>
      </c>
      <c r="H2443" s="12"/>
    </row>
    <row r="2444" spans="1:8" x14ac:dyDescent="0.2">
      <c r="A2444">
        <v>2023</v>
      </c>
      <c r="B2444" s="3" t="s">
        <v>297</v>
      </c>
      <c r="C2444" s="3" t="s">
        <v>712</v>
      </c>
      <c r="D2444" s="3" t="s">
        <v>712</v>
      </c>
      <c r="E2444" s="8">
        <v>27079692</v>
      </c>
      <c r="F2444" s="2">
        <v>2.0379999999999999E-4</v>
      </c>
      <c r="G2444" s="17">
        <f>F2444 * VLOOKUP('GASB Data'!A2444,Check!$A$2:$F$11,6,FALSE)</f>
        <v>618512.00859999994</v>
      </c>
      <c r="H2444" s="12"/>
    </row>
    <row r="2445" spans="1:8" x14ac:dyDescent="0.2">
      <c r="A2445">
        <v>2023</v>
      </c>
      <c r="B2445" s="3" t="s">
        <v>298</v>
      </c>
      <c r="C2445" s="3" t="s">
        <v>713</v>
      </c>
      <c r="D2445" s="3" t="s">
        <v>713</v>
      </c>
      <c r="E2445" s="8">
        <v>249071528</v>
      </c>
      <c r="F2445" s="2">
        <v>1.8741000000000001E-3</v>
      </c>
      <c r="G2445" s="17">
        <f>F2445 * VLOOKUP('GASB Data'!A2445,Check!$A$2:$F$11,6,FALSE)</f>
        <v>5687700.4676999999</v>
      </c>
      <c r="H2445" s="12"/>
    </row>
    <row r="2446" spans="1:8" x14ac:dyDescent="0.2">
      <c r="A2446">
        <v>2023</v>
      </c>
      <c r="B2446" s="3" t="s">
        <v>299</v>
      </c>
      <c r="C2446" s="3" t="s">
        <v>714</v>
      </c>
      <c r="D2446" s="3" t="s">
        <v>714</v>
      </c>
      <c r="E2446" s="8">
        <v>412468674</v>
      </c>
      <c r="F2446" s="2">
        <v>3.1034999999999999E-3</v>
      </c>
      <c r="G2446" s="17">
        <f>F2446 * VLOOKUP('GASB Data'!A2446,Check!$A$2:$F$11,6,FALSE)</f>
        <v>9418802.8394999988</v>
      </c>
      <c r="H2446" s="12"/>
    </row>
    <row r="2447" spans="1:8" x14ac:dyDescent="0.2">
      <c r="A2447">
        <v>2023</v>
      </c>
      <c r="B2447" s="3" t="s">
        <v>300</v>
      </c>
      <c r="C2447" s="3" t="s">
        <v>715</v>
      </c>
      <c r="D2447" s="3" t="s">
        <v>715</v>
      </c>
      <c r="E2447" s="8">
        <v>17418990</v>
      </c>
      <c r="F2447" s="2">
        <v>1.3109999999999999E-4</v>
      </c>
      <c r="G2447" s="17">
        <f>F2447 * VLOOKUP('GASB Data'!A2447,Check!$A$2:$F$11,6,FALSE)</f>
        <v>397874.99669999996</v>
      </c>
      <c r="H2447" s="12"/>
    </row>
    <row r="2448" spans="1:8" x14ac:dyDescent="0.2">
      <c r="A2448">
        <v>2023</v>
      </c>
      <c r="B2448" s="3" t="s">
        <v>301</v>
      </c>
      <c r="C2448" s="3" t="s">
        <v>716</v>
      </c>
      <c r="D2448" s="3" t="s">
        <v>716</v>
      </c>
      <c r="E2448" s="8">
        <v>1371649806</v>
      </c>
      <c r="F2448" s="2">
        <v>1.0320599999999999E-2</v>
      </c>
      <c r="G2448" s="17">
        <f>F2448 * VLOOKUP('GASB Data'!A2448,Check!$A$2:$F$11,6,FALSE)</f>
        <v>31321957.978199996</v>
      </c>
      <c r="H2448" s="12"/>
    </row>
    <row r="2449" spans="1:8" x14ac:dyDescent="0.2">
      <c r="A2449">
        <v>2023</v>
      </c>
      <c r="B2449" s="3" t="s">
        <v>302</v>
      </c>
      <c r="C2449" s="3" t="s">
        <v>717</v>
      </c>
      <c r="D2449" s="3" t="s">
        <v>717</v>
      </c>
      <c r="E2449" s="8">
        <v>173859784</v>
      </c>
      <c r="F2449" s="2">
        <v>1.3082E-3</v>
      </c>
      <c r="G2449" s="17">
        <f>F2449 * VLOOKUP('GASB Data'!A2449,Check!$A$2:$F$11,6,FALSE)</f>
        <v>3970252.2554000001</v>
      </c>
      <c r="H2449" s="12"/>
    </row>
    <row r="2450" spans="1:8" x14ac:dyDescent="0.2">
      <c r="A2450">
        <v>2023</v>
      </c>
      <c r="B2450" s="3" t="s">
        <v>303</v>
      </c>
      <c r="C2450" s="3" t="s">
        <v>718</v>
      </c>
      <c r="D2450" s="3" t="s">
        <v>718</v>
      </c>
      <c r="E2450" s="8">
        <v>101951203</v>
      </c>
      <c r="F2450" s="2">
        <v>7.6710000000000005E-4</v>
      </c>
      <c r="G2450" s="17">
        <f>F2450 * VLOOKUP('GASB Data'!A2450,Check!$A$2:$F$11,6,FALSE)</f>
        <v>2328069.4887000001</v>
      </c>
      <c r="H2450" s="12"/>
    </row>
    <row r="2451" spans="1:8" x14ac:dyDescent="0.2">
      <c r="A2451">
        <v>2023</v>
      </c>
      <c r="B2451" s="3" t="s">
        <v>304</v>
      </c>
      <c r="C2451" s="3" t="s">
        <v>719</v>
      </c>
      <c r="D2451" s="3" t="s">
        <v>719</v>
      </c>
      <c r="E2451" s="8">
        <v>80351246</v>
      </c>
      <c r="F2451" s="2">
        <v>6.0459999999999995E-4</v>
      </c>
      <c r="G2451" s="17">
        <f>F2451 * VLOOKUP('GASB Data'!A2451,Check!$A$2:$F$11,6,FALSE)</f>
        <v>1834898.7261999999</v>
      </c>
      <c r="H2451" s="12"/>
    </row>
    <row r="2452" spans="1:8" x14ac:dyDescent="0.2">
      <c r="A2452">
        <v>2023</v>
      </c>
      <c r="B2452" s="3" t="s">
        <v>305</v>
      </c>
      <c r="C2452" s="3" t="s">
        <v>938</v>
      </c>
      <c r="D2452" s="3" t="s">
        <v>938</v>
      </c>
      <c r="E2452" s="8">
        <v>316586143</v>
      </c>
      <c r="F2452" s="2">
        <v>2.3820999999999998E-3</v>
      </c>
      <c r="G2452" s="17">
        <f>F2452 * VLOOKUP('GASB Data'!A2452,Check!$A$2:$F$11,6,FALSE)</f>
        <v>7229428.1436999999</v>
      </c>
      <c r="H2452" s="12"/>
    </row>
    <row r="2453" spans="1:8" x14ac:dyDescent="0.2">
      <c r="A2453">
        <v>2023</v>
      </c>
      <c r="B2453" s="3" t="s">
        <v>306</v>
      </c>
      <c r="C2453" s="3" t="s">
        <v>721</v>
      </c>
      <c r="D2453" s="3" t="s">
        <v>721</v>
      </c>
      <c r="E2453" s="8">
        <v>177642194</v>
      </c>
      <c r="F2453" s="2">
        <v>1.3366000000000001E-3</v>
      </c>
      <c r="G2453" s="17">
        <f>F2453 * VLOOKUP('GASB Data'!A2453,Check!$A$2:$F$11,6,FALSE)</f>
        <v>4056443.3302000002</v>
      </c>
      <c r="H2453" s="12"/>
    </row>
    <row r="2454" spans="1:8" x14ac:dyDescent="0.2">
      <c r="A2454">
        <v>2023</v>
      </c>
      <c r="B2454" s="3" t="s">
        <v>307</v>
      </c>
      <c r="C2454" s="3" t="s">
        <v>722</v>
      </c>
      <c r="D2454" s="3" t="s">
        <v>722</v>
      </c>
      <c r="E2454" s="8">
        <v>3733460031</v>
      </c>
      <c r="F2454" s="2">
        <v>2.8091499999999998E-2</v>
      </c>
      <c r="G2454" s="17">
        <f>F2454 * VLOOKUP('GASB Data'!A2454,Check!$A$2:$F$11,6,FALSE)</f>
        <v>85254809.075499997</v>
      </c>
      <c r="H2454" s="12"/>
    </row>
    <row r="2455" spans="1:8" x14ac:dyDescent="0.2">
      <c r="A2455">
        <v>2023</v>
      </c>
      <c r="B2455" s="3" t="s">
        <v>308</v>
      </c>
      <c r="C2455" s="3" t="s">
        <v>723</v>
      </c>
      <c r="D2455" s="3" t="s">
        <v>723</v>
      </c>
      <c r="E2455" s="8">
        <v>289056103</v>
      </c>
      <c r="F2455" s="2">
        <v>2.1749E-3</v>
      </c>
      <c r="G2455" s="17">
        <f>F2455 * VLOOKUP('GASB Data'!A2455,Check!$A$2:$F$11,6,FALSE)</f>
        <v>6600597.4852999998</v>
      </c>
      <c r="H2455" s="12"/>
    </row>
    <row r="2456" spans="1:8" x14ac:dyDescent="0.2">
      <c r="A2456">
        <v>2023</v>
      </c>
      <c r="B2456" s="3" t="s">
        <v>309</v>
      </c>
      <c r="C2456" s="3" t="s">
        <v>724</v>
      </c>
      <c r="D2456" s="3" t="s">
        <v>724</v>
      </c>
      <c r="E2456" s="8">
        <v>110142448</v>
      </c>
      <c r="F2456" s="2">
        <v>8.2870000000000003E-4</v>
      </c>
      <c r="G2456" s="17">
        <f>F2456 * VLOOKUP('GASB Data'!A2456,Check!$A$2:$F$11,6,FALSE)</f>
        <v>2515019.1439</v>
      </c>
      <c r="H2456" s="12"/>
    </row>
    <row r="2457" spans="1:8" x14ac:dyDescent="0.2">
      <c r="A2457">
        <v>2023</v>
      </c>
      <c r="B2457" s="3" t="s">
        <v>310</v>
      </c>
      <c r="C2457" s="3" t="s">
        <v>725</v>
      </c>
      <c r="D2457" s="3" t="s">
        <v>725</v>
      </c>
      <c r="E2457" s="8">
        <v>46351596</v>
      </c>
      <c r="F2457" s="2">
        <v>3.4880000000000002E-4</v>
      </c>
      <c r="G2457" s="17">
        <f>F2457 * VLOOKUP('GASB Data'!A2457,Check!$A$2:$F$11,6,FALSE)</f>
        <v>1058572.0736</v>
      </c>
      <c r="H2457" s="12"/>
    </row>
    <row r="2458" spans="1:8" x14ac:dyDescent="0.2">
      <c r="A2458">
        <v>2023</v>
      </c>
      <c r="B2458" s="3" t="s">
        <v>311</v>
      </c>
      <c r="C2458" s="3" t="s">
        <v>726</v>
      </c>
      <c r="D2458" s="3" t="s">
        <v>726</v>
      </c>
      <c r="E2458" s="8">
        <v>135850532</v>
      </c>
      <c r="F2458" s="2">
        <v>1.0222E-3</v>
      </c>
      <c r="G2458" s="17">
        <f>F2458 * VLOOKUP('GASB Data'!A2458,Check!$A$2:$F$11,6,FALSE)</f>
        <v>3102271.7134000002</v>
      </c>
      <c r="H2458" s="12"/>
    </row>
    <row r="2459" spans="1:8" x14ac:dyDescent="0.2">
      <c r="A2459">
        <v>2023</v>
      </c>
      <c r="B2459" s="3" t="s">
        <v>312</v>
      </c>
      <c r="C2459" s="3" t="s">
        <v>727</v>
      </c>
      <c r="D2459" s="3" t="s">
        <v>727</v>
      </c>
      <c r="E2459" s="8">
        <v>49662278</v>
      </c>
      <c r="F2459" s="2">
        <v>3.7369999999999998E-4</v>
      </c>
      <c r="G2459" s="17">
        <f>F2459 * VLOOKUP('GASB Data'!A2459,Check!$A$2:$F$11,6,FALSE)</f>
        <v>1134141.0089</v>
      </c>
      <c r="H2459" s="12"/>
    </row>
    <row r="2460" spans="1:8" x14ac:dyDescent="0.2">
      <c r="A2460">
        <v>2023</v>
      </c>
      <c r="B2460" s="3" t="s">
        <v>313</v>
      </c>
      <c r="C2460" s="3" t="s">
        <v>728</v>
      </c>
      <c r="D2460" s="3" t="s">
        <v>728</v>
      </c>
      <c r="E2460" s="8">
        <v>876029135</v>
      </c>
      <c r="F2460" s="2">
        <v>6.5915000000000001E-3</v>
      </c>
      <c r="G2460" s="17">
        <f>F2460 * VLOOKUP('GASB Data'!A2460,Check!$A$2:$F$11,6,FALSE)</f>
        <v>20004523.5755</v>
      </c>
      <c r="H2460" s="12"/>
    </row>
    <row r="2461" spans="1:8" x14ac:dyDescent="0.2">
      <c r="A2461">
        <v>2023</v>
      </c>
      <c r="B2461" s="3" t="s">
        <v>314</v>
      </c>
      <c r="C2461" s="3" t="s">
        <v>729</v>
      </c>
      <c r="D2461" s="3" t="s">
        <v>729</v>
      </c>
      <c r="E2461" s="8">
        <v>362670314</v>
      </c>
      <c r="F2461" s="2">
        <v>2.7288E-3</v>
      </c>
      <c r="G2461" s="17">
        <f>F2461 * VLOOKUP('GASB Data'!A2461,Check!$A$2:$F$11,6,FALSE)</f>
        <v>8281626.9336000001</v>
      </c>
      <c r="H2461" s="12"/>
    </row>
    <row r="2462" spans="1:8" x14ac:dyDescent="0.2">
      <c r="A2462">
        <v>2023</v>
      </c>
      <c r="B2462" s="3" t="s">
        <v>315</v>
      </c>
      <c r="C2462" s="3" t="s">
        <v>730</v>
      </c>
      <c r="D2462" s="3" t="s">
        <v>730</v>
      </c>
      <c r="E2462" s="8">
        <v>66794376</v>
      </c>
      <c r="F2462" s="2">
        <v>5.0259999999999997E-4</v>
      </c>
      <c r="G2462" s="17">
        <f>F2462 * VLOOKUP('GASB Data'!A2462,Check!$A$2:$F$11,6,FALSE)</f>
        <v>1525339.2322</v>
      </c>
      <c r="H2462" s="12"/>
    </row>
    <row r="2463" spans="1:8" x14ac:dyDescent="0.2">
      <c r="A2463">
        <v>2023</v>
      </c>
      <c r="B2463" s="3" t="s">
        <v>316</v>
      </c>
      <c r="C2463" s="3" t="s">
        <v>731</v>
      </c>
      <c r="D2463" s="3" t="s">
        <v>731</v>
      </c>
      <c r="E2463" s="8">
        <v>704827181</v>
      </c>
      <c r="F2463" s="2">
        <v>5.3033000000000004E-3</v>
      </c>
      <c r="G2463" s="17">
        <f>F2463 * VLOOKUP('GASB Data'!A2463,Check!$A$2:$F$11,6,FALSE)</f>
        <v>16094969.260100001</v>
      </c>
      <c r="H2463" s="12"/>
    </row>
    <row r="2464" spans="1:8" x14ac:dyDescent="0.2">
      <c r="A2464">
        <v>2023</v>
      </c>
      <c r="B2464" s="3" t="s">
        <v>317</v>
      </c>
      <c r="C2464" s="3" t="s">
        <v>732</v>
      </c>
      <c r="D2464" s="3" t="s">
        <v>732</v>
      </c>
      <c r="E2464" s="8">
        <v>9939446</v>
      </c>
      <c r="F2464" s="2">
        <v>7.4800000000000002E-5</v>
      </c>
      <c r="G2464" s="17">
        <f>F2464 * VLOOKUP('GASB Data'!A2464,Check!$A$2:$F$11,6,FALSE)</f>
        <v>227010.29560000001</v>
      </c>
      <c r="H2464" s="12"/>
    </row>
    <row r="2465" spans="1:8" x14ac:dyDescent="0.2">
      <c r="A2465">
        <v>2023</v>
      </c>
      <c r="B2465" s="3" t="s">
        <v>318</v>
      </c>
      <c r="C2465" s="3" t="s">
        <v>733</v>
      </c>
      <c r="D2465" s="3" t="s">
        <v>733</v>
      </c>
      <c r="E2465" s="8">
        <v>102698184</v>
      </c>
      <c r="F2465" s="2">
        <v>7.7269999999999997E-4</v>
      </c>
      <c r="G2465" s="17">
        <f>F2465 * VLOOKUP('GASB Data'!A2465,Check!$A$2:$F$11,6,FALSE)</f>
        <v>2345064.9118999997</v>
      </c>
      <c r="H2465" s="12"/>
    </row>
    <row r="2466" spans="1:8" x14ac:dyDescent="0.2">
      <c r="A2466">
        <v>2023</v>
      </c>
      <c r="B2466" s="3" t="s">
        <v>319</v>
      </c>
      <c r="C2466" s="3" t="s">
        <v>734</v>
      </c>
      <c r="D2466" s="3" t="s">
        <v>734</v>
      </c>
      <c r="E2466" s="8">
        <v>127719216</v>
      </c>
      <c r="F2466" s="2">
        <v>9.6100000000000005E-4</v>
      </c>
      <c r="G2466" s="17">
        <f>F2466 * VLOOKUP('GASB Data'!A2466,Check!$A$2:$F$11,6,FALSE)</f>
        <v>2916536.017</v>
      </c>
      <c r="H2466" s="12"/>
    </row>
    <row r="2467" spans="1:8" x14ac:dyDescent="0.2">
      <c r="A2467">
        <v>2023</v>
      </c>
      <c r="B2467" s="3" t="s">
        <v>320</v>
      </c>
      <c r="C2467" s="3" t="s">
        <v>735</v>
      </c>
      <c r="D2467" s="3" t="s">
        <v>735</v>
      </c>
      <c r="E2467" s="8">
        <v>25893418</v>
      </c>
      <c r="F2467" s="2">
        <v>1.9479999999999999E-4</v>
      </c>
      <c r="G2467" s="17">
        <f>F2467 * VLOOKUP('GASB Data'!A2467,Check!$A$2:$F$11,6,FALSE)</f>
        <v>591197.93559999997</v>
      </c>
      <c r="H2467" s="12"/>
    </row>
    <row r="2468" spans="1:8" x14ac:dyDescent="0.2">
      <c r="A2468">
        <v>2023</v>
      </c>
      <c r="B2468" s="3" t="s">
        <v>321</v>
      </c>
      <c r="C2468" s="3" t="s">
        <v>736</v>
      </c>
      <c r="D2468" s="3" t="s">
        <v>736</v>
      </c>
      <c r="E2468" s="8">
        <v>458478645</v>
      </c>
      <c r="F2468" s="2">
        <v>3.4497E-3</v>
      </c>
      <c r="G2468" s="17">
        <f>F2468 * VLOOKUP('GASB Data'!A2468,Check!$A$2:$F$11,6,FALSE)</f>
        <v>10469484.1809</v>
      </c>
      <c r="H2468" s="12"/>
    </row>
    <row r="2469" spans="1:8" x14ac:dyDescent="0.2">
      <c r="A2469">
        <v>2023</v>
      </c>
      <c r="B2469" s="3" t="s">
        <v>322</v>
      </c>
      <c r="C2469" s="3" t="s">
        <v>737</v>
      </c>
      <c r="D2469" s="3" t="s">
        <v>737</v>
      </c>
      <c r="E2469" s="8">
        <v>46389694</v>
      </c>
      <c r="F2469" s="2">
        <v>3.4900000000000003E-4</v>
      </c>
      <c r="G2469" s="17">
        <f>F2469 * VLOOKUP('GASB Data'!A2469,Check!$A$2:$F$11,6,FALSE)</f>
        <v>1059179.0530000001</v>
      </c>
      <c r="H2469" s="12"/>
    </row>
    <row r="2470" spans="1:8" x14ac:dyDescent="0.2">
      <c r="A2470">
        <v>2023</v>
      </c>
      <c r="B2470" s="3" t="s">
        <v>323</v>
      </c>
      <c r="C2470" s="3" t="s">
        <v>738</v>
      </c>
      <c r="D2470" s="3" t="s">
        <v>738</v>
      </c>
      <c r="E2470" s="8">
        <v>977621398</v>
      </c>
      <c r="F2470" s="2">
        <v>7.3559000000000003E-3</v>
      </c>
      <c r="G2470" s="17">
        <f>F2470 * VLOOKUP('GASB Data'!A2470,Check!$A$2:$F$11,6,FALSE)</f>
        <v>22324398.842300002</v>
      </c>
      <c r="H2470" s="12"/>
    </row>
    <row r="2471" spans="1:8" x14ac:dyDescent="0.2">
      <c r="A2471">
        <v>2023</v>
      </c>
      <c r="B2471" s="3" t="s">
        <v>324</v>
      </c>
      <c r="C2471" s="3" t="s">
        <v>907</v>
      </c>
      <c r="D2471" s="3" t="s">
        <v>907</v>
      </c>
      <c r="E2471" s="8">
        <v>27780517</v>
      </c>
      <c r="F2471" s="2">
        <v>2.0900000000000001E-4</v>
      </c>
      <c r="G2471" s="17">
        <f>F2471 * VLOOKUP('GASB Data'!A2471,Check!$A$2:$F$11,6,FALSE)</f>
        <v>634293.473</v>
      </c>
      <c r="H2471" s="12"/>
    </row>
    <row r="2472" spans="1:8" x14ac:dyDescent="0.2">
      <c r="A2472">
        <v>2023</v>
      </c>
      <c r="B2472" s="3" t="s">
        <v>325</v>
      </c>
      <c r="C2472" s="3" t="s">
        <v>740</v>
      </c>
      <c r="D2472" s="3" t="s">
        <v>740</v>
      </c>
      <c r="E2472" s="8">
        <v>2746277</v>
      </c>
      <c r="F2472" s="2">
        <v>2.0699999999999998E-5</v>
      </c>
      <c r="G2472" s="17">
        <f>F2472 * VLOOKUP('GASB Data'!A2472,Check!$A$2:$F$11,6,FALSE)</f>
        <v>62822.367899999997</v>
      </c>
      <c r="H2472" s="12"/>
    </row>
    <row r="2473" spans="1:8" x14ac:dyDescent="0.2">
      <c r="A2473">
        <v>2023</v>
      </c>
      <c r="B2473" s="3" t="s">
        <v>326</v>
      </c>
      <c r="C2473" s="3" t="s">
        <v>741</v>
      </c>
      <c r="D2473" s="3" t="s">
        <v>741</v>
      </c>
      <c r="E2473" s="8">
        <v>87043697</v>
      </c>
      <c r="F2473" s="2">
        <v>6.5490000000000004E-4</v>
      </c>
      <c r="G2473" s="17">
        <f>F2473 * VLOOKUP('GASB Data'!A2473,Check!$A$2:$F$11,6,FALSE)</f>
        <v>1987554.0453000001</v>
      </c>
      <c r="H2473" s="12"/>
    </row>
    <row r="2474" spans="1:8" x14ac:dyDescent="0.2">
      <c r="A2474">
        <v>2023</v>
      </c>
      <c r="B2474" s="3" t="s">
        <v>327</v>
      </c>
      <c r="C2474" s="3" t="s">
        <v>742</v>
      </c>
      <c r="D2474" s="3" t="s">
        <v>742</v>
      </c>
      <c r="E2474" s="8">
        <v>292025513</v>
      </c>
      <c r="F2474" s="2">
        <v>2.1973000000000001E-3</v>
      </c>
      <c r="G2474" s="17">
        <f>F2474 * VLOOKUP('GASB Data'!A2474,Check!$A$2:$F$11,6,FALSE)</f>
        <v>6668579.1781000001</v>
      </c>
      <c r="H2474" s="12"/>
    </row>
    <row r="2475" spans="1:8" x14ac:dyDescent="0.2">
      <c r="A2475">
        <v>2023</v>
      </c>
      <c r="B2475" s="3" t="s">
        <v>382</v>
      </c>
      <c r="C2475" s="3" t="s">
        <v>743</v>
      </c>
      <c r="D2475" s="3" t="s">
        <v>743</v>
      </c>
      <c r="E2475" s="8">
        <v>216784846</v>
      </c>
      <c r="F2475" s="2">
        <v>1.6310999999999999E-3</v>
      </c>
      <c r="G2475" s="17">
        <f>F2475 * VLOOKUP('GASB Data'!A2475,Check!$A$2:$F$11,6,FALSE)</f>
        <v>4950220.4967</v>
      </c>
      <c r="H2475" s="12"/>
    </row>
    <row r="2476" spans="1:8" x14ac:dyDescent="0.2">
      <c r="A2476">
        <v>2023</v>
      </c>
      <c r="B2476" s="3" t="s">
        <v>383</v>
      </c>
      <c r="C2476" s="3" t="s">
        <v>744</v>
      </c>
      <c r="D2476" s="3" t="s">
        <v>744</v>
      </c>
      <c r="E2476" s="8">
        <v>78907990</v>
      </c>
      <c r="F2476" s="2">
        <v>5.9369999999999996E-4</v>
      </c>
      <c r="G2476" s="17">
        <f>F2476 * VLOOKUP('GASB Data'!A2476,Check!$A$2:$F$11,6,FALSE)</f>
        <v>1801818.3488999999</v>
      </c>
      <c r="H2476" s="12"/>
    </row>
    <row r="2477" spans="1:8" x14ac:dyDescent="0.2">
      <c r="A2477">
        <v>2023</v>
      </c>
      <c r="B2477" s="3" t="s">
        <v>384</v>
      </c>
      <c r="C2477" s="3" t="s">
        <v>745</v>
      </c>
      <c r="D2477" s="3" t="s">
        <v>745</v>
      </c>
      <c r="E2477" s="8">
        <v>1780890260</v>
      </c>
      <c r="F2477" s="2">
        <v>1.3399899999999999E-2</v>
      </c>
      <c r="G2477" s="17">
        <f>F2477 * VLOOKUP('GASB Data'!A2477,Check!$A$2:$F$11,6,FALSE)</f>
        <v>40667316.3103</v>
      </c>
      <c r="H2477" s="12"/>
    </row>
    <row r="2478" spans="1:8" x14ac:dyDescent="0.2">
      <c r="A2478">
        <v>2023</v>
      </c>
      <c r="B2478" s="3" t="s">
        <v>385</v>
      </c>
      <c r="C2478" s="3" t="s">
        <v>746</v>
      </c>
      <c r="D2478" s="3" t="s">
        <v>746</v>
      </c>
      <c r="E2478" s="8">
        <v>144204661</v>
      </c>
      <c r="F2478" s="2">
        <v>1.085E-3</v>
      </c>
      <c r="G2478" s="17">
        <f>F2478 * VLOOKUP('GASB Data'!A2478,Check!$A$2:$F$11,6,FALSE)</f>
        <v>3292863.2450000001</v>
      </c>
      <c r="H2478" s="12"/>
    </row>
    <row r="2479" spans="1:8" x14ac:dyDescent="0.2">
      <c r="A2479">
        <v>2023</v>
      </c>
      <c r="B2479" s="3" t="s">
        <v>386</v>
      </c>
      <c r="C2479" s="3" t="s">
        <v>747</v>
      </c>
      <c r="D2479" s="3" t="s">
        <v>747</v>
      </c>
      <c r="E2479" s="8">
        <v>31839834</v>
      </c>
      <c r="F2479" s="2">
        <v>2.396E-4</v>
      </c>
      <c r="G2479" s="17">
        <f>F2479 * VLOOKUP('GASB Data'!A2479,Check!$A$2:$F$11,6,FALSE)</f>
        <v>727161.32120000001</v>
      </c>
      <c r="H2479" s="12"/>
    </row>
    <row r="2480" spans="1:8" x14ac:dyDescent="0.2">
      <c r="A2480">
        <v>2023</v>
      </c>
      <c r="B2480" s="3" t="s">
        <v>387</v>
      </c>
      <c r="C2480" s="3" t="s">
        <v>748</v>
      </c>
      <c r="D2480" s="3" t="s">
        <v>748</v>
      </c>
      <c r="E2480" s="8">
        <v>67801229</v>
      </c>
      <c r="F2480" s="2">
        <v>5.1020000000000004E-4</v>
      </c>
      <c r="G2480" s="17">
        <f>F2480 * VLOOKUP('GASB Data'!A2480,Check!$A$2:$F$11,6,FALSE)</f>
        <v>1548404.4494</v>
      </c>
      <c r="H2480" s="12"/>
    </row>
    <row r="2481" spans="1:8" x14ac:dyDescent="0.2">
      <c r="A2481">
        <v>2023</v>
      </c>
      <c r="B2481" s="3" t="s">
        <v>388</v>
      </c>
      <c r="C2481" s="3" t="s">
        <v>749</v>
      </c>
      <c r="D2481" s="3" t="s">
        <v>749</v>
      </c>
      <c r="E2481" s="8">
        <v>524376680</v>
      </c>
      <c r="F2481" s="2">
        <v>3.9455000000000002E-3</v>
      </c>
      <c r="G2481" s="17">
        <f>F2481 * VLOOKUP('GASB Data'!A2481,Check!$A$2:$F$11,6,FALSE)</f>
        <v>11974186.113500001</v>
      </c>
      <c r="H2481" s="12"/>
    </row>
    <row r="2482" spans="1:8" x14ac:dyDescent="0.2">
      <c r="A2482">
        <v>2023</v>
      </c>
      <c r="B2482" s="3" t="s">
        <v>389</v>
      </c>
      <c r="C2482" s="3" t="s">
        <v>750</v>
      </c>
      <c r="D2482" s="3" t="s">
        <v>750</v>
      </c>
      <c r="E2482" s="8">
        <v>198049120</v>
      </c>
      <c r="F2482" s="2">
        <v>1.4901999999999999E-3</v>
      </c>
      <c r="G2482" s="17">
        <f>F2482 * VLOOKUP('GASB Data'!A2482,Check!$A$2:$F$11,6,FALSE)</f>
        <v>4522603.5093999999</v>
      </c>
      <c r="H2482" s="12"/>
    </row>
    <row r="2483" spans="1:8" x14ac:dyDescent="0.2">
      <c r="A2483">
        <v>2023</v>
      </c>
      <c r="B2483" s="3" t="s">
        <v>390</v>
      </c>
      <c r="C2483" s="3" t="s">
        <v>751</v>
      </c>
      <c r="D2483" s="3" t="s">
        <v>751</v>
      </c>
      <c r="E2483" s="8">
        <v>446488993</v>
      </c>
      <c r="F2483" s="2">
        <v>3.3595000000000001E-3</v>
      </c>
      <c r="G2483" s="17">
        <f>F2483 * VLOOKUP('GASB Data'!A2483,Check!$A$2:$F$11,6,FALSE)</f>
        <v>10195736.4715</v>
      </c>
      <c r="H2483" s="12"/>
    </row>
    <row r="2484" spans="1:8" x14ac:dyDescent="0.2">
      <c r="A2484">
        <v>2023</v>
      </c>
      <c r="B2484" s="3" t="s">
        <v>391</v>
      </c>
      <c r="C2484" s="3" t="s">
        <v>752</v>
      </c>
      <c r="D2484" s="3" t="s">
        <v>752</v>
      </c>
      <c r="E2484" s="8">
        <v>4605415</v>
      </c>
      <c r="F2484" s="2">
        <v>3.4700000000000003E-5</v>
      </c>
      <c r="G2484" s="17">
        <f>F2484 * VLOOKUP('GASB Data'!A2484,Check!$A$2:$F$11,6,FALSE)</f>
        <v>105310.92590000002</v>
      </c>
      <c r="H2484" s="12"/>
    </row>
    <row r="2485" spans="1:8" x14ac:dyDescent="0.2">
      <c r="A2485">
        <v>2023</v>
      </c>
      <c r="B2485" s="3" t="s">
        <v>392</v>
      </c>
      <c r="C2485" s="3" t="s">
        <v>753</v>
      </c>
      <c r="D2485" s="3" t="s">
        <v>753</v>
      </c>
      <c r="E2485" s="8">
        <v>112159588</v>
      </c>
      <c r="F2485" s="2">
        <v>8.4389999999999997E-4</v>
      </c>
      <c r="G2485" s="17">
        <f>F2485 * VLOOKUP('GASB Data'!A2485,Check!$A$2:$F$11,6,FALSE)</f>
        <v>2561149.5782999997</v>
      </c>
      <c r="H2485" s="12"/>
    </row>
    <row r="2486" spans="1:8" x14ac:dyDescent="0.2">
      <c r="A2486">
        <v>2023</v>
      </c>
      <c r="B2486" s="3" t="s">
        <v>393</v>
      </c>
      <c r="C2486" s="3" t="s">
        <v>754</v>
      </c>
      <c r="D2486" s="3" t="s">
        <v>754</v>
      </c>
      <c r="E2486" s="8">
        <v>547747292</v>
      </c>
      <c r="F2486" s="2">
        <v>4.1213999999999999E-3</v>
      </c>
      <c r="G2486" s="17">
        <f>F2486 * VLOOKUP('GASB Data'!A2486,Check!$A$2:$F$11,6,FALSE)</f>
        <v>12508024.4958</v>
      </c>
      <c r="H2486" s="12"/>
    </row>
    <row r="2487" spans="1:8" x14ac:dyDescent="0.2">
      <c r="A2487">
        <v>2023</v>
      </c>
      <c r="B2487" s="3" t="s">
        <v>394</v>
      </c>
      <c r="C2487" s="3" t="s">
        <v>755</v>
      </c>
      <c r="D2487" s="3" t="s">
        <v>755</v>
      </c>
      <c r="E2487" s="8">
        <v>245513933</v>
      </c>
      <c r="F2487" s="2">
        <v>1.8473000000000001E-3</v>
      </c>
      <c r="G2487" s="17">
        <f>F2487 * VLOOKUP('GASB Data'!A2487,Check!$A$2:$F$11,6,FALSE)</f>
        <v>5606365.2280999999</v>
      </c>
      <c r="H2487" s="12"/>
    </row>
    <row r="2488" spans="1:8" x14ac:dyDescent="0.2">
      <c r="A2488">
        <v>2023</v>
      </c>
      <c r="B2488" s="3" t="s">
        <v>395</v>
      </c>
      <c r="C2488" s="3" t="s">
        <v>756</v>
      </c>
      <c r="D2488" s="3" t="s">
        <v>756</v>
      </c>
      <c r="E2488" s="8">
        <v>132173221</v>
      </c>
      <c r="F2488" s="2">
        <v>9.9449999999999994E-4</v>
      </c>
      <c r="G2488" s="17">
        <f>F2488 * VLOOKUP('GASB Data'!A2488,Check!$A$2:$F$11,6,FALSE)</f>
        <v>3018205.0664999997</v>
      </c>
      <c r="H2488" s="12"/>
    </row>
    <row r="2489" spans="1:8" x14ac:dyDescent="0.2">
      <c r="A2489">
        <v>2023</v>
      </c>
      <c r="B2489" s="3" t="s">
        <v>396</v>
      </c>
      <c r="C2489" s="3" t="s">
        <v>757</v>
      </c>
      <c r="D2489" s="3" t="s">
        <v>757</v>
      </c>
      <c r="E2489" s="8">
        <v>149351030</v>
      </c>
      <c r="F2489" s="2">
        <v>1.1238000000000001E-3</v>
      </c>
      <c r="G2489" s="17">
        <f>F2489 * VLOOKUP('GASB Data'!A2489,Check!$A$2:$F$11,6,FALSE)</f>
        <v>3410617.2486000005</v>
      </c>
      <c r="H2489" s="12"/>
    </row>
    <row r="2490" spans="1:8" x14ac:dyDescent="0.2">
      <c r="A2490">
        <v>2023</v>
      </c>
      <c r="B2490" s="3" t="s">
        <v>397</v>
      </c>
      <c r="C2490" s="3" t="s">
        <v>758</v>
      </c>
      <c r="D2490" s="3" t="s">
        <v>758</v>
      </c>
      <c r="E2490" s="8">
        <v>29984342</v>
      </c>
      <c r="F2490" s="2">
        <v>2.2560000000000001E-4</v>
      </c>
      <c r="G2490" s="17">
        <f>F2490 * VLOOKUP('GASB Data'!A2490,Check!$A$2:$F$11,6,FALSE)</f>
        <v>684672.76320000004</v>
      </c>
      <c r="H2490" s="12"/>
    </row>
    <row r="2491" spans="1:8" x14ac:dyDescent="0.2">
      <c r="A2491">
        <v>2023</v>
      </c>
      <c r="B2491" s="3" t="s">
        <v>398</v>
      </c>
      <c r="C2491" s="3" t="s">
        <v>759</v>
      </c>
      <c r="D2491" s="3" t="s">
        <v>759</v>
      </c>
      <c r="E2491" s="8">
        <v>298917277</v>
      </c>
      <c r="F2491" s="2">
        <v>2.2491E-3</v>
      </c>
      <c r="G2491" s="17">
        <f>F2491 * VLOOKUP('GASB Data'!A2491,Check!$A$2:$F$11,6,FALSE)</f>
        <v>6825786.8426999999</v>
      </c>
      <c r="H2491" s="12"/>
    </row>
    <row r="2492" spans="1:8" x14ac:dyDescent="0.2">
      <c r="A2492">
        <v>2023</v>
      </c>
      <c r="B2492" s="3" t="s">
        <v>399</v>
      </c>
      <c r="C2492" s="3" t="s">
        <v>760</v>
      </c>
      <c r="D2492" s="3" t="s">
        <v>760</v>
      </c>
      <c r="E2492" s="8">
        <v>45292722</v>
      </c>
      <c r="F2492" s="2">
        <v>3.4079999999999999E-4</v>
      </c>
      <c r="G2492" s="17">
        <f>F2492 * VLOOKUP('GASB Data'!A2492,Check!$A$2:$F$11,6,FALSE)</f>
        <v>1034292.8976</v>
      </c>
      <c r="H2492" s="12"/>
    </row>
    <row r="2493" spans="1:8" x14ac:dyDescent="0.2">
      <c r="A2493">
        <v>2023</v>
      </c>
      <c r="B2493" s="3" t="s">
        <v>400</v>
      </c>
      <c r="C2493" s="3" t="s">
        <v>761</v>
      </c>
      <c r="D2493" s="3" t="s">
        <v>761</v>
      </c>
      <c r="E2493" s="8">
        <v>7762141818</v>
      </c>
      <c r="F2493" s="2">
        <v>5.8404200000000003E-2</v>
      </c>
      <c r="G2493" s="17">
        <f>F2493 * VLOOKUP('GASB Data'!A2493,Check!$A$2:$F$11,6,FALSE)</f>
        <v>177250731.36740002</v>
      </c>
      <c r="H2493" s="12"/>
    </row>
    <row r="2494" spans="1:8" x14ac:dyDescent="0.2">
      <c r="A2494">
        <v>2023</v>
      </c>
      <c r="B2494" s="3" t="s">
        <v>403</v>
      </c>
      <c r="C2494" s="3" t="s">
        <v>764</v>
      </c>
      <c r="D2494" s="3" t="s">
        <v>764</v>
      </c>
      <c r="E2494" s="8">
        <v>57681338</v>
      </c>
      <c r="F2494" s="2">
        <v>4.3399999999999998E-4</v>
      </c>
      <c r="G2494" s="17">
        <f>F2494 * VLOOKUP('GASB Data'!A2494,Check!$A$2:$F$11,6,FALSE)</f>
        <v>1317145.298</v>
      </c>
      <c r="H2494" s="12"/>
    </row>
    <row r="2495" spans="1:8" x14ac:dyDescent="0.2">
      <c r="A2495">
        <v>2023</v>
      </c>
      <c r="B2495" s="3" t="s">
        <v>404</v>
      </c>
      <c r="C2495" s="3" t="s">
        <v>765</v>
      </c>
      <c r="D2495" s="3" t="s">
        <v>765</v>
      </c>
      <c r="E2495" s="8">
        <v>48910884</v>
      </c>
      <c r="F2495" s="2">
        <v>3.68E-4</v>
      </c>
      <c r="G2495" s="17">
        <f>F2495 * VLOOKUP('GASB Data'!A2495,Check!$A$2:$F$11,6,FALSE)</f>
        <v>1116842.0959999999</v>
      </c>
      <c r="H2495" s="12"/>
    </row>
    <row r="2496" spans="1:8" x14ac:dyDescent="0.2">
      <c r="A2496">
        <v>2023</v>
      </c>
      <c r="B2496" s="3" t="s">
        <v>405</v>
      </c>
      <c r="C2496" s="3" t="s">
        <v>766</v>
      </c>
      <c r="D2496" s="3" t="s">
        <v>766</v>
      </c>
      <c r="E2496" s="8">
        <v>549755650</v>
      </c>
      <c r="F2496" s="2">
        <v>4.1365000000000004E-3</v>
      </c>
      <c r="G2496" s="17">
        <f>F2496 * VLOOKUP('GASB Data'!A2496,Check!$A$2:$F$11,6,FALSE)</f>
        <v>12553851.4405</v>
      </c>
      <c r="H2496" s="12"/>
    </row>
    <row r="2497" spans="1:8" x14ac:dyDescent="0.2">
      <c r="A2497">
        <v>2023</v>
      </c>
      <c r="B2497" s="3" t="s">
        <v>406</v>
      </c>
      <c r="C2497" s="3" t="s">
        <v>767</v>
      </c>
      <c r="D2497" s="3" t="s">
        <v>767</v>
      </c>
      <c r="E2497" s="8">
        <v>92969774</v>
      </c>
      <c r="F2497" s="2">
        <v>6.9950000000000003E-4</v>
      </c>
      <c r="G2497" s="17">
        <f>F2497 * VLOOKUP('GASB Data'!A2497,Check!$A$2:$F$11,6,FALSE)</f>
        <v>2122910.4515</v>
      </c>
      <c r="H2497" s="12"/>
    </row>
    <row r="2498" spans="1:8" x14ac:dyDescent="0.2">
      <c r="A2498">
        <v>2023</v>
      </c>
      <c r="B2498" s="3" t="s">
        <v>407</v>
      </c>
      <c r="C2498" s="3" t="s">
        <v>768</v>
      </c>
      <c r="D2498" s="3" t="s">
        <v>768</v>
      </c>
      <c r="E2498" s="8">
        <v>38134447</v>
      </c>
      <c r="F2498" s="2">
        <v>2.8689999999999998E-4</v>
      </c>
      <c r="G2498" s="17">
        <f>F2498 * VLOOKUP('GASB Data'!A2498,Check!$A$2:$F$11,6,FALSE)</f>
        <v>870711.94929999998</v>
      </c>
      <c r="H2498" s="12"/>
    </row>
    <row r="2499" spans="1:8" x14ac:dyDescent="0.2">
      <c r="A2499">
        <v>2023</v>
      </c>
      <c r="B2499" s="3" t="s">
        <v>408</v>
      </c>
      <c r="C2499" s="3" t="s">
        <v>769</v>
      </c>
      <c r="D2499" s="3" t="s">
        <v>769</v>
      </c>
      <c r="E2499" s="8">
        <v>86299545</v>
      </c>
      <c r="F2499" s="2">
        <v>6.4930000000000001E-4</v>
      </c>
      <c r="G2499" s="17">
        <f>F2499 * VLOOKUP('GASB Data'!A2499,Check!$A$2:$F$11,6,FALSE)</f>
        <v>1970558.6221</v>
      </c>
      <c r="H2499" s="12"/>
    </row>
    <row r="2500" spans="1:8" x14ac:dyDescent="0.2">
      <c r="A2500">
        <v>2023</v>
      </c>
      <c r="B2500" s="3" t="s">
        <v>409</v>
      </c>
      <c r="C2500" s="3" t="s">
        <v>770</v>
      </c>
      <c r="D2500" s="3" t="s">
        <v>770</v>
      </c>
      <c r="E2500" s="8">
        <v>9365377</v>
      </c>
      <c r="F2500" s="2">
        <v>7.0500000000000006E-5</v>
      </c>
      <c r="G2500" s="17">
        <f>F2500 * VLOOKUP('GASB Data'!A2500,Check!$A$2:$F$11,6,FALSE)</f>
        <v>213960.23850000001</v>
      </c>
      <c r="H2500" s="12"/>
    </row>
    <row r="2501" spans="1:8" x14ac:dyDescent="0.2">
      <c r="A2501">
        <v>2023</v>
      </c>
      <c r="B2501" s="3" t="s">
        <v>410</v>
      </c>
      <c r="C2501" s="3" t="s">
        <v>771</v>
      </c>
      <c r="D2501" s="3" t="s">
        <v>771</v>
      </c>
      <c r="E2501" s="8">
        <v>95039077</v>
      </c>
      <c r="F2501" s="2">
        <v>7.1509999999999998E-4</v>
      </c>
      <c r="G2501" s="17">
        <f>F2501 * VLOOKUP('GASB Data'!A2501,Check!$A$2:$F$11,6,FALSE)</f>
        <v>2170254.8446999998</v>
      </c>
      <c r="H2501" s="12"/>
    </row>
    <row r="2502" spans="1:8" x14ac:dyDescent="0.2">
      <c r="A2502">
        <v>2023</v>
      </c>
      <c r="B2502" s="3" t="s">
        <v>412</v>
      </c>
      <c r="C2502" s="3" t="s">
        <v>773</v>
      </c>
      <c r="D2502" s="3" t="s">
        <v>773</v>
      </c>
      <c r="E2502" s="8">
        <v>43033634</v>
      </c>
      <c r="F2502" s="2">
        <v>3.2380000000000001E-4</v>
      </c>
      <c r="G2502" s="17">
        <f>F2502 * VLOOKUP('GASB Data'!A2502,Check!$A$2:$F$11,6,FALSE)</f>
        <v>982699.64860000007</v>
      </c>
      <c r="H2502" s="12"/>
    </row>
    <row r="2503" spans="1:8" x14ac:dyDescent="0.2">
      <c r="A2503">
        <v>2023</v>
      </c>
      <c r="B2503" s="3" t="s">
        <v>413</v>
      </c>
      <c r="C2503" s="3" t="s">
        <v>774</v>
      </c>
      <c r="D2503" s="3" t="s">
        <v>774</v>
      </c>
      <c r="E2503" s="8">
        <v>178155956</v>
      </c>
      <c r="F2503" s="2">
        <v>1.3404999999999999E-3</v>
      </c>
      <c r="G2503" s="17">
        <f>F2503 * VLOOKUP('GASB Data'!A2503,Check!$A$2:$F$11,6,FALSE)</f>
        <v>4068279.4284999995</v>
      </c>
      <c r="H2503" s="12"/>
    </row>
    <row r="2504" spans="1:8" x14ac:dyDescent="0.2">
      <c r="A2504">
        <v>2023</v>
      </c>
      <c r="B2504" s="3" t="s">
        <v>414</v>
      </c>
      <c r="C2504" s="3" t="s">
        <v>775</v>
      </c>
      <c r="D2504" s="3" t="s">
        <v>775</v>
      </c>
      <c r="E2504" s="8">
        <v>37960603</v>
      </c>
      <c r="F2504" s="2">
        <v>2.856E-4</v>
      </c>
      <c r="G2504" s="17">
        <f>F2504 * VLOOKUP('GASB Data'!A2504,Check!$A$2:$F$11,6,FALSE)</f>
        <v>866766.58319999999</v>
      </c>
      <c r="H2504" s="12"/>
    </row>
    <row r="2505" spans="1:8" x14ac:dyDescent="0.2">
      <c r="A2505">
        <v>2023</v>
      </c>
      <c r="B2505" s="3" t="s">
        <v>415</v>
      </c>
      <c r="C2505" s="3" t="s">
        <v>776</v>
      </c>
      <c r="D2505" s="3" t="s">
        <v>776</v>
      </c>
      <c r="E2505" s="8">
        <v>646006420</v>
      </c>
      <c r="F2505" s="2">
        <v>4.8606999999999999E-3</v>
      </c>
      <c r="G2505" s="17">
        <f>F2505 * VLOOKUP('GASB Data'!A2505,Check!$A$2:$F$11,6,FALSE)</f>
        <v>14751723.847899999</v>
      </c>
      <c r="H2505" s="12"/>
    </row>
    <row r="2506" spans="1:8" x14ac:dyDescent="0.2">
      <c r="A2506">
        <v>2023</v>
      </c>
      <c r="B2506" s="3" t="s">
        <v>416</v>
      </c>
      <c r="C2506" s="3" t="s">
        <v>777</v>
      </c>
      <c r="D2506" s="3" t="s">
        <v>777</v>
      </c>
      <c r="E2506" s="8">
        <v>16210471</v>
      </c>
      <c r="F2506" s="2">
        <v>1.22E-4</v>
      </c>
      <c r="G2506" s="17">
        <f>F2506 * VLOOKUP('GASB Data'!A2506,Check!$A$2:$F$11,6,FALSE)</f>
        <v>370257.43400000001</v>
      </c>
      <c r="H2506" s="12"/>
    </row>
    <row r="2507" spans="1:8" x14ac:dyDescent="0.2">
      <c r="A2507">
        <v>2023</v>
      </c>
      <c r="B2507" s="3" t="s">
        <v>417</v>
      </c>
      <c r="C2507" s="3" t="s">
        <v>778</v>
      </c>
      <c r="D2507" s="3" t="s">
        <v>778</v>
      </c>
      <c r="E2507" s="8">
        <v>28365537</v>
      </c>
      <c r="F2507" s="2">
        <v>2.1340000000000001E-4</v>
      </c>
      <c r="G2507" s="17">
        <f>F2507 * VLOOKUP('GASB Data'!A2507,Check!$A$2:$F$11,6,FALSE)</f>
        <v>647647.01980000001</v>
      </c>
      <c r="H2507" s="12"/>
    </row>
    <row r="2508" spans="1:8" x14ac:dyDescent="0.2">
      <c r="A2508">
        <v>2023</v>
      </c>
      <c r="B2508" s="3" t="s">
        <v>927</v>
      </c>
      <c r="C2508" s="3" t="s">
        <v>926</v>
      </c>
      <c r="D2508" s="3" t="s">
        <v>926</v>
      </c>
      <c r="E2508" s="8">
        <v>37039703</v>
      </c>
      <c r="F2508" s="2">
        <v>2.787E-4</v>
      </c>
      <c r="G2508" s="17">
        <f>F2508 * VLOOKUP('GASB Data'!A2508,Check!$A$2:$F$11,6,FALSE)</f>
        <v>845825.79390000005</v>
      </c>
      <c r="H2508" s="12"/>
    </row>
    <row r="2509" spans="1:8" x14ac:dyDescent="0.2">
      <c r="A2509">
        <v>2023</v>
      </c>
      <c r="B2509" s="3" t="s">
        <v>418</v>
      </c>
      <c r="C2509" s="3" t="s">
        <v>779</v>
      </c>
      <c r="D2509" s="3" t="s">
        <v>779</v>
      </c>
      <c r="E2509" s="8">
        <v>137067055</v>
      </c>
      <c r="F2509" s="2">
        <v>1.0313E-3</v>
      </c>
      <c r="G2509" s="17">
        <f>F2509 * VLOOKUP('GASB Data'!A2509,Check!$A$2:$F$11,6,FALSE)</f>
        <v>3129889.2760999999</v>
      </c>
      <c r="H2509" s="12"/>
    </row>
    <row r="2510" spans="1:8" x14ac:dyDescent="0.2">
      <c r="A2510">
        <v>2023</v>
      </c>
      <c r="B2510" s="3" t="s">
        <v>419</v>
      </c>
      <c r="C2510" s="3" t="s">
        <v>780</v>
      </c>
      <c r="D2510" s="3" t="s">
        <v>780</v>
      </c>
      <c r="E2510" s="8">
        <v>660669883</v>
      </c>
      <c r="F2510" s="2">
        <v>4.9709999999999997E-3</v>
      </c>
      <c r="G2510" s="17">
        <f>F2510 * VLOOKUP('GASB Data'!A2510,Check!$A$2:$F$11,6,FALSE)</f>
        <v>15086472.987</v>
      </c>
      <c r="H2510" s="12"/>
    </row>
    <row r="2511" spans="1:8" x14ac:dyDescent="0.2">
      <c r="A2511">
        <v>2023</v>
      </c>
      <c r="B2511" s="3" t="s">
        <v>420</v>
      </c>
      <c r="C2511" s="3" t="s">
        <v>931</v>
      </c>
      <c r="D2511" s="3" t="s">
        <v>931</v>
      </c>
      <c r="E2511" s="8">
        <v>96747568</v>
      </c>
      <c r="F2511" s="2">
        <v>7.2800000000000002E-4</v>
      </c>
      <c r="G2511" s="17">
        <f>F2511 * VLOOKUP('GASB Data'!A2511,Check!$A$2:$F$11,6,FALSE)</f>
        <v>2209405.0160000003</v>
      </c>
      <c r="H2511" s="12"/>
    </row>
    <row r="2512" spans="1:8" x14ac:dyDescent="0.2">
      <c r="A2512">
        <v>2023</v>
      </c>
      <c r="B2512" s="3" t="s">
        <v>421</v>
      </c>
      <c r="C2512" s="3" t="s">
        <v>782</v>
      </c>
      <c r="D2512" s="3" t="s">
        <v>782</v>
      </c>
      <c r="E2512" s="8">
        <v>1572153644</v>
      </c>
      <c r="F2512" s="2">
        <v>1.1829299999999999E-2</v>
      </c>
      <c r="G2512" s="17">
        <f>F2512 * VLOOKUP('GASB Data'!A2512,Check!$A$2:$F$11,6,FALSE)</f>
        <v>35900707.082099997</v>
      </c>
      <c r="H2512" s="12"/>
    </row>
    <row r="2513" spans="1:8" x14ac:dyDescent="0.2">
      <c r="A2513">
        <v>2023</v>
      </c>
      <c r="B2513" s="3" t="s">
        <v>422</v>
      </c>
      <c r="C2513" s="3" t="s">
        <v>910</v>
      </c>
      <c r="D2513" s="3" t="s">
        <v>910</v>
      </c>
      <c r="E2513" s="8">
        <v>19888166</v>
      </c>
      <c r="F2513" s="2">
        <v>1.496E-4</v>
      </c>
      <c r="G2513" s="17">
        <f>F2513 * VLOOKUP('GASB Data'!A2513,Check!$A$2:$F$11,6,FALSE)</f>
        <v>454020.59120000002</v>
      </c>
      <c r="H2513" s="12"/>
    </row>
    <row r="2514" spans="1:8" x14ac:dyDescent="0.2">
      <c r="A2514">
        <v>2023</v>
      </c>
      <c r="B2514" s="3" t="s">
        <v>423</v>
      </c>
      <c r="C2514" s="3" t="s">
        <v>784</v>
      </c>
      <c r="D2514" s="3" t="s">
        <v>784</v>
      </c>
      <c r="E2514" s="8">
        <v>3435561</v>
      </c>
      <c r="F2514" s="2">
        <v>2.5899999999999999E-5</v>
      </c>
      <c r="G2514" s="17">
        <f>F2514 * VLOOKUP('GASB Data'!A2514,Check!$A$2:$F$11,6,FALSE)</f>
        <v>78603.832299999995</v>
      </c>
      <c r="H2514" s="12"/>
    </row>
    <row r="2515" spans="1:8" x14ac:dyDescent="0.2">
      <c r="A2515">
        <v>2023</v>
      </c>
      <c r="B2515" s="3" t="s">
        <v>424</v>
      </c>
      <c r="C2515" s="3" t="s">
        <v>785</v>
      </c>
      <c r="D2515" s="3" t="s">
        <v>785</v>
      </c>
      <c r="E2515" s="8">
        <v>287961239</v>
      </c>
      <c r="F2515" s="2">
        <v>2.1667000000000001E-3</v>
      </c>
      <c r="G2515" s="17">
        <f>F2515 * VLOOKUP('GASB Data'!A2515,Check!$A$2:$F$11,6,FALSE)</f>
        <v>6575711.3299000002</v>
      </c>
      <c r="H2515" s="12"/>
    </row>
    <row r="2516" spans="1:8" x14ac:dyDescent="0.2">
      <c r="A2516">
        <v>2023</v>
      </c>
      <c r="B2516" s="3" t="s">
        <v>425</v>
      </c>
      <c r="C2516" s="3" t="s">
        <v>786</v>
      </c>
      <c r="D2516" s="3" t="s">
        <v>786</v>
      </c>
      <c r="E2516" s="8">
        <v>70376693</v>
      </c>
      <c r="F2516" s="2">
        <v>5.2950000000000002E-4</v>
      </c>
      <c r="G2516" s="17">
        <f>F2516 * VLOOKUP('GASB Data'!A2516,Check!$A$2:$F$11,6,FALSE)</f>
        <v>1606977.9615</v>
      </c>
      <c r="H2516" s="12"/>
    </row>
    <row r="2517" spans="1:8" x14ac:dyDescent="0.2">
      <c r="A2517">
        <v>2023</v>
      </c>
      <c r="B2517" s="3" t="s">
        <v>427</v>
      </c>
      <c r="C2517" s="3" t="s">
        <v>788</v>
      </c>
      <c r="D2517" s="3" t="s">
        <v>788</v>
      </c>
      <c r="E2517" s="8">
        <v>1275233981</v>
      </c>
      <c r="F2517" s="2">
        <v>9.5951999999999999E-3</v>
      </c>
      <c r="G2517" s="17">
        <f>F2517 * VLOOKUP('GASB Data'!A2517,Check!$A$2:$F$11,6,FALSE)</f>
        <v>29120443.694400001</v>
      </c>
      <c r="H2517" s="12"/>
    </row>
    <row r="2518" spans="1:8" x14ac:dyDescent="0.2">
      <c r="A2518">
        <v>2023</v>
      </c>
      <c r="B2518" s="3" t="s">
        <v>428</v>
      </c>
      <c r="C2518" s="3" t="s">
        <v>789</v>
      </c>
      <c r="D2518" s="3" t="s">
        <v>789</v>
      </c>
      <c r="E2518" s="8">
        <v>3435405</v>
      </c>
      <c r="F2518" s="2">
        <v>2.58E-5</v>
      </c>
      <c r="G2518" s="17">
        <f>F2518 * VLOOKUP('GASB Data'!A2518,Check!$A$2:$F$11,6,FALSE)</f>
        <v>78300.342600000004</v>
      </c>
      <c r="H2518" s="12"/>
    </row>
    <row r="2519" spans="1:8" x14ac:dyDescent="0.2">
      <c r="A2519">
        <v>2023</v>
      </c>
      <c r="B2519" s="3" t="s">
        <v>429</v>
      </c>
      <c r="C2519" s="3" t="s">
        <v>790</v>
      </c>
      <c r="D2519" s="3" t="s">
        <v>790</v>
      </c>
      <c r="E2519" s="8">
        <v>122121704</v>
      </c>
      <c r="F2519" s="2">
        <v>9.1889999999999995E-4</v>
      </c>
      <c r="G2519" s="17">
        <f>F2519 * VLOOKUP('GASB Data'!A2519,Check!$A$2:$F$11,6,FALSE)</f>
        <v>2788766.8532999996</v>
      </c>
      <c r="H2519" s="12"/>
    </row>
    <row r="2520" spans="1:8" x14ac:dyDescent="0.2">
      <c r="A2520">
        <v>2023</v>
      </c>
      <c r="B2520" s="3" t="s">
        <v>430</v>
      </c>
      <c r="C2520" s="3" t="s">
        <v>791</v>
      </c>
      <c r="D2520" s="3" t="s">
        <v>791</v>
      </c>
      <c r="E2520" s="8">
        <v>463048563</v>
      </c>
      <c r="F2520" s="2">
        <v>3.4841E-3</v>
      </c>
      <c r="G2520" s="17">
        <f>F2520 * VLOOKUP('GASB Data'!A2520,Check!$A$2:$F$11,6,FALSE)</f>
        <v>10573884.637700001</v>
      </c>
      <c r="H2520" s="12"/>
    </row>
    <row r="2521" spans="1:8" x14ac:dyDescent="0.2">
      <c r="A2521">
        <v>2023</v>
      </c>
      <c r="B2521" s="3" t="s">
        <v>432</v>
      </c>
      <c r="C2521" s="3" t="s">
        <v>792</v>
      </c>
      <c r="D2521" s="3" t="s">
        <v>792</v>
      </c>
      <c r="E2521" s="8">
        <v>35409996</v>
      </c>
      <c r="F2521" s="2">
        <v>2.6640000000000002E-4</v>
      </c>
      <c r="G2521" s="17">
        <f>F2521 * VLOOKUP('GASB Data'!A2521,Check!$A$2:$F$11,6,FALSE)</f>
        <v>808496.56080000009</v>
      </c>
      <c r="H2521" s="12"/>
    </row>
    <row r="2522" spans="1:8" x14ac:dyDescent="0.2">
      <c r="A2522">
        <v>2023</v>
      </c>
      <c r="B2522" s="3" t="s">
        <v>433</v>
      </c>
      <c r="C2522" s="3" t="s">
        <v>793</v>
      </c>
      <c r="D2522" s="3" t="s">
        <v>793</v>
      </c>
      <c r="E2522" s="8">
        <v>893451829</v>
      </c>
      <c r="F2522" s="2">
        <v>6.7225999999999996E-3</v>
      </c>
      <c r="G2522" s="17">
        <f>F2522 * VLOOKUP('GASB Data'!A2522,Check!$A$2:$F$11,6,FALSE)</f>
        <v>20402398.5722</v>
      </c>
      <c r="H2522" s="12"/>
    </row>
    <row r="2523" spans="1:8" x14ac:dyDescent="0.2">
      <c r="A2523">
        <v>2023</v>
      </c>
      <c r="B2523" s="3" t="s">
        <v>434</v>
      </c>
      <c r="C2523" s="3" t="s">
        <v>794</v>
      </c>
      <c r="D2523" s="3" t="s">
        <v>794</v>
      </c>
      <c r="E2523" s="8">
        <v>98809915</v>
      </c>
      <c r="F2523" s="2">
        <v>7.4350000000000002E-4</v>
      </c>
      <c r="G2523" s="17">
        <f>F2523 * VLOOKUP('GASB Data'!A2523,Check!$A$2:$F$11,6,FALSE)</f>
        <v>2256445.9194999998</v>
      </c>
      <c r="H2523" s="12"/>
    </row>
    <row r="2524" spans="1:8" x14ac:dyDescent="0.2">
      <c r="A2524">
        <v>2023</v>
      </c>
      <c r="B2524" s="3" t="s">
        <v>435</v>
      </c>
      <c r="C2524" s="3" t="s">
        <v>795</v>
      </c>
      <c r="D2524" s="3" t="s">
        <v>795</v>
      </c>
      <c r="E2524" s="8">
        <v>31287660</v>
      </c>
      <c r="F2524" s="2">
        <v>2.354E-4</v>
      </c>
      <c r="G2524" s="17">
        <f>F2524 * VLOOKUP('GASB Data'!A2524,Check!$A$2:$F$11,6,FALSE)</f>
        <v>714414.75380000006</v>
      </c>
      <c r="H2524" s="12"/>
    </row>
    <row r="2525" spans="1:8" x14ac:dyDescent="0.2">
      <c r="A2525">
        <v>2023</v>
      </c>
      <c r="B2525" s="3" t="s">
        <v>490</v>
      </c>
      <c r="C2525" s="3" t="s">
        <v>796</v>
      </c>
      <c r="D2525" s="3" t="s">
        <v>796</v>
      </c>
      <c r="E2525" s="8">
        <v>26568313</v>
      </c>
      <c r="F2525" s="2">
        <v>1.9990000000000001E-4</v>
      </c>
      <c r="G2525" s="17">
        <f>F2525 * VLOOKUP('GASB Data'!A2525,Check!$A$2:$F$11,6,FALSE)</f>
        <v>606675.91029999999</v>
      </c>
      <c r="H2525" s="12"/>
    </row>
    <row r="2526" spans="1:8" x14ac:dyDescent="0.2">
      <c r="A2526">
        <v>2023</v>
      </c>
      <c r="B2526" s="3" t="s">
        <v>491</v>
      </c>
      <c r="C2526" s="3" t="s">
        <v>797</v>
      </c>
      <c r="D2526" s="3" t="s">
        <v>797</v>
      </c>
      <c r="E2526" s="8">
        <v>254644870</v>
      </c>
      <c r="F2526" s="2">
        <v>1.916E-3</v>
      </c>
      <c r="G2526" s="17">
        <f>F2526 * VLOOKUP('GASB Data'!A2526,Check!$A$2:$F$11,6,FALSE)</f>
        <v>5814862.6519999998</v>
      </c>
      <c r="H2526" s="12"/>
    </row>
    <row r="2527" spans="1:8" x14ac:dyDescent="0.2">
      <c r="A2527">
        <v>2023</v>
      </c>
      <c r="B2527" s="3" t="s">
        <v>850</v>
      </c>
      <c r="C2527" s="3" t="s">
        <v>913</v>
      </c>
      <c r="D2527" s="3" t="s">
        <v>913</v>
      </c>
      <c r="E2527" s="8">
        <v>30362813</v>
      </c>
      <c r="F2527" s="2">
        <v>2.285E-4</v>
      </c>
      <c r="G2527" s="17">
        <f>F2527 * VLOOKUP('GASB Data'!A2527,Check!$A$2:$F$11,6,FALSE)</f>
        <v>693473.9645</v>
      </c>
      <c r="H2527" s="12"/>
    </row>
    <row r="2528" spans="1:8" x14ac:dyDescent="0.2">
      <c r="A2528">
        <v>2023</v>
      </c>
      <c r="B2528" s="3" t="s">
        <v>492</v>
      </c>
      <c r="C2528" s="3" t="s">
        <v>799</v>
      </c>
      <c r="D2528" s="3" t="s">
        <v>799</v>
      </c>
      <c r="E2528" s="8">
        <v>81020253</v>
      </c>
      <c r="F2528" s="2">
        <v>6.0959999999999996E-4</v>
      </c>
      <c r="G2528" s="17">
        <f>F2528 * VLOOKUP('GASB Data'!A2528,Check!$A$2:$F$11,6,FALSE)</f>
        <v>1850073.2111999998</v>
      </c>
      <c r="H2528" s="12"/>
    </row>
    <row r="2529" spans="1:8" x14ac:dyDescent="0.2">
      <c r="A2529">
        <v>2023</v>
      </c>
      <c r="B2529" s="3" t="s">
        <v>493</v>
      </c>
      <c r="C2529" s="3" t="s">
        <v>800</v>
      </c>
      <c r="D2529" s="3" t="s">
        <v>800</v>
      </c>
      <c r="E2529" s="8">
        <v>508573556</v>
      </c>
      <c r="F2529" s="2">
        <v>3.8265999999999999E-3</v>
      </c>
      <c r="G2529" s="17">
        <f>F2529 * VLOOKUP('GASB Data'!A2529,Check!$A$2:$F$11,6,FALSE)</f>
        <v>11613336.860199999</v>
      </c>
      <c r="H2529" s="12"/>
    </row>
    <row r="2530" spans="1:8" x14ac:dyDescent="0.2">
      <c r="A2530">
        <v>2023</v>
      </c>
      <c r="B2530" s="3" t="s">
        <v>494</v>
      </c>
      <c r="C2530" s="3" t="s">
        <v>801</v>
      </c>
      <c r="D2530" s="3" t="s">
        <v>801</v>
      </c>
      <c r="E2530" s="8">
        <v>95049311</v>
      </c>
      <c r="F2530" s="2">
        <v>7.1520000000000004E-4</v>
      </c>
      <c r="G2530" s="17">
        <f>F2530 * VLOOKUP('GASB Data'!A2530,Check!$A$2:$F$11,6,FALSE)</f>
        <v>2170558.3344000001</v>
      </c>
      <c r="H2530" s="12"/>
    </row>
    <row r="2531" spans="1:8" x14ac:dyDescent="0.2">
      <c r="A2531">
        <v>2023</v>
      </c>
      <c r="B2531" s="3" t="s">
        <v>495</v>
      </c>
      <c r="C2531" s="3" t="s">
        <v>802</v>
      </c>
      <c r="D2531" s="3" t="s">
        <v>802</v>
      </c>
      <c r="E2531" s="8">
        <v>245987803</v>
      </c>
      <c r="F2531" s="2">
        <v>1.8508999999999999E-3</v>
      </c>
      <c r="G2531" s="17">
        <f>F2531 * VLOOKUP('GASB Data'!A2531,Check!$A$2:$F$11,6,FALSE)</f>
        <v>5617290.8573000003</v>
      </c>
      <c r="H2531" s="12"/>
    </row>
    <row r="2532" spans="1:8" x14ac:dyDescent="0.2">
      <c r="A2532">
        <v>2023</v>
      </c>
      <c r="B2532" s="3" t="s">
        <v>496</v>
      </c>
      <c r="C2532" s="3" t="s">
        <v>803</v>
      </c>
      <c r="D2532" s="3" t="s">
        <v>803</v>
      </c>
      <c r="E2532" s="8">
        <v>24601283</v>
      </c>
      <c r="F2532" s="2">
        <v>1.851E-4</v>
      </c>
      <c r="G2532" s="17">
        <f>F2532 * VLOOKUP('GASB Data'!A2532,Check!$A$2:$F$11,6,FALSE)</f>
        <v>561759.43469999998</v>
      </c>
      <c r="H2532" s="12"/>
    </row>
    <row r="2533" spans="1:8" x14ac:dyDescent="0.2">
      <c r="A2533">
        <v>2023</v>
      </c>
      <c r="B2533" s="3" t="s">
        <v>497</v>
      </c>
      <c r="C2533" s="3" t="s">
        <v>804</v>
      </c>
      <c r="D2533" s="3" t="s">
        <v>804</v>
      </c>
      <c r="E2533" s="8">
        <v>59915407</v>
      </c>
      <c r="F2533" s="2">
        <v>4.5080000000000001E-4</v>
      </c>
      <c r="G2533" s="17">
        <f>F2533 * VLOOKUP('GASB Data'!A2533,Check!$A$2:$F$11,6,FALSE)</f>
        <v>1368131.5676</v>
      </c>
      <c r="H2533" s="12"/>
    </row>
    <row r="2534" spans="1:8" x14ac:dyDescent="0.2">
      <c r="A2534">
        <v>2023</v>
      </c>
      <c r="B2534" s="3" t="s">
        <v>498</v>
      </c>
      <c r="C2534" s="3" t="s">
        <v>805</v>
      </c>
      <c r="D2534" s="3" t="s">
        <v>805</v>
      </c>
      <c r="E2534" s="8">
        <v>1261252438</v>
      </c>
      <c r="F2534" s="2">
        <v>9.4900000000000002E-3</v>
      </c>
      <c r="G2534" s="17">
        <f>F2534 * VLOOKUP('GASB Data'!A2534,Check!$A$2:$F$11,6,FALSE)</f>
        <v>28801172.530000001</v>
      </c>
      <c r="H2534" s="12"/>
    </row>
    <row r="2535" spans="1:8" x14ac:dyDescent="0.2">
      <c r="A2535">
        <v>2023</v>
      </c>
      <c r="B2535" s="3" t="s">
        <v>499</v>
      </c>
      <c r="C2535" s="3" t="s">
        <v>806</v>
      </c>
      <c r="D2535" s="3" t="s">
        <v>806</v>
      </c>
      <c r="E2535" s="8">
        <v>231169026</v>
      </c>
      <c r="F2535" s="2">
        <v>1.7394000000000001E-3</v>
      </c>
      <c r="G2535" s="17">
        <f>F2535 * VLOOKUP('GASB Data'!A2535,Check!$A$2:$F$11,6,FALSE)</f>
        <v>5278899.8418000005</v>
      </c>
      <c r="H2535" s="12"/>
    </row>
    <row r="2536" spans="1:8" x14ac:dyDescent="0.2">
      <c r="A2536">
        <v>2023</v>
      </c>
      <c r="B2536" s="3" t="s">
        <v>500</v>
      </c>
      <c r="C2536" s="3" t="s">
        <v>807</v>
      </c>
      <c r="D2536" s="3" t="s">
        <v>807</v>
      </c>
      <c r="E2536" s="8">
        <v>132629333</v>
      </c>
      <c r="F2536" s="2">
        <v>9.9789999999999992E-4</v>
      </c>
      <c r="G2536" s="17">
        <f>F2536 * VLOOKUP('GASB Data'!A2536,Check!$A$2:$F$11,6,FALSE)</f>
        <v>3028523.7163</v>
      </c>
      <c r="H2536" s="12"/>
    </row>
    <row r="2537" spans="1:8" x14ac:dyDescent="0.2">
      <c r="A2537">
        <v>2023</v>
      </c>
      <c r="B2537" s="3" t="s">
        <v>501</v>
      </c>
      <c r="C2537" s="3" t="s">
        <v>808</v>
      </c>
      <c r="D2537" s="3" t="s">
        <v>808</v>
      </c>
      <c r="E2537" s="8">
        <v>753508739</v>
      </c>
      <c r="F2537" s="2">
        <v>5.6696000000000003E-3</v>
      </c>
      <c r="G2537" s="17">
        <f>F2537 * VLOOKUP('GASB Data'!A2537,Check!$A$2:$F$11,6,FALSE)</f>
        <v>17206652.031199999</v>
      </c>
      <c r="H2537" s="12"/>
    </row>
    <row r="2538" spans="1:8" x14ac:dyDescent="0.2">
      <c r="A2538">
        <v>2023</v>
      </c>
      <c r="B2538" s="3" t="s">
        <v>502</v>
      </c>
      <c r="C2538" s="3" t="s">
        <v>939</v>
      </c>
      <c r="D2538" s="3" t="s">
        <v>939</v>
      </c>
      <c r="E2538" s="8">
        <v>77654160</v>
      </c>
      <c r="F2538" s="2">
        <v>5.8430000000000005E-4</v>
      </c>
      <c r="G2538" s="17">
        <f>F2538 * VLOOKUP('GASB Data'!A2538,Check!$A$2:$F$11,6,FALSE)</f>
        <v>1773290.3171000001</v>
      </c>
      <c r="H2538" s="12"/>
    </row>
    <row r="2539" spans="1:8" x14ac:dyDescent="0.2">
      <c r="A2539">
        <v>2023</v>
      </c>
      <c r="B2539" s="3" t="s">
        <v>503</v>
      </c>
      <c r="C2539" s="3" t="s">
        <v>810</v>
      </c>
      <c r="D2539" s="3" t="s">
        <v>810</v>
      </c>
      <c r="E2539" s="8">
        <v>90552718</v>
      </c>
      <c r="F2539" s="2">
        <v>6.8130000000000003E-4</v>
      </c>
      <c r="G2539" s="17">
        <f>F2539 * VLOOKUP('GASB Data'!A2539,Check!$A$2:$F$11,6,FALSE)</f>
        <v>2067675.3261000002</v>
      </c>
      <c r="H2539" s="12"/>
    </row>
    <row r="2540" spans="1:8" x14ac:dyDescent="0.2">
      <c r="A2540">
        <v>2023</v>
      </c>
      <c r="B2540" s="3" t="s">
        <v>504</v>
      </c>
      <c r="C2540" s="3" t="s">
        <v>811</v>
      </c>
      <c r="D2540" s="3" t="s">
        <v>811</v>
      </c>
      <c r="E2540" s="8">
        <v>231487859</v>
      </c>
      <c r="F2540" s="2">
        <v>1.7417999999999999E-3</v>
      </c>
      <c r="G2540" s="17">
        <f>F2540 * VLOOKUP('GASB Data'!A2540,Check!$A$2:$F$11,6,FALSE)</f>
        <v>5286183.5945999995</v>
      </c>
      <c r="H2540" s="12"/>
    </row>
    <row r="2541" spans="1:8" x14ac:dyDescent="0.2">
      <c r="A2541">
        <v>2023</v>
      </c>
      <c r="B2541" s="3" t="s">
        <v>505</v>
      </c>
      <c r="C2541" s="3" t="s">
        <v>812</v>
      </c>
      <c r="D2541" s="3" t="s">
        <v>812</v>
      </c>
      <c r="E2541" s="8">
        <v>349330318</v>
      </c>
      <c r="F2541" s="2">
        <v>2.6285000000000002E-3</v>
      </c>
      <c r="G2541" s="17">
        <f>F2541 * VLOOKUP('GASB Data'!A2541,Check!$A$2:$F$11,6,FALSE)</f>
        <v>7977226.7645000005</v>
      </c>
      <c r="H2541" s="12"/>
    </row>
    <row r="2542" spans="1:8" x14ac:dyDescent="0.2">
      <c r="A2542">
        <v>2023</v>
      </c>
      <c r="B2542" s="3" t="s">
        <v>506</v>
      </c>
      <c r="C2542" s="3" t="s">
        <v>813</v>
      </c>
      <c r="D2542" s="3" t="s">
        <v>813</v>
      </c>
      <c r="E2542" s="8">
        <v>98974638</v>
      </c>
      <c r="F2542" s="2">
        <v>7.4470000000000005E-4</v>
      </c>
      <c r="G2542" s="17">
        <f>F2542 * VLOOKUP('GASB Data'!A2542,Check!$A$2:$F$11,6,FALSE)</f>
        <v>2260087.7959000003</v>
      </c>
      <c r="H2542" s="12"/>
    </row>
    <row r="2543" spans="1:8" x14ac:dyDescent="0.2">
      <c r="A2543">
        <v>2023</v>
      </c>
      <c r="B2543" s="3" t="s">
        <v>507</v>
      </c>
      <c r="C2543" s="3" t="s">
        <v>814</v>
      </c>
      <c r="D2543" s="3" t="s">
        <v>814</v>
      </c>
      <c r="E2543" s="8">
        <v>1100745433</v>
      </c>
      <c r="F2543" s="2">
        <v>8.2822999999999994E-3</v>
      </c>
      <c r="G2543" s="17">
        <f>F2543 * VLOOKUP('GASB Data'!A2543,Check!$A$2:$F$11,6,FALSE)</f>
        <v>25135927.423099998</v>
      </c>
      <c r="H2543" s="12"/>
    </row>
    <row r="2544" spans="1:8" x14ac:dyDescent="0.2">
      <c r="A2544">
        <v>2023</v>
      </c>
      <c r="B2544" s="3" t="s">
        <v>508</v>
      </c>
      <c r="C2544" s="3" t="s">
        <v>815</v>
      </c>
      <c r="D2544" s="3" t="s">
        <v>815</v>
      </c>
      <c r="E2544" s="8">
        <v>8859334</v>
      </c>
      <c r="F2544" s="2">
        <v>6.6699999999999995E-5</v>
      </c>
      <c r="G2544" s="17">
        <f>F2544 * VLOOKUP('GASB Data'!A2544,Check!$A$2:$F$11,6,FALSE)</f>
        <v>202427.62989999997</v>
      </c>
      <c r="H2544" s="12"/>
    </row>
    <row r="2545" spans="1:8" x14ac:dyDescent="0.2">
      <c r="A2545">
        <v>2023</v>
      </c>
      <c r="B2545" s="3" t="s">
        <v>509</v>
      </c>
      <c r="C2545" s="3" t="s">
        <v>816</v>
      </c>
      <c r="D2545" s="3" t="s">
        <v>816</v>
      </c>
      <c r="E2545" s="8">
        <v>83767299</v>
      </c>
      <c r="F2545" s="2">
        <v>6.3029999999999998E-4</v>
      </c>
      <c r="G2545" s="17">
        <f>F2545 * VLOOKUP('GASB Data'!A2545,Check!$A$2:$F$11,6,FALSE)</f>
        <v>1912895.5791</v>
      </c>
      <c r="H2545" s="12"/>
    </row>
    <row r="2546" spans="1:8" x14ac:dyDescent="0.2">
      <c r="A2546">
        <v>2023</v>
      </c>
      <c r="B2546" s="3" t="s">
        <v>510</v>
      </c>
      <c r="C2546" s="3" t="s">
        <v>817</v>
      </c>
      <c r="D2546" s="3" t="s">
        <v>817</v>
      </c>
      <c r="E2546" s="8">
        <v>538084622</v>
      </c>
      <c r="F2546" s="2">
        <v>4.0486999999999997E-3</v>
      </c>
      <c r="G2546" s="17">
        <f>F2546 * VLOOKUP('GASB Data'!A2546,Check!$A$2:$F$11,6,FALSE)</f>
        <v>12287387.483899999</v>
      </c>
      <c r="H2546" s="12"/>
    </row>
    <row r="2547" spans="1:8" x14ac:dyDescent="0.2">
      <c r="A2547">
        <v>2023</v>
      </c>
      <c r="B2547" s="3" t="s">
        <v>511</v>
      </c>
      <c r="C2547" s="3" t="s">
        <v>818</v>
      </c>
      <c r="D2547" s="3" t="s">
        <v>818</v>
      </c>
      <c r="E2547" s="8">
        <v>20928184</v>
      </c>
      <c r="F2547" s="2">
        <v>1.5750000000000001E-4</v>
      </c>
      <c r="G2547" s="17">
        <f>F2547 * VLOOKUP('GASB Data'!A2547,Check!$A$2:$F$11,6,FALSE)</f>
        <v>477996.27750000003</v>
      </c>
      <c r="H2547" s="12"/>
    </row>
    <row r="2548" spans="1:8" x14ac:dyDescent="0.2">
      <c r="A2548">
        <v>2023</v>
      </c>
      <c r="B2548" s="3" t="s">
        <v>512</v>
      </c>
      <c r="C2548" s="3" t="s">
        <v>819</v>
      </c>
      <c r="D2548" s="3" t="s">
        <v>819</v>
      </c>
      <c r="E2548" s="8">
        <v>58286337</v>
      </c>
      <c r="F2548" s="2">
        <v>4.3859999999999998E-4</v>
      </c>
      <c r="G2548" s="17">
        <f>F2548 * VLOOKUP('GASB Data'!A2548,Check!$A$2:$F$11,6,FALSE)</f>
        <v>1331105.8241999999</v>
      </c>
      <c r="H2548" s="12"/>
    </row>
    <row r="2549" spans="1:8" x14ac:dyDescent="0.2">
      <c r="A2549">
        <v>2023</v>
      </c>
      <c r="B2549" s="3" t="s">
        <v>513</v>
      </c>
      <c r="C2549" s="3" t="s">
        <v>820</v>
      </c>
      <c r="D2549" s="3" t="s">
        <v>820</v>
      </c>
      <c r="E2549" s="8">
        <v>849752238</v>
      </c>
      <c r="F2549" s="2">
        <v>6.3937999999999998E-3</v>
      </c>
      <c r="G2549" s="17">
        <f>F2549 * VLOOKUP('GASB Data'!A2549,Check!$A$2:$F$11,6,FALSE)</f>
        <v>19404524.4386</v>
      </c>
      <c r="H2549" s="12"/>
    </row>
    <row r="2550" spans="1:8" x14ac:dyDescent="0.2">
      <c r="A2550">
        <v>2023</v>
      </c>
      <c r="B2550" s="3" t="s">
        <v>514</v>
      </c>
      <c r="C2550" s="3" t="s">
        <v>821</v>
      </c>
      <c r="D2550" s="3" t="s">
        <v>821</v>
      </c>
      <c r="E2550" s="8">
        <v>191960450</v>
      </c>
      <c r="F2550" s="2">
        <v>1.4444E-3</v>
      </c>
      <c r="G2550" s="17">
        <f>F2550 * VLOOKUP('GASB Data'!A2550,Check!$A$2:$F$11,6,FALSE)</f>
        <v>4383605.2268000003</v>
      </c>
      <c r="H2550" s="12"/>
    </row>
    <row r="2551" spans="1:8" x14ac:dyDescent="0.2">
      <c r="A2551">
        <v>2023</v>
      </c>
      <c r="B2551" s="3" t="s">
        <v>515</v>
      </c>
      <c r="C2551" s="3" t="s">
        <v>822</v>
      </c>
      <c r="D2551" s="3" t="s">
        <v>822</v>
      </c>
      <c r="E2551" s="8">
        <v>443330085</v>
      </c>
      <c r="F2551" s="2">
        <v>3.3357E-3</v>
      </c>
      <c r="G2551" s="17">
        <f>F2551 * VLOOKUP('GASB Data'!A2551,Check!$A$2:$F$11,6,FALSE)</f>
        <v>10123505.922900001</v>
      </c>
      <c r="H2551" s="12"/>
    </row>
    <row r="2552" spans="1:8" x14ac:dyDescent="0.2">
      <c r="A2552">
        <v>2023</v>
      </c>
      <c r="B2552" s="3" t="s">
        <v>516</v>
      </c>
      <c r="C2552" s="3" t="s">
        <v>823</v>
      </c>
      <c r="D2552" s="3" t="s">
        <v>823</v>
      </c>
      <c r="E2552" s="8">
        <v>79409092</v>
      </c>
      <c r="F2552" s="2">
        <v>5.9750000000000005E-4</v>
      </c>
      <c r="G2552" s="17">
        <f>F2552 * VLOOKUP('GASB Data'!A2552,Check!$A$2:$F$11,6,FALSE)</f>
        <v>1813350.9575000003</v>
      </c>
      <c r="H2552" s="12"/>
    </row>
    <row r="2553" spans="1:8" x14ac:dyDescent="0.2">
      <c r="A2553">
        <v>2023</v>
      </c>
      <c r="B2553" s="3" t="s">
        <v>517</v>
      </c>
      <c r="C2553" s="3" t="s">
        <v>824</v>
      </c>
      <c r="D2553" s="3" t="s">
        <v>824</v>
      </c>
      <c r="E2553" s="8">
        <v>386327059</v>
      </c>
      <c r="F2553" s="2">
        <v>2.9068000000000002E-3</v>
      </c>
      <c r="G2553" s="17">
        <f>F2553 * VLOOKUP('GASB Data'!A2553,Check!$A$2:$F$11,6,FALSE)</f>
        <v>8821838.5996000003</v>
      </c>
      <c r="H2553" s="12"/>
    </row>
    <row r="2554" spans="1:8" x14ac:dyDescent="0.2">
      <c r="A2554">
        <v>2023</v>
      </c>
      <c r="B2554" s="3" t="s">
        <v>518</v>
      </c>
      <c r="C2554" s="3" t="s">
        <v>825</v>
      </c>
      <c r="D2554" s="3" t="s">
        <v>825</v>
      </c>
      <c r="E2554" s="8">
        <v>60371408</v>
      </c>
      <c r="F2554" s="2">
        <v>4.5419999999999998E-4</v>
      </c>
      <c r="G2554" s="17">
        <f>F2554 * VLOOKUP('GASB Data'!A2554,Check!$A$2:$F$11,6,FALSE)</f>
        <v>1378450.2174</v>
      </c>
      <c r="H2554" s="12"/>
    </row>
    <row r="2555" spans="1:8" x14ac:dyDescent="0.2">
      <c r="A2555">
        <v>2023</v>
      </c>
      <c r="B2555" s="3" t="s">
        <v>519</v>
      </c>
      <c r="C2555" s="3" t="s">
        <v>826</v>
      </c>
      <c r="D2555" s="3" t="s">
        <v>826</v>
      </c>
      <c r="E2555" s="8">
        <v>150860898</v>
      </c>
      <c r="F2555" s="2">
        <v>1.1351E-3</v>
      </c>
      <c r="G2555" s="17">
        <f>F2555 * VLOOKUP('GASB Data'!A2555,Check!$A$2:$F$11,6,FALSE)</f>
        <v>3444911.5847</v>
      </c>
      <c r="H2555" s="12"/>
    </row>
    <row r="2556" spans="1:8" x14ac:dyDescent="0.2">
      <c r="A2556">
        <v>2023</v>
      </c>
      <c r="B2556" s="3" t="s">
        <v>520</v>
      </c>
      <c r="C2556" s="3" t="s">
        <v>827</v>
      </c>
      <c r="D2556" s="3" t="s">
        <v>827</v>
      </c>
      <c r="E2556" s="8">
        <v>300888406</v>
      </c>
      <c r="F2556" s="2">
        <v>2.264E-3</v>
      </c>
      <c r="G2556" s="17">
        <f>F2556 * VLOOKUP('GASB Data'!A2556,Check!$A$2:$F$11,6,FALSE)</f>
        <v>6871006.8080000002</v>
      </c>
      <c r="H2556" s="12"/>
    </row>
    <row r="2557" spans="1:8" x14ac:dyDescent="0.2">
      <c r="A2557">
        <v>2023</v>
      </c>
      <c r="B2557" s="3" t="s">
        <v>521</v>
      </c>
      <c r="C2557" s="3" t="s">
        <v>828</v>
      </c>
      <c r="D2557" s="3" t="s">
        <v>828</v>
      </c>
      <c r="E2557" s="8">
        <v>392169713</v>
      </c>
      <c r="F2557" s="2">
        <v>2.9508E-3</v>
      </c>
      <c r="G2557" s="17">
        <f>F2557 * VLOOKUP('GASB Data'!A2557,Check!$A$2:$F$11,6,FALSE)</f>
        <v>8955374.0676000006</v>
      </c>
      <c r="H2557" s="12"/>
    </row>
    <row r="2558" spans="1:8" x14ac:dyDescent="0.2">
      <c r="A2558">
        <v>2023</v>
      </c>
      <c r="B2558" s="3" t="s">
        <v>522</v>
      </c>
      <c r="C2558" s="3" t="s">
        <v>829</v>
      </c>
      <c r="D2558" s="3" t="s">
        <v>829</v>
      </c>
      <c r="E2558" s="8">
        <v>27483791</v>
      </c>
      <c r="F2558" s="2">
        <v>2.0680000000000001E-4</v>
      </c>
      <c r="G2558" s="17">
        <f>F2558 * VLOOKUP('GASB Data'!A2558,Check!$A$2:$F$11,6,FALSE)</f>
        <v>627616.69960000005</v>
      </c>
      <c r="H2558" s="12"/>
    </row>
    <row r="2559" spans="1:8" x14ac:dyDescent="0.2">
      <c r="A2559">
        <v>2023</v>
      </c>
      <c r="B2559" s="3" t="s">
        <v>523</v>
      </c>
      <c r="C2559" s="3" t="s">
        <v>830</v>
      </c>
      <c r="D2559" s="3" t="s">
        <v>830</v>
      </c>
      <c r="E2559" s="8">
        <v>94957023</v>
      </c>
      <c r="F2559" s="2">
        <v>7.1449999999999997E-4</v>
      </c>
      <c r="G2559" s="17">
        <f>F2559 * VLOOKUP('GASB Data'!A2559,Check!$A$2:$F$11,6,FALSE)</f>
        <v>2168433.9065</v>
      </c>
      <c r="H2559" s="12"/>
    </row>
    <row r="2560" spans="1:8" x14ac:dyDescent="0.2">
      <c r="A2560">
        <v>2023</v>
      </c>
      <c r="B2560" s="3" t="s">
        <v>524</v>
      </c>
      <c r="C2560" s="3" t="s">
        <v>831</v>
      </c>
      <c r="D2560" s="3" t="s">
        <v>831</v>
      </c>
      <c r="E2560" s="8">
        <v>291734768</v>
      </c>
      <c r="F2560" s="2">
        <v>2.1951000000000002E-3</v>
      </c>
      <c r="G2560" s="17">
        <f>F2560 * VLOOKUP('GASB Data'!A2560,Check!$A$2:$F$11,6,FALSE)</f>
        <v>6661902.4047000008</v>
      </c>
      <c r="H2560" s="12"/>
    </row>
    <row r="2561" spans="1:8" x14ac:dyDescent="0.2">
      <c r="A2561">
        <v>2023</v>
      </c>
      <c r="B2561" s="3" t="s">
        <v>525</v>
      </c>
      <c r="C2561" s="3" t="s">
        <v>832</v>
      </c>
      <c r="D2561" s="3" t="s">
        <v>832</v>
      </c>
      <c r="E2561" s="8">
        <v>371443201</v>
      </c>
      <c r="F2561" s="2">
        <v>2.7948000000000001E-3</v>
      </c>
      <c r="G2561" s="17">
        <f>F2561 * VLOOKUP('GASB Data'!A2561,Check!$A$2:$F$11,6,FALSE)</f>
        <v>8481930.1356000006</v>
      </c>
      <c r="H2561" s="12"/>
    </row>
    <row r="2562" spans="1:8" x14ac:dyDescent="0.2">
      <c r="A2562">
        <v>2023</v>
      </c>
      <c r="B2562" s="3" t="s">
        <v>527</v>
      </c>
      <c r="C2562" s="3" t="s">
        <v>834</v>
      </c>
      <c r="D2562" s="3" t="s">
        <v>834</v>
      </c>
      <c r="E2562" s="8">
        <v>28497959</v>
      </c>
      <c r="F2562" s="2">
        <v>2.1440000000000001E-4</v>
      </c>
      <c r="G2562" s="17">
        <f>F2562 * VLOOKUP('GASB Data'!A2562,Check!$A$2:$F$11,6,FALSE)</f>
        <v>650681.91680000001</v>
      </c>
      <c r="H2562" s="12"/>
    </row>
    <row r="2563" spans="1:8" x14ac:dyDescent="0.2">
      <c r="A2563">
        <v>2023</v>
      </c>
      <c r="B2563" s="3" t="s">
        <v>528</v>
      </c>
      <c r="C2563" s="3" t="s">
        <v>835</v>
      </c>
      <c r="D2563" s="3" t="s">
        <v>835</v>
      </c>
      <c r="E2563" s="8">
        <v>94776703</v>
      </c>
      <c r="F2563" s="2">
        <v>7.1310000000000004E-4</v>
      </c>
      <c r="G2563" s="17">
        <f>F2563 * VLOOKUP('GASB Data'!A2563,Check!$A$2:$F$11,6,FALSE)</f>
        <v>2164185.0507</v>
      </c>
      <c r="H2563" s="12"/>
    </row>
    <row r="2564" spans="1:8" x14ac:dyDescent="0.2">
      <c r="A2564">
        <v>2023</v>
      </c>
      <c r="B2564" s="3" t="s">
        <v>529</v>
      </c>
      <c r="C2564" s="3" t="s">
        <v>836</v>
      </c>
      <c r="D2564" s="3" t="s">
        <v>836</v>
      </c>
      <c r="E2564" s="8">
        <v>97615474</v>
      </c>
      <c r="F2564" s="2">
        <v>7.3450000000000002E-4</v>
      </c>
      <c r="G2564" s="17">
        <f>F2564 * VLOOKUP('GASB Data'!A2564,Check!$A$2:$F$11,6,FALSE)</f>
        <v>2229131.8465</v>
      </c>
      <c r="H2564" s="12"/>
    </row>
    <row r="2565" spans="1:8" x14ac:dyDescent="0.2">
      <c r="A2565">
        <v>2023</v>
      </c>
      <c r="B2565" s="3" t="s">
        <v>530</v>
      </c>
      <c r="C2565" s="3" t="s">
        <v>837</v>
      </c>
      <c r="D2565" s="3" t="s">
        <v>837</v>
      </c>
      <c r="E2565" s="8">
        <v>68906690</v>
      </c>
      <c r="F2565" s="2">
        <v>5.1849999999999997E-4</v>
      </c>
      <c r="G2565" s="17">
        <f>F2565 * VLOOKUP('GASB Data'!A2565,Check!$A$2:$F$11,6,FALSE)</f>
        <v>1573594.0944999999</v>
      </c>
      <c r="H2565" s="12"/>
    </row>
    <row r="2566" spans="1:8" x14ac:dyDescent="0.2">
      <c r="A2566">
        <v>2023</v>
      </c>
      <c r="B2566" s="3" t="s">
        <v>531</v>
      </c>
      <c r="C2566" s="3" t="s">
        <v>838</v>
      </c>
      <c r="D2566" s="3" t="s">
        <v>838</v>
      </c>
      <c r="E2566" s="8">
        <v>122668538</v>
      </c>
      <c r="F2566" s="2">
        <v>9.2299999999999999E-4</v>
      </c>
      <c r="G2566" s="17">
        <f>F2566 * VLOOKUP('GASB Data'!A2566,Check!$A$2:$F$11,6,FALSE)</f>
        <v>2801209.9309999999</v>
      </c>
      <c r="H2566" s="12"/>
    </row>
    <row r="2567" spans="1:8" x14ac:dyDescent="0.2">
      <c r="A2567">
        <v>2023</v>
      </c>
      <c r="B2567" s="3" t="s">
        <v>532</v>
      </c>
      <c r="C2567" s="3" t="s">
        <v>914</v>
      </c>
      <c r="D2567" s="3" t="s">
        <v>914</v>
      </c>
      <c r="E2567" s="8">
        <v>9605799</v>
      </c>
      <c r="F2567" s="2">
        <v>7.2299999999999996E-5</v>
      </c>
      <c r="G2567" s="17">
        <f>F2567 * VLOOKUP('GASB Data'!A2567,Check!$A$2:$F$11,6,FALSE)</f>
        <v>219423.05309999999</v>
      </c>
      <c r="H2567" s="12"/>
    </row>
    <row r="2568" spans="1:8" x14ac:dyDescent="0.2">
      <c r="A2568">
        <v>2023</v>
      </c>
      <c r="B2568" s="3" t="s">
        <v>533</v>
      </c>
      <c r="C2568" s="3" t="s">
        <v>840</v>
      </c>
      <c r="D2568" s="3" t="s">
        <v>840</v>
      </c>
      <c r="E2568" s="8">
        <v>209068553</v>
      </c>
      <c r="F2568" s="2">
        <v>1.5731E-3</v>
      </c>
      <c r="G2568" s="17">
        <f>F2568 * VLOOKUP('GASB Data'!A2568,Check!$A$2:$F$11,6,FALSE)</f>
        <v>4774196.4707000004</v>
      </c>
      <c r="H2568" s="12"/>
    </row>
    <row r="2569" spans="1:8" x14ac:dyDescent="0.2">
      <c r="A2569">
        <v>2023</v>
      </c>
      <c r="B2569" s="3" t="s">
        <v>534</v>
      </c>
      <c r="C2569" s="3" t="s">
        <v>841</v>
      </c>
      <c r="D2569" s="3" t="s">
        <v>841</v>
      </c>
      <c r="E2569" s="8">
        <v>19523067</v>
      </c>
      <c r="F2569" s="2">
        <v>1.4689999999999999E-4</v>
      </c>
      <c r="G2569" s="17">
        <f>F2569 * VLOOKUP('GASB Data'!A2569,Check!$A$2:$F$11,6,FALSE)</f>
        <v>445826.36929999996</v>
      </c>
      <c r="H2569" s="12"/>
    </row>
    <row r="2570" spans="1:8" x14ac:dyDescent="0.2">
      <c r="A2570">
        <v>2023</v>
      </c>
      <c r="B2570" s="3" t="s">
        <v>535</v>
      </c>
      <c r="C2570" s="3" t="s">
        <v>842</v>
      </c>
      <c r="D2570" s="3" t="s">
        <v>842</v>
      </c>
      <c r="E2570" s="8">
        <v>43205322</v>
      </c>
      <c r="F2570" s="2">
        <v>3.2509999999999999E-4</v>
      </c>
      <c r="G2570" s="17">
        <f>F2570 * VLOOKUP('GASB Data'!A2570,Check!$A$2:$F$11,6,FALSE)</f>
        <v>986645.01469999994</v>
      </c>
      <c r="H2570" s="12"/>
    </row>
    <row r="2571" spans="1:8" x14ac:dyDescent="0.2">
      <c r="A2571">
        <v>2023</v>
      </c>
      <c r="B2571" s="3" t="s">
        <v>536</v>
      </c>
      <c r="C2571" s="3" t="s">
        <v>843</v>
      </c>
      <c r="D2571" s="3" t="s">
        <v>843</v>
      </c>
      <c r="E2571" s="8">
        <v>2037523903</v>
      </c>
      <c r="F2571" s="2">
        <v>1.53309E-2</v>
      </c>
      <c r="G2571" s="17">
        <f>F2571 * VLOOKUP('GASB Data'!A2571,Check!$A$2:$F$11,6,FALSE)</f>
        <v>46527702.417300001</v>
      </c>
      <c r="H2571" s="12"/>
    </row>
    <row r="2572" spans="1:8" x14ac:dyDescent="0.2">
      <c r="A2572">
        <v>2023</v>
      </c>
      <c r="B2572" s="3" t="s">
        <v>537</v>
      </c>
      <c r="C2572" s="3" t="s">
        <v>844</v>
      </c>
      <c r="D2572" s="3" t="s">
        <v>844</v>
      </c>
      <c r="E2572" s="8">
        <v>240767494</v>
      </c>
      <c r="F2572" s="2">
        <v>1.8116E-3</v>
      </c>
      <c r="G2572" s="17">
        <f>F2572 * VLOOKUP('GASB Data'!A2572,Check!$A$2:$F$11,6,FALSE)</f>
        <v>5498019.4051999999</v>
      </c>
      <c r="H2572" s="12"/>
    </row>
    <row r="2573" spans="1:8" x14ac:dyDescent="0.2">
      <c r="A2573">
        <v>2023</v>
      </c>
      <c r="B2573" s="3" t="s">
        <v>538</v>
      </c>
      <c r="C2573" s="3" t="s">
        <v>845</v>
      </c>
      <c r="D2573" s="3" t="s">
        <v>845</v>
      </c>
      <c r="E2573" s="8">
        <v>37576979</v>
      </c>
      <c r="F2573" s="2">
        <v>2.8269999999999999E-4</v>
      </c>
      <c r="G2573" s="17">
        <f>F2573 * VLOOKUP('GASB Data'!A2573,Check!$A$2:$F$11,6,FALSE)</f>
        <v>857965.38189999992</v>
      </c>
      <c r="H2573" s="12"/>
    </row>
    <row r="2574" spans="1:8" x14ac:dyDescent="0.2">
      <c r="A2574">
        <v>2023</v>
      </c>
      <c r="B2574" s="3" t="s">
        <v>539</v>
      </c>
      <c r="C2574" s="3" t="s">
        <v>846</v>
      </c>
      <c r="D2574" s="3" t="s">
        <v>846</v>
      </c>
      <c r="E2574" s="8">
        <v>88760286</v>
      </c>
      <c r="F2574" s="2">
        <v>6.6790000000000003E-4</v>
      </c>
      <c r="G2574" s="17">
        <f>F2574 * VLOOKUP('GASB Data'!A2574,Check!$A$2:$F$11,6,FALSE)</f>
        <v>2027007.7063000002</v>
      </c>
      <c r="H2574" s="12"/>
    </row>
    <row r="2575" spans="1:8" x14ac:dyDescent="0.2">
      <c r="A2575">
        <v>2023</v>
      </c>
      <c r="B2575" s="3" t="s">
        <v>540</v>
      </c>
      <c r="C2575" s="3" t="s">
        <v>847</v>
      </c>
      <c r="D2575" s="3" t="s">
        <v>847</v>
      </c>
      <c r="E2575" s="8">
        <v>8975619778</v>
      </c>
      <c r="F2575" s="2">
        <v>6.7534800000000006E-2</v>
      </c>
      <c r="G2575" s="17">
        <f>F2575 * VLOOKUP('GASB Data'!A2575,Check!$A$2:$F$11,6,FALSE)</f>
        <v>204961161.91560003</v>
      </c>
      <c r="H2575" s="12"/>
    </row>
    <row r="2576" spans="1:8" x14ac:dyDescent="0.2">
      <c r="A2576">
        <v>2023</v>
      </c>
      <c r="B2576" s="3" t="s">
        <v>541</v>
      </c>
      <c r="C2576" s="3" t="s">
        <v>848</v>
      </c>
      <c r="D2576" s="3" t="s">
        <v>848</v>
      </c>
      <c r="E2576" s="8">
        <v>39645494</v>
      </c>
      <c r="F2576" s="2">
        <v>2.9829999999999999E-4</v>
      </c>
      <c r="G2576" s="17">
        <f>F2576 * VLOOKUP('GASB Data'!A2576,Check!$A$2:$F$11,6,FALSE)</f>
        <v>905309.77509999997</v>
      </c>
      <c r="H2576" s="12"/>
    </row>
    <row r="2577" spans="1:8" x14ac:dyDescent="0.2">
      <c r="A2577">
        <v>2023</v>
      </c>
      <c r="B2577" s="3" t="s">
        <v>542</v>
      </c>
      <c r="C2577" s="3" t="s">
        <v>849</v>
      </c>
      <c r="D2577" s="3" t="s">
        <v>849</v>
      </c>
      <c r="E2577" s="8">
        <v>37346684</v>
      </c>
      <c r="F2577" s="2">
        <v>2.81E-4</v>
      </c>
      <c r="G2577" s="17">
        <f>F2577 * VLOOKUP('GASB Data'!A2577,Check!$A$2:$F$11,6,FALSE)</f>
        <v>852806.05700000003</v>
      </c>
      <c r="H2577" s="12"/>
    </row>
    <row r="2578" spans="1:8" x14ac:dyDescent="0.2">
      <c r="A2578">
        <v>2023</v>
      </c>
      <c r="B2578" s="3" t="s">
        <v>543</v>
      </c>
      <c r="C2578" s="3" t="s">
        <v>851</v>
      </c>
      <c r="D2578" s="3" t="s">
        <v>851</v>
      </c>
      <c r="E2578" s="8">
        <v>781829793</v>
      </c>
      <c r="F2578" s="2">
        <v>5.8827000000000003E-3</v>
      </c>
      <c r="G2578" s="17">
        <f>F2578 * VLOOKUP('GASB Data'!A2578,Check!$A$2:$F$11,6,FALSE)</f>
        <v>17853388.581900001</v>
      </c>
      <c r="H2578" s="12"/>
    </row>
    <row r="2579" spans="1:8" x14ac:dyDescent="0.2">
      <c r="A2579">
        <v>2023</v>
      </c>
      <c r="B2579" s="3" t="s">
        <v>561</v>
      </c>
      <c r="C2579" s="3" t="s">
        <v>852</v>
      </c>
      <c r="D2579" s="3" t="s">
        <v>852</v>
      </c>
      <c r="E2579" s="8">
        <v>55146751</v>
      </c>
      <c r="F2579" s="2">
        <v>4.149E-4</v>
      </c>
      <c r="G2579" s="17">
        <f>F2579 * VLOOKUP('GASB Data'!A2579,Check!$A$2:$F$11,6,FALSE)</f>
        <v>1259178.7653000001</v>
      </c>
      <c r="H2579" s="12"/>
    </row>
    <row r="2580" spans="1:8" x14ac:dyDescent="0.2">
      <c r="A2580">
        <v>2023</v>
      </c>
      <c r="B2580" s="3" t="s">
        <v>563</v>
      </c>
      <c r="C2580" s="3" t="s">
        <v>854</v>
      </c>
      <c r="D2580" s="3" t="s">
        <v>854</v>
      </c>
      <c r="E2580" s="8">
        <v>102759986</v>
      </c>
      <c r="F2580" s="2">
        <v>7.7320000000000004E-4</v>
      </c>
      <c r="G2580" s="17">
        <f>F2580 * VLOOKUP('GASB Data'!A2580,Check!$A$2:$F$11,6,FALSE)</f>
        <v>2346582.3604000001</v>
      </c>
      <c r="H2580" s="12"/>
    </row>
    <row r="2581" spans="1:8" x14ac:dyDescent="0.2">
      <c r="A2581">
        <v>2023</v>
      </c>
      <c r="B2581" s="3" t="s">
        <v>564</v>
      </c>
      <c r="C2581" s="3" t="s">
        <v>855</v>
      </c>
      <c r="D2581" s="3" t="s">
        <v>855</v>
      </c>
      <c r="E2581" s="8">
        <v>8373607</v>
      </c>
      <c r="F2581" s="2">
        <v>6.3E-5</v>
      </c>
      <c r="G2581" s="17">
        <f>F2581 * VLOOKUP('GASB Data'!A2581,Check!$A$2:$F$11,6,FALSE)</f>
        <v>191198.511</v>
      </c>
      <c r="H2581" s="12"/>
    </row>
    <row r="2582" spans="1:8" x14ac:dyDescent="0.2">
      <c r="A2582">
        <v>2023</v>
      </c>
      <c r="B2582" s="3" t="s">
        <v>565</v>
      </c>
      <c r="C2582" s="3" t="s">
        <v>856</v>
      </c>
      <c r="D2582" s="3" t="s">
        <v>856</v>
      </c>
      <c r="E2582" s="8">
        <v>58891192</v>
      </c>
      <c r="F2582" s="2">
        <v>4.4309999999999998E-4</v>
      </c>
      <c r="G2582" s="17">
        <f>F2582 * VLOOKUP('GASB Data'!A2582,Check!$A$2:$F$11,6,FALSE)</f>
        <v>1344762.8606999998</v>
      </c>
      <c r="H2582" s="12"/>
    </row>
    <row r="2583" spans="1:8" x14ac:dyDescent="0.2">
      <c r="A2583">
        <v>2023</v>
      </c>
      <c r="B2583" s="3" t="s">
        <v>566</v>
      </c>
      <c r="C2583" s="3" t="s">
        <v>857</v>
      </c>
      <c r="D2583" s="3" t="s">
        <v>857</v>
      </c>
      <c r="E2583" s="8">
        <v>67624261</v>
      </c>
      <c r="F2583" s="2">
        <v>5.0880000000000001E-4</v>
      </c>
      <c r="G2583" s="17">
        <f>F2583 * VLOOKUP('GASB Data'!A2583,Check!$A$2:$F$11,6,FALSE)</f>
        <v>1544155.5936</v>
      </c>
      <c r="H2583" s="12"/>
    </row>
    <row r="2584" spans="1:8" x14ac:dyDescent="0.2">
      <c r="A2584">
        <v>2023</v>
      </c>
      <c r="B2584" s="3" t="s">
        <v>567</v>
      </c>
      <c r="C2584" s="3" t="s">
        <v>858</v>
      </c>
      <c r="D2584" s="3" t="s">
        <v>858</v>
      </c>
      <c r="E2584" s="8">
        <v>293924523</v>
      </c>
      <c r="F2584" s="2">
        <v>2.2116000000000002E-3</v>
      </c>
      <c r="G2584" s="17">
        <f>F2584 * VLOOKUP('GASB Data'!A2584,Check!$A$2:$F$11,6,FALSE)</f>
        <v>6711978.2052000007</v>
      </c>
      <c r="H2584" s="12"/>
    </row>
    <row r="2585" spans="1:8" x14ac:dyDescent="0.2">
      <c r="A2585">
        <v>2023</v>
      </c>
      <c r="B2585" s="3" t="s">
        <v>568</v>
      </c>
      <c r="C2585" s="3" t="s">
        <v>917</v>
      </c>
      <c r="D2585" s="3" t="s">
        <v>917</v>
      </c>
      <c r="E2585" s="8">
        <v>7396104</v>
      </c>
      <c r="F2585" s="2">
        <v>5.5699999999999999E-5</v>
      </c>
      <c r="G2585" s="17">
        <f>F2585 * VLOOKUP('GASB Data'!A2585,Check!$A$2:$F$11,6,FALSE)</f>
        <v>169043.7629</v>
      </c>
      <c r="H2585" s="12"/>
    </row>
    <row r="2586" spans="1:8" x14ac:dyDescent="0.2">
      <c r="A2586">
        <v>2023</v>
      </c>
      <c r="B2586" s="3" t="s">
        <v>569</v>
      </c>
      <c r="C2586" s="3" t="s">
        <v>860</v>
      </c>
      <c r="D2586" s="3" t="s">
        <v>860</v>
      </c>
      <c r="E2586" s="8">
        <v>783613457</v>
      </c>
      <c r="F2586" s="2">
        <v>5.8960999999999996E-3</v>
      </c>
      <c r="G2586" s="17">
        <f>F2586 * VLOOKUP('GASB Data'!A2586,Check!$A$2:$F$11,6,FALSE)</f>
        <v>17894056.201699998</v>
      </c>
      <c r="H2586" s="12"/>
    </row>
    <row r="2587" spans="1:8" x14ac:dyDescent="0.2">
      <c r="A2587">
        <v>2023</v>
      </c>
      <c r="B2587" s="3" t="s">
        <v>570</v>
      </c>
      <c r="C2587" s="3" t="s">
        <v>861</v>
      </c>
      <c r="D2587" s="3" t="s">
        <v>861</v>
      </c>
      <c r="E2587" s="8">
        <v>115024772</v>
      </c>
      <c r="F2587" s="2">
        <v>8.6549999999999995E-4</v>
      </c>
      <c r="G2587" s="17">
        <f>F2587 * VLOOKUP('GASB Data'!A2587,Check!$A$2:$F$11,6,FALSE)</f>
        <v>2626703.3534999997</v>
      </c>
      <c r="H2587" s="12"/>
    </row>
    <row r="2588" spans="1:8" x14ac:dyDescent="0.2">
      <c r="A2588">
        <v>2023</v>
      </c>
      <c r="B2588" s="3" t="s">
        <v>571</v>
      </c>
      <c r="C2588" s="3" t="s">
        <v>862</v>
      </c>
      <c r="D2588" s="3" t="s">
        <v>862</v>
      </c>
      <c r="E2588" s="8">
        <v>439937491</v>
      </c>
      <c r="F2588" s="2">
        <v>3.3102000000000001E-3</v>
      </c>
      <c r="G2588" s="17">
        <f>F2588 * VLOOKUP('GASB Data'!A2588,Check!$A$2:$F$11,6,FALSE)</f>
        <v>10046116.0494</v>
      </c>
      <c r="H2588" s="12"/>
    </row>
    <row r="2589" spans="1:8" x14ac:dyDescent="0.2">
      <c r="A2589">
        <v>2023</v>
      </c>
      <c r="B2589" s="3" t="s">
        <v>572</v>
      </c>
      <c r="C2589" s="3" t="s">
        <v>863</v>
      </c>
      <c r="D2589" s="3" t="s">
        <v>863</v>
      </c>
      <c r="E2589" s="8">
        <v>33103575</v>
      </c>
      <c r="F2589" s="2">
        <v>2.4909999999999998E-4</v>
      </c>
      <c r="G2589" s="17">
        <f>F2589 * VLOOKUP('GASB Data'!A2589,Check!$A$2:$F$11,6,FALSE)</f>
        <v>755992.84269999992</v>
      </c>
      <c r="H2589" s="12"/>
    </row>
    <row r="2590" spans="1:8" x14ac:dyDescent="0.2">
      <c r="A2590">
        <v>2023</v>
      </c>
      <c r="B2590" s="3" t="s">
        <v>573</v>
      </c>
      <c r="C2590" s="3" t="s">
        <v>864</v>
      </c>
      <c r="D2590" s="3" t="s">
        <v>864</v>
      </c>
      <c r="E2590" s="8">
        <v>117153701</v>
      </c>
      <c r="F2590" s="2">
        <v>8.8150000000000001E-4</v>
      </c>
      <c r="G2590" s="17">
        <f>F2590 * VLOOKUP('GASB Data'!A2590,Check!$A$2:$F$11,6,FALSE)</f>
        <v>2675261.7055000002</v>
      </c>
      <c r="H2590" s="12"/>
    </row>
    <row r="2591" spans="1:8" x14ac:dyDescent="0.2">
      <c r="A2591">
        <v>2023</v>
      </c>
      <c r="B2591" s="3" t="s">
        <v>574</v>
      </c>
      <c r="C2591" s="3" t="s">
        <v>865</v>
      </c>
      <c r="D2591" s="3" t="s">
        <v>865</v>
      </c>
      <c r="E2591" s="8">
        <v>492746351</v>
      </c>
      <c r="F2591" s="2">
        <v>3.7074999999999999E-3</v>
      </c>
      <c r="G2591" s="17">
        <f>F2591 * VLOOKUP('GASB Data'!A2591,Check!$A$2:$F$11,6,FALSE)</f>
        <v>11251880.627499999</v>
      </c>
      <c r="H2591" s="12"/>
    </row>
    <row r="2592" spans="1:8" x14ac:dyDescent="0.2">
      <c r="A2592">
        <v>2023</v>
      </c>
      <c r="B2592" s="3" t="s">
        <v>575</v>
      </c>
      <c r="C2592" s="3" t="s">
        <v>866</v>
      </c>
      <c r="D2592" s="3" t="s">
        <v>866</v>
      </c>
      <c r="E2592" s="8">
        <v>56824478</v>
      </c>
      <c r="F2592" s="2">
        <v>4.2759999999999999E-4</v>
      </c>
      <c r="G2592" s="17">
        <f>F2592 * VLOOKUP('GASB Data'!A2592,Check!$A$2:$F$11,6,FALSE)</f>
        <v>1297721.9572000001</v>
      </c>
      <c r="H2592" s="12"/>
    </row>
    <row r="2593" spans="1:8" x14ac:dyDescent="0.2">
      <c r="A2593">
        <v>2023</v>
      </c>
      <c r="B2593" s="3" t="s">
        <v>576</v>
      </c>
      <c r="C2593" s="3" t="s">
        <v>867</v>
      </c>
      <c r="D2593" s="3" t="s">
        <v>867</v>
      </c>
      <c r="E2593" s="8">
        <v>267898623</v>
      </c>
      <c r="F2593" s="2">
        <v>2.0157E-3</v>
      </c>
      <c r="G2593" s="17">
        <f>F2593 * VLOOKUP('GASB Data'!A2593,Check!$A$2:$F$11,6,FALSE)</f>
        <v>6117441.8829000005</v>
      </c>
      <c r="H2593" s="12"/>
    </row>
    <row r="2594" spans="1:8" x14ac:dyDescent="0.2">
      <c r="A2594">
        <v>2023</v>
      </c>
      <c r="B2594" s="3" t="s">
        <v>577</v>
      </c>
      <c r="C2594" s="3" t="s">
        <v>868</v>
      </c>
      <c r="D2594" s="3" t="s">
        <v>868</v>
      </c>
      <c r="E2594" s="8">
        <v>3746741625</v>
      </c>
      <c r="F2594" s="2">
        <v>2.8191399999999998E-2</v>
      </c>
      <c r="G2594" s="17">
        <f>F2594 * VLOOKUP('GASB Data'!A2594,Check!$A$2:$F$11,6,FALSE)</f>
        <v>85557995.285799995</v>
      </c>
      <c r="H2594" s="12"/>
    </row>
    <row r="2595" spans="1:8" x14ac:dyDescent="0.2">
      <c r="A2595">
        <v>2023</v>
      </c>
      <c r="B2595" s="3" t="s">
        <v>871</v>
      </c>
      <c r="C2595" s="3" t="s">
        <v>869</v>
      </c>
      <c r="D2595" s="3" t="s">
        <v>869</v>
      </c>
      <c r="E2595" s="8">
        <v>4617197</v>
      </c>
      <c r="F2595" s="2">
        <v>3.4700000000000003E-5</v>
      </c>
      <c r="G2595" s="17">
        <f>F2595 * VLOOKUP('GASB Data'!A2595,Check!$A$2:$F$11,6,FALSE)</f>
        <v>105310.92590000002</v>
      </c>
      <c r="H2595" s="12"/>
    </row>
    <row r="2596" spans="1:8" x14ac:dyDescent="0.2">
      <c r="A2596">
        <v>2023</v>
      </c>
      <c r="B2596" s="3" t="s">
        <v>872</v>
      </c>
      <c r="C2596" s="3" t="s">
        <v>870</v>
      </c>
      <c r="D2596" s="3" t="s">
        <v>870</v>
      </c>
      <c r="E2596" s="8">
        <v>130699952</v>
      </c>
      <c r="F2596" s="2">
        <v>9.8339999999999994E-4</v>
      </c>
      <c r="G2596" s="17">
        <f>F2596 * VLOOKUP('GASB Data'!A2596,Check!$A$2:$F$11,6,FALSE)</f>
        <v>2984517.7097999998</v>
      </c>
      <c r="H259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BCC-C64D-A240-B43B-65BA370D92B2}">
  <sheetPr>
    <tabColor rgb="FFFFFF00"/>
  </sheetPr>
  <dimension ref="A1:K12"/>
  <sheetViews>
    <sheetView zoomScale="114" workbookViewId="0">
      <selection activeCell="E23" sqref="E23"/>
    </sheetView>
  </sheetViews>
  <sheetFormatPr baseColWidth="10" defaultRowHeight="16" x14ac:dyDescent="0.2"/>
  <cols>
    <col min="2" max="2" width="20.1640625" bestFit="1" customWidth="1"/>
    <col min="3" max="3" width="21" bestFit="1" customWidth="1"/>
    <col min="4" max="4" width="24.83203125" bestFit="1" customWidth="1"/>
    <col min="5" max="5" width="28.33203125" bestFit="1" customWidth="1"/>
    <col min="6" max="6" width="38.6640625" bestFit="1" customWidth="1"/>
    <col min="7" max="7" width="32.83203125" bestFit="1" customWidth="1"/>
    <col min="8" max="8" width="21" bestFit="1" customWidth="1"/>
    <col min="9" max="9" width="25.6640625" bestFit="1" customWidth="1"/>
    <col min="10" max="10" width="30.1640625" bestFit="1" customWidth="1"/>
  </cols>
  <sheetData>
    <row r="1" spans="1:11" s="6" customFormat="1" x14ac:dyDescent="0.2">
      <c r="A1" s="21" t="s">
        <v>944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6" customFormat="1" ht="17" customHeight="1" x14ac:dyDescent="0.2">
      <c r="A2" s="6" t="s">
        <v>955</v>
      </c>
      <c r="B2" s="6" t="s">
        <v>946</v>
      </c>
      <c r="C2" s="6" t="s">
        <v>947</v>
      </c>
      <c r="D2" s="6" t="s">
        <v>948</v>
      </c>
      <c r="E2" s="6" t="s">
        <v>949</v>
      </c>
      <c r="F2" s="6" t="s">
        <v>950</v>
      </c>
      <c r="G2" s="6" t="s">
        <v>951</v>
      </c>
      <c r="H2" s="6" t="s">
        <v>952</v>
      </c>
      <c r="I2" s="6" t="s">
        <v>953</v>
      </c>
      <c r="J2" s="6" t="s">
        <v>954</v>
      </c>
    </row>
    <row r="3" spans="1:11" x14ac:dyDescent="0.2">
      <c r="A3" s="6">
        <v>2015</v>
      </c>
      <c r="B3" s="11">
        <v>114372837443</v>
      </c>
      <c r="C3" s="11">
        <f>SUMIF('GASB Data'!A:A,Check!A3,'GASB Data'!E:E)</f>
        <v>114372837443</v>
      </c>
      <c r="D3" s="10">
        <v>1</v>
      </c>
      <c r="E3" s="10">
        <f>SUMIF('GASB Data'!A:A,Check!A3,'GASB Data'!F:F)</f>
        <v>0.99999999999999989</v>
      </c>
      <c r="F3" s="8">
        <v>1262988000</v>
      </c>
      <c r="G3" s="8">
        <f>SUMIF('GASB Data'!A:A,Check!A3,'GASB Data'!G:G)</f>
        <v>1262988000</v>
      </c>
      <c r="H3" s="13">
        <f>B3-C3</f>
        <v>0</v>
      </c>
      <c r="I3" s="14">
        <f>D3-E3</f>
        <v>0</v>
      </c>
      <c r="J3" s="15">
        <f t="shared" ref="J3:J11" si="0">F3-G3</f>
        <v>0</v>
      </c>
    </row>
    <row r="4" spans="1:11" x14ac:dyDescent="0.2">
      <c r="A4" s="6">
        <v>2016</v>
      </c>
      <c r="B4" s="11">
        <v>108291094819</v>
      </c>
      <c r="C4" s="11">
        <f>SUMIF('GASB Data'!A:A,Check!A4,'GASB Data'!E:E)</f>
        <v>108291094819</v>
      </c>
      <c r="D4" s="10">
        <v>1</v>
      </c>
      <c r="E4" s="10">
        <f>SUMIF('GASB Data'!A:A,Check!A4,'GASB Data'!F:F)</f>
        <v>0.99999999999999978</v>
      </c>
      <c r="F4" s="8">
        <v>1275003000</v>
      </c>
      <c r="G4" s="8">
        <f>SUMIF('GASB Data'!A:A,Check!A4,'GASB Data'!G:G)</f>
        <v>1275002999.9999988</v>
      </c>
      <c r="H4" s="13">
        <f t="shared" ref="H4:H11" si="1">B4-C4</f>
        <v>0</v>
      </c>
      <c r="I4" s="14">
        <f t="shared" ref="I4:I10" si="2">D4-E4</f>
        <v>0</v>
      </c>
      <c r="J4" s="15">
        <f t="shared" si="0"/>
        <v>0</v>
      </c>
    </row>
    <row r="5" spans="1:11" x14ac:dyDescent="0.2">
      <c r="A5" s="6">
        <v>2017</v>
      </c>
      <c r="B5" s="11">
        <v>111581756444</v>
      </c>
      <c r="C5" s="11">
        <f>SUMIF('GASB Data'!A:A,Check!A5,'GASB Data'!E:E)</f>
        <v>111581756444</v>
      </c>
      <c r="D5" s="10">
        <v>1</v>
      </c>
      <c r="E5" s="10">
        <f>SUMIF('GASB Data'!A:A,Check!A5,'GASB Data'!F:F)</f>
        <v>0.99999999999999967</v>
      </c>
      <c r="F5" s="8">
        <v>1441194000</v>
      </c>
      <c r="G5" s="8">
        <f>SUMIF('GASB Data'!A:A,Check!A5,'GASB Data'!G:G)</f>
        <v>1441194000.000001</v>
      </c>
      <c r="H5" s="13">
        <f t="shared" si="1"/>
        <v>0</v>
      </c>
      <c r="I5" s="14">
        <f t="shared" si="2"/>
        <v>0</v>
      </c>
      <c r="J5" s="15">
        <f t="shared" si="0"/>
        <v>0</v>
      </c>
    </row>
    <row r="6" spans="1:11" x14ac:dyDescent="0.2">
      <c r="A6" s="6">
        <v>2018</v>
      </c>
      <c r="B6" s="11">
        <v>116207890038</v>
      </c>
      <c r="C6" s="11">
        <f>SUMIF('GASB Data'!A:A,Check!A6,'GASB Data'!E:E)</f>
        <v>116207890038</v>
      </c>
      <c r="D6" s="10">
        <v>1</v>
      </c>
      <c r="E6" s="10">
        <f>SUMIF('GASB Data'!A:A,Check!A6,'GASB Data'!F:F)</f>
        <v>1</v>
      </c>
      <c r="F6" s="8">
        <v>1602901000</v>
      </c>
      <c r="G6" s="8">
        <f>SUMIF('GASB Data'!A:A,Check!A6,'GASB Data'!G:G)</f>
        <v>1602900999.9999998</v>
      </c>
      <c r="H6" s="13">
        <f t="shared" si="1"/>
        <v>0</v>
      </c>
      <c r="I6" s="14">
        <f t="shared" si="2"/>
        <v>0</v>
      </c>
      <c r="J6" s="15">
        <f t="shared" si="0"/>
        <v>0</v>
      </c>
    </row>
    <row r="7" spans="1:11" x14ac:dyDescent="0.2">
      <c r="A7" s="6">
        <v>2019</v>
      </c>
      <c r="B7" s="11">
        <v>120481819159</v>
      </c>
      <c r="C7" s="11">
        <f>SUMIF('GASB Data'!A:A,Check!A7,'GASB Data'!E:E)</f>
        <v>120481819159</v>
      </c>
      <c r="D7" s="10">
        <v>1</v>
      </c>
      <c r="E7" s="10">
        <f>SUMIF('GASB Data'!A:A,Check!A7,'GASB Data'!F:F)</f>
        <v>0.99999999999999944</v>
      </c>
      <c r="F7" s="8">
        <v>1915146000</v>
      </c>
      <c r="G7" s="8">
        <f>SUMIF('GASB Data'!A:A,Check!A7,'GASB Data'!G:G)</f>
        <v>1915145999.9999995</v>
      </c>
      <c r="H7" s="13">
        <f t="shared" si="1"/>
        <v>0</v>
      </c>
      <c r="I7" s="14">
        <f t="shared" si="2"/>
        <v>0</v>
      </c>
      <c r="J7" s="15">
        <f t="shared" si="0"/>
        <v>0</v>
      </c>
    </row>
    <row r="8" spans="1:11" x14ac:dyDescent="0.2">
      <c r="A8" s="6">
        <v>2020</v>
      </c>
      <c r="B8" s="11">
        <v>123871678297</v>
      </c>
      <c r="C8" s="11">
        <f>SUMIF('GASB Data'!A:A,Check!A8,'GASB Data'!E:E)</f>
        <v>123871678297</v>
      </c>
      <c r="D8" s="10">
        <v>1</v>
      </c>
      <c r="E8" s="10">
        <f>SUMIF('GASB Data'!A:A,Check!A8,'GASB Data'!F:F)</f>
        <v>0.99999999999999967</v>
      </c>
      <c r="F8" s="8">
        <v>2055075000</v>
      </c>
      <c r="G8" s="8">
        <f>SUMIF('GASB Data'!A:A,Check!A8,'GASB Data'!G:G)</f>
        <v>2055074999.9999986</v>
      </c>
      <c r="H8" s="13">
        <f t="shared" si="1"/>
        <v>0</v>
      </c>
      <c r="I8" s="14">
        <f t="shared" si="2"/>
        <v>0</v>
      </c>
      <c r="J8" s="15">
        <f t="shared" si="0"/>
        <v>0</v>
      </c>
    </row>
    <row r="9" spans="1:11" x14ac:dyDescent="0.2">
      <c r="A9" s="6">
        <v>2021</v>
      </c>
      <c r="B9" s="11">
        <v>125150203887</v>
      </c>
      <c r="C9" s="11">
        <f>SUMIF('GASB Data'!A:A,Check!A9,'GASB Data'!E:E)</f>
        <v>125150203887</v>
      </c>
      <c r="D9" s="10">
        <v>1</v>
      </c>
      <c r="E9" s="10">
        <f>SUMIF('GASB Data'!A:A,Check!A9,'GASB Data'!F:F)</f>
        <v>1.0000000000000002</v>
      </c>
      <c r="F9" s="8">
        <v>2373252000</v>
      </c>
      <c r="G9" s="8">
        <f>SUMIF('GASB Data'!A:A,Check!A9,'GASB Data'!G:G)</f>
        <v>2373251999.9999995</v>
      </c>
      <c r="H9" s="13">
        <f t="shared" si="1"/>
        <v>0</v>
      </c>
      <c r="I9" s="14">
        <f t="shared" si="2"/>
        <v>0</v>
      </c>
      <c r="J9" s="15">
        <f t="shared" si="0"/>
        <v>0</v>
      </c>
    </row>
    <row r="10" spans="1:11" x14ac:dyDescent="0.2">
      <c r="A10" s="6">
        <v>2022</v>
      </c>
      <c r="B10" s="11">
        <v>126119707852</v>
      </c>
      <c r="C10" s="11">
        <f>SUMIF('GASB Data'!A:A,Check!A10,'GASB Data'!E:E)</f>
        <v>126119707852</v>
      </c>
      <c r="D10" s="10">
        <v>1</v>
      </c>
      <c r="E10" s="10">
        <f>SUMIF('GASB Data'!A:A,Check!A10,'GASB Data'!F:F)</f>
        <v>1.0000000000000004</v>
      </c>
      <c r="F10" s="8">
        <v>2761946000</v>
      </c>
      <c r="G10" s="8">
        <f>SUMIF('GASB Data'!A:A,Check!A10,'GASB Data'!G:G)</f>
        <v>2761946000.0000019</v>
      </c>
      <c r="H10" s="13">
        <f t="shared" si="1"/>
        <v>0</v>
      </c>
      <c r="I10" s="14">
        <f t="shared" si="2"/>
        <v>0</v>
      </c>
      <c r="J10" s="15">
        <f t="shared" si="0"/>
        <v>0</v>
      </c>
    </row>
    <row r="11" spans="1:11" ht="17" customHeight="1" x14ac:dyDescent="0.2">
      <c r="A11" s="6">
        <v>2023</v>
      </c>
      <c r="B11" s="11">
        <v>132903513956</v>
      </c>
      <c r="C11" s="11">
        <f>SUMIF('GASB Data'!A:A,Check!A11,'GASB Data'!E:E)</f>
        <v>132903513956</v>
      </c>
      <c r="D11" s="10">
        <v>1</v>
      </c>
      <c r="E11" s="10">
        <f>SUMIF('GASB Data'!A:A,Check!A11,'GASB Data'!F:F)</f>
        <v>1.0000000000000002</v>
      </c>
      <c r="F11" s="8">
        <v>3034897000</v>
      </c>
      <c r="G11" s="8">
        <f>SUMIF('GASB Data'!A:A,Check!A11,'GASB Data'!G:G)</f>
        <v>3034897000</v>
      </c>
      <c r="H11" s="13">
        <f t="shared" si="1"/>
        <v>0</v>
      </c>
      <c r="I11" s="14">
        <f>D11-E11</f>
        <v>0</v>
      </c>
      <c r="J11" s="15">
        <f t="shared" si="0"/>
        <v>0</v>
      </c>
    </row>
    <row r="12" spans="1:11" x14ac:dyDescent="0.2">
      <c r="H12" s="13"/>
      <c r="I12" s="14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C2A-2858-D34E-A7E9-355C883EB4BF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CDEE-C21A-8B46-9D77-25826D3797DE}">
  <sheetPr>
    <tabColor rgb="FFFFFF00"/>
  </sheetPr>
  <dimension ref="A1:B184"/>
  <sheetViews>
    <sheetView topLeftCell="A134" workbookViewId="0">
      <selection activeCell="A170" sqref="A170"/>
    </sheetView>
  </sheetViews>
  <sheetFormatPr baseColWidth="10" defaultRowHeight="16" x14ac:dyDescent="0.2"/>
  <cols>
    <col min="1" max="1" width="58.33203125" bestFit="1" customWidth="1"/>
  </cols>
  <sheetData>
    <row r="1" spans="1:2" x14ac:dyDescent="0.2">
      <c r="A1" t="s">
        <v>957</v>
      </c>
      <c r="B1" t="s">
        <v>959</v>
      </c>
    </row>
    <row r="2" spans="1:2" x14ac:dyDescent="0.2">
      <c r="A2" t="s">
        <v>878</v>
      </c>
      <c r="B2">
        <v>3700002</v>
      </c>
    </row>
    <row r="3" spans="1:2" x14ac:dyDescent="0.2">
      <c r="A3" t="s">
        <v>686</v>
      </c>
      <c r="B3">
        <v>3700011</v>
      </c>
    </row>
    <row r="4" spans="1:2" x14ac:dyDescent="0.2">
      <c r="A4" t="s">
        <v>805</v>
      </c>
      <c r="B4">
        <v>3700012</v>
      </c>
    </row>
    <row r="5" spans="1:2" x14ac:dyDescent="0.2">
      <c r="A5" t="s">
        <v>646</v>
      </c>
      <c r="B5">
        <v>3700016</v>
      </c>
    </row>
    <row r="6" spans="1:2" x14ac:dyDescent="0.2">
      <c r="A6" t="s">
        <v>900</v>
      </c>
      <c r="B6">
        <v>3700017</v>
      </c>
    </row>
    <row r="7" spans="1:2" x14ac:dyDescent="0.2">
      <c r="A7" t="s">
        <v>702</v>
      </c>
      <c r="B7">
        <v>3700023</v>
      </c>
    </row>
    <row r="8" spans="1:2" x14ac:dyDescent="0.2">
      <c r="A8" t="s">
        <v>635</v>
      </c>
      <c r="B8">
        <v>3700030</v>
      </c>
    </row>
    <row r="9" spans="1:2" x14ac:dyDescent="0.2">
      <c r="A9" t="s">
        <v>752</v>
      </c>
      <c r="B9">
        <v>3700031</v>
      </c>
    </row>
    <row r="10" spans="1:2" x14ac:dyDescent="0.2">
      <c r="A10" t="s">
        <v>762</v>
      </c>
      <c r="B10">
        <v>3700032</v>
      </c>
    </row>
    <row r="11" spans="1:2" x14ac:dyDescent="0.2">
      <c r="A11" t="s">
        <v>777</v>
      </c>
      <c r="B11">
        <v>3700033</v>
      </c>
    </row>
    <row r="12" spans="1:2" x14ac:dyDescent="0.2">
      <c r="A12" t="s">
        <v>792</v>
      </c>
      <c r="B12">
        <v>3700035</v>
      </c>
    </row>
    <row r="13" spans="1:2" x14ac:dyDescent="0.2">
      <c r="A13" t="s">
        <v>795</v>
      </c>
      <c r="B13">
        <v>3700038</v>
      </c>
    </row>
    <row r="14" spans="1:2" x14ac:dyDescent="0.2">
      <c r="A14" t="s">
        <v>833</v>
      </c>
      <c r="B14">
        <v>3700041</v>
      </c>
    </row>
    <row r="15" spans="1:2" x14ac:dyDescent="0.2">
      <c r="A15" t="s">
        <v>637</v>
      </c>
      <c r="B15">
        <v>3700050</v>
      </c>
    </row>
    <row r="16" spans="1:2" x14ac:dyDescent="0.2">
      <c r="A16" t="s">
        <v>763</v>
      </c>
      <c r="B16">
        <v>3700063</v>
      </c>
    </row>
    <row r="17" spans="1:2" x14ac:dyDescent="0.2">
      <c r="A17" t="s">
        <v>767</v>
      </c>
      <c r="B17">
        <v>3700064</v>
      </c>
    </row>
    <row r="18" spans="1:2" x14ac:dyDescent="0.2">
      <c r="A18" t="s">
        <v>841</v>
      </c>
      <c r="B18">
        <v>3700068</v>
      </c>
    </row>
    <row r="19" spans="1:2" x14ac:dyDescent="0.2">
      <c r="A19" t="s">
        <v>852</v>
      </c>
      <c r="B19">
        <v>3700070</v>
      </c>
    </row>
    <row r="20" spans="1:2" x14ac:dyDescent="0.2">
      <c r="A20" t="s">
        <v>656</v>
      </c>
      <c r="B20">
        <v>3700078</v>
      </c>
    </row>
    <row r="21" spans="1:2" x14ac:dyDescent="0.2">
      <c r="A21" t="s">
        <v>713</v>
      </c>
      <c r="B21">
        <v>3700083</v>
      </c>
    </row>
    <row r="22" spans="1:2" x14ac:dyDescent="0.2">
      <c r="A22" t="s">
        <v>732</v>
      </c>
      <c r="B22">
        <v>3700085</v>
      </c>
    </row>
    <row r="23" spans="1:2" x14ac:dyDescent="0.2">
      <c r="A23" t="s">
        <v>907</v>
      </c>
      <c r="B23">
        <v>3700086</v>
      </c>
    </row>
    <row r="24" spans="1:2" x14ac:dyDescent="0.2">
      <c r="A24" t="s">
        <v>640</v>
      </c>
      <c r="B24">
        <v>3700090</v>
      </c>
    </row>
    <row r="25" spans="1:2" x14ac:dyDescent="0.2">
      <c r="A25" t="s">
        <v>845</v>
      </c>
      <c r="B25">
        <v>3700096</v>
      </c>
    </row>
    <row r="26" spans="1:2" x14ac:dyDescent="0.2">
      <c r="A26" t="s">
        <v>740</v>
      </c>
      <c r="B26">
        <v>3700106</v>
      </c>
    </row>
    <row r="27" spans="1:2" x14ac:dyDescent="0.2">
      <c r="A27" t="s">
        <v>910</v>
      </c>
      <c r="B27">
        <v>3700108</v>
      </c>
    </row>
    <row r="28" spans="1:2" x14ac:dyDescent="0.2">
      <c r="A28" t="s">
        <v>818</v>
      </c>
      <c r="B28">
        <v>3700110</v>
      </c>
    </row>
    <row r="29" spans="1:2" x14ac:dyDescent="0.2">
      <c r="A29" t="s">
        <v>834</v>
      </c>
      <c r="B29">
        <v>3700111</v>
      </c>
    </row>
    <row r="30" spans="1:2" x14ac:dyDescent="0.2">
      <c r="A30" t="s">
        <v>849</v>
      </c>
      <c r="B30">
        <v>3700114</v>
      </c>
    </row>
    <row r="31" spans="1:2" x14ac:dyDescent="0.2">
      <c r="A31" t="s">
        <v>855</v>
      </c>
      <c r="B31">
        <v>3700115</v>
      </c>
    </row>
    <row r="32" spans="1:2" x14ac:dyDescent="0.2">
      <c r="A32" t="s">
        <v>636</v>
      </c>
      <c r="B32">
        <v>3700116</v>
      </c>
    </row>
    <row r="33" spans="1:2" x14ac:dyDescent="0.2">
      <c r="A33" t="s">
        <v>715</v>
      </c>
      <c r="B33">
        <v>3700119</v>
      </c>
    </row>
    <row r="34" spans="1:2" x14ac:dyDescent="0.2">
      <c r="A34" t="s">
        <v>641</v>
      </c>
      <c r="B34">
        <v>3700120</v>
      </c>
    </row>
    <row r="35" spans="1:2" x14ac:dyDescent="0.2">
      <c r="A35" t="s">
        <v>787</v>
      </c>
      <c r="B35">
        <v>3700123</v>
      </c>
    </row>
    <row r="36" spans="1:2" x14ac:dyDescent="0.2">
      <c r="A36" t="s">
        <v>712</v>
      </c>
      <c r="B36">
        <v>3700126</v>
      </c>
    </row>
    <row r="37" spans="1:2" x14ac:dyDescent="0.2">
      <c r="A37" t="s">
        <v>829</v>
      </c>
      <c r="B37">
        <v>3700128</v>
      </c>
    </row>
    <row r="38" spans="1:2" x14ac:dyDescent="0.2">
      <c r="A38" t="s">
        <v>914</v>
      </c>
      <c r="B38">
        <v>3700129</v>
      </c>
    </row>
    <row r="39" spans="1:2" x14ac:dyDescent="0.2">
      <c r="A39" t="s">
        <v>905</v>
      </c>
      <c r="B39">
        <v>3700130</v>
      </c>
    </row>
    <row r="40" spans="1:2" x14ac:dyDescent="0.2">
      <c r="A40" t="s">
        <v>853</v>
      </c>
      <c r="B40">
        <v>3700131</v>
      </c>
    </row>
    <row r="41" spans="1:2" x14ac:dyDescent="0.2">
      <c r="A41" t="s">
        <v>638</v>
      </c>
      <c r="B41">
        <v>3700132</v>
      </c>
    </row>
    <row r="42" spans="1:2" x14ac:dyDescent="0.2">
      <c r="A42" t="s">
        <v>662</v>
      </c>
      <c r="B42">
        <v>3700133</v>
      </c>
    </row>
    <row r="43" spans="1:2" x14ac:dyDescent="0.2">
      <c r="A43" t="s">
        <v>764</v>
      </c>
      <c r="B43">
        <v>3700135</v>
      </c>
    </row>
    <row r="44" spans="1:2" x14ac:dyDescent="0.2">
      <c r="A44" t="s">
        <v>377</v>
      </c>
      <c r="B44">
        <v>3700136</v>
      </c>
    </row>
    <row r="45" spans="1:2" x14ac:dyDescent="0.2">
      <c r="A45" t="s">
        <v>768</v>
      </c>
      <c r="B45">
        <v>3700137</v>
      </c>
    </row>
    <row r="46" spans="1:2" x14ac:dyDescent="0.2">
      <c r="A46" t="s">
        <v>917</v>
      </c>
      <c r="B46">
        <v>3700138</v>
      </c>
    </row>
    <row r="47" spans="1:2" x14ac:dyDescent="0.2">
      <c r="A47" t="s">
        <v>703</v>
      </c>
      <c r="B47">
        <v>3700139</v>
      </c>
    </row>
    <row r="48" spans="1:2" x14ac:dyDescent="0.2">
      <c r="A48" t="s">
        <v>784</v>
      </c>
      <c r="B48">
        <v>3700141</v>
      </c>
    </row>
    <row r="49" spans="1:2" x14ac:dyDescent="0.2">
      <c r="A49" t="s">
        <v>772</v>
      </c>
      <c r="B49">
        <v>3700142</v>
      </c>
    </row>
    <row r="50" spans="1:2" x14ac:dyDescent="0.2">
      <c r="A50" t="s">
        <v>770</v>
      </c>
      <c r="B50">
        <v>3700143</v>
      </c>
    </row>
    <row r="51" spans="1:2" x14ac:dyDescent="0.2">
      <c r="A51" t="s">
        <v>747</v>
      </c>
      <c r="B51">
        <v>3700144</v>
      </c>
    </row>
    <row r="52" spans="1:2" x14ac:dyDescent="0.2">
      <c r="A52" t="s">
        <v>769</v>
      </c>
      <c r="B52">
        <v>3700145</v>
      </c>
    </row>
    <row r="53" spans="1:2" x14ac:dyDescent="0.2">
      <c r="A53" t="s">
        <v>679</v>
      </c>
      <c r="B53">
        <v>3700174</v>
      </c>
    </row>
    <row r="54" spans="1:2" x14ac:dyDescent="0.2">
      <c r="A54" t="s">
        <v>803</v>
      </c>
      <c r="B54">
        <v>3700175</v>
      </c>
    </row>
    <row r="55" spans="1:2" x14ac:dyDescent="0.2">
      <c r="A55" t="s">
        <v>642</v>
      </c>
      <c r="B55">
        <v>3700180</v>
      </c>
    </row>
    <row r="56" spans="1:2" x14ac:dyDescent="0.2">
      <c r="A56" t="s">
        <v>644</v>
      </c>
      <c r="B56">
        <v>3700210</v>
      </c>
    </row>
    <row r="57" spans="1:2" x14ac:dyDescent="0.2">
      <c r="A57" t="s">
        <v>811</v>
      </c>
      <c r="B57">
        <v>3700240</v>
      </c>
    </row>
    <row r="58" spans="1:2" x14ac:dyDescent="0.2">
      <c r="A58" t="s">
        <v>658</v>
      </c>
      <c r="B58">
        <v>3700270</v>
      </c>
    </row>
    <row r="59" spans="1:2" x14ac:dyDescent="0.2">
      <c r="A59" t="s">
        <v>645</v>
      </c>
      <c r="B59">
        <v>3700300</v>
      </c>
    </row>
    <row r="60" spans="1:2" x14ac:dyDescent="0.2">
      <c r="A60" t="s">
        <v>848</v>
      </c>
      <c r="B60">
        <v>3700314</v>
      </c>
    </row>
    <row r="61" spans="1:2" x14ac:dyDescent="0.2">
      <c r="A61" t="s">
        <v>857</v>
      </c>
      <c r="B61">
        <v>3700319</v>
      </c>
    </row>
    <row r="62" spans="1:2" x14ac:dyDescent="0.2">
      <c r="A62" t="s">
        <v>904</v>
      </c>
      <c r="B62">
        <v>3700321</v>
      </c>
    </row>
    <row r="63" spans="1:2" x14ac:dyDescent="0.2">
      <c r="A63" t="s">
        <v>705</v>
      </c>
      <c r="B63">
        <v>3700322</v>
      </c>
    </row>
    <row r="64" spans="1:2" x14ac:dyDescent="0.2">
      <c r="A64" t="s">
        <v>765</v>
      </c>
      <c r="B64">
        <v>3700327</v>
      </c>
    </row>
    <row r="65" spans="1:2" x14ac:dyDescent="0.2">
      <c r="A65" t="s">
        <v>697</v>
      </c>
      <c r="B65">
        <v>3700328</v>
      </c>
    </row>
    <row r="66" spans="1:2" x14ac:dyDescent="0.2">
      <c r="A66" t="s">
        <v>647</v>
      </c>
      <c r="B66">
        <v>3700330</v>
      </c>
    </row>
    <row r="67" spans="1:2" x14ac:dyDescent="0.2">
      <c r="A67" t="s">
        <v>691</v>
      </c>
      <c r="B67">
        <v>3700333</v>
      </c>
    </row>
    <row r="68" spans="1:2" x14ac:dyDescent="0.2">
      <c r="A68" t="s">
        <v>939</v>
      </c>
      <c r="B68">
        <v>3700334</v>
      </c>
    </row>
    <row r="69" spans="1:2" x14ac:dyDescent="0.2">
      <c r="A69" t="s">
        <v>160</v>
      </c>
      <c r="B69">
        <v>3700335</v>
      </c>
    </row>
    <row r="70" spans="1:2" x14ac:dyDescent="0.2">
      <c r="A70" t="s">
        <v>926</v>
      </c>
      <c r="B70">
        <v>3700343</v>
      </c>
    </row>
    <row r="71" spans="1:2" x14ac:dyDescent="0.2">
      <c r="A71" t="s">
        <v>815</v>
      </c>
      <c r="B71">
        <v>3700346</v>
      </c>
    </row>
    <row r="72" spans="1:2" x14ac:dyDescent="0.2">
      <c r="A72" t="s">
        <v>661</v>
      </c>
      <c r="B72">
        <v>3700347</v>
      </c>
    </row>
    <row r="73" spans="1:2" x14ac:dyDescent="0.2">
      <c r="A73" t="s">
        <v>789</v>
      </c>
      <c r="B73">
        <v>3700348</v>
      </c>
    </row>
    <row r="74" spans="1:2" x14ac:dyDescent="0.2">
      <c r="A74" t="s">
        <v>863</v>
      </c>
      <c r="B74">
        <v>3700353</v>
      </c>
    </row>
    <row r="75" spans="1:2" x14ac:dyDescent="0.2">
      <c r="A75" t="s">
        <v>708</v>
      </c>
      <c r="B75">
        <v>3700359</v>
      </c>
    </row>
    <row r="76" spans="1:2" x14ac:dyDescent="0.2">
      <c r="A76" t="s">
        <v>649</v>
      </c>
      <c r="B76">
        <v>3700360</v>
      </c>
    </row>
    <row r="77" spans="1:2" x14ac:dyDescent="0.2">
      <c r="A77" t="s">
        <v>706</v>
      </c>
      <c r="B77">
        <v>3700369</v>
      </c>
    </row>
    <row r="78" spans="1:2" x14ac:dyDescent="0.2">
      <c r="A78" t="s">
        <v>707</v>
      </c>
      <c r="B78">
        <v>3700375</v>
      </c>
    </row>
    <row r="79" spans="1:2" x14ac:dyDescent="0.2">
      <c r="A79" t="s">
        <v>650</v>
      </c>
      <c r="B79">
        <v>3700390</v>
      </c>
    </row>
    <row r="80" spans="1:2" x14ac:dyDescent="0.2">
      <c r="A80" t="s">
        <v>913</v>
      </c>
      <c r="B80">
        <v>3700394</v>
      </c>
    </row>
    <row r="81" spans="1:2" x14ac:dyDescent="0.2">
      <c r="A81" t="s">
        <v>909</v>
      </c>
      <c r="B81">
        <v>3700404</v>
      </c>
    </row>
    <row r="82" spans="1:2" x14ac:dyDescent="0.2">
      <c r="A82" t="s">
        <v>793</v>
      </c>
      <c r="B82">
        <v>3700406</v>
      </c>
    </row>
    <row r="83" spans="1:2" x14ac:dyDescent="0.2">
      <c r="A83" t="s">
        <v>934</v>
      </c>
      <c r="B83">
        <v>3700418</v>
      </c>
    </row>
    <row r="84" spans="1:2" x14ac:dyDescent="0.2">
      <c r="A84" t="s">
        <v>652</v>
      </c>
      <c r="B84">
        <v>3700420</v>
      </c>
    </row>
    <row r="85" spans="1:2" x14ac:dyDescent="0.2">
      <c r="A85" t="s">
        <v>670</v>
      </c>
      <c r="B85">
        <v>3700421</v>
      </c>
    </row>
    <row r="86" spans="1:2" x14ac:dyDescent="0.2">
      <c r="A86" t="s">
        <v>932</v>
      </c>
      <c r="B86">
        <v>3700442</v>
      </c>
    </row>
    <row r="87" spans="1:2" x14ac:dyDescent="0.2">
      <c r="A87" t="s">
        <v>654</v>
      </c>
      <c r="B87">
        <v>3700450</v>
      </c>
    </row>
    <row r="88" spans="1:2" x14ac:dyDescent="0.2">
      <c r="A88" t="s">
        <v>936</v>
      </c>
      <c r="B88">
        <v>3700467</v>
      </c>
    </row>
    <row r="89" spans="1:2" x14ac:dyDescent="0.2">
      <c r="A89" t="s">
        <v>659</v>
      </c>
      <c r="B89">
        <v>3700480</v>
      </c>
    </row>
    <row r="90" spans="1:2" x14ac:dyDescent="0.2">
      <c r="A90" t="s">
        <v>664</v>
      </c>
      <c r="B90">
        <v>3700580</v>
      </c>
    </row>
    <row r="91" spans="1:2" x14ac:dyDescent="0.2">
      <c r="A91" t="s">
        <v>666</v>
      </c>
      <c r="B91">
        <v>3700600</v>
      </c>
    </row>
    <row r="92" spans="1:2" x14ac:dyDescent="0.2">
      <c r="A92" t="s">
        <v>667</v>
      </c>
      <c r="B92">
        <v>3700630</v>
      </c>
    </row>
    <row r="93" spans="1:2" x14ac:dyDescent="0.2">
      <c r="A93" t="s">
        <v>669</v>
      </c>
      <c r="B93">
        <v>3700660</v>
      </c>
    </row>
    <row r="94" spans="1:2" x14ac:dyDescent="0.2">
      <c r="A94" t="s">
        <v>674</v>
      </c>
      <c r="B94">
        <v>3700750</v>
      </c>
    </row>
    <row r="95" spans="1:2" x14ac:dyDescent="0.2">
      <c r="A95" t="s">
        <v>675</v>
      </c>
      <c r="B95">
        <v>3700780</v>
      </c>
    </row>
    <row r="96" spans="1:2" x14ac:dyDescent="0.2">
      <c r="A96" t="s">
        <v>677</v>
      </c>
      <c r="B96">
        <v>3700840</v>
      </c>
    </row>
    <row r="97" spans="1:2" x14ac:dyDescent="0.2">
      <c r="A97" t="s">
        <v>678</v>
      </c>
      <c r="B97">
        <v>3700870</v>
      </c>
    </row>
    <row r="98" spans="1:2" x14ac:dyDescent="0.2">
      <c r="A98" t="s">
        <v>826</v>
      </c>
      <c r="B98">
        <v>3700930</v>
      </c>
    </row>
    <row r="99" spans="1:2" x14ac:dyDescent="0.2">
      <c r="A99" t="s">
        <v>681</v>
      </c>
      <c r="B99">
        <v>3700960</v>
      </c>
    </row>
    <row r="100" spans="1:2" x14ac:dyDescent="0.2">
      <c r="A100" t="s">
        <v>688</v>
      </c>
      <c r="B100">
        <v>3701080</v>
      </c>
    </row>
    <row r="101" spans="1:2" x14ac:dyDescent="0.2">
      <c r="A101" t="s">
        <v>689</v>
      </c>
      <c r="B101">
        <v>3701110</v>
      </c>
    </row>
    <row r="102" spans="1:2" x14ac:dyDescent="0.2">
      <c r="A102" t="s">
        <v>690</v>
      </c>
      <c r="B102">
        <v>3701140</v>
      </c>
    </row>
    <row r="103" spans="1:2" x14ac:dyDescent="0.2">
      <c r="A103" t="s">
        <v>695</v>
      </c>
      <c r="B103">
        <v>3701170</v>
      </c>
    </row>
    <row r="104" spans="1:2" x14ac:dyDescent="0.2">
      <c r="A104" t="s">
        <v>698</v>
      </c>
      <c r="B104">
        <v>3701200</v>
      </c>
    </row>
    <row r="105" spans="1:2" x14ac:dyDescent="0.2">
      <c r="A105" t="s">
        <v>700</v>
      </c>
      <c r="B105">
        <v>3701260</v>
      </c>
    </row>
    <row r="106" spans="1:2" x14ac:dyDescent="0.2">
      <c r="A106" t="s">
        <v>709</v>
      </c>
      <c r="B106">
        <v>3701320</v>
      </c>
    </row>
    <row r="107" spans="1:2" x14ac:dyDescent="0.2">
      <c r="A107" t="s">
        <v>837</v>
      </c>
      <c r="B107">
        <v>3701380</v>
      </c>
    </row>
    <row r="108" spans="1:2" x14ac:dyDescent="0.2">
      <c r="A108" t="s">
        <v>711</v>
      </c>
      <c r="B108">
        <v>3701500</v>
      </c>
    </row>
    <row r="109" spans="1:2" x14ac:dyDescent="0.2">
      <c r="A109" t="s">
        <v>714</v>
      </c>
      <c r="B109">
        <v>3701530</v>
      </c>
    </row>
    <row r="110" spans="1:2" x14ac:dyDescent="0.2">
      <c r="A110" t="s">
        <v>716</v>
      </c>
      <c r="B110">
        <v>3701620</v>
      </c>
    </row>
    <row r="111" spans="1:2" x14ac:dyDescent="0.2">
      <c r="A111" t="s">
        <v>718</v>
      </c>
      <c r="B111">
        <v>3701680</v>
      </c>
    </row>
    <row r="112" spans="1:2" x14ac:dyDescent="0.2">
      <c r="A112" t="s">
        <v>719</v>
      </c>
      <c r="B112">
        <v>3701770</v>
      </c>
    </row>
    <row r="113" spans="1:2" x14ac:dyDescent="0.2">
      <c r="A113" t="s">
        <v>938</v>
      </c>
      <c r="B113">
        <v>3701800</v>
      </c>
    </row>
    <row r="114" spans="1:2" x14ac:dyDescent="0.2">
      <c r="A114" t="s">
        <v>721</v>
      </c>
      <c r="B114">
        <v>3701830</v>
      </c>
    </row>
    <row r="115" spans="1:2" x14ac:dyDescent="0.2">
      <c r="A115" t="s">
        <v>722</v>
      </c>
      <c r="B115">
        <v>3701920</v>
      </c>
    </row>
    <row r="116" spans="1:2" x14ac:dyDescent="0.2">
      <c r="A116" t="s">
        <v>724</v>
      </c>
      <c r="B116">
        <v>3701950</v>
      </c>
    </row>
    <row r="117" spans="1:2" x14ac:dyDescent="0.2">
      <c r="A117" t="s">
        <v>728</v>
      </c>
      <c r="B117">
        <v>3702010</v>
      </c>
    </row>
    <row r="118" spans="1:2" x14ac:dyDescent="0.2">
      <c r="A118" t="s">
        <v>729</v>
      </c>
      <c r="B118">
        <v>3702040</v>
      </c>
    </row>
    <row r="119" spans="1:2" x14ac:dyDescent="0.2">
      <c r="A119" t="s">
        <v>731</v>
      </c>
      <c r="B119">
        <v>3702100</v>
      </c>
    </row>
    <row r="120" spans="1:2" x14ac:dyDescent="0.2">
      <c r="A120" t="s">
        <v>734</v>
      </c>
      <c r="B120">
        <v>3702160</v>
      </c>
    </row>
    <row r="121" spans="1:2" x14ac:dyDescent="0.2">
      <c r="A121" t="s">
        <v>672</v>
      </c>
      <c r="B121">
        <v>3702190</v>
      </c>
    </row>
    <row r="122" spans="1:2" x14ac:dyDescent="0.2">
      <c r="A122" t="s">
        <v>736</v>
      </c>
      <c r="B122">
        <v>3702250</v>
      </c>
    </row>
    <row r="123" spans="1:2" x14ac:dyDescent="0.2">
      <c r="A123" t="s">
        <v>737</v>
      </c>
      <c r="B123">
        <v>3702280</v>
      </c>
    </row>
    <row r="124" spans="1:2" x14ac:dyDescent="0.2">
      <c r="A124" t="s">
        <v>738</v>
      </c>
      <c r="B124">
        <v>3702310</v>
      </c>
    </row>
    <row r="125" spans="1:2" x14ac:dyDescent="0.2">
      <c r="A125" t="s">
        <v>743</v>
      </c>
      <c r="B125">
        <v>3702340</v>
      </c>
    </row>
    <row r="126" spans="1:2" x14ac:dyDescent="0.2">
      <c r="A126" t="s">
        <v>745</v>
      </c>
      <c r="B126">
        <v>3702370</v>
      </c>
    </row>
    <row r="127" spans="1:2" x14ac:dyDescent="0.2">
      <c r="A127" t="s">
        <v>748</v>
      </c>
      <c r="B127">
        <v>3702400</v>
      </c>
    </row>
    <row r="128" spans="1:2" x14ac:dyDescent="0.2">
      <c r="A128" t="s">
        <v>663</v>
      </c>
      <c r="B128">
        <v>3702430</v>
      </c>
    </row>
    <row r="129" spans="1:2" x14ac:dyDescent="0.2">
      <c r="A129" t="s">
        <v>749</v>
      </c>
      <c r="B129">
        <v>3702560</v>
      </c>
    </row>
    <row r="130" spans="1:2" x14ac:dyDescent="0.2">
      <c r="A130" t="s">
        <v>751</v>
      </c>
      <c r="B130">
        <v>3702610</v>
      </c>
    </row>
    <row r="131" spans="1:2" x14ac:dyDescent="0.2">
      <c r="A131" t="s">
        <v>693</v>
      </c>
      <c r="B131">
        <v>3702640</v>
      </c>
    </row>
    <row r="132" spans="1:2" x14ac:dyDescent="0.2">
      <c r="A132" t="s">
        <v>754</v>
      </c>
      <c r="B132">
        <v>3702680</v>
      </c>
    </row>
    <row r="133" spans="1:2" x14ac:dyDescent="0.2">
      <c r="A133" t="s">
        <v>755</v>
      </c>
      <c r="B133">
        <v>3702760</v>
      </c>
    </row>
    <row r="134" spans="1:2" x14ac:dyDescent="0.2">
      <c r="A134" t="s">
        <v>756</v>
      </c>
      <c r="B134">
        <v>3702820</v>
      </c>
    </row>
    <row r="135" spans="1:2" x14ac:dyDescent="0.2">
      <c r="A135" t="s">
        <v>757</v>
      </c>
      <c r="B135">
        <v>3702880</v>
      </c>
    </row>
    <row r="136" spans="1:2" x14ac:dyDescent="0.2">
      <c r="A136" t="s">
        <v>759</v>
      </c>
      <c r="B136">
        <v>3702940</v>
      </c>
    </row>
    <row r="137" spans="1:2" x14ac:dyDescent="0.2">
      <c r="A137" t="s">
        <v>761</v>
      </c>
      <c r="B137">
        <v>3702970</v>
      </c>
    </row>
    <row r="138" spans="1:2" x14ac:dyDescent="0.2">
      <c r="A138" t="s">
        <v>771</v>
      </c>
      <c r="B138">
        <v>3703000</v>
      </c>
    </row>
    <row r="139" spans="1:2" x14ac:dyDescent="0.2">
      <c r="A139" t="s">
        <v>774</v>
      </c>
      <c r="B139">
        <v>3703060</v>
      </c>
    </row>
    <row r="140" spans="1:2" x14ac:dyDescent="0.2">
      <c r="A140" t="s">
        <v>776</v>
      </c>
      <c r="B140">
        <v>3703090</v>
      </c>
    </row>
    <row r="141" spans="1:2" x14ac:dyDescent="0.2">
      <c r="A141" t="s">
        <v>742</v>
      </c>
      <c r="B141">
        <v>3703120</v>
      </c>
    </row>
    <row r="142" spans="1:2" x14ac:dyDescent="0.2">
      <c r="A142" t="s">
        <v>836</v>
      </c>
      <c r="B142">
        <v>3703210</v>
      </c>
    </row>
    <row r="143" spans="1:2" x14ac:dyDescent="0.2">
      <c r="A143" t="s">
        <v>780</v>
      </c>
      <c r="B143">
        <v>3703270</v>
      </c>
    </row>
    <row r="144" spans="1:2" x14ac:dyDescent="0.2">
      <c r="A144" t="s">
        <v>684</v>
      </c>
      <c r="B144">
        <v>3703310</v>
      </c>
    </row>
    <row r="145" spans="1:2" x14ac:dyDescent="0.2">
      <c r="A145" t="s">
        <v>782</v>
      </c>
      <c r="B145">
        <v>3703330</v>
      </c>
    </row>
    <row r="146" spans="1:2" x14ac:dyDescent="0.2">
      <c r="A146" t="s">
        <v>673</v>
      </c>
      <c r="B146">
        <v>3703360</v>
      </c>
    </row>
    <row r="147" spans="1:2" x14ac:dyDescent="0.2">
      <c r="A147" t="s">
        <v>786</v>
      </c>
      <c r="B147">
        <v>3703420</v>
      </c>
    </row>
    <row r="148" spans="1:2" x14ac:dyDescent="0.2">
      <c r="A148" t="s">
        <v>788</v>
      </c>
      <c r="B148">
        <v>3703450</v>
      </c>
    </row>
    <row r="149" spans="1:2" x14ac:dyDescent="0.2">
      <c r="A149" t="s">
        <v>791</v>
      </c>
      <c r="B149">
        <v>3703480</v>
      </c>
    </row>
    <row r="150" spans="1:2" x14ac:dyDescent="0.2">
      <c r="A150" t="s">
        <v>794</v>
      </c>
      <c r="B150">
        <v>3703510</v>
      </c>
    </row>
    <row r="151" spans="1:2" x14ac:dyDescent="0.2">
      <c r="A151" t="s">
        <v>797</v>
      </c>
      <c r="B151">
        <v>3703540</v>
      </c>
    </row>
    <row r="152" spans="1:2" x14ac:dyDescent="0.2">
      <c r="A152" t="s">
        <v>800</v>
      </c>
      <c r="B152">
        <v>3703570</v>
      </c>
    </row>
    <row r="153" spans="1:2" x14ac:dyDescent="0.2">
      <c r="A153" t="s">
        <v>801</v>
      </c>
      <c r="B153">
        <v>3703600</v>
      </c>
    </row>
    <row r="154" spans="1:2" x14ac:dyDescent="0.2">
      <c r="A154" t="s">
        <v>802</v>
      </c>
      <c r="B154">
        <v>3703630</v>
      </c>
    </row>
    <row r="155" spans="1:2" x14ac:dyDescent="0.2">
      <c r="A155" t="s">
        <v>807</v>
      </c>
      <c r="B155">
        <v>3703720</v>
      </c>
    </row>
    <row r="156" spans="1:2" x14ac:dyDescent="0.2">
      <c r="A156" t="s">
        <v>808</v>
      </c>
      <c r="B156">
        <v>3703780</v>
      </c>
    </row>
    <row r="157" spans="1:2" x14ac:dyDescent="0.2">
      <c r="A157" t="s">
        <v>812</v>
      </c>
      <c r="B157">
        <v>3703870</v>
      </c>
    </row>
    <row r="158" spans="1:2" x14ac:dyDescent="0.2">
      <c r="A158" t="s">
        <v>726</v>
      </c>
      <c r="B158">
        <v>3703900</v>
      </c>
    </row>
    <row r="159" spans="1:2" x14ac:dyDescent="0.2">
      <c r="A159" t="s">
        <v>814</v>
      </c>
      <c r="B159">
        <v>3703930</v>
      </c>
    </row>
    <row r="160" spans="1:2" x14ac:dyDescent="0.2">
      <c r="A160" t="s">
        <v>817</v>
      </c>
      <c r="B160">
        <v>3703990</v>
      </c>
    </row>
    <row r="161" spans="1:2" x14ac:dyDescent="0.2">
      <c r="A161" t="s">
        <v>820</v>
      </c>
      <c r="B161">
        <v>3704050</v>
      </c>
    </row>
    <row r="162" spans="1:2" x14ac:dyDescent="0.2">
      <c r="A162" t="s">
        <v>822</v>
      </c>
      <c r="B162">
        <v>3704080</v>
      </c>
    </row>
    <row r="163" spans="1:2" x14ac:dyDescent="0.2">
      <c r="A163" t="s">
        <v>824</v>
      </c>
      <c r="B163">
        <v>3704140</v>
      </c>
    </row>
    <row r="164" spans="1:2" x14ac:dyDescent="0.2">
      <c r="A164" t="s">
        <v>827</v>
      </c>
      <c r="B164">
        <v>3704200</v>
      </c>
    </row>
    <row r="165" spans="1:2" x14ac:dyDescent="0.2">
      <c r="A165" t="s">
        <v>828</v>
      </c>
      <c r="B165">
        <v>3704320</v>
      </c>
    </row>
    <row r="166" spans="1:2" x14ac:dyDescent="0.2">
      <c r="A166" t="s">
        <v>831</v>
      </c>
      <c r="B166">
        <v>3704380</v>
      </c>
    </row>
    <row r="167" spans="1:2" x14ac:dyDescent="0.2">
      <c r="A167" t="s">
        <v>832</v>
      </c>
      <c r="B167">
        <v>3704410</v>
      </c>
    </row>
    <row r="168" spans="1:2" x14ac:dyDescent="0.2">
      <c r="A168" t="s">
        <v>838</v>
      </c>
      <c r="B168">
        <v>3704440</v>
      </c>
    </row>
    <row r="169" spans="1:2" x14ac:dyDescent="0.2">
      <c r="A169" t="s">
        <v>694</v>
      </c>
      <c r="B169">
        <v>3704500</v>
      </c>
    </row>
    <row r="170" spans="1:2" x14ac:dyDescent="0.2">
      <c r="A170" t="s">
        <v>840</v>
      </c>
      <c r="B170">
        <v>3704530</v>
      </c>
    </row>
    <row r="171" spans="1:2" x14ac:dyDescent="0.2">
      <c r="A171" t="s">
        <v>842</v>
      </c>
      <c r="B171">
        <v>3704590</v>
      </c>
    </row>
    <row r="172" spans="1:2" x14ac:dyDescent="0.2">
      <c r="A172" t="s">
        <v>843</v>
      </c>
      <c r="B172">
        <v>3704620</v>
      </c>
    </row>
    <row r="173" spans="1:2" x14ac:dyDescent="0.2">
      <c r="A173" t="s">
        <v>844</v>
      </c>
      <c r="B173">
        <v>3704650</v>
      </c>
    </row>
    <row r="174" spans="1:2" x14ac:dyDescent="0.2">
      <c r="A174" t="s">
        <v>847</v>
      </c>
      <c r="B174">
        <v>3704720</v>
      </c>
    </row>
    <row r="175" spans="1:2" x14ac:dyDescent="0.2">
      <c r="A175" t="s">
        <v>854</v>
      </c>
      <c r="B175">
        <v>3704740</v>
      </c>
    </row>
    <row r="176" spans="1:2" x14ac:dyDescent="0.2">
      <c r="A176" t="s">
        <v>856</v>
      </c>
      <c r="B176">
        <v>3704800</v>
      </c>
    </row>
    <row r="177" spans="1:2" x14ac:dyDescent="0.2">
      <c r="A177" t="s">
        <v>858</v>
      </c>
      <c r="B177">
        <v>3704830</v>
      </c>
    </row>
    <row r="178" spans="1:2" x14ac:dyDescent="0.2">
      <c r="A178" t="s">
        <v>860</v>
      </c>
      <c r="B178">
        <v>3704880</v>
      </c>
    </row>
    <row r="179" spans="1:2" x14ac:dyDescent="0.2">
      <c r="A179" t="s">
        <v>727</v>
      </c>
      <c r="B179">
        <v>3704890</v>
      </c>
    </row>
    <row r="180" spans="1:2" x14ac:dyDescent="0.2">
      <c r="A180" t="s">
        <v>683</v>
      </c>
      <c r="B180">
        <v>3704920</v>
      </c>
    </row>
    <row r="181" spans="1:2" x14ac:dyDescent="0.2">
      <c r="A181" t="s">
        <v>862</v>
      </c>
      <c r="B181">
        <v>3704950</v>
      </c>
    </row>
    <row r="182" spans="1:2" x14ac:dyDescent="0.2">
      <c r="A182" t="s">
        <v>865</v>
      </c>
      <c r="B182">
        <v>3705020</v>
      </c>
    </row>
    <row r="183" spans="1:2" x14ac:dyDescent="0.2">
      <c r="A183" t="s">
        <v>867</v>
      </c>
      <c r="B183">
        <v>3705040</v>
      </c>
    </row>
    <row r="184" spans="1:2" x14ac:dyDescent="0.2">
      <c r="A184" t="s">
        <v>634</v>
      </c>
      <c r="B184">
        <v>3705070</v>
      </c>
    </row>
  </sheetData>
  <autoFilter ref="A1:B1" xr:uid="{BB78CDEE-C21A-8B46-9D77-25826D3797DE}">
    <sortState xmlns:xlrd2="http://schemas.microsoft.com/office/spreadsheetml/2017/richdata2" ref="A2:B187">
      <sortCondition ref="B1:B1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GASB Data --&gt;</vt:lpstr>
      <vt:lpstr>Final Check</vt:lpstr>
      <vt:lpstr>GASB Data</vt:lpstr>
      <vt:lpstr>Check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2025-02-13T23:08:21Z</dcterms:created>
  <dcterms:modified xsi:type="dcterms:W3CDTF">2025-03-03T22:14:31Z</dcterms:modified>
</cp:coreProperties>
</file>